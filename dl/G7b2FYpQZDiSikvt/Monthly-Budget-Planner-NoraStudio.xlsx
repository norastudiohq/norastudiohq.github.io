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06-monthly-budget\"/>
    </mc:Choice>
  </mc:AlternateContent>
  <xr:revisionPtr revIDLastSave="0" documentId="13_ncr:1_{19ABCE0A-35BE-4440-8E12-F0FB2D8A96AB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Budget" sheetId="3" r:id="rId3"/>
    <sheet name="Transactions" sheetId="4" r:id="rId4"/>
    <sheet name="Monthly Overview" sheetId="5" r:id="rId5"/>
    <sheet name="Bills" sheetId="6" r:id="rId6"/>
    <sheet name="Savings Goals" sheetId="7" r:id="rId7"/>
    <sheet name="Lists" sheetId="8" state="hidden" r:id="rId8"/>
    <sheet name="Calc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9" l="1"/>
  <c r="C19" i="9"/>
  <c r="C4" i="9"/>
  <c r="C3" i="9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9" i="5" s="1"/>
  <c r="C53" i="9" s="1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10" i="5" s="1"/>
  <c r="C44" i="9" s="1"/>
  <c r="B5" i="8"/>
  <c r="A5" i="8"/>
  <c r="B4" i="8"/>
  <c r="A4" i="8"/>
  <c r="B3" i="8"/>
  <c r="A3" i="8"/>
  <c r="B2" i="8"/>
  <c r="A2" i="8"/>
  <c r="K20" i="7"/>
  <c r="J20" i="7"/>
  <c r="H20" i="7"/>
  <c r="G20" i="7"/>
  <c r="F20" i="7"/>
  <c r="E20" i="7"/>
  <c r="K19" i="7"/>
  <c r="J19" i="7"/>
  <c r="H19" i="7"/>
  <c r="G19" i="7"/>
  <c r="F19" i="7"/>
  <c r="E19" i="7"/>
  <c r="K18" i="7"/>
  <c r="J18" i="7"/>
  <c r="H18" i="7"/>
  <c r="G18" i="7"/>
  <c r="F18" i="7"/>
  <c r="E18" i="7"/>
  <c r="K17" i="7"/>
  <c r="J17" i="7"/>
  <c r="H17" i="7"/>
  <c r="G17" i="7"/>
  <c r="F17" i="7"/>
  <c r="E17" i="7"/>
  <c r="K16" i="7"/>
  <c r="J16" i="7"/>
  <c r="H16" i="7"/>
  <c r="G16" i="7"/>
  <c r="F16" i="7"/>
  <c r="E16" i="7"/>
  <c r="K15" i="7"/>
  <c r="J15" i="7"/>
  <c r="H15" i="7"/>
  <c r="G15" i="7"/>
  <c r="F15" i="7"/>
  <c r="E15" i="7"/>
  <c r="K14" i="7"/>
  <c r="J14" i="7"/>
  <c r="H14" i="7"/>
  <c r="G14" i="7"/>
  <c r="F14" i="7"/>
  <c r="E14" i="7"/>
  <c r="K13" i="7"/>
  <c r="J13" i="7"/>
  <c r="H13" i="7"/>
  <c r="G13" i="7"/>
  <c r="F13" i="7"/>
  <c r="E13" i="7"/>
  <c r="K12" i="7"/>
  <c r="J12" i="7"/>
  <c r="H12" i="7"/>
  <c r="G12" i="7"/>
  <c r="F12" i="7"/>
  <c r="E12" i="7"/>
  <c r="K11" i="7"/>
  <c r="J11" i="7"/>
  <c r="H11" i="7"/>
  <c r="G11" i="7"/>
  <c r="F11" i="7"/>
  <c r="E11" i="7"/>
  <c r="K10" i="7"/>
  <c r="J10" i="7"/>
  <c r="H10" i="7"/>
  <c r="G10" i="7"/>
  <c r="F10" i="7"/>
  <c r="E10" i="7"/>
  <c r="K9" i="7"/>
  <c r="J9" i="7"/>
  <c r="H9" i="7"/>
  <c r="G9" i="7"/>
  <c r="F9" i="7"/>
  <c r="E9" i="7"/>
  <c r="K8" i="7"/>
  <c r="J8" i="7"/>
  <c r="H8" i="7"/>
  <c r="G8" i="7"/>
  <c r="F8" i="7"/>
  <c r="E8" i="7"/>
  <c r="K7" i="7"/>
  <c r="J7" i="7"/>
  <c r="H7" i="7"/>
  <c r="G7" i="7"/>
  <c r="F7" i="7"/>
  <c r="E7" i="7"/>
  <c r="J6" i="7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2" i="6"/>
  <c r="J35" i="5"/>
  <c r="I35" i="5"/>
  <c r="H35" i="5"/>
  <c r="G35" i="5"/>
  <c r="F35" i="5"/>
  <c r="E35" i="5"/>
  <c r="D35" i="5"/>
  <c r="C35" i="5"/>
  <c r="B35" i="5"/>
  <c r="C69" i="9" s="1"/>
  <c r="A35" i="5"/>
  <c r="B69" i="9" s="1"/>
  <c r="N34" i="5"/>
  <c r="M34" i="5"/>
  <c r="L34" i="5"/>
  <c r="K34" i="5"/>
  <c r="J34" i="5"/>
  <c r="I34" i="5"/>
  <c r="H34" i="5"/>
  <c r="G34" i="5"/>
  <c r="F34" i="5"/>
  <c r="E34" i="5"/>
  <c r="D34" i="5"/>
  <c r="C34" i="5"/>
  <c r="O34" i="5" s="1"/>
  <c r="B34" i="5"/>
  <c r="C68" i="9" s="1"/>
  <c r="A34" i="5"/>
  <c r="B68" i="9" s="1"/>
  <c r="N33" i="5"/>
  <c r="M33" i="5"/>
  <c r="L33" i="5"/>
  <c r="K33" i="5"/>
  <c r="J33" i="5"/>
  <c r="I33" i="5"/>
  <c r="H33" i="5"/>
  <c r="F33" i="5"/>
  <c r="E33" i="5"/>
  <c r="D33" i="5"/>
  <c r="C33" i="5"/>
  <c r="B33" i="5"/>
  <c r="C67" i="9" s="1"/>
  <c r="A33" i="5"/>
  <c r="B67" i="9" s="1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C66" i="9" s="1"/>
  <c r="A32" i="5"/>
  <c r="B66" i="9" s="1"/>
  <c r="N31" i="5"/>
  <c r="M31" i="5"/>
  <c r="L31" i="5"/>
  <c r="J31" i="5"/>
  <c r="I31" i="5"/>
  <c r="H31" i="5"/>
  <c r="G31" i="5"/>
  <c r="F31" i="5"/>
  <c r="E31" i="5"/>
  <c r="D31" i="5"/>
  <c r="C31" i="5"/>
  <c r="D32" i="3" s="1"/>
  <c r="E32" i="3" s="1"/>
  <c r="B31" i="5"/>
  <c r="C65" i="9" s="1"/>
  <c r="A31" i="5"/>
  <c r="B65" i="9" s="1"/>
  <c r="L30" i="5"/>
  <c r="K30" i="5"/>
  <c r="J30" i="5"/>
  <c r="I30" i="5"/>
  <c r="H30" i="5"/>
  <c r="G30" i="5"/>
  <c r="F30" i="5"/>
  <c r="E30" i="5"/>
  <c r="D30" i="5"/>
  <c r="C30" i="5"/>
  <c r="D31" i="3" s="1"/>
  <c r="E31" i="3" s="1"/>
  <c r="B30" i="5"/>
  <c r="C64" i="9" s="1"/>
  <c r="A30" i="5"/>
  <c r="B64" i="9" s="1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C63" i="9" s="1"/>
  <c r="A29" i="5"/>
  <c r="B63" i="9" s="1"/>
  <c r="N28" i="5"/>
  <c r="M28" i="5"/>
  <c r="J28" i="5"/>
  <c r="I28" i="5"/>
  <c r="H28" i="5"/>
  <c r="G28" i="5"/>
  <c r="F28" i="5"/>
  <c r="E28" i="5"/>
  <c r="D28" i="5"/>
  <c r="C28" i="5"/>
  <c r="D29" i="3" s="1"/>
  <c r="E29" i="3" s="1"/>
  <c r="B28" i="5"/>
  <c r="C62" i="9" s="1"/>
  <c r="A28" i="5"/>
  <c r="B62" i="9" s="1"/>
  <c r="N27" i="5"/>
  <c r="M27" i="5"/>
  <c r="L27" i="5"/>
  <c r="K27" i="5"/>
  <c r="J27" i="5"/>
  <c r="I27" i="5"/>
  <c r="G27" i="5"/>
  <c r="F27" i="5"/>
  <c r="E27" i="5"/>
  <c r="D27" i="5"/>
  <c r="C27" i="5"/>
  <c r="D28" i="3" s="1"/>
  <c r="E28" i="3" s="1"/>
  <c r="B27" i="5"/>
  <c r="C61" i="9" s="1"/>
  <c r="A27" i="5"/>
  <c r="B61" i="9" s="1"/>
  <c r="N26" i="5"/>
  <c r="M26" i="5"/>
  <c r="L26" i="5"/>
  <c r="K26" i="5"/>
  <c r="J26" i="5"/>
  <c r="I26" i="5"/>
  <c r="H26" i="5"/>
  <c r="G26" i="5"/>
  <c r="F26" i="5"/>
  <c r="D26" i="5"/>
  <c r="C26" i="5"/>
  <c r="B26" i="5"/>
  <c r="C60" i="9" s="1"/>
  <c r="A26" i="5"/>
  <c r="B60" i="9" s="1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C59" i="9" s="1"/>
  <c r="A25" i="5"/>
  <c r="B59" i="9" s="1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C58" i="9" s="1"/>
  <c r="A24" i="5"/>
  <c r="B58" i="9" s="1"/>
  <c r="M23" i="5"/>
  <c r="L23" i="5"/>
  <c r="K23" i="5"/>
  <c r="J23" i="5"/>
  <c r="I23" i="5"/>
  <c r="H23" i="5"/>
  <c r="G23" i="5"/>
  <c r="F23" i="5"/>
  <c r="E23" i="5"/>
  <c r="D23" i="5"/>
  <c r="C23" i="5"/>
  <c r="B23" i="5"/>
  <c r="C57" i="9" s="1"/>
  <c r="A23" i="5"/>
  <c r="B57" i="9" s="1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C56" i="9" s="1"/>
  <c r="A22" i="5"/>
  <c r="B56" i="9" s="1"/>
  <c r="N21" i="5"/>
  <c r="M21" i="5"/>
  <c r="K21" i="5"/>
  <c r="J21" i="5"/>
  <c r="I21" i="5"/>
  <c r="H21" i="5"/>
  <c r="G21" i="5"/>
  <c r="F21" i="5"/>
  <c r="E21" i="5"/>
  <c r="D21" i="5"/>
  <c r="C21" i="5"/>
  <c r="B21" i="5"/>
  <c r="C55" i="9" s="1"/>
  <c r="A21" i="5"/>
  <c r="B55" i="9" s="1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C54" i="9" s="1"/>
  <c r="A20" i="5"/>
  <c r="B54" i="9" s="1"/>
  <c r="N19" i="5"/>
  <c r="M19" i="5"/>
  <c r="L19" i="5"/>
  <c r="K19" i="5"/>
  <c r="J19" i="5"/>
  <c r="I19" i="5"/>
  <c r="H19" i="5"/>
  <c r="F19" i="5"/>
  <c r="E19" i="5"/>
  <c r="D19" i="5"/>
  <c r="C19" i="5"/>
  <c r="A19" i="5"/>
  <c r="B53" i="9" s="1"/>
  <c r="M18" i="5"/>
  <c r="L18" i="5"/>
  <c r="K18" i="5"/>
  <c r="J18" i="5"/>
  <c r="I18" i="5"/>
  <c r="H18" i="5"/>
  <c r="G18" i="5"/>
  <c r="F18" i="5"/>
  <c r="E18" i="5"/>
  <c r="D18" i="5"/>
  <c r="C18" i="5"/>
  <c r="B18" i="5"/>
  <c r="C52" i="9" s="1"/>
  <c r="A18" i="5"/>
  <c r="B52" i="9" s="1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C51" i="9" s="1"/>
  <c r="A17" i="5"/>
  <c r="B51" i="9" s="1"/>
  <c r="N16" i="5"/>
  <c r="M16" i="5"/>
  <c r="L16" i="5"/>
  <c r="K16" i="5"/>
  <c r="J16" i="5"/>
  <c r="I16" i="5"/>
  <c r="H16" i="5"/>
  <c r="G16" i="5"/>
  <c r="F16" i="5"/>
  <c r="E16" i="5"/>
  <c r="D16" i="5"/>
  <c r="C16" i="5"/>
  <c r="O16" i="5" s="1"/>
  <c r="F17" i="3" s="1"/>
  <c r="B16" i="5"/>
  <c r="C50" i="9" s="1"/>
  <c r="A16" i="5"/>
  <c r="B50" i="9" s="1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C49" i="9" s="1"/>
  <c r="A15" i="5"/>
  <c r="B49" i="9" s="1"/>
  <c r="N14" i="5"/>
  <c r="M14" i="5"/>
  <c r="O14" i="5" s="1"/>
  <c r="F15" i="3" s="1"/>
  <c r="H15" i="3" s="1"/>
  <c r="L14" i="5"/>
  <c r="K14" i="5"/>
  <c r="J14" i="5"/>
  <c r="I14" i="5"/>
  <c r="H14" i="5"/>
  <c r="G14" i="5"/>
  <c r="F14" i="5"/>
  <c r="E14" i="5"/>
  <c r="D14" i="5"/>
  <c r="C14" i="5"/>
  <c r="B14" i="5"/>
  <c r="C48" i="9" s="1"/>
  <c r="A14" i="5"/>
  <c r="B48" i="9" s="1"/>
  <c r="N13" i="5"/>
  <c r="M13" i="5"/>
  <c r="L13" i="5"/>
  <c r="K13" i="5"/>
  <c r="J13" i="5"/>
  <c r="I13" i="5"/>
  <c r="H13" i="5"/>
  <c r="G13" i="5"/>
  <c r="F13" i="5"/>
  <c r="E13" i="5"/>
  <c r="D13" i="5"/>
  <c r="C13" i="5"/>
  <c r="O13" i="5" s="1"/>
  <c r="F14" i="3" s="1"/>
  <c r="B13" i="5"/>
  <c r="C47" i="9" s="1"/>
  <c r="A13" i="5"/>
  <c r="B47" i="9" s="1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C46" i="9" s="1"/>
  <c r="A12" i="5"/>
  <c r="B46" i="9" s="1"/>
  <c r="N11" i="5"/>
  <c r="M11" i="5"/>
  <c r="L11" i="5"/>
  <c r="K11" i="5"/>
  <c r="J11" i="5"/>
  <c r="I11" i="5"/>
  <c r="H11" i="5"/>
  <c r="G11" i="5"/>
  <c r="F11" i="5"/>
  <c r="E11" i="5"/>
  <c r="D11" i="5"/>
  <c r="C11" i="5"/>
  <c r="O11" i="5" s="1"/>
  <c r="F12" i="3" s="1"/>
  <c r="B11" i="5"/>
  <c r="C45" i="9" s="1"/>
  <c r="A11" i="5"/>
  <c r="B45" i="9" s="1"/>
  <c r="N10" i="5"/>
  <c r="M10" i="5"/>
  <c r="L10" i="5"/>
  <c r="K10" i="5"/>
  <c r="J10" i="5"/>
  <c r="I10" i="5"/>
  <c r="H10" i="5"/>
  <c r="G10" i="5"/>
  <c r="F10" i="5"/>
  <c r="E10" i="5"/>
  <c r="D10" i="5"/>
  <c r="A10" i="5"/>
  <c r="B44" i="9" s="1"/>
  <c r="N9" i="5"/>
  <c r="M9" i="5"/>
  <c r="L9" i="5"/>
  <c r="K9" i="5"/>
  <c r="J9" i="5"/>
  <c r="I9" i="5"/>
  <c r="H9" i="5"/>
  <c r="G9" i="5"/>
  <c r="F9" i="5"/>
  <c r="E9" i="5"/>
  <c r="D9" i="5"/>
  <c r="C9" i="5"/>
  <c r="O9" i="5" s="1"/>
  <c r="F10" i="3" s="1"/>
  <c r="B9" i="5"/>
  <c r="C43" i="9" s="1"/>
  <c r="A9" i="5"/>
  <c r="B43" i="9" s="1"/>
  <c r="N8" i="5"/>
  <c r="M8" i="5"/>
  <c r="L8" i="5"/>
  <c r="K8" i="5"/>
  <c r="J8" i="5"/>
  <c r="I8" i="5"/>
  <c r="H8" i="5"/>
  <c r="G8" i="5"/>
  <c r="F8" i="5"/>
  <c r="E8" i="5"/>
  <c r="D8" i="5"/>
  <c r="C8" i="5"/>
  <c r="B8" i="5"/>
  <c r="C42" i="9" s="1"/>
  <c r="A8" i="5"/>
  <c r="B42" i="9" s="1"/>
  <c r="N7" i="5"/>
  <c r="M7" i="5"/>
  <c r="L7" i="5"/>
  <c r="K7" i="5"/>
  <c r="J7" i="5"/>
  <c r="I7" i="5"/>
  <c r="H7" i="5"/>
  <c r="G7" i="5"/>
  <c r="F7" i="5"/>
  <c r="E7" i="5"/>
  <c r="D7" i="5"/>
  <c r="C7" i="5"/>
  <c r="B7" i="5"/>
  <c r="C41" i="9" s="1"/>
  <c r="A7" i="5"/>
  <c r="B41" i="9" s="1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B40" i="9" s="1"/>
  <c r="A2" i="5"/>
  <c r="D2" i="4"/>
  <c r="C37" i="3"/>
  <c r="G36" i="3"/>
  <c r="H36" i="3" s="1"/>
  <c r="F36" i="3"/>
  <c r="E36" i="3"/>
  <c r="D36" i="3"/>
  <c r="G35" i="3"/>
  <c r="H35" i="3" s="1"/>
  <c r="F35" i="3"/>
  <c r="E35" i="3"/>
  <c r="D35" i="3"/>
  <c r="G34" i="3"/>
  <c r="H34" i="3" s="1"/>
  <c r="F34" i="3"/>
  <c r="E34" i="3"/>
  <c r="D34" i="3"/>
  <c r="G33" i="3"/>
  <c r="G32" i="3"/>
  <c r="G31" i="3"/>
  <c r="G30" i="3"/>
  <c r="G29" i="3"/>
  <c r="H29" i="3" s="1"/>
  <c r="G28" i="3"/>
  <c r="G27" i="3"/>
  <c r="D27" i="3"/>
  <c r="E27" i="3" s="1"/>
  <c r="G26" i="3"/>
  <c r="G25" i="3"/>
  <c r="G24" i="3"/>
  <c r="G23" i="3"/>
  <c r="G22" i="3"/>
  <c r="H22" i="3" s="1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H9" i="3" s="1"/>
  <c r="G8" i="3"/>
  <c r="G7" i="3"/>
  <c r="D4" i="3"/>
  <c r="B4" i="3"/>
  <c r="F4" i="3" s="1"/>
  <c r="H2" i="3"/>
  <c r="K31" i="5" l="1"/>
  <c r="O31" i="5" s="1"/>
  <c r="F32" i="3" s="1"/>
  <c r="H32" i="3" s="1"/>
  <c r="N18" i="5"/>
  <c r="O12" i="5"/>
  <c r="F13" i="3" s="1"/>
  <c r="H13" i="3" s="1"/>
  <c r="O8" i="5"/>
  <c r="F9" i="3" s="1"/>
  <c r="O24" i="5"/>
  <c r="F25" i="3" s="1"/>
  <c r="H25" i="3" s="1"/>
  <c r="O22" i="5"/>
  <c r="F23" i="3" s="1"/>
  <c r="H23" i="3" s="1"/>
  <c r="O20" i="5"/>
  <c r="F21" i="3" s="1"/>
  <c r="H21" i="3" s="1"/>
  <c r="O7" i="5"/>
  <c r="F8" i="3" s="1"/>
  <c r="H8" i="3" s="1"/>
  <c r="O17" i="5"/>
  <c r="F18" i="3" s="1"/>
  <c r="H18" i="3" s="1"/>
  <c r="H17" i="3"/>
  <c r="H14" i="3"/>
  <c r="H12" i="3"/>
  <c r="H10" i="3"/>
  <c r="H27" i="5"/>
  <c r="O15" i="5"/>
  <c r="F16" i="3" s="1"/>
  <c r="H16" i="3" s="1"/>
  <c r="O6" i="5"/>
  <c r="F7" i="3" s="1"/>
  <c r="H7" i="3" s="1"/>
  <c r="M30" i="5"/>
  <c r="K28" i="5"/>
  <c r="B90" i="9"/>
  <c r="C25" i="9"/>
  <c r="E6" i="7"/>
  <c r="F6" i="7" s="1"/>
  <c r="K35" i="5"/>
  <c r="M35" i="5"/>
  <c r="J2" i="7"/>
  <c r="G3" i="2" s="1"/>
  <c r="L35" i="5"/>
  <c r="N35" i="5"/>
  <c r="G33" i="5"/>
  <c r="O33" i="5" s="1"/>
  <c r="N30" i="5"/>
  <c r="L28" i="5"/>
  <c r="E26" i="5"/>
  <c r="N23" i="5"/>
  <c r="O23" i="5" s="1"/>
  <c r="F24" i="3" s="1"/>
  <c r="H24" i="3" s="1"/>
  <c r="L21" i="5"/>
  <c r="G19" i="5"/>
  <c r="C10" i="5"/>
  <c r="O32" i="5"/>
  <c r="F33" i="3" s="1"/>
  <c r="H33" i="3" s="1"/>
  <c r="D33" i="3"/>
  <c r="E33" i="3" s="1"/>
  <c r="O29" i="5"/>
  <c r="F30" i="3" s="1"/>
  <c r="H30" i="3" s="1"/>
  <c r="D30" i="3"/>
  <c r="E30" i="3" s="1"/>
  <c r="D9" i="3"/>
  <c r="E9" i="3" s="1"/>
  <c r="D10" i="3"/>
  <c r="E10" i="3" s="1"/>
  <c r="D56" i="9"/>
  <c r="D41" i="9"/>
  <c r="F41" i="9" s="1"/>
  <c r="D55" i="9"/>
  <c r="D12" i="3"/>
  <c r="E12" i="3" s="1"/>
  <c r="D40" i="9"/>
  <c r="D54" i="9"/>
  <c r="D13" i="3"/>
  <c r="E13" i="3" s="1"/>
  <c r="D14" i="3"/>
  <c r="E14" i="3" s="1"/>
  <c r="D53" i="9"/>
  <c r="D52" i="9"/>
  <c r="C28" i="9"/>
  <c r="B21" i="2" s="1"/>
  <c r="D69" i="9"/>
  <c r="D51" i="9"/>
  <c r="F51" i="9" s="1"/>
  <c r="D68" i="9"/>
  <c r="D15" i="3"/>
  <c r="E15" i="3" s="1"/>
  <c r="D16" i="3"/>
  <c r="E16" i="3" s="1"/>
  <c r="D67" i="9"/>
  <c r="D50" i="9"/>
  <c r="F50" i="9" s="1"/>
  <c r="D17" i="3"/>
  <c r="E17" i="3" s="1"/>
  <c r="D18" i="3"/>
  <c r="E18" i="3" s="1"/>
  <c r="D49" i="9"/>
  <c r="D65" i="9"/>
  <c r="D19" i="3"/>
  <c r="E19" i="3" s="1"/>
  <c r="D20" i="3"/>
  <c r="E20" i="3" s="1"/>
  <c r="D64" i="9"/>
  <c r="D48" i="9"/>
  <c r="F48" i="9" s="1"/>
  <c r="D22" i="3"/>
  <c r="E22" i="3" s="1"/>
  <c r="D63" i="9"/>
  <c r="D23" i="3"/>
  <c r="E23" i="3" s="1"/>
  <c r="D47" i="9"/>
  <c r="D62" i="9"/>
  <c r="D24" i="3"/>
  <c r="E24" i="3" s="1"/>
  <c r="D25" i="3"/>
  <c r="E25" i="3" s="1"/>
  <c r="D61" i="9"/>
  <c r="D21" i="3"/>
  <c r="E21" i="3" s="1"/>
  <c r="D45" i="9"/>
  <c r="F45" i="9" s="1"/>
  <c r="D60" i="9"/>
  <c r="F60" i="9" s="1"/>
  <c r="P7" i="6"/>
  <c r="D59" i="9"/>
  <c r="D58" i="9"/>
  <c r="P6" i="6"/>
  <c r="D46" i="9"/>
  <c r="F46" i="9" s="1"/>
  <c r="D43" i="9"/>
  <c r="F43" i="9" s="1"/>
  <c r="D7" i="3"/>
  <c r="C23" i="9"/>
  <c r="C22" i="9"/>
  <c r="B18" i="2" s="1"/>
  <c r="D66" i="9"/>
  <c r="D8" i="3"/>
  <c r="E8" i="3" s="1"/>
  <c r="D42" i="9"/>
  <c r="D57" i="9"/>
  <c r="E53" i="9"/>
  <c r="F53" i="9"/>
  <c r="B102" i="9"/>
  <c r="B101" i="9"/>
  <c r="B100" i="9"/>
  <c r="B99" i="9"/>
  <c r="B98" i="9"/>
  <c r="B97" i="9"/>
  <c r="B96" i="9"/>
  <c r="B104" i="9"/>
  <c r="B103" i="9"/>
  <c r="B95" i="9"/>
  <c r="B94" i="9"/>
  <c r="B93" i="9"/>
  <c r="B92" i="9"/>
  <c r="B91" i="9"/>
  <c r="E69" i="9"/>
  <c r="E68" i="9"/>
  <c r="E67" i="9"/>
  <c r="E66" i="9"/>
  <c r="E65" i="9"/>
  <c r="E64" i="9"/>
  <c r="E63" i="9"/>
  <c r="F63" i="9" s="1"/>
  <c r="E62" i="9"/>
  <c r="F62" i="9"/>
  <c r="E61" i="9"/>
  <c r="E60" i="9"/>
  <c r="O25" i="5"/>
  <c r="F26" i="3" s="1"/>
  <c r="H26" i="3" s="1"/>
  <c r="D26" i="3"/>
  <c r="E26" i="3" s="1"/>
  <c r="E59" i="9"/>
  <c r="F59" i="9"/>
  <c r="E58" i="9"/>
  <c r="F58" i="9"/>
  <c r="E57" i="9"/>
  <c r="F57" i="9"/>
  <c r="E56" i="9"/>
  <c r="E55" i="9"/>
  <c r="E54" i="9"/>
  <c r="E52" i="9"/>
  <c r="F52" i="9" s="1"/>
  <c r="E51" i="9"/>
  <c r="E50" i="9"/>
  <c r="E49" i="9"/>
  <c r="E48" i="9"/>
  <c r="E47" i="9"/>
  <c r="E46" i="9"/>
  <c r="E45" i="9"/>
  <c r="E44" i="9"/>
  <c r="E43" i="9"/>
  <c r="E42" i="9"/>
  <c r="E41" i="9"/>
  <c r="J39" i="5"/>
  <c r="I39" i="5"/>
  <c r="F39" i="5"/>
  <c r="D39" i="5"/>
  <c r="J38" i="5"/>
  <c r="I38" i="5"/>
  <c r="F38" i="5"/>
  <c r="D38" i="5"/>
  <c r="J41" i="5"/>
  <c r="I41" i="5"/>
  <c r="D43" i="5"/>
  <c r="Y19" i="2" s="1"/>
  <c r="F41" i="5"/>
  <c r="F43" i="5"/>
  <c r="Y21" i="2" s="1"/>
  <c r="D41" i="5"/>
  <c r="I43" i="5"/>
  <c r="Y24" i="2" s="1"/>
  <c r="J43" i="5"/>
  <c r="Y25" i="2" s="1"/>
  <c r="J40" i="5"/>
  <c r="I40" i="5"/>
  <c r="C40" i="9"/>
  <c r="F40" i="5"/>
  <c r="D40" i="5"/>
  <c r="O30" i="5" l="1"/>
  <c r="F31" i="3" s="1"/>
  <c r="H31" i="3" s="1"/>
  <c r="O35" i="5"/>
  <c r="F56" i="9"/>
  <c r="F55" i="9"/>
  <c r="F69" i="9"/>
  <c r="F68" i="9"/>
  <c r="F54" i="9"/>
  <c r="F67" i="9"/>
  <c r="F49" i="9"/>
  <c r="F65" i="9"/>
  <c r="F64" i="9"/>
  <c r="F66" i="9"/>
  <c r="F61" i="9"/>
  <c r="F47" i="9"/>
  <c r="F42" i="9"/>
  <c r="O28" i="5"/>
  <c r="F29" i="3" s="1"/>
  <c r="N40" i="5"/>
  <c r="O18" i="5"/>
  <c r="N38" i="5"/>
  <c r="N39" i="5"/>
  <c r="N43" i="5"/>
  <c r="Y29" i="2" s="1"/>
  <c r="N41" i="5"/>
  <c r="O27" i="5"/>
  <c r="F28" i="3" s="1"/>
  <c r="H28" i="3" s="1"/>
  <c r="H38" i="5"/>
  <c r="H41" i="5"/>
  <c r="H40" i="5"/>
  <c r="H39" i="5"/>
  <c r="H42" i="5" s="1"/>
  <c r="X23" i="2" s="1"/>
  <c r="H43" i="5"/>
  <c r="Y23" i="2" s="1"/>
  <c r="M41" i="5"/>
  <c r="M39" i="5"/>
  <c r="M40" i="5"/>
  <c r="M38" i="5"/>
  <c r="M43" i="5"/>
  <c r="Y28" i="2" s="1"/>
  <c r="K41" i="5"/>
  <c r="K38" i="5"/>
  <c r="W26" i="2" s="1"/>
  <c r="K43" i="5"/>
  <c r="Y26" i="2" s="1"/>
  <c r="K39" i="5"/>
  <c r="K42" i="5" s="1"/>
  <c r="K40" i="5"/>
  <c r="C90" i="9"/>
  <c r="G6" i="7"/>
  <c r="H6" i="7"/>
  <c r="C26" i="9"/>
  <c r="C27" i="9" s="1"/>
  <c r="L18" i="2" s="1"/>
  <c r="O26" i="5"/>
  <c r="F27" i="3" s="1"/>
  <c r="H27" i="3" s="1"/>
  <c r="E41" i="5"/>
  <c r="E39" i="5"/>
  <c r="E38" i="5"/>
  <c r="W20" i="2" s="1"/>
  <c r="E43" i="5"/>
  <c r="Y20" i="2" s="1"/>
  <c r="E40" i="5"/>
  <c r="E42" i="5" s="1"/>
  <c r="O21" i="5"/>
  <c r="F22" i="3" s="1"/>
  <c r="L40" i="5"/>
  <c r="L43" i="5"/>
  <c r="Y27" i="2" s="1"/>
  <c r="L41" i="5"/>
  <c r="L39" i="5"/>
  <c r="L42" i="5" s="1"/>
  <c r="L38" i="5"/>
  <c r="O19" i="5"/>
  <c r="F20" i="3" s="1"/>
  <c r="H20" i="3" s="1"/>
  <c r="G39" i="5"/>
  <c r="G42" i="5" s="1"/>
  <c r="G41" i="5"/>
  <c r="G38" i="5"/>
  <c r="W22" i="2" s="1"/>
  <c r="G43" i="5"/>
  <c r="Y22" i="2" s="1"/>
  <c r="G40" i="5"/>
  <c r="O10" i="5"/>
  <c r="F11" i="3" s="1"/>
  <c r="H11" i="3" s="1"/>
  <c r="D11" i="3"/>
  <c r="C43" i="5"/>
  <c r="C39" i="5"/>
  <c r="C41" i="5"/>
  <c r="C9" i="9" s="1"/>
  <c r="W35" i="2" s="1"/>
  <c r="C40" i="5"/>
  <c r="C8" i="9" s="1"/>
  <c r="W34" i="2" s="1"/>
  <c r="D44" i="9"/>
  <c r="F44" i="9" s="1"/>
  <c r="C38" i="5"/>
  <c r="B6" i="2"/>
  <c r="E7" i="3"/>
  <c r="C102" i="9"/>
  <c r="D102" i="9"/>
  <c r="E102" i="9"/>
  <c r="C101" i="9"/>
  <c r="D101" i="9"/>
  <c r="E101" i="9"/>
  <c r="C100" i="9"/>
  <c r="D100" i="9"/>
  <c r="E100" i="9"/>
  <c r="C99" i="9"/>
  <c r="D99" i="9"/>
  <c r="E99" i="9"/>
  <c r="C98" i="9"/>
  <c r="D98" i="9"/>
  <c r="E98" i="9"/>
  <c r="C97" i="9"/>
  <c r="D97" i="9"/>
  <c r="E97" i="9"/>
  <c r="C96" i="9"/>
  <c r="D96" i="9"/>
  <c r="E96" i="9"/>
  <c r="C104" i="9"/>
  <c r="D104" i="9"/>
  <c r="E104" i="9"/>
  <c r="C103" i="9"/>
  <c r="D103" i="9"/>
  <c r="E103" i="9"/>
  <c r="C95" i="9"/>
  <c r="D95" i="9"/>
  <c r="E95" i="9"/>
  <c r="C94" i="9"/>
  <c r="D94" i="9"/>
  <c r="E94" i="9"/>
  <c r="C93" i="9"/>
  <c r="D93" i="9"/>
  <c r="E93" i="9"/>
  <c r="C92" i="9"/>
  <c r="D92" i="9"/>
  <c r="E92" i="9"/>
  <c r="C91" i="9"/>
  <c r="D91" i="9"/>
  <c r="E91" i="9"/>
  <c r="W29" i="2"/>
  <c r="W27" i="2"/>
  <c r="W25" i="2"/>
  <c r="W24" i="2"/>
  <c r="W21" i="2"/>
  <c r="W19" i="2"/>
  <c r="E40" i="9"/>
  <c r="F40" i="9"/>
  <c r="I42" i="5"/>
  <c r="J42" i="5"/>
  <c r="F42" i="5"/>
  <c r="D42" i="5"/>
  <c r="F19" i="3"/>
  <c r="O39" i="5"/>
  <c r="O40" i="5"/>
  <c r="O41" i="5"/>
  <c r="O38" i="5"/>
  <c r="O43" i="5"/>
  <c r="C16" i="9" s="1"/>
  <c r="C11" i="9" l="1"/>
  <c r="Y18" i="2"/>
  <c r="N42" i="5"/>
  <c r="M42" i="5"/>
  <c r="H44" i="5"/>
  <c r="W23" i="2"/>
  <c r="M44" i="5"/>
  <c r="W28" i="2"/>
  <c r="K6" i="7"/>
  <c r="D90" i="9"/>
  <c r="E90" i="9" s="1"/>
  <c r="X27" i="2"/>
  <c r="L44" i="5"/>
  <c r="E11" i="3"/>
  <c r="D37" i="3"/>
  <c r="C7" i="9"/>
  <c r="W33" i="2" s="1"/>
  <c r="C42" i="5"/>
  <c r="C44" i="5" s="1"/>
  <c r="C12" i="9" s="1"/>
  <c r="C6" i="9"/>
  <c r="W18" i="2"/>
  <c r="W37" i="2"/>
  <c r="L6" i="2"/>
  <c r="C75" i="9"/>
  <c r="C76" i="9"/>
  <c r="C77" i="9"/>
  <c r="C78" i="9"/>
  <c r="C79" i="9"/>
  <c r="C80" i="9"/>
  <c r="C81" i="9"/>
  <c r="C82" i="9"/>
  <c r="C83" i="9"/>
  <c r="C84" i="9"/>
  <c r="C10" i="9"/>
  <c r="X18" i="2"/>
  <c r="F37" i="3"/>
  <c r="H19" i="3"/>
  <c r="C14" i="9"/>
  <c r="B14" i="2" s="1"/>
  <c r="O42" i="5"/>
  <c r="X24" i="2"/>
  <c r="I44" i="5"/>
  <c r="X22" i="2"/>
  <c r="G44" i="5"/>
  <c r="X26" i="2"/>
  <c r="K44" i="5"/>
  <c r="X25" i="2"/>
  <c r="J44" i="5"/>
  <c r="X21" i="2"/>
  <c r="F44" i="5"/>
  <c r="X20" i="2"/>
  <c r="E44" i="5"/>
  <c r="X19" i="2"/>
  <c r="D44" i="5"/>
  <c r="W36" i="2" l="1"/>
  <c r="G10" i="2"/>
  <c r="B10" i="2"/>
  <c r="N44" i="5"/>
  <c r="X29" i="2"/>
  <c r="C110" i="9"/>
  <c r="C112" i="9"/>
  <c r="C111" i="9"/>
  <c r="C113" i="9"/>
  <c r="C108" i="9"/>
  <c r="C109" i="9"/>
  <c r="X28" i="2"/>
  <c r="C5" i="9"/>
  <c r="C15" i="9"/>
  <c r="G14" i="2" s="1"/>
  <c r="O44" i="5"/>
  <c r="C17" i="9" s="1"/>
  <c r="L14" i="2" s="1"/>
  <c r="D75" i="9"/>
  <c r="B75" i="9" s="1"/>
  <c r="D76" i="9"/>
  <c r="B76" i="9" s="1"/>
  <c r="D77" i="9"/>
  <c r="B77" i="9" s="1"/>
  <c r="D78" i="9"/>
  <c r="B78" i="9" s="1"/>
  <c r="D79" i="9"/>
  <c r="B79" i="9"/>
  <c r="D80" i="9"/>
  <c r="B80" i="9" s="1"/>
  <c r="D81" i="9"/>
  <c r="B81" i="9" s="1"/>
  <c r="D82" i="9"/>
  <c r="B82" i="9"/>
  <c r="D83" i="9"/>
  <c r="B83" i="9" s="1"/>
  <c r="D84" i="9"/>
  <c r="B84" i="9" s="1"/>
  <c r="G6" i="2"/>
  <c r="C20" i="9"/>
  <c r="L10" i="2" s="1"/>
  <c r="P32" i="5"/>
  <c r="P24" i="5"/>
  <c r="P33" i="5"/>
  <c r="P15" i="5"/>
  <c r="B110" i="9" l="1"/>
  <c r="D110" i="9"/>
  <c r="B112" i="9"/>
  <c r="D112" i="9"/>
  <c r="B111" i="9"/>
  <c r="D111" i="9"/>
  <c r="B113" i="9"/>
  <c r="D113" i="9"/>
  <c r="D108" i="9"/>
  <c r="B108" i="9" s="1"/>
  <c r="B109" i="9"/>
  <c r="D109" i="9"/>
  <c r="P27" i="5"/>
  <c r="P21" i="5"/>
  <c r="P20" i="5"/>
  <c r="P19" i="5"/>
  <c r="P14" i="5"/>
  <c r="P44" i="5"/>
  <c r="P43" i="5"/>
  <c r="P42" i="5"/>
  <c r="P25" i="5"/>
  <c r="P34" i="5"/>
  <c r="P16" i="5"/>
  <c r="P41" i="5"/>
  <c r="P40" i="5"/>
  <c r="P39" i="5"/>
  <c r="P38" i="5"/>
  <c r="P35" i="5"/>
  <c r="P10" i="5"/>
  <c r="P30" i="5"/>
  <c r="P29" i="5"/>
  <c r="P28" i="5"/>
  <c r="P23" i="5"/>
  <c r="P12" i="5"/>
  <c r="P26" i="5"/>
  <c r="P22" i="5"/>
  <c r="P7" i="5"/>
  <c r="P18" i="5"/>
  <c r="P17" i="5"/>
  <c r="P13" i="5"/>
  <c r="P11" i="5"/>
  <c r="P6" i="5"/>
  <c r="P9" i="5"/>
  <c r="P31" i="5"/>
  <c r="P8" i="5"/>
  <c r="E75" i="9"/>
  <c r="W5" i="2" s="1"/>
  <c r="F75" i="9"/>
  <c r="V5" i="2"/>
  <c r="E76" i="9"/>
  <c r="W6" i="2" s="1"/>
  <c r="F76" i="9"/>
  <c r="X6" i="2" s="1"/>
  <c r="V6" i="2"/>
  <c r="E77" i="9"/>
  <c r="W7" i="2" s="1"/>
  <c r="F77" i="9"/>
  <c r="X7" i="2" s="1"/>
  <c r="V7" i="2"/>
  <c r="E78" i="9"/>
  <c r="W8" i="2" s="1"/>
  <c r="F78" i="9"/>
  <c r="X8" i="2" s="1"/>
  <c r="V8" i="2"/>
  <c r="E79" i="9"/>
  <c r="W9" i="2" s="1"/>
  <c r="F79" i="9"/>
  <c r="X9" i="2" s="1"/>
  <c r="V9" i="2"/>
  <c r="E80" i="9"/>
  <c r="W10" i="2" s="1"/>
  <c r="F80" i="9"/>
  <c r="X10" i="2" s="1"/>
  <c r="V10" i="2"/>
  <c r="E81" i="9"/>
  <c r="W11" i="2" s="1"/>
  <c r="F81" i="9"/>
  <c r="X11" i="2" s="1"/>
  <c r="V11" i="2"/>
  <c r="E82" i="9"/>
  <c r="W12" i="2" s="1"/>
  <c r="F82" i="9"/>
  <c r="X12" i="2" s="1"/>
  <c r="V12" i="2"/>
  <c r="E83" i="9"/>
  <c r="W13" i="2" s="1"/>
  <c r="F83" i="9"/>
  <c r="X13" i="2" s="1"/>
  <c r="V13" i="2"/>
  <c r="E84" i="9"/>
  <c r="W14" i="2" s="1"/>
  <c r="F84" i="9"/>
  <c r="X14" i="2" s="1"/>
  <c r="V14" i="2"/>
  <c r="V43" i="2" l="1"/>
  <c r="F110" i="9"/>
  <c r="X43" i="2" s="1"/>
  <c r="E110" i="9"/>
  <c r="W43" i="2" s="1"/>
  <c r="V45" i="2"/>
  <c r="E112" i="9"/>
  <c r="W45" i="2" s="1"/>
  <c r="F112" i="9"/>
  <c r="X45" i="2" s="1"/>
  <c r="F111" i="9"/>
  <c r="X44" i="2" s="1"/>
  <c r="V44" i="2"/>
  <c r="E111" i="9"/>
  <c r="W44" i="2" s="1"/>
  <c r="E113" i="9"/>
  <c r="W46" i="2" s="1"/>
  <c r="V46" i="2"/>
  <c r="F113" i="9"/>
  <c r="X46" i="2" s="1"/>
  <c r="F108" i="9"/>
  <c r="X41" i="2" s="1"/>
  <c r="E108" i="9"/>
  <c r="W41" i="2" s="1"/>
  <c r="V41" i="2"/>
  <c r="V42" i="2"/>
  <c r="F109" i="9"/>
  <c r="X42" i="2" s="1"/>
  <c r="E109" i="9"/>
  <c r="W42" i="2" s="1"/>
  <c r="X5" i="2"/>
  <c r="C86" i="9"/>
  <c r="G18" i="2" s="1"/>
</calcChain>
</file>

<file path=xl/sharedStrings.xml><?xml version="1.0" encoding="utf-8"?>
<sst xmlns="http://schemas.openxmlformats.org/spreadsheetml/2006/main" count="307" uniqueCount="192">
  <si>
    <t>Monthly Budget Planner</t>
  </si>
  <si>
    <t>Budget, spending log, 12-month overview, bill tracker and savings goals in one workbook. Works in Excel and Google Sheets.</t>
  </si>
  <si>
    <t>QUICK START (10 minutes)</t>
  </si>
  <si>
    <t>1. 'Budget': 27 ready-made categories in 5 groups (Income, Bills, Living, Debt, Savings). Type what you plan per month for each.</t>
  </si>
  <si>
    <t xml:space="preserve">    Rename, delete or add categories (3 spare rows). Every category needs a group.</t>
  </si>
  <si>
    <t>2. 'Transactions': log money in and out: date, category, amount. Paychecks go under an Income category.</t>
  </si>
  <si>
    <t xml:space="preserve">    Money moved to savings goes under a Savings category. Refund? Enter a negative amount in that category.</t>
  </si>
  <si>
    <t>3. 'Dashboard': pick the year and month at the top. Every tile and chart switches to that month.</t>
  </si>
  <si>
    <t>4. 'Bills': list your regular bills with the due day. Mark 'Yes' in the month column when paid; unpaid bills past their day turn orange.</t>
  </si>
  <si>
    <t>5. 'Savings Goals': set a target and target date. Link a Savings category and money you log there counts toward the goal.</t>
  </si>
  <si>
    <t>6. 'Monthly Overview': every category, every month of the year, with totals and averages. Nothing to type here.</t>
  </si>
  <si>
    <t>7. Red cells mean a row needs fixing (text in an amount, a date that isn't a date, a category that isn't on your list).</t>
  </si>
  <si>
    <t xml:space="preserve">    That row stays out of the totals until fixed. The count shows at the top of each tab and on the Dashboard.</t>
  </si>
  <si>
    <t>8. Delete the EXAMPLE rows first. Room for 1,500 transactions, 30 categories, 40 bills and 15 goals.</t>
  </si>
  <si>
    <t xml:space="preserve">    Need more? Right-click a row number in the middle of the Transactions list &gt; Insert; totals expand automatically.</t>
  </si>
  <si>
    <t>HOW THE NUMBERS WORK</t>
  </si>
  <si>
    <t>Spent = Bills + Living + Debt. Saved = money logged under Savings categories. Left over = Income - Spent - Saved.</t>
  </si>
  <si>
    <t>Savings rate = Saved / Income. Budget left to spend = this month's Bills + Living + Debt budgets - what you spent in them.</t>
  </si>
  <si>
    <t>Difference on the Budget tab: positive is good (money left in a category, or income above plan); orange means over budget.</t>
  </si>
  <si>
    <t>COLOR KEY</t>
  </si>
  <si>
    <t>Yellow cells = you type here.  White cells = formulas, leave them alone.  Red = fix this.  Orange = over budget or overdue.</t>
  </si>
  <si>
    <t>USING GOOGLE SHEETS?</t>
  </si>
  <si>
    <t>Open sheets.google.com &gt; File &gt; Import &gt; Upload this .xlsx &gt; 'Replace spreadsheet'. Formulas and dropdowns carry over.</t>
  </si>
  <si>
    <t>Questions or a formula not behaving? Email nora@qnsai.com. Made by Nora Studio.</t>
  </si>
  <si>
    <t>Budget Dashboard</t>
  </si>
  <si>
    <t>Year:</t>
  </si>
  <si>
    <t>Month:</t>
  </si>
  <si>
    <t>January</t>
  </si>
  <si>
    <t>Chart data (do not edit)</t>
  </si>
  <si>
    <t>Category</t>
  </si>
  <si>
    <t>Budget</t>
  </si>
  <si>
    <t>Spent</t>
  </si>
  <si>
    <t>INCOME THIS MONTH</t>
  </si>
  <si>
    <t>SPENT THIS MONTH</t>
  </si>
  <si>
    <t>LEFT OVER THIS MONTH</t>
  </si>
  <si>
    <t>SAVED THIS MONTH</t>
  </si>
  <si>
    <t>SAVINGS RATE</t>
  </si>
  <si>
    <t>BUDGET LEFT TO SPEND</t>
  </si>
  <si>
    <t>INCOME THIS YEAR</t>
  </si>
  <si>
    <t>SPENT THIS YEAR</t>
  </si>
  <si>
    <t>LEFT OVER THIS YEAR</t>
  </si>
  <si>
    <t>BILLS STILL DUE THIS MONTH</t>
  </si>
  <si>
    <t>BIGGEST SPEND THIS MONTH</t>
  </si>
  <si>
    <t>SAVINGS GOALS PROGRESS</t>
  </si>
  <si>
    <t>Month</t>
  </si>
  <si>
    <t>Income</t>
  </si>
  <si>
    <t>Saved</t>
  </si>
  <si>
    <t>Jan</t>
  </si>
  <si>
    <t>Feb</t>
  </si>
  <si>
    <t>Mar</t>
  </si>
  <si>
    <t>Apr</t>
  </si>
  <si>
    <t>Spent = bills + living + debt. Left over = income - spent - saved. Savings rate = saved / income.</t>
  </si>
  <si>
    <t>May</t>
  </si>
  <si>
    <t>Jun</t>
  </si>
  <si>
    <t>Jul</t>
  </si>
  <si>
    <t>Aug</t>
  </si>
  <si>
    <t>Sep</t>
  </si>
  <si>
    <t>Oct</t>
  </si>
  <si>
    <t>Nov</t>
  </si>
  <si>
    <t>Dec</t>
  </si>
  <si>
    <t>Where it went</t>
  </si>
  <si>
    <t>Amount</t>
  </si>
  <si>
    <t>Bills</t>
  </si>
  <si>
    <t>Living</t>
  </si>
  <si>
    <t>Debt</t>
  </si>
  <si>
    <t>Left over</t>
  </si>
  <si>
    <t>Goal</t>
  </si>
  <si>
    <t>Left to save</t>
  </si>
  <si>
    <t>What you plan to earn, spend and save each month. Actuals come from the Transactions tab.</t>
  </si>
  <si>
    <t>Rows to fix:</t>
  </si>
  <si>
    <t>Red cell = something to fix. Orange = over budget (or income below plan).</t>
  </si>
  <si>
    <t>Planned income</t>
  </si>
  <si>
    <t>Planned out</t>
  </si>
  <si>
    <t>(per month)</t>
  </si>
  <si>
    <t>Group</t>
  </si>
  <si>
    <t>Monthly budget</t>
  </si>
  <si>
    <t>This month</t>
  </si>
  <si>
    <t>Difference (+ = good)</t>
  </si>
  <si>
    <t>This year</t>
  </si>
  <si>
    <t>Yearly budget</t>
  </si>
  <si>
    <t>% of year used</t>
  </si>
  <si>
    <t>Paycheck</t>
  </si>
  <si>
    <t>Side income</t>
  </si>
  <si>
    <t>Other income</t>
  </si>
  <si>
    <t>Rent / mortgage</t>
  </si>
  <si>
    <t>Utilities</t>
  </si>
  <si>
    <t>Phone &amp; internet</t>
  </si>
  <si>
    <t>Insurance</t>
  </si>
  <si>
    <t>Subscriptions</t>
  </si>
  <si>
    <t>Groceries</t>
  </si>
  <si>
    <t>Dining out</t>
  </si>
  <si>
    <t>Transportation &amp; gas</t>
  </si>
  <si>
    <t>Health</t>
  </si>
  <si>
    <t>Personal care</t>
  </si>
  <si>
    <t>Shopping</t>
  </si>
  <si>
    <t>Entertainment</t>
  </si>
  <si>
    <t>Kids</t>
  </si>
  <si>
    <t>Pets</t>
  </si>
  <si>
    <t>Gifts</t>
  </si>
  <si>
    <t>Travel</t>
  </si>
  <si>
    <t>Household</t>
  </si>
  <si>
    <t>Miscellaneous</t>
  </si>
  <si>
    <t>Credit card</t>
  </si>
  <si>
    <t>Student loan</t>
  </si>
  <si>
    <t>Car loan</t>
  </si>
  <si>
    <t>Emergency fund</t>
  </si>
  <si>
    <t>Savings</t>
  </si>
  <si>
    <t>Retirement</t>
  </si>
  <si>
    <t>Sinking funds</t>
  </si>
  <si>
    <t>Spending + saving total</t>
  </si>
  <si>
    <t>Groups: Income (money in), Bills (fixed), Living (day to day), Debt (payments), Savings (money you set aside).</t>
  </si>
  <si>
    <t>Renaming a category? Rename it here first; transactions under the old name turn red until you pick the new name.</t>
  </si>
  <si>
    <t>Transactions</t>
  </si>
  <si>
    <t>Money in and out. Pick the category; the group (income, bill, savings...) comes from the Budget tab.</t>
  </si>
  <si>
    <t>Red cell = something to fix (row stays out of the totals). Refund? Enter a negative amount.</t>
  </si>
  <si>
    <t>Date</t>
  </si>
  <si>
    <t>Description</t>
  </si>
  <si>
    <t>Account / notes (optional)</t>
  </si>
  <si>
    <t>EXAMPLE: paycheck</t>
  </si>
  <si>
    <t>EXAMPLE: January rent</t>
  </si>
  <si>
    <t>EXAMPLE: weekly shop</t>
  </si>
  <si>
    <t>EXAMPLE: transfer to savings</t>
  </si>
  <si>
    <t>Monthly Overview</t>
  </si>
  <si>
    <t>Year total</t>
  </si>
  <si>
    <t>Avg / month</t>
  </si>
  <si>
    <t>Summary</t>
  </si>
  <si>
    <t>Total spent (bills + living + debt)</t>
  </si>
  <si>
    <t>Avg / month = year total / months that have any transactions. Orange = spent + saved more than came in.</t>
  </si>
  <si>
    <t>Regular bills and their due day. Mark 'Yes' under the month once paid. Status is for the month picked on the Dashboard.</t>
  </si>
  <si>
    <t>To fix:</t>
  </si>
  <si>
    <t>Red cell = something to fix. Orange = unpaid and past its due day.</t>
  </si>
  <si>
    <t>Bill</t>
  </si>
  <si>
    <t>Due day</t>
  </si>
  <si>
    <t>Status (picked month)</t>
  </si>
  <si>
    <t>EXAMPLE: Rent</t>
  </si>
  <si>
    <t>Yes</t>
  </si>
  <si>
    <t>EXAMPLE: Phone</t>
  </si>
  <si>
    <t>Due day 31 in a short month = the last day of that month. Bills here are a checklist; log the payment itself on Transactions too.</t>
  </si>
  <si>
    <t>Savings Goals</t>
  </si>
  <si>
    <t>Set a target and a date. Link a category and every amount you log there (any year) counts toward the goal.</t>
  </si>
  <si>
    <t>Red cell = something to fix (that goal stays out of the Dashboard totals).</t>
  </si>
  <si>
    <t>Target</t>
  </si>
  <si>
    <t>Saved before (start)</t>
  </si>
  <si>
    <t>Linked category (optional)</t>
  </si>
  <si>
    <t>Added from transactions</t>
  </si>
  <si>
    <t>Total saved</t>
  </si>
  <si>
    <t>% done</t>
  </si>
  <si>
    <t>Target date</t>
  </si>
  <si>
    <t>Months left</t>
  </si>
  <si>
    <t>Save per month</t>
  </si>
  <si>
    <t>EXAMPLE: Emergency fund</t>
  </si>
  <si>
    <t>Tip: give each goal its own Savings category on the Budget tab (e.g. 'Emergency fund', 'Vacation') and link it here.</t>
  </si>
  <si>
    <t>Valid categories</t>
  </si>
  <si>
    <t>Category dropdown</t>
  </si>
  <si>
    <t>Groups</t>
  </si>
  <si>
    <t>Months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</si>
  <si>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</si>
  <si>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</si>
  <si>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</si>
  <si>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</si>
  <si>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</si>
  <si>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</si>
  <si>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</si>
  <si>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</si>
  <si>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</si>
  <si>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</si>
  <si>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Month number</t>
  </si>
  <si>
    <t>Year</t>
  </si>
  <si>
    <t>Months with data</t>
  </si>
  <si>
    <t>Income (month)</t>
  </si>
  <si>
    <t>Income (year)</t>
  </si>
  <si>
    <t>Spent (year)</t>
  </si>
  <si>
    <t>Saved (year)</t>
  </si>
  <si>
    <t>Left over (year)</t>
  </si>
  <si>
    <t>Spending budget / month</t>
  </si>
  <si>
    <t>Budget left to spend</t>
  </si>
  <si>
    <t>Bills still due $</t>
  </si>
  <si>
    <t>Bills unpaid count</t>
  </si>
  <si>
    <t>Bills count</t>
  </si>
  <si>
    <t>Goals target</t>
  </si>
  <si>
    <t>Goals saved</t>
  </si>
  <si>
    <t>Goals progress</t>
  </si>
  <si>
    <t>Transactions this month</t>
  </si>
  <si>
    <t>Actual (month)</t>
  </si>
  <si>
    <t>Sort key</t>
  </si>
  <si>
    <t>Top spending</t>
  </si>
  <si>
    <t>Key</t>
  </si>
  <si>
    <t>Row</t>
  </si>
  <si>
    <t>Actual</t>
  </si>
  <si>
    <t>Biggest spend</t>
  </si>
  <si>
    <t>Left</t>
  </si>
  <si>
    <t>Top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</si>
</sst>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\(\$#,##0.00\);&quot;-&quot;"/>
    <numFmt numFmtId="165" formatCode="\$#,##0;\(\$#,##0\);&quot;-&quot;"/>
    <numFmt numFmtId="166" formatCode="mm/dd/yyyy"/>
    <numFmt numFmtId="167" formatCode="0.0%;\(0.0%\);&quot;-&quot;"/>
  </numFmts>
  <fonts count="16" x14ac:knownFonts="1">
    <font>
      <sz val="11"/>
      <color theme="1"/>
      <name val="Calibri"/>
      <family val="2"/>
      <scheme val="minor"/>
    </font>
    <font>
      <b/>
      <sz val="18"/>
      <color rgb="FF2F6B5E"/>
      <name val="Arial"/>
    </font>
    <font>
      <sz val="11"/>
      <color rgb="FF555555"/>
      <name val="Arial"/>
    </font>
    <font>
      <b/>
      <sz val="11"/>
      <color rgb="FF2F6B5E"/>
      <name val="Arial"/>
    </font>
    <font>
      <sz val="11"/>
      <color rgb="FF222222"/>
      <name val="Arial"/>
    </font>
    <font>
      <b/>
      <sz val="10"/>
      <color rgb="FFB03A2E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0"/>
      <name val="Arial"/>
    </font>
    <font>
      <b/>
      <sz val="11"/>
      <color rgb="FF008000"/>
      <name val="Arial"/>
    </font>
    <font>
      <i/>
      <sz val="9"/>
      <color rgb="FF666666"/>
      <name val="Arial"/>
    </font>
    <font>
      <b/>
      <sz val="12"/>
      <color rgb="FF0000FF"/>
      <name val="Arial"/>
    </font>
    <font>
      <b/>
      <sz val="9"/>
      <color rgb="FF5E8C80"/>
      <name val="Arial"/>
    </font>
    <font>
      <b/>
      <sz val="20"/>
      <color rgb="FF2F6B5E"/>
      <name val="Arial"/>
    </font>
    <font>
      <b/>
      <sz val="10"/>
      <color rgb="FF2F6B5E"/>
      <name val="Arial"/>
    </font>
  </fonts>
  <fills count="5">
    <fill>
      <patternFill patternType="none"/>
    </fill>
    <fill>
      <patternFill patternType="gray125"/>
    </fill>
    <fill>
      <patternFill patternType="solid">
        <fgColor rgb="FF2F6B5E"/>
      </patternFill>
    </fill>
    <fill>
      <patternFill patternType="solid">
        <fgColor rgb="FFFFF7D6"/>
      </patternFill>
    </fill>
    <fill>
      <patternFill patternType="solid">
        <fgColor rgb="FFEAF3F0"/>
      </patternFill>
    </fill>
  </fills>
  <borders count="2">
    <border>
      <left/>
      <right/>
      <top/>
      <bottom/>
      <diagonal/>
    </border>
    <border>
      <left style="thin">
        <color rgb="FFCFE0DA"/>
      </left>
      <right style="thin">
        <color rgb="FFCFE0DA"/>
      </right>
      <top style="thin">
        <color rgb="FFCFE0DA"/>
      </top>
      <bottom style="thin">
        <color rgb="FFCFE0D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9" fillId="0" borderId="0" xfId="0" applyFont="1" applyAlignment="1">
      <alignment horizontal="right"/>
    </xf>
    <xf numFmtId="0" fontId="12" fillId="3" borderId="1" xfId="0" applyFont="1" applyFill="1" applyBorder="1"/>
    <xf numFmtId="0" fontId="11" fillId="0" borderId="0" xfId="0" applyFont="1"/>
    <xf numFmtId="164" fontId="0" fillId="0" borderId="0" xfId="0" applyNumberFormat="1"/>
    <xf numFmtId="0" fontId="15" fillId="0" borderId="0" xfId="0" applyFont="1"/>
    <xf numFmtId="0" fontId="5" fillId="0" borderId="0" xfId="0" applyFont="1"/>
    <xf numFmtId="0" fontId="9" fillId="0" borderId="0" xfId="0" applyFont="1"/>
    <xf numFmtId="165" fontId="10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164" fontId="7" fillId="3" borderId="1" xfId="0" applyNumberFormat="1" applyFont="1" applyFill="1" applyBorder="1"/>
    <xf numFmtId="164" fontId="8" fillId="0" borderId="1" xfId="0" applyNumberFormat="1" applyFont="1" applyBorder="1"/>
    <xf numFmtId="9" fontId="0" fillId="0" borderId="1" xfId="0" applyNumberFormat="1" applyBorder="1"/>
    <xf numFmtId="0" fontId="9" fillId="4" borderId="1" xfId="0" applyFont="1" applyFill="1" applyBorder="1"/>
    <xf numFmtId="164" fontId="9" fillId="4" borderId="1" xfId="0" applyNumberFormat="1" applyFont="1" applyFill="1" applyBorder="1"/>
    <xf numFmtId="0" fontId="5" fillId="0" borderId="0" xfId="0" applyFont="1" applyAlignment="1">
      <alignment horizontal="right"/>
    </xf>
    <xf numFmtId="166" fontId="7" fillId="3" borderId="1" xfId="0" applyNumberFormat="1" applyFont="1" applyFill="1" applyBorder="1"/>
    <xf numFmtId="0" fontId="8" fillId="0" borderId="0" xfId="0" applyFont="1"/>
    <xf numFmtId="165" fontId="8" fillId="0" borderId="1" xfId="0" applyNumberFormat="1" applyFont="1" applyBorder="1"/>
    <xf numFmtId="165" fontId="9" fillId="0" borderId="1" xfId="0" applyNumberFormat="1" applyFont="1" applyBorder="1"/>
    <xf numFmtId="165" fontId="0" fillId="0" borderId="1" xfId="0" applyNumberFormat="1" applyBorder="1"/>
    <xf numFmtId="165" fontId="9" fillId="4" borderId="1" xfId="0" applyNumberFormat="1" applyFont="1" applyFill="1" applyBorder="1"/>
    <xf numFmtId="0" fontId="5" fillId="0" borderId="0" xfId="0" applyFont="1" applyAlignment="1">
      <alignment horizontal="left"/>
    </xf>
    <xf numFmtId="0" fontId="8" fillId="0" borderId="1" xfId="0" applyFont="1" applyBorder="1"/>
    <xf numFmtId="9" fontId="8" fillId="0" borderId="1" xfId="0" applyNumberFormat="1" applyFont="1" applyBorder="1"/>
    <xf numFmtId="0" fontId="13" fillId="4" borderId="0" xfId="0" applyFont="1" applyFill="1" applyAlignment="1">
      <alignment horizontal="left" indent="1"/>
    </xf>
    <xf numFmtId="0" fontId="0" fillId="4" borderId="0" xfId="0" applyFill="1"/>
    <xf numFmtId="165" fontId="14" fillId="4" borderId="0" xfId="0" applyNumberFormat="1" applyFont="1" applyFill="1" applyAlignment="1">
      <alignment horizontal="left" vertical="center" indent="1"/>
    </xf>
    <xf numFmtId="167" fontId="14" fillId="4" borderId="0" xfId="0" applyNumberFormat="1" applyFont="1" applyFill="1" applyAlignment="1">
      <alignment horizontal="left" vertical="center" indent="1"/>
    </xf>
    <xf numFmtId="0" fontId="14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25"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ont>
        <b/>
        <color rgb="FF008000"/>
      </font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spending this month vs budget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8CC5B5"/>
            </a:solidFill>
            <a:ln>
              <a:solidFill>
                <a:srgbClr val="8CC5B5"/>
              </a:solidFill>
              <a:prstDash val="solid"/>
            </a:ln>
          </c:spPr>
          <c:invertIfNegative val="0"/>
          <c:cat>
            <c:strRef>
              <c:f>Dashboard!$V$5:$V$14</c:f>
              <c:strCache>
                <c:ptCount val="10"/>
                <c:pt idx="0">
                  <c:v>Rent / mortgage</c:v>
                </c:pt>
                <c:pt idx="1">
                  <c:v>Groceries</c:v>
                </c:pt>
                <c:pt idx="2">
                  <c:v>Car loan</c:v>
                </c:pt>
                <c:pt idx="3">
                  <c:v>Transportation &amp; gas</c:v>
                </c:pt>
                <c:pt idx="4">
                  <c:v>Dining out</c:v>
                </c:pt>
                <c:pt idx="5">
                  <c:v>Utilities</c:v>
                </c:pt>
                <c:pt idx="6">
                  <c:v>Credit card</c:v>
                </c:pt>
                <c:pt idx="7">
                  <c:v>Insurance</c:v>
                </c:pt>
                <c:pt idx="8">
                  <c:v>Shopping</c:v>
                </c:pt>
                <c:pt idx="9">
                  <c:v>Phone &amp; internet</c:v>
                </c:pt>
              </c:strCache>
            </c:strRef>
          </c:cat>
          <c:val>
            <c:numRef>
              <c:f>Dashboard!$W$5:$W$14</c:f>
              <c:numCache>
                <c:formatCode>\$#,##0.00;\(\$#,##0.00\);"-"</c:formatCode>
                <c:ptCount val="10"/>
                <c:pt idx="0">
                  <c:v>1450</c:v>
                </c:pt>
                <c:pt idx="1">
                  <c:v>520</c:v>
                </c:pt>
                <c:pt idx="2">
                  <c:v>320</c:v>
                </c:pt>
                <c:pt idx="3">
                  <c:v>200</c:v>
                </c:pt>
                <c:pt idx="4">
                  <c:v>180</c:v>
                </c:pt>
                <c:pt idx="5">
                  <c:v>160</c:v>
                </c:pt>
                <c:pt idx="6">
                  <c:v>150</c:v>
                </c:pt>
                <c:pt idx="7">
                  <c:v>140</c:v>
                </c:pt>
                <c:pt idx="8">
                  <c:v>120</c:v>
                </c:pt>
                <c:pt idx="9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D-4272-A153-576E39CB448C}"/>
            </c:ext>
          </c:extLst>
        </c:ser>
        <c:ser>
          <c:idx val="1"/>
          <c:order val="1"/>
          <c:tx>
            <c:strRef>
              <c:f>Dashboard!$X$4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2F6B5E"/>
            </a:solidFill>
            <a:ln>
              <a:solidFill>
                <a:srgbClr val="2F6B5E"/>
              </a:solidFill>
              <a:prstDash val="solid"/>
            </a:ln>
          </c:spPr>
          <c:invertIfNegative val="0"/>
          <c:cat>
            <c:strRef>
              <c:f>Dashboard!$V$5:$V$14</c:f>
              <c:strCache>
                <c:ptCount val="10"/>
                <c:pt idx="0">
                  <c:v>Rent / mortgage</c:v>
                </c:pt>
                <c:pt idx="1">
                  <c:v>Groceries</c:v>
                </c:pt>
                <c:pt idx="2">
                  <c:v>Car loan</c:v>
                </c:pt>
                <c:pt idx="3">
                  <c:v>Transportation &amp; gas</c:v>
                </c:pt>
                <c:pt idx="4">
                  <c:v>Dining out</c:v>
                </c:pt>
                <c:pt idx="5">
                  <c:v>Utilities</c:v>
                </c:pt>
                <c:pt idx="6">
                  <c:v>Credit card</c:v>
                </c:pt>
                <c:pt idx="7">
                  <c:v>Insurance</c:v>
                </c:pt>
                <c:pt idx="8">
                  <c:v>Shopping</c:v>
                </c:pt>
                <c:pt idx="9">
                  <c:v>Phone &amp; internet</c:v>
                </c:pt>
              </c:strCache>
            </c:strRef>
          </c:cat>
          <c:val>
            <c:numRef>
              <c:f>Dashboard!$X$5:$X$14</c:f>
              <c:numCache>
                <c:formatCode>\$#,##0.00;\(\$#,##0.00\);"-"</c:formatCode>
                <c:ptCount val="10"/>
                <c:pt idx="0">
                  <c:v>1450</c:v>
                </c:pt>
                <c:pt idx="1">
                  <c:v>112.4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D-4272-A153-576E39CB4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Income, spending and saving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Dashboard!$W$17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F6B5E"/>
            </a:solidFill>
            <a:ln>
              <a:solidFill>
                <a:srgbClr val="2F6B5E"/>
              </a:solidFill>
              <a:prstDash val="solid"/>
            </a:ln>
          </c:spPr>
          <c:invertIfNegative val="0"/>
          <c:cat>
            <c:strRef>
              <c:f>Dashboard!$V$18:$V$29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Dashboard!$W$18:$W$29</c:f>
              <c:numCache>
                <c:formatCode>\$#,##0.00;\(\$#,##0.00\);"-"</c:formatCode>
                <c:ptCount val="12"/>
                <c:pt idx="0">
                  <c:v>4600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4-4459-987C-2F7F190ACA70}"/>
            </c:ext>
          </c:extLst>
        </c:ser>
        <c:ser>
          <c:idx val="1"/>
          <c:order val="1"/>
          <c:tx>
            <c:strRef>
              <c:f>Dashboard!$X$17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E0A458"/>
            </a:solidFill>
            <a:ln>
              <a:solidFill>
                <a:srgbClr val="E0A458"/>
              </a:solidFill>
              <a:prstDash val="solid"/>
            </a:ln>
          </c:spPr>
          <c:invertIfNegative val="0"/>
          <c:cat>
            <c:strRef>
              <c:f>Dashboard!$V$18:$V$29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Dashboard!$X$18:$X$29</c:f>
              <c:numCache>
                <c:formatCode>\$#,##0.00;\(\$#,##0.00\);"-"</c:formatCode>
                <c:ptCount val="12"/>
                <c:pt idx="0">
                  <c:v>1562.4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4-4459-987C-2F7F190ACA70}"/>
            </c:ext>
          </c:extLst>
        </c:ser>
        <c:ser>
          <c:idx val="2"/>
          <c:order val="2"/>
          <c:tx>
            <c:strRef>
              <c:f>Dashboard!$Y$17</c:f>
              <c:strCache>
                <c:ptCount val="1"/>
                <c:pt idx="0">
                  <c:v>Saved</c:v>
                </c:pt>
              </c:strCache>
            </c:strRef>
          </c:tx>
          <c:spPr>
            <a:solidFill>
              <a:srgbClr val="8CC5B5"/>
            </a:solidFill>
            <a:ln>
              <a:solidFill>
                <a:srgbClr val="8CC5B5"/>
              </a:solidFill>
              <a:prstDash val="solid"/>
            </a:ln>
          </c:spPr>
          <c:invertIfNegative val="0"/>
          <c:cat>
            <c:strRef>
              <c:f>Dashboard!$V$18:$V$29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Dashboard!$Y$18:$Y$29</c:f>
              <c:numCache>
                <c:formatCode>\$#,##0.00;\(\$#,##0.00\);"-"</c:formatCode>
                <c:ptCount val="12"/>
                <c:pt idx="0">
                  <c:v>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4-4459-987C-2F7F190AC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Where this month's income went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Dashboard!$W$32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F6B5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2B-41DB-BE06-4F28F850CF9F}"/>
              </c:ext>
            </c:extLst>
          </c:dPt>
          <c:dPt>
            <c:idx val="1"/>
            <c:bubble3D val="0"/>
            <c:spPr>
              <a:solidFill>
                <a:srgbClr val="E0A458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2B-41DB-BE06-4F28F850CF9F}"/>
              </c:ext>
            </c:extLst>
          </c:dPt>
          <c:dPt>
            <c:idx val="2"/>
            <c:bubble3D val="0"/>
            <c:spPr>
              <a:solidFill>
                <a:srgbClr val="8A9BA8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2B-41DB-BE06-4F28F850CF9F}"/>
              </c:ext>
            </c:extLst>
          </c:dPt>
          <c:dPt>
            <c:idx val="3"/>
            <c:bubble3D val="0"/>
            <c:spPr>
              <a:solidFill>
                <a:srgbClr val="8CC5B5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2B-41DB-BE06-4F28F850CF9F}"/>
              </c:ext>
            </c:extLst>
          </c:dPt>
          <c:dPt>
            <c:idx val="4"/>
            <c:bubble3D val="0"/>
            <c:spPr>
              <a:solidFill>
                <a:srgbClr val="C9D9D3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2B-41DB-BE06-4F28F850CF9F}"/>
              </c:ext>
            </c:extLst>
          </c:dPt>
          <c:cat>
            <c:strRef>
              <c:f>Dashboard!$V$33:$V$37</c:f>
              <c:strCache>
                <c:ptCount val="5"/>
                <c:pt idx="0">
                  <c:v>Bills</c:v>
                </c:pt>
                <c:pt idx="1">
                  <c:v>Living</c:v>
                </c:pt>
                <c:pt idx="2">
                  <c:v>Debt</c:v>
                </c:pt>
                <c:pt idx="3">
                  <c:v>Saved</c:v>
                </c:pt>
                <c:pt idx="4">
                  <c:v>Left over</c:v>
                </c:pt>
              </c:strCache>
            </c:strRef>
          </c:cat>
          <c:val>
            <c:numRef>
              <c:f>Dashboard!$W$33:$W$37</c:f>
              <c:numCache>
                <c:formatCode>\$#,##0.00;\(\$#,##0.00\);"-"</c:formatCode>
                <c:ptCount val="5"/>
                <c:pt idx="0">
                  <c:v>1450</c:v>
                </c:pt>
                <c:pt idx="1">
                  <c:v>112.4</c:v>
                </c:pt>
                <c:pt idx="2">
                  <c:v>0</c:v>
                </c:pt>
                <c:pt idx="3">
                  <c:v>300</c:v>
                </c:pt>
                <c:pt idx="4">
                  <c:v>2737.6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2B-41DB-BE06-4F28F850C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Savings goals (saved + left to save)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Dashboard!$W$40</c:f>
              <c:strCache>
                <c:ptCount val="1"/>
                <c:pt idx="0">
                  <c:v>Saved</c:v>
                </c:pt>
              </c:strCache>
            </c:strRef>
          </c:tx>
          <c:spPr>
            <a:solidFill>
              <a:srgbClr val="2F6B5E"/>
            </a:solidFill>
            <a:ln>
              <a:solidFill>
                <a:srgbClr val="2F6B5E"/>
              </a:solidFill>
              <a:prstDash val="solid"/>
            </a:ln>
          </c:spPr>
          <c:invertIfNegative val="0"/>
          <c:cat>
            <c:strRef>
              <c:f>Dashboard!$V$41:$V$46</c:f>
              <c:strCache>
                <c:ptCount val="1"/>
                <c:pt idx="0">
                  <c:v>EXAMPLE: Emergency fund</c:v>
                </c:pt>
              </c:strCache>
            </c:strRef>
          </c:cat>
          <c:val>
            <c:numRef>
              <c:f>Dashboard!$W$41:$W$46</c:f>
              <c:numCache>
                <c:formatCode>\$#,##0.00;\(\$#,##0.00\);"-"</c:formatCode>
                <c:ptCount val="6"/>
                <c:pt idx="0">
                  <c:v>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6-429B-B15D-C258204A592E}"/>
            </c:ext>
          </c:extLst>
        </c:ser>
        <c:ser>
          <c:idx val="1"/>
          <c:order val="1"/>
          <c:tx>
            <c:strRef>
              <c:f>Dashboard!$X$40</c:f>
              <c:strCache>
                <c:ptCount val="1"/>
                <c:pt idx="0">
                  <c:v>Left to save</c:v>
                </c:pt>
              </c:strCache>
            </c:strRef>
          </c:tx>
          <c:spPr>
            <a:solidFill>
              <a:srgbClr val="C9D9D3"/>
            </a:solidFill>
            <a:ln>
              <a:solidFill>
                <a:srgbClr val="C9D9D3"/>
              </a:solidFill>
              <a:prstDash val="solid"/>
            </a:ln>
          </c:spPr>
          <c:invertIfNegative val="0"/>
          <c:cat>
            <c:strRef>
              <c:f>Dashboard!$V$41:$V$46</c:f>
              <c:strCache>
                <c:ptCount val="1"/>
                <c:pt idx="0">
                  <c:v>EXAMPLE: Emergency fund</c:v>
                </c:pt>
              </c:strCache>
            </c:strRef>
          </c:cat>
          <c:val>
            <c:numRef>
              <c:f>Dashboard!$X$41:$X$46</c:f>
              <c:numCache>
                <c:formatCode>\$#,##0.00;\(\$#,##0.00\);"-"</c:formatCode>
                <c:ptCount val="6"/>
                <c:pt idx="0">
                  <c:v>3500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6-429B-B15D-C258204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6336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6336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6336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47</xdr:row>
      <xdr:rowOff>0</xdr:rowOff>
    </xdr:from>
    <xdr:ext cx="6336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6B5E"/>
  </sheetPr>
  <dimension ref="B2:B30"/>
  <sheetViews>
    <sheetView showGridLines="0" tabSelected="1" workbookViewId="0"/>
  </sheetViews>
  <sheetFormatPr defaultRowHeight="14.5" x14ac:dyDescent="0.35"/>
  <cols>
    <col min="1" max="1" width="3" customWidth="1"/>
    <col min="2" max="2" width="112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ht="28" x14ac:dyDescent="0.35">
      <c r="B6" s="4" t="s">
        <v>3</v>
      </c>
    </row>
    <row r="7" spans="2:2" x14ac:dyDescent="0.35">
      <c r="B7" s="4" t="s">
        <v>4</v>
      </c>
    </row>
    <row r="8" spans="2:2" x14ac:dyDescent="0.35">
      <c r="B8" s="4" t="s">
        <v>5</v>
      </c>
    </row>
    <row r="9" spans="2:2" x14ac:dyDescent="0.35">
      <c r="B9" s="4" t="s">
        <v>6</v>
      </c>
    </row>
    <row r="10" spans="2:2" x14ac:dyDescent="0.35">
      <c r="B10" s="4" t="s">
        <v>7</v>
      </c>
    </row>
    <row r="11" spans="2:2" ht="28" x14ac:dyDescent="0.35">
      <c r="B11" s="4" t="s">
        <v>8</v>
      </c>
    </row>
    <row r="12" spans="2:2" x14ac:dyDescent="0.35">
      <c r="B12" s="4" t="s">
        <v>9</v>
      </c>
    </row>
    <row r="13" spans="2:2" x14ac:dyDescent="0.35">
      <c r="B13" s="4" t="s">
        <v>10</v>
      </c>
    </row>
    <row r="14" spans="2:2" x14ac:dyDescent="0.35">
      <c r="B14" s="4" t="s">
        <v>11</v>
      </c>
    </row>
    <row r="15" spans="2:2" x14ac:dyDescent="0.35">
      <c r="B15" s="4" t="s">
        <v>12</v>
      </c>
    </row>
    <row r="16" spans="2:2" x14ac:dyDescent="0.35">
      <c r="B16" s="4" t="s">
        <v>13</v>
      </c>
    </row>
    <row r="17" spans="2:2" x14ac:dyDescent="0.35">
      <c r="B17" s="4" t="s">
        <v>14</v>
      </c>
    </row>
    <row r="18" spans="2:2" x14ac:dyDescent="0.35">
      <c r="B18" s="4"/>
    </row>
    <row r="19" spans="2:2" x14ac:dyDescent="0.35">
      <c r="B19" s="3" t="s">
        <v>15</v>
      </c>
    </row>
    <row r="20" spans="2:2" x14ac:dyDescent="0.35">
      <c r="B20" s="4" t="s">
        <v>16</v>
      </c>
    </row>
    <row r="21" spans="2:2" x14ac:dyDescent="0.35">
      <c r="B21" s="4" t="s">
        <v>17</v>
      </c>
    </row>
    <row r="22" spans="2:2" x14ac:dyDescent="0.35">
      <c r="B22" s="4" t="s">
        <v>18</v>
      </c>
    </row>
    <row r="23" spans="2:2" x14ac:dyDescent="0.35">
      <c r="B23" s="4"/>
    </row>
    <row r="24" spans="2:2" x14ac:dyDescent="0.35">
      <c r="B24" s="3" t="s">
        <v>19</v>
      </c>
    </row>
    <row r="25" spans="2:2" x14ac:dyDescent="0.35">
      <c r="B25" s="4" t="s">
        <v>20</v>
      </c>
    </row>
    <row r="26" spans="2:2" x14ac:dyDescent="0.35">
      <c r="B26" s="4"/>
    </row>
    <row r="27" spans="2:2" x14ac:dyDescent="0.35">
      <c r="B27" s="3" t="s">
        <v>21</v>
      </c>
    </row>
    <row r="28" spans="2:2" x14ac:dyDescent="0.35">
      <c r="B28" s="4" t="s">
        <v>22</v>
      </c>
    </row>
    <row r="29" spans="2:2" x14ac:dyDescent="0.35">
      <c r="B29" s="4"/>
    </row>
    <row r="30" spans="2:2" x14ac:dyDescent="0.35">
      <c r="B30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B5E"/>
  </sheetPr>
  <dimension ref="B1:Y46"/>
  <sheetViews>
    <sheetView showGridLines="0" workbookViewId="0"/>
  </sheetViews>
  <sheetFormatPr defaultRowHeight="14.5" x14ac:dyDescent="0.35"/>
  <cols>
    <col min="1" max="1" width="2" customWidth="1"/>
    <col min="2" max="17" width="13" customWidth="1"/>
    <col min="22" max="25" width="18" customWidth="1"/>
  </cols>
  <sheetData>
    <row r="1" spans="2:24" ht="23" x14ac:dyDescent="0.5">
      <c r="B1" s="1" t="s">
        <v>24</v>
      </c>
    </row>
    <row r="3" spans="2:24" ht="15.5" x14ac:dyDescent="0.35">
      <c r="B3" s="5" t="s">
        <v>25</v>
      </c>
      <c r="C3" s="6">
        <v>2026</v>
      </c>
      <c r="D3" s="5" t="s">
        <v>26</v>
      </c>
      <c r="E3" s="6" t="s">
        <v>27</v>
      </c>
      <c r="G3" s="2" t="str">
        <f>IF(Calc!C4=0,"Year is not valid (type e.g. 2026).  ","")&amp;IF(Calc!C3=0,"Pick a month from the list.  ","")&amp;IF((Transactions!D2+Budget!H2+Bills!P2+'Savings Goals'!J2)&gt;0,(Transactions!D2+Budget!H2+Bills!P2+'Savings Goals'!J2)&amp;" row(s) need fixing - see red cells","Updates automatically from every tab")</f>
        <v>Updates automatically from every tab</v>
      </c>
      <c r="V3" s="7" t="s">
        <v>28</v>
      </c>
    </row>
    <row r="4" spans="2:24" x14ac:dyDescent="0.35">
      <c r="V4" t="s">
        <v>29</v>
      </c>
      <c r="W4" t="s">
        <v>30</v>
      </c>
      <c r="X4" t="s">
        <v>31</v>
      </c>
    </row>
    <row r="5" spans="2:24" x14ac:dyDescent="0.35">
      <c r="B5" s="30" t="s">
        <v>32</v>
      </c>
      <c r="C5" s="31"/>
      <c r="D5" s="31"/>
      <c r="E5" s="31"/>
      <c r="G5" s="30" t="s">
        <v>33</v>
      </c>
      <c r="H5" s="31"/>
      <c r="I5" s="31"/>
      <c r="J5" s="31"/>
      <c r="L5" s="30" t="s">
        <v>34</v>
      </c>
      <c r="M5" s="31"/>
      <c r="N5" s="31"/>
      <c r="O5" s="31"/>
      <c r="V5" t="str">
        <f>Calc!B75</f>
        <v>Rent / mortgage</v>
      </c>
      <c r="W5" s="8">
        <f>Calc!E75</f>
        <v>1450</v>
      </c>
      <c r="X5" s="8">
        <f>Calc!F75</f>
        <v>1450</v>
      </c>
    </row>
    <row r="6" spans="2:24" x14ac:dyDescent="0.35">
      <c r="B6" s="32">
        <f>Calc!C6</f>
        <v>4600</v>
      </c>
      <c r="C6" s="31"/>
      <c r="D6" s="31"/>
      <c r="E6" s="31"/>
      <c r="G6" s="32">
        <f>Calc!C10</f>
        <v>1562.4</v>
      </c>
      <c r="H6" s="31"/>
      <c r="I6" s="31"/>
      <c r="J6" s="31"/>
      <c r="L6" s="32">
        <f>Calc!C12</f>
        <v>2737.6</v>
      </c>
      <c r="M6" s="31"/>
      <c r="N6" s="31"/>
      <c r="O6" s="31"/>
      <c r="V6" t="str">
        <f>Calc!B76</f>
        <v>Groceries</v>
      </c>
      <c r="W6" s="8">
        <f>Calc!E76</f>
        <v>520</v>
      </c>
      <c r="X6" s="8">
        <f>Calc!F76</f>
        <v>112.4</v>
      </c>
    </row>
    <row r="7" spans="2:24" x14ac:dyDescent="0.35">
      <c r="B7" s="31"/>
      <c r="C7" s="31"/>
      <c r="D7" s="31"/>
      <c r="E7" s="31"/>
      <c r="G7" s="31"/>
      <c r="H7" s="31"/>
      <c r="I7" s="31"/>
      <c r="J7" s="31"/>
      <c r="L7" s="31"/>
      <c r="M7" s="31"/>
      <c r="N7" s="31"/>
      <c r="O7" s="31"/>
      <c r="V7" t="str">
        <f>Calc!B77</f>
        <v>Car loan</v>
      </c>
      <c r="W7" s="8">
        <f>Calc!E77</f>
        <v>320</v>
      </c>
      <c r="X7" s="8">
        <f>Calc!F77</f>
        <v>0</v>
      </c>
    </row>
    <row r="8" spans="2:24" x14ac:dyDescent="0.35">
      <c r="V8" t="str">
        <f>Calc!B78</f>
        <v>Transportation &amp; gas</v>
      </c>
      <c r="W8" s="8">
        <f>Calc!E78</f>
        <v>200</v>
      </c>
      <c r="X8" s="8">
        <f>Calc!F78</f>
        <v>0</v>
      </c>
    </row>
    <row r="9" spans="2:24" x14ac:dyDescent="0.35">
      <c r="B9" s="30" t="s">
        <v>35</v>
      </c>
      <c r="C9" s="31"/>
      <c r="D9" s="31"/>
      <c r="E9" s="31"/>
      <c r="G9" s="30" t="s">
        <v>36</v>
      </c>
      <c r="H9" s="31"/>
      <c r="I9" s="31"/>
      <c r="J9" s="31"/>
      <c r="L9" s="30" t="s">
        <v>37</v>
      </c>
      <c r="M9" s="31"/>
      <c r="N9" s="31"/>
      <c r="O9" s="31"/>
      <c r="V9" t="str">
        <f>Calc!B79</f>
        <v>Dining out</v>
      </c>
      <c r="W9" s="8">
        <f>Calc!E79</f>
        <v>180</v>
      </c>
      <c r="X9" s="8">
        <f>Calc!F79</f>
        <v>0</v>
      </c>
    </row>
    <row r="10" spans="2:24" x14ac:dyDescent="0.35">
      <c r="B10" s="32">
        <f>Calc!C11</f>
        <v>300</v>
      </c>
      <c r="C10" s="31"/>
      <c r="D10" s="31"/>
      <c r="E10" s="31"/>
      <c r="G10" s="33">
        <f>IF(Calc!C6&gt;0,Calc!C11/Calc!C6,0)</f>
        <v>6.5217391304347824E-2</v>
      </c>
      <c r="H10" s="31"/>
      <c r="I10" s="31"/>
      <c r="J10" s="31"/>
      <c r="L10" s="32">
        <f>Calc!C20</f>
        <v>2312.6</v>
      </c>
      <c r="M10" s="31"/>
      <c r="N10" s="31"/>
      <c r="O10" s="31"/>
      <c r="V10" t="str">
        <f>Calc!B80</f>
        <v>Utilities</v>
      </c>
      <c r="W10" s="8">
        <f>Calc!E80</f>
        <v>160</v>
      </c>
      <c r="X10" s="8">
        <f>Calc!F80</f>
        <v>0</v>
      </c>
    </row>
    <row r="11" spans="2:24" x14ac:dyDescent="0.35">
      <c r="B11" s="31"/>
      <c r="C11" s="31"/>
      <c r="D11" s="31"/>
      <c r="E11" s="31"/>
      <c r="G11" s="31"/>
      <c r="H11" s="31"/>
      <c r="I11" s="31"/>
      <c r="J11" s="31"/>
      <c r="L11" s="31"/>
      <c r="M11" s="31"/>
      <c r="N11" s="31"/>
      <c r="O11" s="31"/>
      <c r="V11" t="str">
        <f>Calc!B81</f>
        <v>Credit card</v>
      </c>
      <c r="W11" s="8">
        <f>Calc!E81</f>
        <v>150</v>
      </c>
      <c r="X11" s="8">
        <f>Calc!F81</f>
        <v>0</v>
      </c>
    </row>
    <row r="12" spans="2:24" x14ac:dyDescent="0.35">
      <c r="V12" t="str">
        <f>Calc!B82</f>
        <v>Insurance</v>
      </c>
      <c r="W12" s="8">
        <f>Calc!E82</f>
        <v>140</v>
      </c>
      <c r="X12" s="8">
        <f>Calc!F82</f>
        <v>0</v>
      </c>
    </row>
    <row r="13" spans="2:24" x14ac:dyDescent="0.35">
      <c r="B13" s="30" t="s">
        <v>38</v>
      </c>
      <c r="C13" s="31"/>
      <c r="D13" s="31"/>
      <c r="E13" s="31"/>
      <c r="G13" s="30" t="s">
        <v>39</v>
      </c>
      <c r="H13" s="31"/>
      <c r="I13" s="31"/>
      <c r="J13" s="31"/>
      <c r="L13" s="30" t="s">
        <v>40</v>
      </c>
      <c r="M13" s="31"/>
      <c r="N13" s="31"/>
      <c r="O13" s="31"/>
      <c r="V13" t="str">
        <f>Calc!B83</f>
        <v>Shopping</v>
      </c>
      <c r="W13" s="8">
        <f>Calc!E83</f>
        <v>120</v>
      </c>
      <c r="X13" s="8">
        <f>Calc!F83</f>
        <v>0</v>
      </c>
    </row>
    <row r="14" spans="2:24" x14ac:dyDescent="0.35">
      <c r="B14" s="32">
        <f>Calc!C14</f>
        <v>4600</v>
      </c>
      <c r="C14" s="31"/>
      <c r="D14" s="31"/>
      <c r="E14" s="31"/>
      <c r="G14" s="32">
        <f>Calc!C15</f>
        <v>1562.4</v>
      </c>
      <c r="H14" s="31"/>
      <c r="I14" s="31"/>
      <c r="J14" s="31"/>
      <c r="L14" s="32">
        <f>Calc!C17</f>
        <v>2737.6</v>
      </c>
      <c r="M14" s="31"/>
      <c r="N14" s="31"/>
      <c r="O14" s="31"/>
      <c r="V14" t="str">
        <f>Calc!B84</f>
        <v>Phone &amp; internet</v>
      </c>
      <c r="W14" s="8">
        <f>Calc!E84</f>
        <v>110</v>
      </c>
      <c r="X14" s="8">
        <f>Calc!F84</f>
        <v>0</v>
      </c>
    </row>
    <row r="15" spans="2:24" x14ac:dyDescent="0.35">
      <c r="B15" s="31"/>
      <c r="C15" s="31"/>
      <c r="D15" s="31"/>
      <c r="E15" s="31"/>
      <c r="G15" s="31"/>
      <c r="H15" s="31"/>
      <c r="I15" s="31"/>
      <c r="J15" s="31"/>
      <c r="L15" s="31"/>
      <c r="M15" s="31"/>
      <c r="N15" s="31"/>
      <c r="O15" s="31"/>
    </row>
    <row r="17" spans="2:25" x14ac:dyDescent="0.35">
      <c r="B17" s="30" t="s">
        <v>41</v>
      </c>
      <c r="C17" s="31"/>
      <c r="D17" s="31"/>
      <c r="E17" s="31"/>
      <c r="G17" s="30" t="s">
        <v>42</v>
      </c>
      <c r="H17" s="31"/>
      <c r="I17" s="31"/>
      <c r="J17" s="31"/>
      <c r="L17" s="30" t="s">
        <v>43</v>
      </c>
      <c r="M17" s="31"/>
      <c r="N17" s="31"/>
      <c r="O17" s="31"/>
      <c r="V17" t="s">
        <v>44</v>
      </c>
      <c r="W17" t="s">
        <v>45</v>
      </c>
      <c r="X17" t="s">
        <v>31</v>
      </c>
      <c r="Y17" t="s">
        <v>46</v>
      </c>
    </row>
    <row r="18" spans="2:25" x14ac:dyDescent="0.35">
      <c r="B18" s="32">
        <f>Calc!C22</f>
        <v>65</v>
      </c>
      <c r="C18" s="31"/>
      <c r="D18" s="31"/>
      <c r="E18" s="31"/>
      <c r="G18" s="34" t="str">
        <f>Calc!C86</f>
        <v>Rent / mortgage</v>
      </c>
      <c r="H18" s="31"/>
      <c r="I18" s="31"/>
      <c r="J18" s="31"/>
      <c r="L18" s="33">
        <f>Calc!C27</f>
        <v>0.3</v>
      </c>
      <c r="M18" s="31"/>
      <c r="N18" s="31"/>
      <c r="O18" s="31"/>
      <c r="V18" t="s">
        <v>47</v>
      </c>
      <c r="W18" s="8">
        <f>'Monthly Overview'!C38</f>
        <v>4600</v>
      </c>
      <c r="X18" s="8">
        <f>'Monthly Overview'!C42</f>
        <v>1562.4</v>
      </c>
      <c r="Y18" s="8">
        <f>'Monthly Overview'!C43</f>
        <v>300</v>
      </c>
    </row>
    <row r="19" spans="2:25" x14ac:dyDescent="0.35">
      <c r="B19" s="31"/>
      <c r="C19" s="31"/>
      <c r="D19" s="31"/>
      <c r="E19" s="31"/>
      <c r="G19" s="31"/>
      <c r="H19" s="31"/>
      <c r="I19" s="31"/>
      <c r="J19" s="31"/>
      <c r="L19" s="31"/>
      <c r="M19" s="31"/>
      <c r="N19" s="31"/>
      <c r="O19" s="31"/>
      <c r="V19" t="s">
        <v>48</v>
      </c>
      <c r="W19" s="8">
        <f>'Monthly Overview'!D38</f>
        <v>0</v>
      </c>
      <c r="X19" s="8">
        <f>'Monthly Overview'!D42</f>
        <v>0</v>
      </c>
      <c r="Y19" s="8">
        <f>'Monthly Overview'!D43</f>
        <v>0</v>
      </c>
    </row>
    <row r="20" spans="2:25" x14ac:dyDescent="0.35">
      <c r="V20" t="s">
        <v>49</v>
      </c>
      <c r="W20" s="8">
        <f>'Monthly Overview'!E38</f>
        <v>0</v>
      </c>
      <c r="X20" s="8">
        <f>'Monthly Overview'!E42</f>
        <v>0</v>
      </c>
      <c r="Y20" s="8">
        <f>'Monthly Overview'!E43</f>
        <v>0</v>
      </c>
    </row>
    <row r="21" spans="2:25" x14ac:dyDescent="0.35">
      <c r="B21" s="9" t="str">
        <f>"Transactions this month: "&amp;Calc!C28&amp;"   |   Bills paid this month: "&amp;(Calc!C24-Calc!C23)&amp;" of "&amp;Calc!C24&amp;"   |   Spending budget this month: "&amp;TEXT(Calc!C19,"$#,##0")</f>
        <v>Transactions this month: 5   |   Bills paid this month: 1 of 2   |   Spending budget this month: $3,875</v>
      </c>
      <c r="V21" t="s">
        <v>50</v>
      </c>
      <c r="W21" s="8">
        <f>'Monthly Overview'!F38</f>
        <v>0</v>
      </c>
      <c r="X21" s="8">
        <f>'Monthly Overview'!F42</f>
        <v>0</v>
      </c>
      <c r="Y21" s="8">
        <f>'Monthly Overview'!F43</f>
        <v>0</v>
      </c>
    </row>
    <row r="22" spans="2:25" x14ac:dyDescent="0.35">
      <c r="B22" s="7" t="s">
        <v>51</v>
      </c>
      <c r="V22" t="s">
        <v>52</v>
      </c>
      <c r="W22" s="8">
        <f>'Monthly Overview'!G38</f>
        <v>0</v>
      </c>
      <c r="X22" s="8">
        <f>'Monthly Overview'!G42</f>
        <v>0</v>
      </c>
      <c r="Y22" s="8">
        <f>'Monthly Overview'!G43</f>
        <v>0</v>
      </c>
    </row>
    <row r="23" spans="2:25" x14ac:dyDescent="0.35">
      <c r="V23" t="s">
        <v>53</v>
      </c>
      <c r="W23" s="8">
        <f>'Monthly Overview'!H38</f>
        <v>0</v>
      </c>
      <c r="X23" s="8">
        <f>'Monthly Overview'!H42</f>
        <v>0</v>
      </c>
      <c r="Y23" s="8">
        <f>'Monthly Overview'!H43</f>
        <v>0</v>
      </c>
    </row>
    <row r="24" spans="2:25" x14ac:dyDescent="0.35">
      <c r="V24" t="s">
        <v>54</v>
      </c>
      <c r="W24" s="8">
        <f>'Monthly Overview'!I38</f>
        <v>0</v>
      </c>
      <c r="X24" s="8">
        <f>'Monthly Overview'!I42</f>
        <v>0</v>
      </c>
      <c r="Y24" s="8">
        <f>'Monthly Overview'!I43</f>
        <v>0</v>
      </c>
    </row>
    <row r="25" spans="2:25" x14ac:dyDescent="0.35">
      <c r="V25" t="s">
        <v>55</v>
      </c>
      <c r="W25" s="8">
        <f>'Monthly Overview'!J38</f>
        <v>0</v>
      </c>
      <c r="X25" s="8">
        <f>'Monthly Overview'!J42</f>
        <v>0</v>
      </c>
      <c r="Y25" s="8">
        <f>'Monthly Overview'!J43</f>
        <v>0</v>
      </c>
    </row>
    <row r="26" spans="2:25" x14ac:dyDescent="0.35">
      <c r="V26" t="s">
        <v>56</v>
      </c>
      <c r="W26" s="8">
        <f>'Monthly Overview'!K38</f>
        <v>0</v>
      </c>
      <c r="X26" s="8">
        <f>'Monthly Overview'!K42</f>
        <v>0</v>
      </c>
      <c r="Y26" s="8">
        <f>'Monthly Overview'!K43</f>
        <v>0</v>
      </c>
    </row>
    <row r="27" spans="2:25" x14ac:dyDescent="0.35">
      <c r="V27" t="s">
        <v>57</v>
      </c>
      <c r="W27" s="8">
        <f>'Monthly Overview'!L38</f>
        <v>0</v>
      </c>
      <c r="X27" s="8">
        <f>'Monthly Overview'!L42</f>
        <v>0</v>
      </c>
      <c r="Y27" s="8">
        <f>'Monthly Overview'!L43</f>
        <v>0</v>
      </c>
    </row>
    <row r="28" spans="2:25" x14ac:dyDescent="0.35">
      <c r="V28" t="s">
        <v>58</v>
      </c>
      <c r="W28" s="8">
        <f>'Monthly Overview'!M38</f>
        <v>0</v>
      </c>
      <c r="X28" s="8">
        <f>'Monthly Overview'!M42</f>
        <v>0</v>
      </c>
      <c r="Y28" s="8">
        <f>'Monthly Overview'!M43</f>
        <v>0</v>
      </c>
    </row>
    <row r="29" spans="2:25" x14ac:dyDescent="0.35">
      <c r="V29" t="s">
        <v>59</v>
      </c>
      <c r="W29" s="8">
        <f>'Monthly Overview'!N38</f>
        <v>0</v>
      </c>
      <c r="X29" s="8">
        <f>'Monthly Overview'!N42</f>
        <v>0</v>
      </c>
      <c r="Y29" s="8">
        <f>'Monthly Overview'!N43</f>
        <v>0</v>
      </c>
    </row>
    <row r="32" spans="2:25" x14ac:dyDescent="0.35">
      <c r="V32" t="s">
        <v>60</v>
      </c>
      <c r="W32" t="s">
        <v>61</v>
      </c>
    </row>
    <row r="33" spans="22:24" x14ac:dyDescent="0.35">
      <c r="V33" t="s">
        <v>62</v>
      </c>
      <c r="W33" s="8">
        <f>MAX(0,Calc!C7)</f>
        <v>1450</v>
      </c>
    </row>
    <row r="34" spans="22:24" x14ac:dyDescent="0.35">
      <c r="V34" t="s">
        <v>63</v>
      </c>
      <c r="W34" s="8">
        <f>MAX(0,Calc!C8)</f>
        <v>112.4</v>
      </c>
    </row>
    <row r="35" spans="22:24" x14ac:dyDescent="0.35">
      <c r="V35" t="s">
        <v>64</v>
      </c>
      <c r="W35" s="8">
        <f>MAX(0,Calc!C9)</f>
        <v>0</v>
      </c>
    </row>
    <row r="36" spans="22:24" x14ac:dyDescent="0.35">
      <c r="V36" t="s">
        <v>46</v>
      </c>
      <c r="W36" s="8">
        <f>MAX(0,Calc!C11)</f>
        <v>300</v>
      </c>
    </row>
    <row r="37" spans="22:24" x14ac:dyDescent="0.35">
      <c r="V37" t="s">
        <v>65</v>
      </c>
      <c r="W37" s="8">
        <f>MAX(0,Calc!C12)</f>
        <v>2737.6</v>
      </c>
    </row>
    <row r="40" spans="22:24" x14ac:dyDescent="0.35">
      <c r="V40" t="s">
        <v>66</v>
      </c>
      <c r="W40" t="s">
        <v>46</v>
      </c>
      <c r="X40" t="s">
        <v>67</v>
      </c>
    </row>
    <row r="41" spans="22:24" x14ac:dyDescent="0.35">
      <c r="V41" t="str">
        <f>Calc!B108</f>
        <v>EXAMPLE: Emergency fund</v>
      </c>
      <c r="W41" s="8">
        <f>Calc!E108</f>
        <v>1500</v>
      </c>
      <c r="X41" s="8">
        <f>Calc!F108</f>
        <v>3500</v>
      </c>
    </row>
    <row r="42" spans="22:24" x14ac:dyDescent="0.35">
      <c r="V42" t="str">
        <f>Calc!B109</f>
        <v/>
      </c>
      <c r="W42" s="8">
        <f>Calc!E109</f>
        <v>0</v>
      </c>
      <c r="X42" s="8">
        <f>Calc!F109</f>
        <v>0</v>
      </c>
    </row>
    <row r="43" spans="22:24" x14ac:dyDescent="0.35">
      <c r="V43" t="str">
        <f>Calc!B110</f>
        <v/>
      </c>
      <c r="W43" s="8">
        <f>Calc!E110</f>
        <v>0</v>
      </c>
      <c r="X43" s="8">
        <f>Calc!F110</f>
        <v>0</v>
      </c>
    </row>
    <row r="44" spans="22:24" x14ac:dyDescent="0.35">
      <c r="V44" t="str">
        <f>Calc!B111</f>
        <v/>
      </c>
      <c r="W44" s="8">
        <f>Calc!E111</f>
        <v>0</v>
      </c>
      <c r="X44" s="8">
        <f>Calc!F111</f>
        <v>0</v>
      </c>
    </row>
    <row r="45" spans="22:24" x14ac:dyDescent="0.35">
      <c r="V45" t="str">
        <f>Calc!B112</f>
        <v/>
      </c>
      <c r="W45" s="8">
        <f>Calc!E112</f>
        <v>0</v>
      </c>
      <c r="X45" s="8">
        <f>Calc!F112</f>
        <v>0</v>
      </c>
    </row>
    <row r="46" spans="22:24" x14ac:dyDescent="0.35">
      <c r="V46" t="str">
        <f>Calc!B113</f>
        <v/>
      </c>
      <c r="W46" s="8">
        <f>Calc!E113</f>
        <v>0</v>
      </c>
      <c r="X46" s="8">
        <f>Calc!F113</f>
        <v>0</v>
      </c>
    </row>
  </sheetData>
  <mergeCells count="24">
    <mergeCell ref="B17:E17"/>
    <mergeCell ref="B13:E13"/>
    <mergeCell ref="G5:J5"/>
    <mergeCell ref="L13:O13"/>
    <mergeCell ref="G17:J17"/>
    <mergeCell ref="L6:O7"/>
    <mergeCell ref="L5:O5"/>
    <mergeCell ref="G13:J13"/>
    <mergeCell ref="B9:E9"/>
    <mergeCell ref="B18:E19"/>
    <mergeCell ref="L9:O9"/>
    <mergeCell ref="B5:E5"/>
    <mergeCell ref="L18:O19"/>
    <mergeCell ref="G10:J11"/>
    <mergeCell ref="B14:E15"/>
    <mergeCell ref="G9:J9"/>
    <mergeCell ref="L14:O15"/>
    <mergeCell ref="L17:O17"/>
    <mergeCell ref="G6:J7"/>
    <mergeCell ref="G18:J19"/>
    <mergeCell ref="L10:O11"/>
    <mergeCell ref="B10:E11"/>
    <mergeCell ref="B6:E7"/>
    <mergeCell ref="G14:J15"/>
  </mergeCells>
  <dataValidations count="1">
    <dataValidation type="whole" allowBlank="1" showErrorMessage="1" errorTitle="Year" error="Enter a 4-digit year, e.g. 2026." sqref="C3" xr:uid="{00000000-0002-0000-0100-000000000000}">
      <formula1>1900</formula1>
      <formula2>2200</formula2>
    </dataValidation>
  </dataValidations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Calc!$C$4=0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expression" priority="2" id="{00000000-000E-0000-0100-000002000000}">
            <xm:f>Calc!$C$3=0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expression" priority="3" id="{00000000-000E-0000-0100-000003000000}">
            <xm:f>Calc!$C$12&lt;0</xm:f>
            <x14:dxf>
              <fill>
                <patternFill patternType="solid">
                  <fgColor rgb="FFFCE4B6"/>
                  <bgColor rgb="FFFCE4B6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expression" priority="5" id="{00000000-000E-0000-0100-000005000000}">
            <xm:f>Calc!$C$20&lt;0</xm:f>
            <x14:dxf>
              <fill>
                <patternFill patternType="solid">
                  <fgColor rgb="FFFCE4B6"/>
                  <bgColor rgb="FFFCE4B6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expression" priority="4" id="{00000000-000E-0000-0100-000004000000}">
            <xm:f>Calc!$C$17&lt;0</xm:f>
            <x14:dxf>
              <fill>
                <patternFill patternType="solid">
                  <fgColor rgb="FFFCE4B6"/>
                  <bgColor rgb="FFFCE4B6"/>
                </patternFill>
              </fill>
            </x14:dxf>
          </x14:cfRule>
          <xm:sqref>L14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month from the list." xr:uid="{00000000-0002-0000-0100-000001000000}">
          <x14:formula1>
            <xm:f>Lists!$D$2:$D$13</xm:f>
          </x14:formula1>
          <xm:sqref>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B5E"/>
  </sheetPr>
  <dimension ref="A1:H40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6" customWidth="1"/>
    <col min="2" max="2" width="11" customWidth="1"/>
    <col min="3" max="7" width="14" customWidth="1"/>
    <col min="8" max="8" width="12" customWidth="1"/>
  </cols>
  <sheetData>
    <row r="1" spans="1:8" ht="23" x14ac:dyDescent="0.5">
      <c r="A1" s="1" t="s">
        <v>30</v>
      </c>
    </row>
    <row r="2" spans="1:8" x14ac:dyDescent="0.35">
      <c r="A2" s="2" t="s">
        <v>68</v>
      </c>
      <c r="G2" s="10" t="s">
        <v>69</v>
      </c>
      <c r="H2" s="10">
        <f>SUMPRODUCT((((Budget!$A$7:$A$36&lt;&gt;"")+(Budget!$B$7:$B$36&lt;&gt;"")+(Budget!$C$7:$C$36&lt;&gt;""))&gt;0)*(((Budget!$A$7:$A$36&lt;&gt;"")*ISNUMBER(MATCH(Budget!$B$7:$B$36,Lists!$C$2:$C$6,0))*(((Budget!$C$7:$C$36="")+ISNUMBER(Budget!$C$7:$C$36))&gt;0)*(Budget!$C$7:$C$36&gt;=0))=0))</f>
        <v>0</v>
      </c>
    </row>
    <row r="3" spans="1:8" x14ac:dyDescent="0.35">
      <c r="A3" s="10" t="s">
        <v>70</v>
      </c>
    </row>
    <row r="4" spans="1:8" x14ac:dyDescent="0.35">
      <c r="A4" s="11" t="s">
        <v>71</v>
      </c>
      <c r="B4" s="12">
        <f>SUMPRODUCT(((Budget!$A$7:$A$36&lt;&gt;"")*ISNUMBER(MATCH(Budget!$B$7:$B$36,Lists!$C$2:$C$6,0))*(((Budget!$C$7:$C$36="")+ISNUMBER(Budget!$C$7:$C$36))&gt;0)*(Budget!$C$7:$C$36&gt;=0))*(Budget!$B$7:$B$36="Income"),Budget!$C$7:$C$36)</f>
        <v>5000</v>
      </c>
      <c r="C4" s="5" t="s">
        <v>72</v>
      </c>
      <c r="D4" s="12">
        <f>SUMPRODUCT(((Budget!$A$7:$A$36&lt;&gt;"")*ISNUMBER(MATCH(Budget!$B$7:$B$36,Lists!$C$2:$C$6,0))*(((Budget!$C$7:$C$36="")+ISNUMBER(Budget!$C$7:$C$36))&gt;0)*(Budget!$C$7:$C$36&gt;=0))*(Budget!$B$7:$B$36&lt;&gt;"Income"),Budget!$C$7:$C$36)</f>
        <v>4525</v>
      </c>
      <c r="E4" s="5" t="s">
        <v>65</v>
      </c>
      <c r="F4" s="12">
        <f>B4-D4</f>
        <v>475</v>
      </c>
      <c r="G4" s="7" t="s">
        <v>73</v>
      </c>
    </row>
    <row r="6" spans="1:8" ht="32" customHeight="1" x14ac:dyDescent="0.35">
      <c r="A6" s="13" t="s">
        <v>29</v>
      </c>
      <c r="B6" s="13" t="s">
        <v>74</v>
      </c>
      <c r="C6" s="13" t="s">
        <v>75</v>
      </c>
      <c r="D6" s="13" t="s">
        <v>76</v>
      </c>
      <c r="E6" s="13" t="s">
        <v>77</v>
      </c>
      <c r="F6" s="13" t="s">
        <v>78</v>
      </c>
      <c r="G6" s="13" t="s">
        <v>79</v>
      </c>
      <c r="H6" s="13" t="s">
        <v>80</v>
      </c>
    </row>
    <row r="7" spans="1:8" x14ac:dyDescent="0.35">
      <c r="A7" s="14" t="s">
        <v>81</v>
      </c>
      <c r="B7" s="14" t="s">
        <v>45</v>
      </c>
      <c r="C7" s="15">
        <v>4600</v>
      </c>
      <c r="D7" s="16">
        <f>IF(A7="","",IF(Calc!$C$3=0,0,INDEX('Monthly Overview'!C6:N6,Calc!$C$3)))</f>
        <v>4600</v>
      </c>
      <c r="E7" s="16">
        <f t="shared" ref="E7:E36" si="0">IF(A7="","",IF(B7="Income",D7-N(C7),N(C7)-D7))</f>
        <v>0</v>
      </c>
      <c r="F7" s="16">
        <f>IF(A7="","",'Monthly Overview'!O6)</f>
        <v>4600</v>
      </c>
      <c r="G7" s="16">
        <f t="shared" ref="G7:G36" si="1">IF(A7="","",N(C7)*12)</f>
        <v>55200</v>
      </c>
      <c r="H7" s="17">
        <f t="shared" ref="H7:H36" si="2">IF(OR(A7="",N(G7)=0),"",F7/G7)</f>
        <v>8.3333333333333329E-2</v>
      </c>
    </row>
    <row r="8" spans="1:8" x14ac:dyDescent="0.35">
      <c r="A8" s="14" t="s">
        <v>82</v>
      </c>
      <c r="B8" s="14" t="s">
        <v>45</v>
      </c>
      <c r="C8" s="15">
        <v>400</v>
      </c>
      <c r="D8" s="16">
        <f>IF(A8="","",IF(Calc!$C$3=0,0,INDEX('Monthly Overview'!C7:N7,Calc!$C$3)))</f>
        <v>0</v>
      </c>
      <c r="E8" s="16">
        <f t="shared" si="0"/>
        <v>-400</v>
      </c>
      <c r="F8" s="16">
        <f>IF(A8="","",'Monthly Overview'!O7)</f>
        <v>0</v>
      </c>
      <c r="G8" s="16">
        <f t="shared" si="1"/>
        <v>4800</v>
      </c>
      <c r="H8" s="17">
        <f t="shared" si="2"/>
        <v>0</v>
      </c>
    </row>
    <row r="9" spans="1:8" x14ac:dyDescent="0.35">
      <c r="A9" s="14" t="s">
        <v>83</v>
      </c>
      <c r="B9" s="14" t="s">
        <v>45</v>
      </c>
      <c r="C9" s="15">
        <v>0</v>
      </c>
      <c r="D9" s="16">
        <f>IF(A9="","",IF(Calc!$C$3=0,0,INDEX('Monthly Overview'!C8:N8,Calc!$C$3)))</f>
        <v>0</v>
      </c>
      <c r="E9" s="16">
        <f t="shared" si="0"/>
        <v>0</v>
      </c>
      <c r="F9" s="16">
        <f>IF(A9="","",'Monthly Overview'!O8)</f>
        <v>0</v>
      </c>
      <c r="G9" s="16">
        <f t="shared" si="1"/>
        <v>0</v>
      </c>
      <c r="H9" s="17" t="str">
        <f t="shared" si="2"/>
        <v/>
      </c>
    </row>
    <row r="10" spans="1:8" x14ac:dyDescent="0.35">
      <c r="A10" s="14" t="s">
        <v>84</v>
      </c>
      <c r="B10" s="14" t="s">
        <v>62</v>
      </c>
      <c r="C10" s="15">
        <v>1450</v>
      </c>
      <c r="D10" s="16">
        <f>IF(A10="","",IF(Calc!$C$3=0,0,INDEX('Monthly Overview'!C9:N9,Calc!$C$3)))</f>
        <v>1450</v>
      </c>
      <c r="E10" s="16">
        <f t="shared" si="0"/>
        <v>0</v>
      </c>
      <c r="F10" s="16">
        <f>IF(A10="","",'Monthly Overview'!O9)</f>
        <v>1450</v>
      </c>
      <c r="G10" s="16">
        <f t="shared" si="1"/>
        <v>17400</v>
      </c>
      <c r="H10" s="17">
        <f t="shared" si="2"/>
        <v>8.3333333333333329E-2</v>
      </c>
    </row>
    <row r="11" spans="1:8" x14ac:dyDescent="0.35">
      <c r="A11" s="14" t="s">
        <v>85</v>
      </c>
      <c r="B11" s="14" t="s">
        <v>62</v>
      </c>
      <c r="C11" s="15">
        <v>160</v>
      </c>
      <c r="D11" s="16">
        <f>IF(A11="","",IF(Calc!$C$3=0,0,INDEX('Monthly Overview'!C10:N10,Calc!$C$3)))</f>
        <v>0</v>
      </c>
      <c r="E11" s="16">
        <f t="shared" si="0"/>
        <v>160</v>
      </c>
      <c r="F11" s="16">
        <f>IF(A11="","",'Monthly Overview'!O10)</f>
        <v>0</v>
      </c>
      <c r="G11" s="16">
        <f t="shared" si="1"/>
        <v>1920</v>
      </c>
      <c r="H11" s="17">
        <f t="shared" si="2"/>
        <v>0</v>
      </c>
    </row>
    <row r="12" spans="1:8" x14ac:dyDescent="0.35">
      <c r="A12" s="14" t="s">
        <v>86</v>
      </c>
      <c r="B12" s="14" t="s">
        <v>62</v>
      </c>
      <c r="C12" s="15">
        <v>110</v>
      </c>
      <c r="D12" s="16">
        <f>IF(A12="","",IF(Calc!$C$3=0,0,INDEX('Monthly Overview'!C11:N11,Calc!$C$3)))</f>
        <v>0</v>
      </c>
      <c r="E12" s="16">
        <f t="shared" si="0"/>
        <v>110</v>
      </c>
      <c r="F12" s="16">
        <f>IF(A12="","",'Monthly Overview'!O11)</f>
        <v>0</v>
      </c>
      <c r="G12" s="16">
        <f t="shared" si="1"/>
        <v>1320</v>
      </c>
      <c r="H12" s="17">
        <f t="shared" si="2"/>
        <v>0</v>
      </c>
    </row>
    <row r="13" spans="1:8" x14ac:dyDescent="0.35">
      <c r="A13" s="14" t="s">
        <v>87</v>
      </c>
      <c r="B13" s="14" t="s">
        <v>62</v>
      </c>
      <c r="C13" s="15">
        <v>140</v>
      </c>
      <c r="D13" s="16">
        <f>IF(A13="","",IF(Calc!$C$3=0,0,INDEX('Monthly Overview'!C12:N12,Calc!$C$3)))</f>
        <v>0</v>
      </c>
      <c r="E13" s="16">
        <f t="shared" si="0"/>
        <v>140</v>
      </c>
      <c r="F13" s="16">
        <f>IF(A13="","",'Monthly Overview'!O12)</f>
        <v>0</v>
      </c>
      <c r="G13" s="16">
        <f t="shared" si="1"/>
        <v>1680</v>
      </c>
      <c r="H13" s="17">
        <f t="shared" si="2"/>
        <v>0</v>
      </c>
    </row>
    <row r="14" spans="1:8" x14ac:dyDescent="0.35">
      <c r="A14" s="14" t="s">
        <v>88</v>
      </c>
      <c r="B14" s="14" t="s">
        <v>62</v>
      </c>
      <c r="C14" s="15">
        <v>45</v>
      </c>
      <c r="D14" s="16">
        <f>IF(A14="","",IF(Calc!$C$3=0,0,INDEX('Monthly Overview'!C13:N13,Calc!$C$3)))</f>
        <v>0</v>
      </c>
      <c r="E14" s="16">
        <f t="shared" si="0"/>
        <v>45</v>
      </c>
      <c r="F14" s="16">
        <f>IF(A14="","",'Monthly Overview'!O13)</f>
        <v>0</v>
      </c>
      <c r="G14" s="16">
        <f t="shared" si="1"/>
        <v>540</v>
      </c>
      <c r="H14" s="17">
        <f t="shared" si="2"/>
        <v>0</v>
      </c>
    </row>
    <row r="15" spans="1:8" x14ac:dyDescent="0.35">
      <c r="A15" s="14" t="s">
        <v>89</v>
      </c>
      <c r="B15" s="14" t="s">
        <v>63</v>
      </c>
      <c r="C15" s="15">
        <v>520</v>
      </c>
      <c r="D15" s="16">
        <f>IF(A15="","",IF(Calc!$C$3=0,0,INDEX('Monthly Overview'!C14:N14,Calc!$C$3)))</f>
        <v>112.4</v>
      </c>
      <c r="E15" s="16">
        <f t="shared" si="0"/>
        <v>407.6</v>
      </c>
      <c r="F15" s="16">
        <f>IF(A15="","",'Monthly Overview'!O14)</f>
        <v>112.4</v>
      </c>
      <c r="G15" s="16">
        <f t="shared" si="1"/>
        <v>6240</v>
      </c>
      <c r="H15" s="17">
        <f t="shared" si="2"/>
        <v>1.8012820512820514E-2</v>
      </c>
    </row>
    <row r="16" spans="1:8" x14ac:dyDescent="0.35">
      <c r="A16" s="14" t="s">
        <v>90</v>
      </c>
      <c r="B16" s="14" t="s">
        <v>63</v>
      </c>
      <c r="C16" s="15">
        <v>180</v>
      </c>
      <c r="D16" s="16">
        <f>IF(A16="","",IF(Calc!$C$3=0,0,INDEX('Monthly Overview'!C15:N15,Calc!$C$3)))</f>
        <v>0</v>
      </c>
      <c r="E16" s="16">
        <f t="shared" si="0"/>
        <v>180</v>
      </c>
      <c r="F16" s="16">
        <f>IF(A16="","",'Monthly Overview'!O15)</f>
        <v>0</v>
      </c>
      <c r="G16" s="16">
        <f t="shared" si="1"/>
        <v>2160</v>
      </c>
      <c r="H16" s="17">
        <f t="shared" si="2"/>
        <v>0</v>
      </c>
    </row>
    <row r="17" spans="1:8" x14ac:dyDescent="0.35">
      <c r="A17" s="14" t="s">
        <v>91</v>
      </c>
      <c r="B17" s="14" t="s">
        <v>63</v>
      </c>
      <c r="C17" s="15">
        <v>200</v>
      </c>
      <c r="D17" s="16">
        <f>IF(A17="","",IF(Calc!$C$3=0,0,INDEX('Monthly Overview'!C16:N16,Calc!$C$3)))</f>
        <v>0</v>
      </c>
      <c r="E17" s="16">
        <f t="shared" si="0"/>
        <v>200</v>
      </c>
      <c r="F17" s="16">
        <f>IF(A17="","",'Monthly Overview'!O16)</f>
        <v>0</v>
      </c>
      <c r="G17" s="16">
        <f t="shared" si="1"/>
        <v>2400</v>
      </c>
      <c r="H17" s="17">
        <f t="shared" si="2"/>
        <v>0</v>
      </c>
    </row>
    <row r="18" spans="1:8" x14ac:dyDescent="0.35">
      <c r="A18" s="14" t="s">
        <v>92</v>
      </c>
      <c r="B18" s="14" t="s">
        <v>63</v>
      </c>
      <c r="C18" s="15">
        <v>60</v>
      </c>
      <c r="D18" s="16">
        <f>IF(A18="","",IF(Calc!$C$3=0,0,INDEX('Monthly Overview'!C17:N17,Calc!$C$3)))</f>
        <v>0</v>
      </c>
      <c r="E18" s="16">
        <f t="shared" si="0"/>
        <v>60</v>
      </c>
      <c r="F18" s="16">
        <f>IF(A18="","",'Monthly Overview'!O17)</f>
        <v>0</v>
      </c>
      <c r="G18" s="16">
        <f t="shared" si="1"/>
        <v>720</v>
      </c>
      <c r="H18" s="17">
        <f t="shared" si="2"/>
        <v>0</v>
      </c>
    </row>
    <row r="19" spans="1:8" x14ac:dyDescent="0.35">
      <c r="A19" s="14" t="s">
        <v>93</v>
      </c>
      <c r="B19" s="14" t="s">
        <v>63</v>
      </c>
      <c r="C19" s="15">
        <v>50</v>
      </c>
      <c r="D19" s="16">
        <f>IF(A19="","",IF(Calc!$C$3=0,0,INDEX('Monthly Overview'!C18:N18,Calc!$C$3)))</f>
        <v>0</v>
      </c>
      <c r="E19" s="16">
        <f t="shared" si="0"/>
        <v>50</v>
      </c>
      <c r="F19" s="16">
        <f>IF(A19="","",'Monthly Overview'!O18)</f>
        <v>0</v>
      </c>
      <c r="G19" s="16">
        <f t="shared" si="1"/>
        <v>600</v>
      </c>
      <c r="H19" s="17">
        <f t="shared" si="2"/>
        <v>0</v>
      </c>
    </row>
    <row r="20" spans="1:8" x14ac:dyDescent="0.35">
      <c r="A20" s="14" t="s">
        <v>94</v>
      </c>
      <c r="B20" s="14" t="s">
        <v>63</v>
      </c>
      <c r="C20" s="15">
        <v>120</v>
      </c>
      <c r="D20" s="16">
        <f>IF(A20="","",IF(Calc!$C$3=0,0,INDEX('Monthly Overview'!C19:N19,Calc!$C$3)))</f>
        <v>0</v>
      </c>
      <c r="E20" s="16">
        <f t="shared" si="0"/>
        <v>120</v>
      </c>
      <c r="F20" s="16">
        <f>IF(A20="","",'Monthly Overview'!O19)</f>
        <v>0</v>
      </c>
      <c r="G20" s="16">
        <f t="shared" si="1"/>
        <v>1440</v>
      </c>
      <c r="H20" s="17">
        <f t="shared" si="2"/>
        <v>0</v>
      </c>
    </row>
    <row r="21" spans="1:8" x14ac:dyDescent="0.35">
      <c r="A21" s="14" t="s">
        <v>95</v>
      </c>
      <c r="B21" s="14" t="s">
        <v>63</v>
      </c>
      <c r="C21" s="15">
        <v>80</v>
      </c>
      <c r="D21" s="16">
        <f>IF(A21="","",IF(Calc!$C$3=0,0,INDEX('Monthly Overview'!C20:N20,Calc!$C$3)))</f>
        <v>0</v>
      </c>
      <c r="E21" s="16">
        <f t="shared" si="0"/>
        <v>80</v>
      </c>
      <c r="F21" s="16">
        <f>IF(A21="","",'Monthly Overview'!O20)</f>
        <v>0</v>
      </c>
      <c r="G21" s="16">
        <f t="shared" si="1"/>
        <v>960</v>
      </c>
      <c r="H21" s="17">
        <f t="shared" si="2"/>
        <v>0</v>
      </c>
    </row>
    <row r="22" spans="1:8" x14ac:dyDescent="0.35">
      <c r="A22" s="14" t="s">
        <v>96</v>
      </c>
      <c r="B22" s="14" t="s">
        <v>63</v>
      </c>
      <c r="C22" s="15">
        <v>0</v>
      </c>
      <c r="D22" s="16">
        <f>IF(A22="","",IF(Calc!$C$3=0,0,INDEX('Monthly Overview'!C21:N21,Calc!$C$3)))</f>
        <v>0</v>
      </c>
      <c r="E22" s="16">
        <f t="shared" si="0"/>
        <v>0</v>
      </c>
      <c r="F22" s="16">
        <f>IF(A22="","",'Monthly Overview'!O21)</f>
        <v>0</v>
      </c>
      <c r="G22" s="16">
        <f t="shared" si="1"/>
        <v>0</v>
      </c>
      <c r="H22" s="17" t="str">
        <f t="shared" si="2"/>
        <v/>
      </c>
    </row>
    <row r="23" spans="1:8" x14ac:dyDescent="0.35">
      <c r="A23" s="14" t="s">
        <v>97</v>
      </c>
      <c r="B23" s="14" t="s">
        <v>63</v>
      </c>
      <c r="C23" s="15">
        <v>40</v>
      </c>
      <c r="D23" s="16">
        <f>IF(A23="","",IF(Calc!$C$3=0,0,INDEX('Monthly Overview'!C22:N22,Calc!$C$3)))</f>
        <v>0</v>
      </c>
      <c r="E23" s="16">
        <f t="shared" si="0"/>
        <v>40</v>
      </c>
      <c r="F23" s="16">
        <f>IF(A23="","",'Monthly Overview'!O22)</f>
        <v>0</v>
      </c>
      <c r="G23" s="16">
        <f t="shared" si="1"/>
        <v>480</v>
      </c>
      <c r="H23" s="17">
        <f t="shared" si="2"/>
        <v>0</v>
      </c>
    </row>
    <row r="24" spans="1:8" x14ac:dyDescent="0.35">
      <c r="A24" s="14" t="s">
        <v>98</v>
      </c>
      <c r="B24" s="14" t="s">
        <v>63</v>
      </c>
      <c r="C24" s="15">
        <v>40</v>
      </c>
      <c r="D24" s="16">
        <f>IF(A24="","",IF(Calc!$C$3=0,0,INDEX('Monthly Overview'!C23:N23,Calc!$C$3)))</f>
        <v>0</v>
      </c>
      <c r="E24" s="16">
        <f t="shared" si="0"/>
        <v>40</v>
      </c>
      <c r="F24" s="16">
        <f>IF(A24="","",'Monthly Overview'!O23)</f>
        <v>0</v>
      </c>
      <c r="G24" s="16">
        <f t="shared" si="1"/>
        <v>480</v>
      </c>
      <c r="H24" s="17">
        <f t="shared" si="2"/>
        <v>0</v>
      </c>
    </row>
    <row r="25" spans="1:8" x14ac:dyDescent="0.35">
      <c r="A25" s="14" t="s">
        <v>99</v>
      </c>
      <c r="B25" s="14" t="s">
        <v>63</v>
      </c>
      <c r="C25" s="15">
        <v>100</v>
      </c>
      <c r="D25" s="16">
        <f>IF(A25="","",IF(Calc!$C$3=0,0,INDEX('Monthly Overview'!C24:N24,Calc!$C$3)))</f>
        <v>0</v>
      </c>
      <c r="E25" s="16">
        <f t="shared" si="0"/>
        <v>100</v>
      </c>
      <c r="F25" s="16">
        <f>IF(A25="","",'Monthly Overview'!O24)</f>
        <v>0</v>
      </c>
      <c r="G25" s="16">
        <f t="shared" si="1"/>
        <v>1200</v>
      </c>
      <c r="H25" s="17">
        <f t="shared" si="2"/>
        <v>0</v>
      </c>
    </row>
    <row r="26" spans="1:8" x14ac:dyDescent="0.35">
      <c r="A26" s="14" t="s">
        <v>100</v>
      </c>
      <c r="B26" s="14" t="s">
        <v>63</v>
      </c>
      <c r="C26" s="15">
        <v>60</v>
      </c>
      <c r="D26" s="16">
        <f>IF(A26="","",IF(Calc!$C$3=0,0,INDEX('Monthly Overview'!C25:N25,Calc!$C$3)))</f>
        <v>0</v>
      </c>
      <c r="E26" s="16">
        <f t="shared" si="0"/>
        <v>60</v>
      </c>
      <c r="F26" s="16">
        <f>IF(A26="","",'Monthly Overview'!O25)</f>
        <v>0</v>
      </c>
      <c r="G26" s="16">
        <f t="shared" si="1"/>
        <v>720</v>
      </c>
      <c r="H26" s="17">
        <f t="shared" si="2"/>
        <v>0</v>
      </c>
    </row>
    <row r="27" spans="1:8" x14ac:dyDescent="0.35">
      <c r="A27" s="14" t="s">
        <v>101</v>
      </c>
      <c r="B27" s="14" t="s">
        <v>63</v>
      </c>
      <c r="C27" s="15">
        <v>50</v>
      </c>
      <c r="D27" s="16">
        <f>IF(A27="","",IF(Calc!$C$3=0,0,INDEX('Monthly Overview'!C26:N26,Calc!$C$3)))</f>
        <v>0</v>
      </c>
      <c r="E27" s="16">
        <f t="shared" si="0"/>
        <v>50</v>
      </c>
      <c r="F27" s="16">
        <f>IF(A27="","",'Monthly Overview'!O26)</f>
        <v>0</v>
      </c>
      <c r="G27" s="16">
        <f t="shared" si="1"/>
        <v>600</v>
      </c>
      <c r="H27" s="17">
        <f t="shared" si="2"/>
        <v>0</v>
      </c>
    </row>
    <row r="28" spans="1:8" x14ac:dyDescent="0.35">
      <c r="A28" s="14" t="s">
        <v>102</v>
      </c>
      <c r="B28" s="14" t="s">
        <v>64</v>
      </c>
      <c r="C28" s="15">
        <v>150</v>
      </c>
      <c r="D28" s="16">
        <f>IF(A28="","",IF(Calc!$C$3=0,0,INDEX('Monthly Overview'!C27:N27,Calc!$C$3)))</f>
        <v>0</v>
      </c>
      <c r="E28" s="16">
        <f t="shared" si="0"/>
        <v>150</v>
      </c>
      <c r="F28" s="16">
        <f>IF(A28="","",'Monthly Overview'!O27)</f>
        <v>0</v>
      </c>
      <c r="G28" s="16">
        <f t="shared" si="1"/>
        <v>1800</v>
      </c>
      <c r="H28" s="17">
        <f t="shared" si="2"/>
        <v>0</v>
      </c>
    </row>
    <row r="29" spans="1:8" x14ac:dyDescent="0.35">
      <c r="A29" s="14" t="s">
        <v>103</v>
      </c>
      <c r="B29" s="14" t="s">
        <v>64</v>
      </c>
      <c r="C29" s="15">
        <v>0</v>
      </c>
      <c r="D29" s="16">
        <f>IF(A29="","",IF(Calc!$C$3=0,0,INDEX('Monthly Overview'!C28:N28,Calc!$C$3)))</f>
        <v>0</v>
      </c>
      <c r="E29" s="16">
        <f t="shared" si="0"/>
        <v>0</v>
      </c>
      <c r="F29" s="16">
        <f>IF(A29="","",'Monthly Overview'!O28)</f>
        <v>0</v>
      </c>
      <c r="G29" s="16">
        <f t="shared" si="1"/>
        <v>0</v>
      </c>
      <c r="H29" s="17" t="str">
        <f t="shared" si="2"/>
        <v/>
      </c>
    </row>
    <row r="30" spans="1:8" x14ac:dyDescent="0.35">
      <c r="A30" s="14" t="s">
        <v>104</v>
      </c>
      <c r="B30" s="14" t="s">
        <v>64</v>
      </c>
      <c r="C30" s="15">
        <v>320</v>
      </c>
      <c r="D30" s="16">
        <f>IF(A30="","",IF(Calc!$C$3=0,0,INDEX('Monthly Overview'!C29:N29,Calc!$C$3)))</f>
        <v>0</v>
      </c>
      <c r="E30" s="16">
        <f t="shared" si="0"/>
        <v>320</v>
      </c>
      <c r="F30" s="16">
        <f>IF(A30="","",'Monthly Overview'!O29)</f>
        <v>0</v>
      </c>
      <c r="G30" s="16">
        <f t="shared" si="1"/>
        <v>3840</v>
      </c>
      <c r="H30" s="17">
        <f t="shared" si="2"/>
        <v>0</v>
      </c>
    </row>
    <row r="31" spans="1:8" x14ac:dyDescent="0.35">
      <c r="A31" s="14" t="s">
        <v>105</v>
      </c>
      <c r="B31" s="14" t="s">
        <v>106</v>
      </c>
      <c r="C31" s="15">
        <v>300</v>
      </c>
      <c r="D31" s="16">
        <f>IF(A31="","",IF(Calc!$C$3=0,0,INDEX('Monthly Overview'!C30:N30,Calc!$C$3)))</f>
        <v>300</v>
      </c>
      <c r="E31" s="16">
        <f t="shared" si="0"/>
        <v>0</v>
      </c>
      <c r="F31" s="16">
        <f>IF(A31="","",'Monthly Overview'!O30)</f>
        <v>300</v>
      </c>
      <c r="G31" s="16">
        <f t="shared" si="1"/>
        <v>3600</v>
      </c>
      <c r="H31" s="17">
        <f t="shared" si="2"/>
        <v>8.3333333333333329E-2</v>
      </c>
    </row>
    <row r="32" spans="1:8" x14ac:dyDescent="0.35">
      <c r="A32" s="14" t="s">
        <v>107</v>
      </c>
      <c r="B32" s="14" t="s">
        <v>106</v>
      </c>
      <c r="C32" s="15">
        <v>250</v>
      </c>
      <c r="D32" s="16">
        <f>IF(A32="","",IF(Calc!$C$3=0,0,INDEX('Monthly Overview'!C31:N31,Calc!$C$3)))</f>
        <v>0</v>
      </c>
      <c r="E32" s="16">
        <f t="shared" si="0"/>
        <v>250</v>
      </c>
      <c r="F32" s="16">
        <f>IF(A32="","",'Monthly Overview'!O31)</f>
        <v>0</v>
      </c>
      <c r="G32" s="16">
        <f t="shared" si="1"/>
        <v>3000</v>
      </c>
      <c r="H32" s="17">
        <f t="shared" si="2"/>
        <v>0</v>
      </c>
    </row>
    <row r="33" spans="1:8" x14ac:dyDescent="0.35">
      <c r="A33" s="14" t="s">
        <v>108</v>
      </c>
      <c r="B33" s="14" t="s">
        <v>106</v>
      </c>
      <c r="C33" s="15">
        <v>100</v>
      </c>
      <c r="D33" s="16">
        <f>IF(A33="","",IF(Calc!$C$3=0,0,INDEX('Monthly Overview'!C32:N32,Calc!$C$3)))</f>
        <v>0</v>
      </c>
      <c r="E33" s="16">
        <f t="shared" si="0"/>
        <v>100</v>
      </c>
      <c r="F33" s="16">
        <f>IF(A33="","",'Monthly Overview'!O32)</f>
        <v>0</v>
      </c>
      <c r="G33" s="16">
        <f t="shared" si="1"/>
        <v>1200</v>
      </c>
      <c r="H33" s="17">
        <f t="shared" si="2"/>
        <v>0</v>
      </c>
    </row>
    <row r="34" spans="1:8" x14ac:dyDescent="0.35">
      <c r="A34" s="14"/>
      <c r="B34" s="14"/>
      <c r="C34" s="15"/>
      <c r="D34" s="16" t="str">
        <f>IF(A34="","",IF(Calc!$C$3=0,0,INDEX('Monthly Overview'!C33:N33,Calc!$C$3)))</f>
        <v/>
      </c>
      <c r="E34" s="16" t="str">
        <f t="shared" si="0"/>
        <v/>
      </c>
      <c r="F34" s="16" t="str">
        <f>IF(A34="","",'Monthly Overview'!O33)</f>
        <v/>
      </c>
      <c r="G34" s="16" t="str">
        <f t="shared" si="1"/>
        <v/>
      </c>
      <c r="H34" s="17" t="str">
        <f t="shared" si="2"/>
        <v/>
      </c>
    </row>
    <row r="35" spans="1:8" x14ac:dyDescent="0.35">
      <c r="A35" s="14"/>
      <c r="B35" s="14"/>
      <c r="C35" s="15"/>
      <c r="D35" s="16" t="str">
        <f>IF(A35="","",IF(Calc!$C$3=0,0,INDEX('Monthly Overview'!C34:N34,Calc!$C$3)))</f>
        <v/>
      </c>
      <c r="E35" s="16" t="str">
        <f t="shared" si="0"/>
        <v/>
      </c>
      <c r="F35" s="16" t="str">
        <f>IF(A35="","",'Monthly Overview'!O34)</f>
        <v/>
      </c>
      <c r="G35" s="16" t="str">
        <f t="shared" si="1"/>
        <v/>
      </c>
      <c r="H35" s="17" t="str">
        <f t="shared" si="2"/>
        <v/>
      </c>
    </row>
    <row r="36" spans="1:8" x14ac:dyDescent="0.35">
      <c r="A36" s="14"/>
      <c r="B36" s="14"/>
      <c r="C36" s="15"/>
      <c r="D36" s="16" t="str">
        <f>IF(A36="","",IF(Calc!$C$3=0,0,INDEX('Monthly Overview'!C35:N35,Calc!$C$3)))</f>
        <v/>
      </c>
      <c r="E36" s="16" t="str">
        <f t="shared" si="0"/>
        <v/>
      </c>
      <c r="F36" s="16" t="str">
        <f>IF(A36="","",'Monthly Overview'!O35)</f>
        <v/>
      </c>
      <c r="G36" s="16" t="str">
        <f t="shared" si="1"/>
        <v/>
      </c>
      <c r="H36" s="17" t="str">
        <f t="shared" si="2"/>
        <v/>
      </c>
    </row>
    <row r="37" spans="1:8" x14ac:dyDescent="0.35">
      <c r="A37" s="18" t="s">
        <v>109</v>
      </c>
      <c r="B37" s="18"/>
      <c r="C37" s="19">
        <f>SUMPRODUCT(((Budget!$A$7:$A$36&lt;&gt;"")*ISNUMBER(MATCH(Budget!$B$7:$B$36,Lists!$C$2:$C$6,0))*(((Budget!$C$7:$C$36="")+ISNUMBER(Budget!$C$7:$C$36))&gt;0)*(Budget!$C$7:$C$36&gt;=0))*(Budget!$B$7:$B$36&lt;&gt;"Income"),Budget!$C$7:$C$36)</f>
        <v>4525</v>
      </c>
      <c r="D37" s="19">
        <f>SUMPRODUCT((Budget!$B$7:$B$36&lt;&gt;"Income")*(Budget!$A$7:$A$36&lt;&gt;""),D7:D36)</f>
        <v>1862.4</v>
      </c>
      <c r="E37" s="18"/>
      <c r="F37" s="19">
        <f>SUMPRODUCT((Budget!$B$7:$B$36&lt;&gt;"Income")*(Budget!$A$7:$A$36&lt;&gt;""),F7:F36)</f>
        <v>1862.4</v>
      </c>
      <c r="G37" s="18"/>
      <c r="H37" s="18"/>
    </row>
    <row r="39" spans="1:8" x14ac:dyDescent="0.35">
      <c r="A39" s="7" t="s">
        <v>110</v>
      </c>
    </row>
    <row r="40" spans="1:8" x14ac:dyDescent="0.35">
      <c r="A40" s="7" t="s">
        <v>111</v>
      </c>
    </row>
  </sheetData>
  <conditionalFormatting sqref="A7:A36">
    <cfRule type="expression" dxfId="19" priority="1">
      <formula>AND(A7="",OR(B7&lt;&gt;"",C7&lt;&gt;""))</formula>
    </cfRule>
  </conditionalFormatting>
  <conditionalFormatting sqref="C7:C36">
    <cfRule type="expression" dxfId="17" priority="3">
      <formula>AND(C7&lt;&gt;"",OR(NOT(ISNUMBER(C7)),N(C7)&lt;0))</formula>
    </cfRule>
  </conditionalFormatting>
  <conditionalFormatting sqref="E7:E36">
    <cfRule type="expression" dxfId="16" priority="4">
      <formula>AND(ISNUMBER(E7),E7&lt;0)</formula>
    </cfRule>
  </conditionalFormatting>
  <dataValidations count="2">
    <dataValidation type="custom" allowBlank="1" showErrorMessage="1" errorTitle="Category" error="Each category needs a unique name without * ? or ~ characters." sqref="A7:A36" xr:uid="{00000000-0002-0000-0200-000000000000}">
      <formula1>AND(ISERROR(FIND("*",A7)),ISERROR(FIND("?",A7)),ISERROR(FIND("~",A7)),SUMPRODUCT(--($A$7:$A$36=A7))=1)</formula1>
    </dataValidation>
    <dataValidation type="decimal" allowBlank="1" showErrorMessage="1" errorTitle="Amount" error="Enter a number only (no $ sign or text)." sqref="C7:C36" xr:uid="{00000000-0002-0000-0200-000002000000}">
      <formula1>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AND(A7&lt;&gt;"",COUNTIF(Lists!$C$2:$C$6,B7)=0)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B7:B36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group: Income, Bills, Living, Debt or Savings." xr:uid="{00000000-0002-0000-0200-000001000000}">
          <x14:formula1>
            <xm:f>Lists!$C$2:$C$6</xm:f>
          </x14:formula1>
          <xm:sqref>B7:B36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B5E"/>
  </sheetPr>
  <dimension ref="A1:E15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24" customWidth="1"/>
    <col min="3" max="3" width="34" customWidth="1"/>
    <col min="4" max="4" width="13" customWidth="1"/>
    <col min="5" max="5" width="28" customWidth="1"/>
  </cols>
  <sheetData>
    <row r="1" spans="1:5" ht="23" x14ac:dyDescent="0.5">
      <c r="A1" s="1" t="s">
        <v>112</v>
      </c>
    </row>
    <row r="2" spans="1:5" x14ac:dyDescent="0.35">
      <c r="A2" s="2" t="s">
        <v>113</v>
      </c>
      <c r="C2" s="20" t="s">
        <v>69</v>
      </c>
      <c r="D2" s="10">
        <f>SUMPRODUCT((((Transactions!$A$5:$A$1504&lt;&gt;"")+(Transactions!$B$5:$B$1504&lt;&gt;"")+(Transactions!$C$5:$C$1504&lt;&gt;"")+(Transactions!$D$5:$D$1504&lt;&gt;""))&gt;0)*((ISNUMBER(Transactions!$A$5:$A$1504)*ISNUMBER(MATCH(Transactions!$B$5:$B$1504,Lists!$A$2:$A$31,0))*ISNUMBER(Transactions!$D$5:$D$1504))=0))</f>
        <v>0</v>
      </c>
    </row>
    <row r="3" spans="1:5" x14ac:dyDescent="0.35">
      <c r="A3" s="10" t="s">
        <v>114</v>
      </c>
    </row>
    <row r="4" spans="1:5" x14ac:dyDescent="0.35">
      <c r="A4" s="13" t="s">
        <v>115</v>
      </c>
      <c r="B4" s="13" t="s">
        <v>29</v>
      </c>
      <c r="C4" s="13" t="s">
        <v>116</v>
      </c>
      <c r="D4" s="13" t="s">
        <v>61</v>
      </c>
      <c r="E4" s="13" t="s">
        <v>117</v>
      </c>
    </row>
    <row r="5" spans="1:5" x14ac:dyDescent="0.35">
      <c r="A5" s="21">
        <v>46024</v>
      </c>
      <c r="B5" s="14" t="s">
        <v>81</v>
      </c>
      <c r="C5" s="14" t="s">
        <v>118</v>
      </c>
      <c r="D5" s="15">
        <v>2300</v>
      </c>
      <c r="E5" s="14"/>
    </row>
    <row r="6" spans="1:5" x14ac:dyDescent="0.35">
      <c r="A6" s="21">
        <v>46038</v>
      </c>
      <c r="B6" s="14" t="s">
        <v>81</v>
      </c>
      <c r="C6" s="14" t="s">
        <v>118</v>
      </c>
      <c r="D6" s="15">
        <v>2300</v>
      </c>
      <c r="E6" s="14"/>
    </row>
    <row r="7" spans="1:5" x14ac:dyDescent="0.35">
      <c r="A7" s="21">
        <v>46025</v>
      </c>
      <c r="B7" s="14" t="s">
        <v>84</v>
      </c>
      <c r="C7" s="14" t="s">
        <v>119</v>
      </c>
      <c r="D7" s="15">
        <v>1450</v>
      </c>
      <c r="E7" s="14"/>
    </row>
    <row r="8" spans="1:5" x14ac:dyDescent="0.35">
      <c r="A8" s="21">
        <v>46031</v>
      </c>
      <c r="B8" s="14" t="s">
        <v>89</v>
      </c>
      <c r="C8" s="14" t="s">
        <v>120</v>
      </c>
      <c r="D8" s="15">
        <v>112.4</v>
      </c>
      <c r="E8" s="14"/>
    </row>
    <row r="9" spans="1:5" x14ac:dyDescent="0.35">
      <c r="A9" s="21">
        <v>46039</v>
      </c>
      <c r="B9" s="14" t="s">
        <v>105</v>
      </c>
      <c r="C9" s="14" t="s">
        <v>121</v>
      </c>
      <c r="D9" s="15">
        <v>300</v>
      </c>
      <c r="E9" s="14"/>
    </row>
    <row r="10" spans="1:5" x14ac:dyDescent="0.35">
      <c r="A10" s="21"/>
      <c r="B10" s="14"/>
      <c r="C10" s="14"/>
      <c r="D10" s="15"/>
      <c r="E10" s="14"/>
    </row>
    <row r="11" spans="1:5" x14ac:dyDescent="0.35">
      <c r="A11" s="21"/>
      <c r="B11" s="14"/>
      <c r="C11" s="14"/>
      <c r="D11" s="15"/>
      <c r="E11" s="14"/>
    </row>
    <row r="12" spans="1:5" x14ac:dyDescent="0.35">
      <c r="A12" s="21"/>
      <c r="B12" s="14"/>
      <c r="C12" s="14"/>
      <c r="D12" s="15"/>
      <c r="E12" s="14"/>
    </row>
    <row r="13" spans="1:5" x14ac:dyDescent="0.35">
      <c r="A13" s="21"/>
      <c r="B13" s="14"/>
      <c r="C13" s="14"/>
      <c r="D13" s="15"/>
      <c r="E13" s="14"/>
    </row>
    <row r="14" spans="1:5" x14ac:dyDescent="0.35">
      <c r="A14" s="21"/>
      <c r="B14" s="14"/>
      <c r="C14" s="14"/>
      <c r="D14" s="15"/>
      <c r="E14" s="14"/>
    </row>
    <row r="15" spans="1:5" x14ac:dyDescent="0.35">
      <c r="A15" s="21"/>
      <c r="B15" s="14"/>
      <c r="C15" s="14"/>
      <c r="D15" s="15"/>
      <c r="E15" s="14"/>
    </row>
    <row r="16" spans="1:5" x14ac:dyDescent="0.35">
      <c r="A16" s="21"/>
      <c r="B16" s="14"/>
      <c r="C16" s="14"/>
      <c r="D16" s="15"/>
      <c r="E16" s="14"/>
    </row>
    <row r="17" spans="1:5" x14ac:dyDescent="0.35">
      <c r="A17" s="21"/>
      <c r="B17" s="14"/>
      <c r="C17" s="14"/>
      <c r="D17" s="15"/>
      <c r="E17" s="14"/>
    </row>
    <row r="18" spans="1:5" x14ac:dyDescent="0.35">
      <c r="A18" s="21"/>
      <c r="B18" s="14"/>
      <c r="C18" s="14"/>
      <c r="D18" s="15"/>
      <c r="E18" s="14"/>
    </row>
    <row r="19" spans="1:5" x14ac:dyDescent="0.35">
      <c r="A19" s="21"/>
      <c r="B19" s="14"/>
      <c r="C19" s="14"/>
      <c r="D19" s="15"/>
      <c r="E19" s="14"/>
    </row>
    <row r="20" spans="1:5" x14ac:dyDescent="0.35">
      <c r="A20" s="21"/>
      <c r="B20" s="14"/>
      <c r="C20" s="14"/>
      <c r="D20" s="15"/>
      <c r="E20" s="14"/>
    </row>
    <row r="21" spans="1:5" x14ac:dyDescent="0.35">
      <c r="A21" s="21"/>
      <c r="B21" s="14"/>
      <c r="C21" s="14"/>
      <c r="D21" s="15"/>
      <c r="E21" s="14"/>
    </row>
    <row r="22" spans="1:5" x14ac:dyDescent="0.35">
      <c r="A22" s="21"/>
      <c r="B22" s="14"/>
      <c r="C22" s="14"/>
      <c r="D22" s="15"/>
      <c r="E22" s="14"/>
    </row>
    <row r="23" spans="1:5" x14ac:dyDescent="0.35">
      <c r="A23" s="21"/>
      <c r="B23" s="14"/>
      <c r="C23" s="14"/>
      <c r="D23" s="15"/>
      <c r="E23" s="14"/>
    </row>
    <row r="24" spans="1:5" x14ac:dyDescent="0.35">
      <c r="A24" s="21"/>
      <c r="B24" s="14"/>
      <c r="C24" s="14"/>
      <c r="D24" s="15"/>
      <c r="E24" s="14"/>
    </row>
    <row r="25" spans="1:5" x14ac:dyDescent="0.35">
      <c r="A25" s="21"/>
      <c r="B25" s="14"/>
      <c r="C25" s="14"/>
      <c r="D25" s="15"/>
      <c r="E25" s="14"/>
    </row>
    <row r="26" spans="1:5" x14ac:dyDescent="0.35">
      <c r="A26" s="21"/>
      <c r="B26" s="14"/>
      <c r="C26" s="14"/>
      <c r="D26" s="15"/>
      <c r="E26" s="14"/>
    </row>
    <row r="27" spans="1:5" x14ac:dyDescent="0.35">
      <c r="A27" s="21"/>
      <c r="B27" s="14"/>
      <c r="C27" s="14"/>
      <c r="D27" s="15"/>
      <c r="E27" s="14"/>
    </row>
    <row r="28" spans="1:5" x14ac:dyDescent="0.35">
      <c r="A28" s="21"/>
      <c r="B28" s="14"/>
      <c r="C28" s="14"/>
      <c r="D28" s="15"/>
      <c r="E28" s="14"/>
    </row>
    <row r="29" spans="1:5" x14ac:dyDescent="0.35">
      <c r="A29" s="21"/>
      <c r="B29" s="14"/>
      <c r="C29" s="14"/>
      <c r="D29" s="15"/>
      <c r="E29" s="14"/>
    </row>
    <row r="30" spans="1:5" x14ac:dyDescent="0.35">
      <c r="A30" s="21"/>
      <c r="B30" s="14"/>
      <c r="C30" s="14"/>
      <c r="D30" s="15"/>
      <c r="E30" s="14"/>
    </row>
    <row r="31" spans="1:5" x14ac:dyDescent="0.35">
      <c r="A31" s="21"/>
      <c r="B31" s="14"/>
      <c r="C31" s="14"/>
      <c r="D31" s="15"/>
      <c r="E31" s="14"/>
    </row>
    <row r="32" spans="1:5" x14ac:dyDescent="0.35">
      <c r="A32" s="21"/>
      <c r="B32" s="14"/>
      <c r="C32" s="14"/>
      <c r="D32" s="15"/>
      <c r="E32" s="14"/>
    </row>
    <row r="33" spans="1:5" x14ac:dyDescent="0.35">
      <c r="A33" s="21"/>
      <c r="B33" s="14"/>
      <c r="C33" s="14"/>
      <c r="D33" s="15"/>
      <c r="E33" s="14"/>
    </row>
    <row r="34" spans="1:5" x14ac:dyDescent="0.35">
      <c r="A34" s="21"/>
      <c r="B34" s="14"/>
      <c r="C34" s="14"/>
      <c r="D34" s="15"/>
      <c r="E34" s="14"/>
    </row>
    <row r="35" spans="1:5" x14ac:dyDescent="0.35">
      <c r="A35" s="21"/>
      <c r="B35" s="14"/>
      <c r="C35" s="14"/>
      <c r="D35" s="15"/>
      <c r="E35" s="14"/>
    </row>
    <row r="36" spans="1:5" x14ac:dyDescent="0.35">
      <c r="A36" s="21"/>
      <c r="B36" s="14"/>
      <c r="C36" s="14"/>
      <c r="D36" s="15"/>
      <c r="E36" s="14"/>
    </row>
    <row r="37" spans="1:5" x14ac:dyDescent="0.35">
      <c r="A37" s="21"/>
      <c r="B37" s="14"/>
      <c r="C37" s="14"/>
      <c r="D37" s="15"/>
      <c r="E37" s="14"/>
    </row>
    <row r="38" spans="1:5" x14ac:dyDescent="0.35">
      <c r="A38" s="21"/>
      <c r="B38" s="14"/>
      <c r="C38" s="14"/>
      <c r="D38" s="15"/>
      <c r="E38" s="14"/>
    </row>
    <row r="39" spans="1:5" x14ac:dyDescent="0.35">
      <c r="A39" s="21"/>
      <c r="B39" s="14"/>
      <c r="C39" s="14"/>
      <c r="D39" s="15"/>
      <c r="E39" s="14"/>
    </row>
    <row r="40" spans="1:5" x14ac:dyDescent="0.35">
      <c r="A40" s="21"/>
      <c r="B40" s="14"/>
      <c r="C40" s="14"/>
      <c r="D40" s="15"/>
      <c r="E40" s="14"/>
    </row>
    <row r="41" spans="1:5" x14ac:dyDescent="0.35">
      <c r="A41" s="21"/>
      <c r="B41" s="14"/>
      <c r="C41" s="14"/>
      <c r="D41" s="15"/>
      <c r="E41" s="14"/>
    </row>
    <row r="42" spans="1:5" x14ac:dyDescent="0.35">
      <c r="A42" s="21"/>
      <c r="B42" s="14"/>
      <c r="C42" s="14"/>
      <c r="D42" s="15"/>
      <c r="E42" s="14"/>
    </row>
    <row r="43" spans="1:5" x14ac:dyDescent="0.35">
      <c r="A43" s="21"/>
      <c r="B43" s="14"/>
      <c r="C43" s="14"/>
      <c r="D43" s="15"/>
      <c r="E43" s="14"/>
    </row>
    <row r="44" spans="1:5" x14ac:dyDescent="0.35">
      <c r="A44" s="21"/>
      <c r="B44" s="14"/>
      <c r="C44" s="14"/>
      <c r="D44" s="15"/>
      <c r="E44" s="14"/>
    </row>
    <row r="45" spans="1:5" x14ac:dyDescent="0.35">
      <c r="A45" s="21"/>
      <c r="B45" s="14"/>
      <c r="C45" s="14"/>
      <c r="D45" s="15"/>
      <c r="E45" s="14"/>
    </row>
    <row r="46" spans="1:5" x14ac:dyDescent="0.35">
      <c r="A46" s="21"/>
      <c r="B46" s="14"/>
      <c r="C46" s="14"/>
      <c r="D46" s="15"/>
      <c r="E46" s="14"/>
    </row>
    <row r="47" spans="1:5" x14ac:dyDescent="0.35">
      <c r="A47" s="21"/>
      <c r="B47" s="14"/>
      <c r="C47" s="14"/>
      <c r="D47" s="15"/>
      <c r="E47" s="14"/>
    </row>
    <row r="48" spans="1:5" x14ac:dyDescent="0.35">
      <c r="A48" s="21"/>
      <c r="B48" s="14"/>
      <c r="C48" s="14"/>
      <c r="D48" s="15"/>
      <c r="E48" s="14"/>
    </row>
    <row r="49" spans="1:5" x14ac:dyDescent="0.35">
      <c r="A49" s="21"/>
      <c r="B49" s="14"/>
      <c r="C49" s="14"/>
      <c r="D49" s="15"/>
      <c r="E49" s="14"/>
    </row>
    <row r="50" spans="1:5" x14ac:dyDescent="0.35">
      <c r="A50" s="21"/>
      <c r="B50" s="14"/>
      <c r="C50" s="14"/>
      <c r="D50" s="15"/>
      <c r="E50" s="14"/>
    </row>
    <row r="51" spans="1:5" x14ac:dyDescent="0.35">
      <c r="A51" s="21"/>
      <c r="B51" s="14"/>
      <c r="C51" s="14"/>
      <c r="D51" s="15"/>
      <c r="E51" s="14"/>
    </row>
    <row r="52" spans="1:5" x14ac:dyDescent="0.35">
      <c r="A52" s="21"/>
      <c r="B52" s="14"/>
      <c r="C52" s="14"/>
      <c r="D52" s="15"/>
      <c r="E52" s="14"/>
    </row>
    <row r="53" spans="1:5" x14ac:dyDescent="0.35">
      <c r="A53" s="21"/>
      <c r="B53" s="14"/>
      <c r="C53" s="14"/>
      <c r="D53" s="15"/>
      <c r="E53" s="14"/>
    </row>
    <row r="54" spans="1:5" x14ac:dyDescent="0.35">
      <c r="A54" s="21"/>
      <c r="B54" s="14"/>
      <c r="C54" s="14"/>
      <c r="D54" s="15"/>
      <c r="E54" s="14"/>
    </row>
    <row r="55" spans="1:5" x14ac:dyDescent="0.35">
      <c r="A55" s="21"/>
      <c r="B55" s="14"/>
      <c r="C55" s="14"/>
      <c r="D55" s="15"/>
      <c r="E55" s="14"/>
    </row>
    <row r="56" spans="1:5" x14ac:dyDescent="0.35">
      <c r="A56" s="21"/>
      <c r="B56" s="14"/>
      <c r="C56" s="14"/>
      <c r="D56" s="15"/>
      <c r="E56" s="14"/>
    </row>
    <row r="57" spans="1:5" x14ac:dyDescent="0.35">
      <c r="A57" s="21"/>
      <c r="B57" s="14"/>
      <c r="C57" s="14"/>
      <c r="D57" s="15"/>
      <c r="E57" s="14"/>
    </row>
    <row r="58" spans="1:5" x14ac:dyDescent="0.35">
      <c r="A58" s="21"/>
      <c r="B58" s="14"/>
      <c r="C58" s="14"/>
      <c r="D58" s="15"/>
      <c r="E58" s="14"/>
    </row>
    <row r="59" spans="1:5" x14ac:dyDescent="0.35">
      <c r="A59" s="21"/>
      <c r="B59" s="14"/>
      <c r="C59" s="14"/>
      <c r="D59" s="15"/>
      <c r="E59" s="14"/>
    </row>
    <row r="60" spans="1:5" x14ac:dyDescent="0.35">
      <c r="A60" s="21"/>
      <c r="B60" s="14"/>
      <c r="C60" s="14"/>
      <c r="D60" s="15"/>
      <c r="E60" s="14"/>
    </row>
    <row r="61" spans="1:5" x14ac:dyDescent="0.35">
      <c r="A61" s="21"/>
      <c r="B61" s="14"/>
      <c r="C61" s="14"/>
      <c r="D61" s="15"/>
      <c r="E61" s="14"/>
    </row>
    <row r="62" spans="1:5" x14ac:dyDescent="0.35">
      <c r="A62" s="21"/>
      <c r="B62" s="14"/>
      <c r="C62" s="14"/>
      <c r="D62" s="15"/>
      <c r="E62" s="14"/>
    </row>
    <row r="63" spans="1:5" x14ac:dyDescent="0.35">
      <c r="A63" s="21"/>
      <c r="B63" s="14"/>
      <c r="C63" s="14"/>
      <c r="D63" s="15"/>
      <c r="E63" s="14"/>
    </row>
    <row r="64" spans="1:5" x14ac:dyDescent="0.35">
      <c r="A64" s="21"/>
      <c r="B64" s="14"/>
      <c r="C64" s="14"/>
      <c r="D64" s="15"/>
      <c r="E64" s="14"/>
    </row>
    <row r="65" spans="1:5" x14ac:dyDescent="0.35">
      <c r="A65" s="21"/>
      <c r="B65" s="14"/>
      <c r="C65" s="14"/>
      <c r="D65" s="15"/>
      <c r="E65" s="14"/>
    </row>
    <row r="66" spans="1:5" x14ac:dyDescent="0.35">
      <c r="A66" s="21"/>
      <c r="B66" s="14"/>
      <c r="C66" s="14"/>
      <c r="D66" s="15"/>
      <c r="E66" s="14"/>
    </row>
    <row r="67" spans="1:5" x14ac:dyDescent="0.35">
      <c r="A67" s="21"/>
      <c r="B67" s="14"/>
      <c r="C67" s="14"/>
      <c r="D67" s="15"/>
      <c r="E67" s="14"/>
    </row>
    <row r="68" spans="1:5" x14ac:dyDescent="0.35">
      <c r="A68" s="21"/>
      <c r="B68" s="14"/>
      <c r="C68" s="14"/>
      <c r="D68" s="15"/>
      <c r="E68" s="14"/>
    </row>
    <row r="69" spans="1:5" x14ac:dyDescent="0.35">
      <c r="A69" s="21"/>
      <c r="B69" s="14"/>
      <c r="C69" s="14"/>
      <c r="D69" s="15"/>
      <c r="E69" s="14"/>
    </row>
    <row r="70" spans="1:5" x14ac:dyDescent="0.35">
      <c r="A70" s="21"/>
      <c r="B70" s="14"/>
      <c r="C70" s="14"/>
      <c r="D70" s="15"/>
      <c r="E70" s="14"/>
    </row>
    <row r="71" spans="1:5" x14ac:dyDescent="0.35">
      <c r="A71" s="21"/>
      <c r="B71" s="14"/>
      <c r="C71" s="14"/>
      <c r="D71" s="15"/>
      <c r="E71" s="14"/>
    </row>
    <row r="72" spans="1:5" x14ac:dyDescent="0.35">
      <c r="A72" s="21"/>
      <c r="B72" s="14"/>
      <c r="C72" s="14"/>
      <c r="D72" s="15"/>
      <c r="E72" s="14"/>
    </row>
    <row r="73" spans="1:5" x14ac:dyDescent="0.35">
      <c r="A73" s="21"/>
      <c r="B73" s="14"/>
      <c r="C73" s="14"/>
      <c r="D73" s="15"/>
      <c r="E73" s="14"/>
    </row>
    <row r="74" spans="1:5" x14ac:dyDescent="0.35">
      <c r="A74" s="21"/>
      <c r="B74" s="14"/>
      <c r="C74" s="14"/>
      <c r="D74" s="15"/>
      <c r="E74" s="14"/>
    </row>
    <row r="75" spans="1:5" x14ac:dyDescent="0.35">
      <c r="A75" s="21"/>
      <c r="B75" s="14"/>
      <c r="C75" s="14"/>
      <c r="D75" s="15"/>
      <c r="E75" s="14"/>
    </row>
    <row r="76" spans="1:5" x14ac:dyDescent="0.35">
      <c r="A76" s="21"/>
      <c r="B76" s="14"/>
      <c r="C76" s="14"/>
      <c r="D76" s="15"/>
      <c r="E76" s="14"/>
    </row>
    <row r="77" spans="1:5" x14ac:dyDescent="0.35">
      <c r="A77" s="21"/>
      <c r="B77" s="14"/>
      <c r="C77" s="14"/>
      <c r="D77" s="15"/>
      <c r="E77" s="14"/>
    </row>
    <row r="78" spans="1:5" x14ac:dyDescent="0.35">
      <c r="A78" s="21"/>
      <c r="B78" s="14"/>
      <c r="C78" s="14"/>
      <c r="D78" s="15"/>
      <c r="E78" s="14"/>
    </row>
    <row r="79" spans="1:5" x14ac:dyDescent="0.35">
      <c r="A79" s="21"/>
      <c r="B79" s="14"/>
      <c r="C79" s="14"/>
      <c r="D79" s="15"/>
      <c r="E79" s="14"/>
    </row>
    <row r="80" spans="1:5" x14ac:dyDescent="0.35">
      <c r="A80" s="21"/>
      <c r="B80" s="14"/>
      <c r="C80" s="14"/>
      <c r="D80" s="15"/>
      <c r="E80" s="14"/>
    </row>
    <row r="81" spans="1:5" x14ac:dyDescent="0.35">
      <c r="A81" s="21"/>
      <c r="B81" s="14"/>
      <c r="C81" s="14"/>
      <c r="D81" s="15"/>
      <c r="E81" s="14"/>
    </row>
    <row r="82" spans="1:5" x14ac:dyDescent="0.35">
      <c r="A82" s="21"/>
      <c r="B82" s="14"/>
      <c r="C82" s="14"/>
      <c r="D82" s="15"/>
      <c r="E82" s="14"/>
    </row>
    <row r="83" spans="1:5" x14ac:dyDescent="0.35">
      <c r="A83" s="21"/>
      <c r="B83" s="14"/>
      <c r="C83" s="14"/>
      <c r="D83" s="15"/>
      <c r="E83" s="14"/>
    </row>
    <row r="84" spans="1:5" x14ac:dyDescent="0.35">
      <c r="A84" s="21"/>
      <c r="B84" s="14"/>
      <c r="C84" s="14"/>
      <c r="D84" s="15"/>
      <c r="E84" s="14"/>
    </row>
    <row r="85" spans="1:5" x14ac:dyDescent="0.35">
      <c r="A85" s="21"/>
      <c r="B85" s="14"/>
      <c r="C85" s="14"/>
      <c r="D85" s="15"/>
      <c r="E85" s="14"/>
    </row>
    <row r="86" spans="1:5" x14ac:dyDescent="0.35">
      <c r="A86" s="21"/>
      <c r="B86" s="14"/>
      <c r="C86" s="14"/>
      <c r="D86" s="15"/>
      <c r="E86" s="14"/>
    </row>
    <row r="87" spans="1:5" x14ac:dyDescent="0.35">
      <c r="A87" s="21"/>
      <c r="B87" s="14"/>
      <c r="C87" s="14"/>
      <c r="D87" s="15"/>
      <c r="E87" s="14"/>
    </row>
    <row r="88" spans="1:5" x14ac:dyDescent="0.35">
      <c r="A88" s="21"/>
      <c r="B88" s="14"/>
      <c r="C88" s="14"/>
      <c r="D88" s="15"/>
      <c r="E88" s="14"/>
    </row>
    <row r="89" spans="1:5" x14ac:dyDescent="0.35">
      <c r="A89" s="21"/>
      <c r="B89" s="14"/>
      <c r="C89" s="14"/>
      <c r="D89" s="15"/>
      <c r="E89" s="14"/>
    </row>
    <row r="90" spans="1:5" x14ac:dyDescent="0.35">
      <c r="A90" s="21"/>
      <c r="B90" s="14"/>
      <c r="C90" s="14"/>
      <c r="D90" s="15"/>
      <c r="E90" s="14"/>
    </row>
    <row r="91" spans="1:5" x14ac:dyDescent="0.35">
      <c r="A91" s="21"/>
      <c r="B91" s="14"/>
      <c r="C91" s="14"/>
      <c r="D91" s="15"/>
      <c r="E91" s="14"/>
    </row>
    <row r="92" spans="1:5" x14ac:dyDescent="0.35">
      <c r="A92" s="21"/>
      <c r="B92" s="14"/>
      <c r="C92" s="14"/>
      <c r="D92" s="15"/>
      <c r="E92" s="14"/>
    </row>
    <row r="93" spans="1:5" x14ac:dyDescent="0.35">
      <c r="A93" s="21"/>
      <c r="B93" s="14"/>
      <c r="C93" s="14"/>
      <c r="D93" s="15"/>
      <c r="E93" s="14"/>
    </row>
    <row r="94" spans="1:5" x14ac:dyDescent="0.35">
      <c r="A94" s="21"/>
      <c r="B94" s="14"/>
      <c r="C94" s="14"/>
      <c r="D94" s="15"/>
      <c r="E94" s="14"/>
    </row>
    <row r="95" spans="1:5" x14ac:dyDescent="0.35">
      <c r="A95" s="21"/>
      <c r="B95" s="14"/>
      <c r="C95" s="14"/>
      <c r="D95" s="15"/>
      <c r="E95" s="14"/>
    </row>
    <row r="96" spans="1:5" x14ac:dyDescent="0.35">
      <c r="A96" s="21"/>
      <c r="B96" s="14"/>
      <c r="C96" s="14"/>
      <c r="D96" s="15"/>
      <c r="E96" s="14"/>
    </row>
    <row r="97" spans="1:5" x14ac:dyDescent="0.35">
      <c r="A97" s="21"/>
      <c r="B97" s="14"/>
      <c r="C97" s="14"/>
      <c r="D97" s="15"/>
      <c r="E97" s="14"/>
    </row>
    <row r="98" spans="1:5" x14ac:dyDescent="0.35">
      <c r="A98" s="21"/>
      <c r="B98" s="14"/>
      <c r="C98" s="14"/>
      <c r="D98" s="15"/>
      <c r="E98" s="14"/>
    </row>
    <row r="99" spans="1:5" x14ac:dyDescent="0.35">
      <c r="A99" s="21"/>
      <c r="B99" s="14"/>
      <c r="C99" s="14"/>
      <c r="D99" s="15"/>
      <c r="E99" s="14"/>
    </row>
    <row r="100" spans="1:5" x14ac:dyDescent="0.35">
      <c r="A100" s="21"/>
      <c r="B100" s="14"/>
      <c r="C100" s="14"/>
      <c r="D100" s="15"/>
      <c r="E100" s="14"/>
    </row>
    <row r="101" spans="1:5" x14ac:dyDescent="0.35">
      <c r="A101" s="21"/>
      <c r="B101" s="14"/>
      <c r="C101" s="14"/>
      <c r="D101" s="15"/>
      <c r="E101" s="14"/>
    </row>
    <row r="102" spans="1:5" x14ac:dyDescent="0.35">
      <c r="A102" s="21"/>
      <c r="B102" s="14"/>
      <c r="C102" s="14"/>
      <c r="D102" s="15"/>
      <c r="E102" s="14"/>
    </row>
    <row r="103" spans="1:5" x14ac:dyDescent="0.35">
      <c r="A103" s="21"/>
      <c r="B103" s="14"/>
      <c r="C103" s="14"/>
      <c r="D103" s="15"/>
      <c r="E103" s="14"/>
    </row>
    <row r="104" spans="1:5" x14ac:dyDescent="0.35">
      <c r="A104" s="21"/>
      <c r="B104" s="14"/>
      <c r="C104" s="14"/>
      <c r="D104" s="15"/>
      <c r="E104" s="14"/>
    </row>
    <row r="105" spans="1:5" x14ac:dyDescent="0.35">
      <c r="A105" s="21"/>
      <c r="B105" s="14"/>
      <c r="C105" s="14"/>
      <c r="D105" s="15"/>
      <c r="E105" s="14"/>
    </row>
    <row r="106" spans="1:5" x14ac:dyDescent="0.35">
      <c r="A106" s="21"/>
      <c r="B106" s="14"/>
      <c r="C106" s="14"/>
      <c r="D106" s="15"/>
      <c r="E106" s="14"/>
    </row>
    <row r="107" spans="1:5" x14ac:dyDescent="0.35">
      <c r="A107" s="21"/>
      <c r="B107" s="14"/>
      <c r="C107" s="14"/>
      <c r="D107" s="15"/>
      <c r="E107" s="14"/>
    </row>
    <row r="108" spans="1:5" x14ac:dyDescent="0.35">
      <c r="A108" s="21"/>
      <c r="B108" s="14"/>
      <c r="C108" s="14"/>
      <c r="D108" s="15"/>
      <c r="E108" s="14"/>
    </row>
    <row r="109" spans="1:5" x14ac:dyDescent="0.35">
      <c r="A109" s="21"/>
      <c r="B109" s="14"/>
      <c r="C109" s="14"/>
      <c r="D109" s="15"/>
      <c r="E109" s="14"/>
    </row>
    <row r="110" spans="1:5" x14ac:dyDescent="0.35">
      <c r="A110" s="21"/>
      <c r="B110" s="14"/>
      <c r="C110" s="14"/>
      <c r="D110" s="15"/>
      <c r="E110" s="14"/>
    </row>
    <row r="111" spans="1:5" x14ac:dyDescent="0.35">
      <c r="A111" s="21"/>
      <c r="B111" s="14"/>
      <c r="C111" s="14"/>
      <c r="D111" s="15"/>
      <c r="E111" s="14"/>
    </row>
    <row r="112" spans="1:5" x14ac:dyDescent="0.35">
      <c r="A112" s="21"/>
      <c r="B112" s="14"/>
      <c r="C112" s="14"/>
      <c r="D112" s="15"/>
      <c r="E112" s="14"/>
    </row>
    <row r="113" spans="1:5" x14ac:dyDescent="0.35">
      <c r="A113" s="21"/>
      <c r="B113" s="14"/>
      <c r="C113" s="14"/>
      <c r="D113" s="15"/>
      <c r="E113" s="14"/>
    </row>
    <row r="114" spans="1:5" x14ac:dyDescent="0.35">
      <c r="A114" s="21"/>
      <c r="B114" s="14"/>
      <c r="C114" s="14"/>
      <c r="D114" s="15"/>
      <c r="E114" s="14"/>
    </row>
    <row r="115" spans="1:5" x14ac:dyDescent="0.35">
      <c r="A115" s="21"/>
      <c r="B115" s="14"/>
      <c r="C115" s="14"/>
      <c r="D115" s="15"/>
      <c r="E115" s="14"/>
    </row>
    <row r="116" spans="1:5" x14ac:dyDescent="0.35">
      <c r="A116" s="21"/>
      <c r="B116" s="14"/>
      <c r="C116" s="14"/>
      <c r="D116" s="15"/>
      <c r="E116" s="14"/>
    </row>
    <row r="117" spans="1:5" x14ac:dyDescent="0.35">
      <c r="A117" s="21"/>
      <c r="B117" s="14"/>
      <c r="C117" s="14"/>
      <c r="D117" s="15"/>
      <c r="E117" s="14"/>
    </row>
    <row r="118" spans="1:5" x14ac:dyDescent="0.35">
      <c r="A118" s="21"/>
      <c r="B118" s="14"/>
      <c r="C118" s="14"/>
      <c r="D118" s="15"/>
      <c r="E118" s="14"/>
    </row>
    <row r="119" spans="1:5" x14ac:dyDescent="0.35">
      <c r="A119" s="21"/>
      <c r="B119" s="14"/>
      <c r="C119" s="14"/>
      <c r="D119" s="15"/>
      <c r="E119" s="14"/>
    </row>
    <row r="120" spans="1:5" x14ac:dyDescent="0.35">
      <c r="A120" s="21"/>
      <c r="B120" s="14"/>
      <c r="C120" s="14"/>
      <c r="D120" s="15"/>
      <c r="E120" s="14"/>
    </row>
    <row r="121" spans="1:5" x14ac:dyDescent="0.35">
      <c r="A121" s="21"/>
      <c r="B121" s="14"/>
      <c r="C121" s="14"/>
      <c r="D121" s="15"/>
      <c r="E121" s="14"/>
    </row>
    <row r="122" spans="1:5" x14ac:dyDescent="0.35">
      <c r="A122" s="21"/>
      <c r="B122" s="14"/>
      <c r="C122" s="14"/>
      <c r="D122" s="15"/>
      <c r="E122" s="14"/>
    </row>
    <row r="123" spans="1:5" x14ac:dyDescent="0.35">
      <c r="A123" s="21"/>
      <c r="B123" s="14"/>
      <c r="C123" s="14"/>
      <c r="D123" s="15"/>
      <c r="E123" s="14"/>
    </row>
    <row r="124" spans="1:5" x14ac:dyDescent="0.35">
      <c r="A124" s="21"/>
      <c r="B124" s="14"/>
      <c r="C124" s="14"/>
      <c r="D124" s="15"/>
      <c r="E124" s="14"/>
    </row>
    <row r="125" spans="1:5" x14ac:dyDescent="0.35">
      <c r="A125" s="21"/>
      <c r="B125" s="14"/>
      <c r="C125" s="14"/>
      <c r="D125" s="15"/>
      <c r="E125" s="14"/>
    </row>
    <row r="126" spans="1:5" x14ac:dyDescent="0.35">
      <c r="A126" s="21"/>
      <c r="B126" s="14"/>
      <c r="C126" s="14"/>
      <c r="D126" s="15"/>
      <c r="E126" s="14"/>
    </row>
    <row r="127" spans="1:5" x14ac:dyDescent="0.35">
      <c r="A127" s="21"/>
      <c r="B127" s="14"/>
      <c r="C127" s="14"/>
      <c r="D127" s="15"/>
      <c r="E127" s="14"/>
    </row>
    <row r="128" spans="1:5" x14ac:dyDescent="0.35">
      <c r="A128" s="21"/>
      <c r="B128" s="14"/>
      <c r="C128" s="14"/>
      <c r="D128" s="15"/>
      <c r="E128" s="14"/>
    </row>
    <row r="129" spans="1:5" x14ac:dyDescent="0.35">
      <c r="A129" s="21"/>
      <c r="B129" s="14"/>
      <c r="C129" s="14"/>
      <c r="D129" s="15"/>
      <c r="E129" s="14"/>
    </row>
    <row r="130" spans="1:5" x14ac:dyDescent="0.35">
      <c r="A130" s="21"/>
      <c r="B130" s="14"/>
      <c r="C130" s="14"/>
      <c r="D130" s="15"/>
      <c r="E130" s="14"/>
    </row>
    <row r="131" spans="1:5" x14ac:dyDescent="0.35">
      <c r="A131" s="21"/>
      <c r="B131" s="14"/>
      <c r="C131" s="14"/>
      <c r="D131" s="15"/>
      <c r="E131" s="14"/>
    </row>
    <row r="132" spans="1:5" x14ac:dyDescent="0.35">
      <c r="A132" s="21"/>
      <c r="B132" s="14"/>
      <c r="C132" s="14"/>
      <c r="D132" s="15"/>
      <c r="E132" s="14"/>
    </row>
    <row r="133" spans="1:5" x14ac:dyDescent="0.35">
      <c r="A133" s="21"/>
      <c r="B133" s="14"/>
      <c r="C133" s="14"/>
      <c r="D133" s="15"/>
      <c r="E133" s="14"/>
    </row>
    <row r="134" spans="1:5" x14ac:dyDescent="0.35">
      <c r="A134" s="21"/>
      <c r="B134" s="14"/>
      <c r="C134" s="14"/>
      <c r="D134" s="15"/>
      <c r="E134" s="14"/>
    </row>
    <row r="135" spans="1:5" x14ac:dyDescent="0.35">
      <c r="A135" s="21"/>
      <c r="B135" s="14"/>
      <c r="C135" s="14"/>
      <c r="D135" s="15"/>
      <c r="E135" s="14"/>
    </row>
    <row r="136" spans="1:5" x14ac:dyDescent="0.35">
      <c r="A136" s="21"/>
      <c r="B136" s="14"/>
      <c r="C136" s="14"/>
      <c r="D136" s="15"/>
      <c r="E136" s="14"/>
    </row>
    <row r="137" spans="1:5" x14ac:dyDescent="0.35">
      <c r="A137" s="21"/>
      <c r="B137" s="14"/>
      <c r="C137" s="14"/>
      <c r="D137" s="15"/>
      <c r="E137" s="14"/>
    </row>
    <row r="138" spans="1:5" x14ac:dyDescent="0.35">
      <c r="A138" s="21"/>
      <c r="B138" s="14"/>
      <c r="C138" s="14"/>
      <c r="D138" s="15"/>
      <c r="E138" s="14"/>
    </row>
    <row r="139" spans="1:5" x14ac:dyDescent="0.35">
      <c r="A139" s="21"/>
      <c r="B139" s="14"/>
      <c r="C139" s="14"/>
      <c r="D139" s="15"/>
      <c r="E139" s="14"/>
    </row>
    <row r="140" spans="1:5" x14ac:dyDescent="0.35">
      <c r="A140" s="21"/>
      <c r="B140" s="14"/>
      <c r="C140" s="14"/>
      <c r="D140" s="15"/>
      <c r="E140" s="14"/>
    </row>
    <row r="141" spans="1:5" x14ac:dyDescent="0.35">
      <c r="A141" s="21"/>
      <c r="B141" s="14"/>
      <c r="C141" s="14"/>
      <c r="D141" s="15"/>
      <c r="E141" s="14"/>
    </row>
    <row r="142" spans="1:5" x14ac:dyDescent="0.35">
      <c r="A142" s="21"/>
      <c r="B142" s="14"/>
      <c r="C142" s="14"/>
      <c r="D142" s="15"/>
      <c r="E142" s="14"/>
    </row>
    <row r="143" spans="1:5" x14ac:dyDescent="0.35">
      <c r="A143" s="21"/>
      <c r="B143" s="14"/>
      <c r="C143" s="14"/>
      <c r="D143" s="15"/>
      <c r="E143" s="14"/>
    </row>
    <row r="144" spans="1:5" x14ac:dyDescent="0.35">
      <c r="A144" s="21"/>
      <c r="B144" s="14"/>
      <c r="C144" s="14"/>
      <c r="D144" s="15"/>
      <c r="E144" s="14"/>
    </row>
    <row r="145" spans="1:5" x14ac:dyDescent="0.35">
      <c r="A145" s="21"/>
      <c r="B145" s="14"/>
      <c r="C145" s="14"/>
      <c r="D145" s="15"/>
      <c r="E145" s="14"/>
    </row>
    <row r="146" spans="1:5" x14ac:dyDescent="0.35">
      <c r="A146" s="21"/>
      <c r="B146" s="14"/>
      <c r="C146" s="14"/>
      <c r="D146" s="15"/>
      <c r="E146" s="14"/>
    </row>
    <row r="147" spans="1:5" x14ac:dyDescent="0.35">
      <c r="A147" s="21"/>
      <c r="B147" s="14"/>
      <c r="C147" s="14"/>
      <c r="D147" s="15"/>
      <c r="E147" s="14"/>
    </row>
    <row r="148" spans="1:5" x14ac:dyDescent="0.35">
      <c r="A148" s="21"/>
      <c r="B148" s="14"/>
      <c r="C148" s="14"/>
      <c r="D148" s="15"/>
      <c r="E148" s="14"/>
    </row>
    <row r="149" spans="1:5" x14ac:dyDescent="0.35">
      <c r="A149" s="21"/>
      <c r="B149" s="14"/>
      <c r="C149" s="14"/>
      <c r="D149" s="15"/>
      <c r="E149" s="14"/>
    </row>
    <row r="150" spans="1:5" x14ac:dyDescent="0.35">
      <c r="A150" s="21"/>
      <c r="B150" s="14"/>
      <c r="C150" s="14"/>
      <c r="D150" s="15"/>
      <c r="E150" s="14"/>
    </row>
    <row r="151" spans="1:5" x14ac:dyDescent="0.35">
      <c r="A151" s="21"/>
      <c r="B151" s="14"/>
      <c r="C151" s="14"/>
      <c r="D151" s="15"/>
      <c r="E151" s="14"/>
    </row>
    <row r="152" spans="1:5" x14ac:dyDescent="0.35">
      <c r="A152" s="21"/>
      <c r="B152" s="14"/>
      <c r="C152" s="14"/>
      <c r="D152" s="15"/>
      <c r="E152" s="14"/>
    </row>
    <row r="153" spans="1:5" x14ac:dyDescent="0.35">
      <c r="A153" s="21"/>
      <c r="B153" s="14"/>
      <c r="C153" s="14"/>
      <c r="D153" s="15"/>
      <c r="E153" s="14"/>
    </row>
    <row r="154" spans="1:5" x14ac:dyDescent="0.35">
      <c r="A154" s="21"/>
      <c r="B154" s="14"/>
      <c r="C154" s="14"/>
      <c r="D154" s="15"/>
      <c r="E154" s="14"/>
    </row>
    <row r="155" spans="1:5" x14ac:dyDescent="0.35">
      <c r="A155" s="21"/>
      <c r="B155" s="14"/>
      <c r="C155" s="14"/>
      <c r="D155" s="15"/>
      <c r="E155" s="14"/>
    </row>
    <row r="156" spans="1:5" x14ac:dyDescent="0.35">
      <c r="A156" s="21"/>
      <c r="B156" s="14"/>
      <c r="C156" s="14"/>
      <c r="D156" s="15"/>
      <c r="E156" s="14"/>
    </row>
    <row r="157" spans="1:5" x14ac:dyDescent="0.35">
      <c r="A157" s="21"/>
      <c r="B157" s="14"/>
      <c r="C157" s="14"/>
      <c r="D157" s="15"/>
      <c r="E157" s="14"/>
    </row>
    <row r="158" spans="1:5" x14ac:dyDescent="0.35">
      <c r="A158" s="21"/>
      <c r="B158" s="14"/>
      <c r="C158" s="14"/>
      <c r="D158" s="15"/>
      <c r="E158" s="14"/>
    </row>
    <row r="159" spans="1:5" x14ac:dyDescent="0.35">
      <c r="A159" s="21"/>
      <c r="B159" s="14"/>
      <c r="C159" s="14"/>
      <c r="D159" s="15"/>
      <c r="E159" s="14"/>
    </row>
    <row r="160" spans="1:5" x14ac:dyDescent="0.35">
      <c r="A160" s="21"/>
      <c r="B160" s="14"/>
      <c r="C160" s="14"/>
      <c r="D160" s="15"/>
      <c r="E160" s="14"/>
    </row>
    <row r="161" spans="1:5" x14ac:dyDescent="0.35">
      <c r="A161" s="21"/>
      <c r="B161" s="14"/>
      <c r="C161" s="14"/>
      <c r="D161" s="15"/>
      <c r="E161" s="14"/>
    </row>
    <row r="162" spans="1:5" x14ac:dyDescent="0.35">
      <c r="A162" s="21"/>
      <c r="B162" s="14"/>
      <c r="C162" s="14"/>
      <c r="D162" s="15"/>
      <c r="E162" s="14"/>
    </row>
    <row r="163" spans="1:5" x14ac:dyDescent="0.35">
      <c r="A163" s="21"/>
      <c r="B163" s="14"/>
      <c r="C163" s="14"/>
      <c r="D163" s="15"/>
      <c r="E163" s="14"/>
    </row>
    <row r="164" spans="1:5" x14ac:dyDescent="0.35">
      <c r="A164" s="21"/>
      <c r="B164" s="14"/>
      <c r="C164" s="14"/>
      <c r="D164" s="15"/>
      <c r="E164" s="14"/>
    </row>
    <row r="165" spans="1:5" x14ac:dyDescent="0.35">
      <c r="A165" s="21"/>
      <c r="B165" s="14"/>
      <c r="C165" s="14"/>
      <c r="D165" s="15"/>
      <c r="E165" s="14"/>
    </row>
    <row r="166" spans="1:5" x14ac:dyDescent="0.35">
      <c r="A166" s="21"/>
      <c r="B166" s="14"/>
      <c r="C166" s="14"/>
      <c r="D166" s="15"/>
      <c r="E166" s="14"/>
    </row>
    <row r="167" spans="1:5" x14ac:dyDescent="0.35">
      <c r="A167" s="21"/>
      <c r="B167" s="14"/>
      <c r="C167" s="14"/>
      <c r="D167" s="15"/>
      <c r="E167" s="14"/>
    </row>
    <row r="168" spans="1:5" x14ac:dyDescent="0.35">
      <c r="A168" s="21"/>
      <c r="B168" s="14"/>
      <c r="C168" s="14"/>
      <c r="D168" s="15"/>
      <c r="E168" s="14"/>
    </row>
    <row r="169" spans="1:5" x14ac:dyDescent="0.35">
      <c r="A169" s="21"/>
      <c r="B169" s="14"/>
      <c r="C169" s="14"/>
      <c r="D169" s="15"/>
      <c r="E169" s="14"/>
    </row>
    <row r="170" spans="1:5" x14ac:dyDescent="0.35">
      <c r="A170" s="21"/>
      <c r="B170" s="14"/>
      <c r="C170" s="14"/>
      <c r="D170" s="15"/>
      <c r="E170" s="14"/>
    </row>
    <row r="171" spans="1:5" x14ac:dyDescent="0.35">
      <c r="A171" s="21"/>
      <c r="B171" s="14"/>
      <c r="C171" s="14"/>
      <c r="D171" s="15"/>
      <c r="E171" s="14"/>
    </row>
    <row r="172" spans="1:5" x14ac:dyDescent="0.35">
      <c r="A172" s="21"/>
      <c r="B172" s="14"/>
      <c r="C172" s="14"/>
      <c r="D172" s="15"/>
      <c r="E172" s="14"/>
    </row>
    <row r="173" spans="1:5" x14ac:dyDescent="0.35">
      <c r="A173" s="21"/>
      <c r="B173" s="14"/>
      <c r="C173" s="14"/>
      <c r="D173" s="15"/>
      <c r="E173" s="14"/>
    </row>
    <row r="174" spans="1:5" x14ac:dyDescent="0.35">
      <c r="A174" s="21"/>
      <c r="B174" s="14"/>
      <c r="C174" s="14"/>
      <c r="D174" s="15"/>
      <c r="E174" s="14"/>
    </row>
    <row r="175" spans="1:5" x14ac:dyDescent="0.35">
      <c r="A175" s="21"/>
      <c r="B175" s="14"/>
      <c r="C175" s="14"/>
      <c r="D175" s="15"/>
      <c r="E175" s="14"/>
    </row>
    <row r="176" spans="1:5" x14ac:dyDescent="0.35">
      <c r="A176" s="21"/>
      <c r="B176" s="14"/>
      <c r="C176" s="14"/>
      <c r="D176" s="15"/>
      <c r="E176" s="14"/>
    </row>
    <row r="177" spans="1:5" x14ac:dyDescent="0.35">
      <c r="A177" s="21"/>
      <c r="B177" s="14"/>
      <c r="C177" s="14"/>
      <c r="D177" s="15"/>
      <c r="E177" s="14"/>
    </row>
    <row r="178" spans="1:5" x14ac:dyDescent="0.35">
      <c r="A178" s="21"/>
      <c r="B178" s="14"/>
      <c r="C178" s="14"/>
      <c r="D178" s="15"/>
      <c r="E178" s="14"/>
    </row>
    <row r="179" spans="1:5" x14ac:dyDescent="0.35">
      <c r="A179" s="21"/>
      <c r="B179" s="14"/>
      <c r="C179" s="14"/>
      <c r="D179" s="15"/>
      <c r="E179" s="14"/>
    </row>
    <row r="180" spans="1:5" x14ac:dyDescent="0.35">
      <c r="A180" s="21"/>
      <c r="B180" s="14"/>
      <c r="C180" s="14"/>
      <c r="D180" s="15"/>
      <c r="E180" s="14"/>
    </row>
    <row r="181" spans="1:5" x14ac:dyDescent="0.35">
      <c r="A181" s="21"/>
      <c r="B181" s="14"/>
      <c r="C181" s="14"/>
      <c r="D181" s="15"/>
      <c r="E181" s="14"/>
    </row>
    <row r="182" spans="1:5" x14ac:dyDescent="0.35">
      <c r="A182" s="21"/>
      <c r="B182" s="14"/>
      <c r="C182" s="14"/>
      <c r="D182" s="15"/>
      <c r="E182" s="14"/>
    </row>
    <row r="183" spans="1:5" x14ac:dyDescent="0.35">
      <c r="A183" s="21"/>
      <c r="B183" s="14"/>
      <c r="C183" s="14"/>
      <c r="D183" s="15"/>
      <c r="E183" s="14"/>
    </row>
    <row r="184" spans="1:5" x14ac:dyDescent="0.35">
      <c r="A184" s="21"/>
      <c r="B184" s="14"/>
      <c r="C184" s="14"/>
      <c r="D184" s="15"/>
      <c r="E184" s="14"/>
    </row>
    <row r="185" spans="1:5" x14ac:dyDescent="0.35">
      <c r="A185" s="21"/>
      <c r="B185" s="14"/>
      <c r="C185" s="14"/>
      <c r="D185" s="15"/>
      <c r="E185" s="14"/>
    </row>
    <row r="186" spans="1:5" x14ac:dyDescent="0.35">
      <c r="A186" s="21"/>
      <c r="B186" s="14"/>
      <c r="C186" s="14"/>
      <c r="D186" s="15"/>
      <c r="E186" s="14"/>
    </row>
    <row r="187" spans="1:5" x14ac:dyDescent="0.35">
      <c r="A187" s="21"/>
      <c r="B187" s="14"/>
      <c r="C187" s="14"/>
      <c r="D187" s="15"/>
      <c r="E187" s="14"/>
    </row>
    <row r="188" spans="1:5" x14ac:dyDescent="0.35">
      <c r="A188" s="21"/>
      <c r="B188" s="14"/>
      <c r="C188" s="14"/>
      <c r="D188" s="15"/>
      <c r="E188" s="14"/>
    </row>
    <row r="189" spans="1:5" x14ac:dyDescent="0.35">
      <c r="A189" s="21"/>
      <c r="B189" s="14"/>
      <c r="C189" s="14"/>
      <c r="D189" s="15"/>
      <c r="E189" s="14"/>
    </row>
    <row r="190" spans="1:5" x14ac:dyDescent="0.35">
      <c r="A190" s="21"/>
      <c r="B190" s="14"/>
      <c r="C190" s="14"/>
      <c r="D190" s="15"/>
      <c r="E190" s="14"/>
    </row>
    <row r="191" spans="1:5" x14ac:dyDescent="0.35">
      <c r="A191" s="21"/>
      <c r="B191" s="14"/>
      <c r="C191" s="14"/>
      <c r="D191" s="15"/>
      <c r="E191" s="14"/>
    </row>
    <row r="192" spans="1:5" x14ac:dyDescent="0.35">
      <c r="A192" s="21"/>
      <c r="B192" s="14"/>
      <c r="C192" s="14"/>
      <c r="D192" s="15"/>
      <c r="E192" s="14"/>
    </row>
    <row r="193" spans="1:5" x14ac:dyDescent="0.35">
      <c r="A193" s="21"/>
      <c r="B193" s="14"/>
      <c r="C193" s="14"/>
      <c r="D193" s="15"/>
      <c r="E193" s="14"/>
    </row>
    <row r="194" spans="1:5" x14ac:dyDescent="0.35">
      <c r="A194" s="21"/>
      <c r="B194" s="14"/>
      <c r="C194" s="14"/>
      <c r="D194" s="15"/>
      <c r="E194" s="14"/>
    </row>
    <row r="195" spans="1:5" x14ac:dyDescent="0.35">
      <c r="A195" s="21"/>
      <c r="B195" s="14"/>
      <c r="C195" s="14"/>
      <c r="D195" s="15"/>
      <c r="E195" s="14"/>
    </row>
    <row r="196" spans="1:5" x14ac:dyDescent="0.35">
      <c r="A196" s="21"/>
      <c r="B196" s="14"/>
      <c r="C196" s="14"/>
      <c r="D196" s="15"/>
      <c r="E196" s="14"/>
    </row>
    <row r="197" spans="1:5" x14ac:dyDescent="0.35">
      <c r="A197" s="21"/>
      <c r="B197" s="14"/>
      <c r="C197" s="14"/>
      <c r="D197" s="15"/>
      <c r="E197" s="14"/>
    </row>
    <row r="198" spans="1:5" x14ac:dyDescent="0.35">
      <c r="A198" s="21"/>
      <c r="B198" s="14"/>
      <c r="C198" s="14"/>
      <c r="D198" s="15"/>
      <c r="E198" s="14"/>
    </row>
    <row r="199" spans="1:5" x14ac:dyDescent="0.35">
      <c r="A199" s="21"/>
      <c r="B199" s="14"/>
      <c r="C199" s="14"/>
      <c r="D199" s="15"/>
      <c r="E199" s="14"/>
    </row>
    <row r="200" spans="1:5" x14ac:dyDescent="0.35">
      <c r="A200" s="21"/>
      <c r="B200" s="14"/>
      <c r="C200" s="14"/>
      <c r="D200" s="15"/>
      <c r="E200" s="14"/>
    </row>
    <row r="201" spans="1:5" x14ac:dyDescent="0.35">
      <c r="A201" s="21"/>
      <c r="B201" s="14"/>
      <c r="C201" s="14"/>
      <c r="D201" s="15"/>
      <c r="E201" s="14"/>
    </row>
    <row r="202" spans="1:5" x14ac:dyDescent="0.35">
      <c r="A202" s="21"/>
      <c r="B202" s="14"/>
      <c r="C202" s="14"/>
      <c r="D202" s="15"/>
      <c r="E202" s="14"/>
    </row>
    <row r="203" spans="1:5" x14ac:dyDescent="0.35">
      <c r="A203" s="21"/>
      <c r="B203" s="14"/>
      <c r="C203" s="14"/>
      <c r="D203" s="15"/>
      <c r="E203" s="14"/>
    </row>
    <row r="204" spans="1:5" x14ac:dyDescent="0.35">
      <c r="A204" s="21"/>
      <c r="B204" s="14"/>
      <c r="C204" s="14"/>
      <c r="D204" s="15"/>
      <c r="E204" s="14"/>
    </row>
    <row r="205" spans="1:5" x14ac:dyDescent="0.35">
      <c r="A205" s="21"/>
      <c r="B205" s="14"/>
      <c r="C205" s="14"/>
      <c r="D205" s="15"/>
      <c r="E205" s="14"/>
    </row>
    <row r="206" spans="1:5" x14ac:dyDescent="0.35">
      <c r="A206" s="21"/>
      <c r="B206" s="14"/>
      <c r="C206" s="14"/>
      <c r="D206" s="15"/>
      <c r="E206" s="14"/>
    </row>
    <row r="207" spans="1:5" x14ac:dyDescent="0.35">
      <c r="A207" s="21"/>
      <c r="B207" s="14"/>
      <c r="C207" s="14"/>
      <c r="D207" s="15"/>
      <c r="E207" s="14"/>
    </row>
    <row r="208" spans="1:5" x14ac:dyDescent="0.35">
      <c r="A208" s="21"/>
      <c r="B208" s="14"/>
      <c r="C208" s="14"/>
      <c r="D208" s="15"/>
      <c r="E208" s="14"/>
    </row>
    <row r="209" spans="1:5" x14ac:dyDescent="0.35">
      <c r="A209" s="21"/>
      <c r="B209" s="14"/>
      <c r="C209" s="14"/>
      <c r="D209" s="15"/>
      <c r="E209" s="14"/>
    </row>
    <row r="210" spans="1:5" x14ac:dyDescent="0.35">
      <c r="A210" s="21"/>
      <c r="B210" s="14"/>
      <c r="C210" s="14"/>
      <c r="D210" s="15"/>
      <c r="E210" s="14"/>
    </row>
    <row r="211" spans="1:5" x14ac:dyDescent="0.35">
      <c r="A211" s="21"/>
      <c r="B211" s="14"/>
      <c r="C211" s="14"/>
      <c r="D211" s="15"/>
      <c r="E211" s="14"/>
    </row>
    <row r="212" spans="1:5" x14ac:dyDescent="0.35">
      <c r="A212" s="21"/>
      <c r="B212" s="14"/>
      <c r="C212" s="14"/>
      <c r="D212" s="15"/>
      <c r="E212" s="14"/>
    </row>
    <row r="213" spans="1:5" x14ac:dyDescent="0.35">
      <c r="A213" s="21"/>
      <c r="B213" s="14"/>
      <c r="C213" s="14"/>
      <c r="D213" s="15"/>
      <c r="E213" s="14"/>
    </row>
    <row r="214" spans="1:5" x14ac:dyDescent="0.35">
      <c r="A214" s="21"/>
      <c r="B214" s="14"/>
      <c r="C214" s="14"/>
      <c r="D214" s="15"/>
      <c r="E214" s="14"/>
    </row>
    <row r="215" spans="1:5" x14ac:dyDescent="0.35">
      <c r="A215" s="21"/>
      <c r="B215" s="14"/>
      <c r="C215" s="14"/>
      <c r="D215" s="15"/>
      <c r="E215" s="14"/>
    </row>
    <row r="216" spans="1:5" x14ac:dyDescent="0.35">
      <c r="A216" s="21"/>
      <c r="B216" s="14"/>
      <c r="C216" s="14"/>
      <c r="D216" s="15"/>
      <c r="E216" s="14"/>
    </row>
    <row r="217" spans="1:5" x14ac:dyDescent="0.35">
      <c r="A217" s="21"/>
      <c r="B217" s="14"/>
      <c r="C217" s="14"/>
      <c r="D217" s="15"/>
      <c r="E217" s="14"/>
    </row>
    <row r="218" spans="1:5" x14ac:dyDescent="0.35">
      <c r="A218" s="21"/>
      <c r="B218" s="14"/>
      <c r="C218" s="14"/>
      <c r="D218" s="15"/>
      <c r="E218" s="14"/>
    </row>
    <row r="219" spans="1:5" x14ac:dyDescent="0.35">
      <c r="A219" s="21"/>
      <c r="B219" s="14"/>
      <c r="C219" s="14"/>
      <c r="D219" s="15"/>
      <c r="E219" s="14"/>
    </row>
    <row r="220" spans="1:5" x14ac:dyDescent="0.35">
      <c r="A220" s="21"/>
      <c r="B220" s="14"/>
      <c r="C220" s="14"/>
      <c r="D220" s="15"/>
      <c r="E220" s="14"/>
    </row>
    <row r="221" spans="1:5" x14ac:dyDescent="0.35">
      <c r="A221" s="21"/>
      <c r="B221" s="14"/>
      <c r="C221" s="14"/>
      <c r="D221" s="15"/>
      <c r="E221" s="14"/>
    </row>
    <row r="222" spans="1:5" x14ac:dyDescent="0.35">
      <c r="A222" s="21"/>
      <c r="B222" s="14"/>
      <c r="C222" s="14"/>
      <c r="D222" s="15"/>
      <c r="E222" s="14"/>
    </row>
    <row r="223" spans="1:5" x14ac:dyDescent="0.35">
      <c r="A223" s="21"/>
      <c r="B223" s="14"/>
      <c r="C223" s="14"/>
      <c r="D223" s="15"/>
      <c r="E223" s="14"/>
    </row>
    <row r="224" spans="1:5" x14ac:dyDescent="0.35">
      <c r="A224" s="21"/>
      <c r="B224" s="14"/>
      <c r="C224" s="14"/>
      <c r="D224" s="15"/>
      <c r="E224" s="14"/>
    </row>
    <row r="225" spans="1:5" x14ac:dyDescent="0.35">
      <c r="A225" s="21"/>
      <c r="B225" s="14"/>
      <c r="C225" s="14"/>
      <c r="D225" s="15"/>
      <c r="E225" s="14"/>
    </row>
    <row r="226" spans="1:5" x14ac:dyDescent="0.35">
      <c r="A226" s="21"/>
      <c r="B226" s="14"/>
      <c r="C226" s="14"/>
      <c r="D226" s="15"/>
      <c r="E226" s="14"/>
    </row>
    <row r="227" spans="1:5" x14ac:dyDescent="0.35">
      <c r="A227" s="21"/>
      <c r="B227" s="14"/>
      <c r="C227" s="14"/>
      <c r="D227" s="15"/>
      <c r="E227" s="14"/>
    </row>
    <row r="228" spans="1:5" x14ac:dyDescent="0.35">
      <c r="A228" s="21"/>
      <c r="B228" s="14"/>
      <c r="C228" s="14"/>
      <c r="D228" s="15"/>
      <c r="E228" s="14"/>
    </row>
    <row r="229" spans="1:5" x14ac:dyDescent="0.35">
      <c r="A229" s="21"/>
      <c r="B229" s="14"/>
      <c r="C229" s="14"/>
      <c r="D229" s="15"/>
      <c r="E229" s="14"/>
    </row>
    <row r="230" spans="1:5" x14ac:dyDescent="0.35">
      <c r="A230" s="21"/>
      <c r="B230" s="14"/>
      <c r="C230" s="14"/>
      <c r="D230" s="15"/>
      <c r="E230" s="14"/>
    </row>
    <row r="231" spans="1:5" x14ac:dyDescent="0.35">
      <c r="A231" s="21"/>
      <c r="B231" s="14"/>
      <c r="C231" s="14"/>
      <c r="D231" s="15"/>
      <c r="E231" s="14"/>
    </row>
    <row r="232" spans="1:5" x14ac:dyDescent="0.35">
      <c r="A232" s="21"/>
      <c r="B232" s="14"/>
      <c r="C232" s="14"/>
      <c r="D232" s="15"/>
      <c r="E232" s="14"/>
    </row>
    <row r="233" spans="1:5" x14ac:dyDescent="0.35">
      <c r="A233" s="21"/>
      <c r="B233" s="14"/>
      <c r="C233" s="14"/>
      <c r="D233" s="15"/>
      <c r="E233" s="14"/>
    </row>
    <row r="234" spans="1:5" x14ac:dyDescent="0.35">
      <c r="A234" s="21"/>
      <c r="B234" s="14"/>
      <c r="C234" s="14"/>
      <c r="D234" s="15"/>
      <c r="E234" s="14"/>
    </row>
    <row r="235" spans="1:5" x14ac:dyDescent="0.35">
      <c r="A235" s="21"/>
      <c r="B235" s="14"/>
      <c r="C235" s="14"/>
      <c r="D235" s="15"/>
      <c r="E235" s="14"/>
    </row>
    <row r="236" spans="1:5" x14ac:dyDescent="0.35">
      <c r="A236" s="21"/>
      <c r="B236" s="14"/>
      <c r="C236" s="14"/>
      <c r="D236" s="15"/>
      <c r="E236" s="14"/>
    </row>
    <row r="237" spans="1:5" x14ac:dyDescent="0.35">
      <c r="A237" s="21"/>
      <c r="B237" s="14"/>
      <c r="C237" s="14"/>
      <c r="D237" s="15"/>
      <c r="E237" s="14"/>
    </row>
    <row r="238" spans="1:5" x14ac:dyDescent="0.35">
      <c r="A238" s="21"/>
      <c r="B238" s="14"/>
      <c r="C238" s="14"/>
      <c r="D238" s="15"/>
      <c r="E238" s="14"/>
    </row>
    <row r="239" spans="1:5" x14ac:dyDescent="0.35">
      <c r="A239" s="21"/>
      <c r="B239" s="14"/>
      <c r="C239" s="14"/>
      <c r="D239" s="15"/>
      <c r="E239" s="14"/>
    </row>
    <row r="240" spans="1:5" x14ac:dyDescent="0.35">
      <c r="A240" s="21"/>
      <c r="B240" s="14"/>
      <c r="C240" s="14"/>
      <c r="D240" s="15"/>
      <c r="E240" s="14"/>
    </row>
    <row r="241" spans="1:5" x14ac:dyDescent="0.35">
      <c r="A241" s="21"/>
      <c r="B241" s="14"/>
      <c r="C241" s="14"/>
      <c r="D241" s="15"/>
      <c r="E241" s="14"/>
    </row>
    <row r="242" spans="1:5" x14ac:dyDescent="0.35">
      <c r="A242" s="21"/>
      <c r="B242" s="14"/>
      <c r="C242" s="14"/>
      <c r="D242" s="15"/>
      <c r="E242" s="14"/>
    </row>
    <row r="243" spans="1:5" x14ac:dyDescent="0.35">
      <c r="A243" s="21"/>
      <c r="B243" s="14"/>
      <c r="C243" s="14"/>
      <c r="D243" s="15"/>
      <c r="E243" s="14"/>
    </row>
    <row r="244" spans="1:5" x14ac:dyDescent="0.35">
      <c r="A244" s="21"/>
      <c r="B244" s="14"/>
      <c r="C244" s="14"/>
      <c r="D244" s="15"/>
      <c r="E244" s="14"/>
    </row>
    <row r="245" spans="1:5" x14ac:dyDescent="0.35">
      <c r="A245" s="21"/>
      <c r="B245" s="14"/>
      <c r="C245" s="14"/>
      <c r="D245" s="15"/>
      <c r="E245" s="14"/>
    </row>
    <row r="246" spans="1:5" x14ac:dyDescent="0.35">
      <c r="A246" s="21"/>
      <c r="B246" s="14"/>
      <c r="C246" s="14"/>
      <c r="D246" s="15"/>
      <c r="E246" s="14"/>
    </row>
    <row r="247" spans="1:5" x14ac:dyDescent="0.35">
      <c r="A247" s="21"/>
      <c r="B247" s="14"/>
      <c r="C247" s="14"/>
      <c r="D247" s="15"/>
      <c r="E247" s="14"/>
    </row>
    <row r="248" spans="1:5" x14ac:dyDescent="0.35">
      <c r="A248" s="21"/>
      <c r="B248" s="14"/>
      <c r="C248" s="14"/>
      <c r="D248" s="15"/>
      <c r="E248" s="14"/>
    </row>
    <row r="249" spans="1:5" x14ac:dyDescent="0.35">
      <c r="A249" s="21"/>
      <c r="B249" s="14"/>
      <c r="C249" s="14"/>
      <c r="D249" s="15"/>
      <c r="E249" s="14"/>
    </row>
    <row r="250" spans="1:5" x14ac:dyDescent="0.35">
      <c r="A250" s="21"/>
      <c r="B250" s="14"/>
      <c r="C250" s="14"/>
      <c r="D250" s="15"/>
      <c r="E250" s="14"/>
    </row>
    <row r="251" spans="1:5" x14ac:dyDescent="0.35">
      <c r="A251" s="21"/>
      <c r="B251" s="14"/>
      <c r="C251" s="14"/>
      <c r="D251" s="15"/>
      <c r="E251" s="14"/>
    </row>
    <row r="252" spans="1:5" x14ac:dyDescent="0.35">
      <c r="A252" s="21"/>
      <c r="B252" s="14"/>
      <c r="C252" s="14"/>
      <c r="D252" s="15"/>
      <c r="E252" s="14"/>
    </row>
    <row r="253" spans="1:5" x14ac:dyDescent="0.35">
      <c r="A253" s="21"/>
      <c r="B253" s="14"/>
      <c r="C253" s="14"/>
      <c r="D253" s="15"/>
      <c r="E253" s="14"/>
    </row>
    <row r="254" spans="1:5" x14ac:dyDescent="0.35">
      <c r="A254" s="21"/>
      <c r="B254" s="14"/>
      <c r="C254" s="14"/>
      <c r="D254" s="15"/>
      <c r="E254" s="14"/>
    </row>
    <row r="255" spans="1:5" x14ac:dyDescent="0.35">
      <c r="A255" s="21"/>
      <c r="B255" s="14"/>
      <c r="C255" s="14"/>
      <c r="D255" s="15"/>
      <c r="E255" s="14"/>
    </row>
    <row r="256" spans="1:5" x14ac:dyDescent="0.35">
      <c r="A256" s="21"/>
      <c r="B256" s="14"/>
      <c r="C256" s="14"/>
      <c r="D256" s="15"/>
      <c r="E256" s="14"/>
    </row>
    <row r="257" spans="1:5" x14ac:dyDescent="0.35">
      <c r="A257" s="21"/>
      <c r="B257" s="14"/>
      <c r="C257" s="14"/>
      <c r="D257" s="15"/>
      <c r="E257" s="14"/>
    </row>
    <row r="258" spans="1:5" x14ac:dyDescent="0.35">
      <c r="A258" s="21"/>
      <c r="B258" s="14"/>
      <c r="C258" s="14"/>
      <c r="D258" s="15"/>
      <c r="E258" s="14"/>
    </row>
    <row r="259" spans="1:5" x14ac:dyDescent="0.35">
      <c r="A259" s="21"/>
      <c r="B259" s="14"/>
      <c r="C259" s="14"/>
      <c r="D259" s="15"/>
      <c r="E259" s="14"/>
    </row>
    <row r="260" spans="1:5" x14ac:dyDescent="0.35">
      <c r="A260" s="21"/>
      <c r="B260" s="14"/>
      <c r="C260" s="14"/>
      <c r="D260" s="15"/>
      <c r="E260" s="14"/>
    </row>
    <row r="261" spans="1:5" x14ac:dyDescent="0.35">
      <c r="A261" s="21"/>
      <c r="B261" s="14"/>
      <c r="C261" s="14"/>
      <c r="D261" s="15"/>
      <c r="E261" s="14"/>
    </row>
    <row r="262" spans="1:5" x14ac:dyDescent="0.35">
      <c r="A262" s="21"/>
      <c r="B262" s="14"/>
      <c r="C262" s="14"/>
      <c r="D262" s="15"/>
      <c r="E262" s="14"/>
    </row>
    <row r="263" spans="1:5" x14ac:dyDescent="0.35">
      <c r="A263" s="21"/>
      <c r="B263" s="14"/>
      <c r="C263" s="14"/>
      <c r="D263" s="15"/>
      <c r="E263" s="14"/>
    </row>
    <row r="264" spans="1:5" x14ac:dyDescent="0.35">
      <c r="A264" s="21"/>
      <c r="B264" s="14"/>
      <c r="C264" s="14"/>
      <c r="D264" s="15"/>
      <c r="E264" s="14"/>
    </row>
    <row r="265" spans="1:5" x14ac:dyDescent="0.35">
      <c r="A265" s="21"/>
      <c r="B265" s="14"/>
      <c r="C265" s="14"/>
      <c r="D265" s="15"/>
      <c r="E265" s="14"/>
    </row>
    <row r="266" spans="1:5" x14ac:dyDescent="0.35">
      <c r="A266" s="21"/>
      <c r="B266" s="14"/>
      <c r="C266" s="14"/>
      <c r="D266" s="15"/>
      <c r="E266" s="14"/>
    </row>
    <row r="267" spans="1:5" x14ac:dyDescent="0.35">
      <c r="A267" s="21"/>
      <c r="B267" s="14"/>
      <c r="C267" s="14"/>
      <c r="D267" s="15"/>
      <c r="E267" s="14"/>
    </row>
    <row r="268" spans="1:5" x14ac:dyDescent="0.35">
      <c r="A268" s="21"/>
      <c r="B268" s="14"/>
      <c r="C268" s="14"/>
      <c r="D268" s="15"/>
      <c r="E268" s="14"/>
    </row>
    <row r="269" spans="1:5" x14ac:dyDescent="0.35">
      <c r="A269" s="21"/>
      <c r="B269" s="14"/>
      <c r="C269" s="14"/>
      <c r="D269" s="15"/>
      <c r="E269" s="14"/>
    </row>
    <row r="270" spans="1:5" x14ac:dyDescent="0.35">
      <c r="A270" s="21"/>
      <c r="B270" s="14"/>
      <c r="C270" s="14"/>
      <c r="D270" s="15"/>
      <c r="E270" s="14"/>
    </row>
    <row r="271" spans="1:5" x14ac:dyDescent="0.35">
      <c r="A271" s="21"/>
      <c r="B271" s="14"/>
      <c r="C271" s="14"/>
      <c r="D271" s="15"/>
      <c r="E271" s="14"/>
    </row>
    <row r="272" spans="1:5" x14ac:dyDescent="0.35">
      <c r="A272" s="21"/>
      <c r="B272" s="14"/>
      <c r="C272" s="14"/>
      <c r="D272" s="15"/>
      <c r="E272" s="14"/>
    </row>
    <row r="273" spans="1:5" x14ac:dyDescent="0.35">
      <c r="A273" s="21"/>
      <c r="B273" s="14"/>
      <c r="C273" s="14"/>
      <c r="D273" s="15"/>
      <c r="E273" s="14"/>
    </row>
    <row r="274" spans="1:5" x14ac:dyDescent="0.35">
      <c r="A274" s="21"/>
      <c r="B274" s="14"/>
      <c r="C274" s="14"/>
      <c r="D274" s="15"/>
      <c r="E274" s="14"/>
    </row>
    <row r="275" spans="1:5" x14ac:dyDescent="0.35">
      <c r="A275" s="21"/>
      <c r="B275" s="14"/>
      <c r="C275" s="14"/>
      <c r="D275" s="15"/>
      <c r="E275" s="14"/>
    </row>
    <row r="276" spans="1:5" x14ac:dyDescent="0.35">
      <c r="A276" s="21"/>
      <c r="B276" s="14"/>
      <c r="C276" s="14"/>
      <c r="D276" s="15"/>
      <c r="E276" s="14"/>
    </row>
    <row r="277" spans="1:5" x14ac:dyDescent="0.35">
      <c r="A277" s="21"/>
      <c r="B277" s="14"/>
      <c r="C277" s="14"/>
      <c r="D277" s="15"/>
      <c r="E277" s="14"/>
    </row>
    <row r="278" spans="1:5" x14ac:dyDescent="0.35">
      <c r="A278" s="21"/>
      <c r="B278" s="14"/>
      <c r="C278" s="14"/>
      <c r="D278" s="15"/>
      <c r="E278" s="14"/>
    </row>
    <row r="279" spans="1:5" x14ac:dyDescent="0.35">
      <c r="A279" s="21"/>
      <c r="B279" s="14"/>
      <c r="C279" s="14"/>
      <c r="D279" s="15"/>
      <c r="E279" s="14"/>
    </row>
    <row r="280" spans="1:5" x14ac:dyDescent="0.35">
      <c r="A280" s="21"/>
      <c r="B280" s="14"/>
      <c r="C280" s="14"/>
      <c r="D280" s="15"/>
      <c r="E280" s="14"/>
    </row>
    <row r="281" spans="1:5" x14ac:dyDescent="0.35">
      <c r="A281" s="21"/>
      <c r="B281" s="14"/>
      <c r="C281" s="14"/>
      <c r="D281" s="15"/>
      <c r="E281" s="14"/>
    </row>
    <row r="282" spans="1:5" x14ac:dyDescent="0.35">
      <c r="A282" s="21"/>
      <c r="B282" s="14"/>
      <c r="C282" s="14"/>
      <c r="D282" s="15"/>
      <c r="E282" s="14"/>
    </row>
    <row r="283" spans="1:5" x14ac:dyDescent="0.35">
      <c r="A283" s="21"/>
      <c r="B283" s="14"/>
      <c r="C283" s="14"/>
      <c r="D283" s="15"/>
      <c r="E283" s="14"/>
    </row>
    <row r="284" spans="1:5" x14ac:dyDescent="0.35">
      <c r="A284" s="21"/>
      <c r="B284" s="14"/>
      <c r="C284" s="14"/>
      <c r="D284" s="15"/>
      <c r="E284" s="14"/>
    </row>
    <row r="285" spans="1:5" x14ac:dyDescent="0.35">
      <c r="A285" s="21"/>
      <c r="B285" s="14"/>
      <c r="C285" s="14"/>
      <c r="D285" s="15"/>
      <c r="E285" s="14"/>
    </row>
    <row r="286" spans="1:5" x14ac:dyDescent="0.35">
      <c r="A286" s="21"/>
      <c r="B286" s="14"/>
      <c r="C286" s="14"/>
      <c r="D286" s="15"/>
      <c r="E286" s="14"/>
    </row>
    <row r="287" spans="1:5" x14ac:dyDescent="0.35">
      <c r="A287" s="21"/>
      <c r="B287" s="14"/>
      <c r="C287" s="14"/>
      <c r="D287" s="15"/>
      <c r="E287" s="14"/>
    </row>
    <row r="288" spans="1:5" x14ac:dyDescent="0.35">
      <c r="A288" s="21"/>
      <c r="B288" s="14"/>
      <c r="C288" s="14"/>
      <c r="D288" s="15"/>
      <c r="E288" s="14"/>
    </row>
    <row r="289" spans="1:5" x14ac:dyDescent="0.35">
      <c r="A289" s="21"/>
      <c r="B289" s="14"/>
      <c r="C289" s="14"/>
      <c r="D289" s="15"/>
      <c r="E289" s="14"/>
    </row>
    <row r="290" spans="1:5" x14ac:dyDescent="0.35">
      <c r="A290" s="21"/>
      <c r="B290" s="14"/>
      <c r="C290" s="14"/>
      <c r="D290" s="15"/>
      <c r="E290" s="14"/>
    </row>
    <row r="291" spans="1:5" x14ac:dyDescent="0.35">
      <c r="A291" s="21"/>
      <c r="B291" s="14"/>
      <c r="C291" s="14"/>
      <c r="D291" s="15"/>
      <c r="E291" s="14"/>
    </row>
    <row r="292" spans="1:5" x14ac:dyDescent="0.35">
      <c r="A292" s="21"/>
      <c r="B292" s="14"/>
      <c r="C292" s="14"/>
      <c r="D292" s="15"/>
      <c r="E292" s="14"/>
    </row>
    <row r="293" spans="1:5" x14ac:dyDescent="0.35">
      <c r="A293" s="21"/>
      <c r="B293" s="14"/>
      <c r="C293" s="14"/>
      <c r="D293" s="15"/>
      <c r="E293" s="14"/>
    </row>
    <row r="294" spans="1:5" x14ac:dyDescent="0.35">
      <c r="A294" s="21"/>
      <c r="B294" s="14"/>
      <c r="C294" s="14"/>
      <c r="D294" s="15"/>
      <c r="E294" s="14"/>
    </row>
    <row r="295" spans="1:5" x14ac:dyDescent="0.35">
      <c r="A295" s="21"/>
      <c r="B295" s="14"/>
      <c r="C295" s="14"/>
      <c r="D295" s="15"/>
      <c r="E295" s="14"/>
    </row>
    <row r="296" spans="1:5" x14ac:dyDescent="0.35">
      <c r="A296" s="21"/>
      <c r="B296" s="14"/>
      <c r="C296" s="14"/>
      <c r="D296" s="15"/>
      <c r="E296" s="14"/>
    </row>
    <row r="297" spans="1:5" x14ac:dyDescent="0.35">
      <c r="A297" s="21"/>
      <c r="B297" s="14"/>
      <c r="C297" s="14"/>
      <c r="D297" s="15"/>
      <c r="E297" s="14"/>
    </row>
    <row r="298" spans="1:5" x14ac:dyDescent="0.35">
      <c r="A298" s="21"/>
      <c r="B298" s="14"/>
      <c r="C298" s="14"/>
      <c r="D298" s="15"/>
      <c r="E298" s="14"/>
    </row>
    <row r="299" spans="1:5" x14ac:dyDescent="0.35">
      <c r="A299" s="21"/>
      <c r="B299" s="14"/>
      <c r="C299" s="14"/>
      <c r="D299" s="15"/>
      <c r="E299" s="14"/>
    </row>
    <row r="300" spans="1:5" x14ac:dyDescent="0.35">
      <c r="A300" s="21"/>
      <c r="B300" s="14"/>
      <c r="C300" s="14"/>
      <c r="D300" s="15"/>
      <c r="E300" s="14"/>
    </row>
    <row r="301" spans="1:5" x14ac:dyDescent="0.35">
      <c r="A301" s="21"/>
      <c r="B301" s="14"/>
      <c r="C301" s="14"/>
      <c r="D301" s="15"/>
      <c r="E301" s="14"/>
    </row>
    <row r="302" spans="1:5" x14ac:dyDescent="0.35">
      <c r="A302" s="21"/>
      <c r="B302" s="14"/>
      <c r="C302" s="14"/>
      <c r="D302" s="15"/>
      <c r="E302" s="14"/>
    </row>
    <row r="303" spans="1:5" x14ac:dyDescent="0.35">
      <c r="A303" s="21"/>
      <c r="B303" s="14"/>
      <c r="C303" s="14"/>
      <c r="D303" s="15"/>
      <c r="E303" s="14"/>
    </row>
    <row r="304" spans="1:5" x14ac:dyDescent="0.35">
      <c r="A304" s="21"/>
      <c r="B304" s="14"/>
      <c r="C304" s="14"/>
      <c r="D304" s="15"/>
      <c r="E304" s="14"/>
    </row>
    <row r="305" spans="1:5" x14ac:dyDescent="0.35">
      <c r="A305" s="21"/>
      <c r="B305" s="14"/>
      <c r="C305" s="14"/>
      <c r="D305" s="15"/>
      <c r="E305" s="14"/>
    </row>
    <row r="306" spans="1:5" x14ac:dyDescent="0.35">
      <c r="A306" s="21"/>
      <c r="B306" s="14"/>
      <c r="C306" s="14"/>
      <c r="D306" s="15"/>
      <c r="E306" s="14"/>
    </row>
    <row r="307" spans="1:5" x14ac:dyDescent="0.35">
      <c r="A307" s="21"/>
      <c r="B307" s="14"/>
      <c r="C307" s="14"/>
      <c r="D307" s="15"/>
      <c r="E307" s="14"/>
    </row>
    <row r="308" spans="1:5" x14ac:dyDescent="0.35">
      <c r="A308" s="21"/>
      <c r="B308" s="14"/>
      <c r="C308" s="14"/>
      <c r="D308" s="15"/>
      <c r="E308" s="14"/>
    </row>
    <row r="309" spans="1:5" x14ac:dyDescent="0.35">
      <c r="A309" s="21"/>
      <c r="B309" s="14"/>
      <c r="C309" s="14"/>
      <c r="D309" s="15"/>
      <c r="E309" s="14"/>
    </row>
    <row r="310" spans="1:5" x14ac:dyDescent="0.35">
      <c r="A310" s="21"/>
      <c r="B310" s="14"/>
      <c r="C310" s="14"/>
      <c r="D310" s="15"/>
      <c r="E310" s="14"/>
    </row>
    <row r="311" spans="1:5" x14ac:dyDescent="0.35">
      <c r="A311" s="21"/>
      <c r="B311" s="14"/>
      <c r="C311" s="14"/>
      <c r="D311" s="15"/>
      <c r="E311" s="14"/>
    </row>
    <row r="312" spans="1:5" x14ac:dyDescent="0.35">
      <c r="A312" s="21"/>
      <c r="B312" s="14"/>
      <c r="C312" s="14"/>
      <c r="D312" s="15"/>
      <c r="E312" s="14"/>
    </row>
    <row r="313" spans="1:5" x14ac:dyDescent="0.35">
      <c r="A313" s="21"/>
      <c r="B313" s="14"/>
      <c r="C313" s="14"/>
      <c r="D313" s="15"/>
      <c r="E313" s="14"/>
    </row>
    <row r="314" spans="1:5" x14ac:dyDescent="0.35">
      <c r="A314" s="21"/>
      <c r="B314" s="14"/>
      <c r="C314" s="14"/>
      <c r="D314" s="15"/>
      <c r="E314" s="14"/>
    </row>
    <row r="315" spans="1:5" x14ac:dyDescent="0.35">
      <c r="A315" s="21"/>
      <c r="B315" s="14"/>
      <c r="C315" s="14"/>
      <c r="D315" s="15"/>
      <c r="E315" s="14"/>
    </row>
    <row r="316" spans="1:5" x14ac:dyDescent="0.35">
      <c r="A316" s="21"/>
      <c r="B316" s="14"/>
      <c r="C316" s="14"/>
      <c r="D316" s="15"/>
      <c r="E316" s="14"/>
    </row>
    <row r="317" spans="1:5" x14ac:dyDescent="0.35">
      <c r="A317" s="21"/>
      <c r="B317" s="14"/>
      <c r="C317" s="14"/>
      <c r="D317" s="15"/>
      <c r="E317" s="14"/>
    </row>
    <row r="318" spans="1:5" x14ac:dyDescent="0.35">
      <c r="A318" s="21"/>
      <c r="B318" s="14"/>
      <c r="C318" s="14"/>
      <c r="D318" s="15"/>
      <c r="E318" s="14"/>
    </row>
    <row r="319" spans="1:5" x14ac:dyDescent="0.35">
      <c r="A319" s="21"/>
      <c r="B319" s="14"/>
      <c r="C319" s="14"/>
      <c r="D319" s="15"/>
      <c r="E319" s="14"/>
    </row>
    <row r="320" spans="1:5" x14ac:dyDescent="0.35">
      <c r="A320" s="21"/>
      <c r="B320" s="14"/>
      <c r="C320" s="14"/>
      <c r="D320" s="15"/>
      <c r="E320" s="14"/>
    </row>
    <row r="321" spans="1:5" x14ac:dyDescent="0.35">
      <c r="A321" s="21"/>
      <c r="B321" s="14"/>
      <c r="C321" s="14"/>
      <c r="D321" s="15"/>
      <c r="E321" s="14"/>
    </row>
    <row r="322" spans="1:5" x14ac:dyDescent="0.35">
      <c r="A322" s="21"/>
      <c r="B322" s="14"/>
      <c r="C322" s="14"/>
      <c r="D322" s="15"/>
      <c r="E322" s="14"/>
    </row>
    <row r="323" spans="1:5" x14ac:dyDescent="0.35">
      <c r="A323" s="21"/>
      <c r="B323" s="14"/>
      <c r="C323" s="14"/>
      <c r="D323" s="15"/>
      <c r="E323" s="14"/>
    </row>
    <row r="324" spans="1:5" x14ac:dyDescent="0.35">
      <c r="A324" s="21"/>
      <c r="B324" s="14"/>
      <c r="C324" s="14"/>
      <c r="D324" s="15"/>
      <c r="E324" s="14"/>
    </row>
    <row r="325" spans="1:5" x14ac:dyDescent="0.35">
      <c r="A325" s="21"/>
      <c r="B325" s="14"/>
      <c r="C325" s="14"/>
      <c r="D325" s="15"/>
      <c r="E325" s="14"/>
    </row>
    <row r="326" spans="1:5" x14ac:dyDescent="0.35">
      <c r="A326" s="21"/>
      <c r="B326" s="14"/>
      <c r="C326" s="14"/>
      <c r="D326" s="15"/>
      <c r="E326" s="14"/>
    </row>
    <row r="327" spans="1:5" x14ac:dyDescent="0.35">
      <c r="A327" s="21"/>
      <c r="B327" s="14"/>
      <c r="C327" s="14"/>
      <c r="D327" s="15"/>
      <c r="E327" s="14"/>
    </row>
    <row r="328" spans="1:5" x14ac:dyDescent="0.35">
      <c r="A328" s="21"/>
      <c r="B328" s="14"/>
      <c r="C328" s="14"/>
      <c r="D328" s="15"/>
      <c r="E328" s="14"/>
    </row>
    <row r="329" spans="1:5" x14ac:dyDescent="0.35">
      <c r="A329" s="21"/>
      <c r="B329" s="14"/>
      <c r="C329" s="14"/>
      <c r="D329" s="15"/>
      <c r="E329" s="14"/>
    </row>
    <row r="330" spans="1:5" x14ac:dyDescent="0.35">
      <c r="A330" s="21"/>
      <c r="B330" s="14"/>
      <c r="C330" s="14"/>
      <c r="D330" s="15"/>
      <c r="E330" s="14"/>
    </row>
    <row r="331" spans="1:5" x14ac:dyDescent="0.35">
      <c r="A331" s="21"/>
      <c r="B331" s="14"/>
      <c r="C331" s="14"/>
      <c r="D331" s="15"/>
      <c r="E331" s="14"/>
    </row>
    <row r="332" spans="1:5" x14ac:dyDescent="0.35">
      <c r="A332" s="21"/>
      <c r="B332" s="14"/>
      <c r="C332" s="14"/>
      <c r="D332" s="15"/>
      <c r="E332" s="14"/>
    </row>
    <row r="333" spans="1:5" x14ac:dyDescent="0.35">
      <c r="A333" s="21"/>
      <c r="B333" s="14"/>
      <c r="C333" s="14"/>
      <c r="D333" s="15"/>
      <c r="E333" s="14"/>
    </row>
    <row r="334" spans="1:5" x14ac:dyDescent="0.35">
      <c r="A334" s="21"/>
      <c r="B334" s="14"/>
      <c r="C334" s="14"/>
      <c r="D334" s="15"/>
      <c r="E334" s="14"/>
    </row>
    <row r="335" spans="1:5" x14ac:dyDescent="0.35">
      <c r="A335" s="21"/>
      <c r="B335" s="14"/>
      <c r="C335" s="14"/>
      <c r="D335" s="15"/>
      <c r="E335" s="14"/>
    </row>
    <row r="336" spans="1:5" x14ac:dyDescent="0.35">
      <c r="A336" s="21"/>
      <c r="B336" s="14"/>
      <c r="C336" s="14"/>
      <c r="D336" s="15"/>
      <c r="E336" s="14"/>
    </row>
    <row r="337" spans="1:5" x14ac:dyDescent="0.35">
      <c r="A337" s="21"/>
      <c r="B337" s="14"/>
      <c r="C337" s="14"/>
      <c r="D337" s="15"/>
      <c r="E337" s="14"/>
    </row>
    <row r="338" spans="1:5" x14ac:dyDescent="0.35">
      <c r="A338" s="21"/>
      <c r="B338" s="14"/>
      <c r="C338" s="14"/>
      <c r="D338" s="15"/>
      <c r="E338" s="14"/>
    </row>
    <row r="339" spans="1:5" x14ac:dyDescent="0.35">
      <c r="A339" s="21"/>
      <c r="B339" s="14"/>
      <c r="C339" s="14"/>
      <c r="D339" s="15"/>
      <c r="E339" s="14"/>
    </row>
    <row r="340" spans="1:5" x14ac:dyDescent="0.35">
      <c r="A340" s="21"/>
      <c r="B340" s="14"/>
      <c r="C340" s="14"/>
      <c r="D340" s="15"/>
      <c r="E340" s="14"/>
    </row>
    <row r="341" spans="1:5" x14ac:dyDescent="0.35">
      <c r="A341" s="21"/>
      <c r="B341" s="14"/>
      <c r="C341" s="14"/>
      <c r="D341" s="15"/>
      <c r="E341" s="14"/>
    </row>
    <row r="342" spans="1:5" x14ac:dyDescent="0.35">
      <c r="A342" s="21"/>
      <c r="B342" s="14"/>
      <c r="C342" s="14"/>
      <c r="D342" s="15"/>
      <c r="E342" s="14"/>
    </row>
    <row r="343" spans="1:5" x14ac:dyDescent="0.35">
      <c r="A343" s="21"/>
      <c r="B343" s="14"/>
      <c r="C343" s="14"/>
      <c r="D343" s="15"/>
      <c r="E343" s="14"/>
    </row>
    <row r="344" spans="1:5" x14ac:dyDescent="0.35">
      <c r="A344" s="21"/>
      <c r="B344" s="14"/>
      <c r="C344" s="14"/>
      <c r="D344" s="15"/>
      <c r="E344" s="14"/>
    </row>
    <row r="345" spans="1:5" x14ac:dyDescent="0.35">
      <c r="A345" s="21"/>
      <c r="B345" s="14"/>
      <c r="C345" s="14"/>
      <c r="D345" s="15"/>
      <c r="E345" s="14"/>
    </row>
    <row r="346" spans="1:5" x14ac:dyDescent="0.35">
      <c r="A346" s="21"/>
      <c r="B346" s="14"/>
      <c r="C346" s="14"/>
      <c r="D346" s="15"/>
      <c r="E346" s="14"/>
    </row>
    <row r="347" spans="1:5" x14ac:dyDescent="0.35">
      <c r="A347" s="21"/>
      <c r="B347" s="14"/>
      <c r="C347" s="14"/>
      <c r="D347" s="15"/>
      <c r="E347" s="14"/>
    </row>
    <row r="348" spans="1:5" x14ac:dyDescent="0.35">
      <c r="A348" s="21"/>
      <c r="B348" s="14"/>
      <c r="C348" s="14"/>
      <c r="D348" s="15"/>
      <c r="E348" s="14"/>
    </row>
    <row r="349" spans="1:5" x14ac:dyDescent="0.35">
      <c r="A349" s="21"/>
      <c r="B349" s="14"/>
      <c r="C349" s="14"/>
      <c r="D349" s="15"/>
      <c r="E349" s="14"/>
    </row>
    <row r="350" spans="1:5" x14ac:dyDescent="0.35">
      <c r="A350" s="21"/>
      <c r="B350" s="14"/>
      <c r="C350" s="14"/>
      <c r="D350" s="15"/>
      <c r="E350" s="14"/>
    </row>
    <row r="351" spans="1:5" x14ac:dyDescent="0.35">
      <c r="A351" s="21"/>
      <c r="B351" s="14"/>
      <c r="C351" s="14"/>
      <c r="D351" s="15"/>
      <c r="E351" s="14"/>
    </row>
    <row r="352" spans="1:5" x14ac:dyDescent="0.35">
      <c r="A352" s="21"/>
      <c r="B352" s="14"/>
      <c r="C352" s="14"/>
      <c r="D352" s="15"/>
      <c r="E352" s="14"/>
    </row>
    <row r="353" spans="1:5" x14ac:dyDescent="0.35">
      <c r="A353" s="21"/>
      <c r="B353" s="14"/>
      <c r="C353" s="14"/>
      <c r="D353" s="15"/>
      <c r="E353" s="14"/>
    </row>
    <row r="354" spans="1:5" x14ac:dyDescent="0.35">
      <c r="A354" s="21"/>
      <c r="B354" s="14"/>
      <c r="C354" s="14"/>
      <c r="D354" s="15"/>
      <c r="E354" s="14"/>
    </row>
    <row r="355" spans="1:5" x14ac:dyDescent="0.35">
      <c r="A355" s="21"/>
      <c r="B355" s="14"/>
      <c r="C355" s="14"/>
      <c r="D355" s="15"/>
      <c r="E355" s="14"/>
    </row>
    <row r="356" spans="1:5" x14ac:dyDescent="0.35">
      <c r="A356" s="21"/>
      <c r="B356" s="14"/>
      <c r="C356" s="14"/>
      <c r="D356" s="15"/>
      <c r="E356" s="14"/>
    </row>
    <row r="357" spans="1:5" x14ac:dyDescent="0.35">
      <c r="A357" s="21"/>
      <c r="B357" s="14"/>
      <c r="C357" s="14"/>
      <c r="D357" s="15"/>
      <c r="E357" s="14"/>
    </row>
    <row r="358" spans="1:5" x14ac:dyDescent="0.35">
      <c r="A358" s="21"/>
      <c r="B358" s="14"/>
      <c r="C358" s="14"/>
      <c r="D358" s="15"/>
      <c r="E358" s="14"/>
    </row>
    <row r="359" spans="1:5" x14ac:dyDescent="0.35">
      <c r="A359" s="21"/>
      <c r="B359" s="14"/>
      <c r="C359" s="14"/>
      <c r="D359" s="15"/>
      <c r="E359" s="14"/>
    </row>
    <row r="360" spans="1:5" x14ac:dyDescent="0.35">
      <c r="A360" s="21"/>
      <c r="B360" s="14"/>
      <c r="C360" s="14"/>
      <c r="D360" s="15"/>
      <c r="E360" s="14"/>
    </row>
    <row r="361" spans="1:5" x14ac:dyDescent="0.35">
      <c r="A361" s="21"/>
      <c r="B361" s="14"/>
      <c r="C361" s="14"/>
      <c r="D361" s="15"/>
      <c r="E361" s="14"/>
    </row>
    <row r="362" spans="1:5" x14ac:dyDescent="0.35">
      <c r="A362" s="21"/>
      <c r="B362" s="14"/>
      <c r="C362" s="14"/>
      <c r="D362" s="15"/>
      <c r="E362" s="14"/>
    </row>
    <row r="363" spans="1:5" x14ac:dyDescent="0.35">
      <c r="A363" s="21"/>
      <c r="B363" s="14"/>
      <c r="C363" s="14"/>
      <c r="D363" s="15"/>
      <c r="E363" s="14"/>
    </row>
    <row r="364" spans="1:5" x14ac:dyDescent="0.35">
      <c r="A364" s="21"/>
      <c r="B364" s="14"/>
      <c r="C364" s="14"/>
      <c r="D364" s="15"/>
      <c r="E364" s="14"/>
    </row>
    <row r="365" spans="1:5" x14ac:dyDescent="0.35">
      <c r="A365" s="21"/>
      <c r="B365" s="14"/>
      <c r="C365" s="14"/>
      <c r="D365" s="15"/>
      <c r="E365" s="14"/>
    </row>
    <row r="366" spans="1:5" x14ac:dyDescent="0.35">
      <c r="A366" s="21"/>
      <c r="B366" s="14"/>
      <c r="C366" s="14"/>
      <c r="D366" s="15"/>
      <c r="E366" s="14"/>
    </row>
    <row r="367" spans="1:5" x14ac:dyDescent="0.35">
      <c r="A367" s="21"/>
      <c r="B367" s="14"/>
      <c r="C367" s="14"/>
      <c r="D367" s="15"/>
      <c r="E367" s="14"/>
    </row>
    <row r="368" spans="1:5" x14ac:dyDescent="0.35">
      <c r="A368" s="21"/>
      <c r="B368" s="14"/>
      <c r="C368" s="14"/>
      <c r="D368" s="15"/>
      <c r="E368" s="14"/>
    </row>
    <row r="369" spans="1:5" x14ac:dyDescent="0.35">
      <c r="A369" s="21"/>
      <c r="B369" s="14"/>
      <c r="C369" s="14"/>
      <c r="D369" s="15"/>
      <c r="E369" s="14"/>
    </row>
    <row r="370" spans="1:5" x14ac:dyDescent="0.35">
      <c r="A370" s="21"/>
      <c r="B370" s="14"/>
      <c r="C370" s="14"/>
      <c r="D370" s="15"/>
      <c r="E370" s="14"/>
    </row>
    <row r="371" spans="1:5" x14ac:dyDescent="0.35">
      <c r="A371" s="21"/>
      <c r="B371" s="14"/>
      <c r="C371" s="14"/>
      <c r="D371" s="15"/>
      <c r="E371" s="14"/>
    </row>
    <row r="372" spans="1:5" x14ac:dyDescent="0.35">
      <c r="A372" s="21"/>
      <c r="B372" s="14"/>
      <c r="C372" s="14"/>
      <c r="D372" s="15"/>
      <c r="E372" s="14"/>
    </row>
    <row r="373" spans="1:5" x14ac:dyDescent="0.35">
      <c r="A373" s="21"/>
      <c r="B373" s="14"/>
      <c r="C373" s="14"/>
      <c r="D373" s="15"/>
      <c r="E373" s="14"/>
    </row>
    <row r="374" spans="1:5" x14ac:dyDescent="0.35">
      <c r="A374" s="21"/>
      <c r="B374" s="14"/>
      <c r="C374" s="14"/>
      <c r="D374" s="15"/>
      <c r="E374" s="14"/>
    </row>
    <row r="375" spans="1:5" x14ac:dyDescent="0.35">
      <c r="A375" s="21"/>
      <c r="B375" s="14"/>
      <c r="C375" s="14"/>
      <c r="D375" s="15"/>
      <c r="E375" s="14"/>
    </row>
    <row r="376" spans="1:5" x14ac:dyDescent="0.35">
      <c r="A376" s="21"/>
      <c r="B376" s="14"/>
      <c r="C376" s="14"/>
      <c r="D376" s="15"/>
      <c r="E376" s="14"/>
    </row>
    <row r="377" spans="1:5" x14ac:dyDescent="0.35">
      <c r="A377" s="21"/>
      <c r="B377" s="14"/>
      <c r="C377" s="14"/>
      <c r="D377" s="15"/>
      <c r="E377" s="14"/>
    </row>
    <row r="378" spans="1:5" x14ac:dyDescent="0.35">
      <c r="A378" s="21"/>
      <c r="B378" s="14"/>
      <c r="C378" s="14"/>
      <c r="D378" s="15"/>
      <c r="E378" s="14"/>
    </row>
    <row r="379" spans="1:5" x14ac:dyDescent="0.35">
      <c r="A379" s="21"/>
      <c r="B379" s="14"/>
      <c r="C379" s="14"/>
      <c r="D379" s="15"/>
      <c r="E379" s="14"/>
    </row>
    <row r="380" spans="1:5" x14ac:dyDescent="0.35">
      <c r="A380" s="21"/>
      <c r="B380" s="14"/>
      <c r="C380" s="14"/>
      <c r="D380" s="15"/>
      <c r="E380" s="14"/>
    </row>
    <row r="381" spans="1:5" x14ac:dyDescent="0.35">
      <c r="A381" s="21"/>
      <c r="B381" s="14"/>
      <c r="C381" s="14"/>
      <c r="D381" s="15"/>
      <c r="E381" s="14"/>
    </row>
    <row r="382" spans="1:5" x14ac:dyDescent="0.35">
      <c r="A382" s="21"/>
      <c r="B382" s="14"/>
      <c r="C382" s="14"/>
      <c r="D382" s="15"/>
      <c r="E382" s="14"/>
    </row>
    <row r="383" spans="1:5" x14ac:dyDescent="0.35">
      <c r="A383" s="21"/>
      <c r="B383" s="14"/>
      <c r="C383" s="14"/>
      <c r="D383" s="15"/>
      <c r="E383" s="14"/>
    </row>
    <row r="384" spans="1:5" x14ac:dyDescent="0.35">
      <c r="A384" s="21"/>
      <c r="B384" s="14"/>
      <c r="C384" s="14"/>
      <c r="D384" s="15"/>
      <c r="E384" s="14"/>
    </row>
    <row r="385" spans="1:5" x14ac:dyDescent="0.35">
      <c r="A385" s="21"/>
      <c r="B385" s="14"/>
      <c r="C385" s="14"/>
      <c r="D385" s="15"/>
      <c r="E385" s="14"/>
    </row>
    <row r="386" spans="1:5" x14ac:dyDescent="0.35">
      <c r="A386" s="21"/>
      <c r="B386" s="14"/>
      <c r="C386" s="14"/>
      <c r="D386" s="15"/>
      <c r="E386" s="14"/>
    </row>
    <row r="387" spans="1:5" x14ac:dyDescent="0.35">
      <c r="A387" s="21"/>
      <c r="B387" s="14"/>
      <c r="C387" s="14"/>
      <c r="D387" s="15"/>
      <c r="E387" s="14"/>
    </row>
    <row r="388" spans="1:5" x14ac:dyDescent="0.35">
      <c r="A388" s="21"/>
      <c r="B388" s="14"/>
      <c r="C388" s="14"/>
      <c r="D388" s="15"/>
      <c r="E388" s="14"/>
    </row>
    <row r="389" spans="1:5" x14ac:dyDescent="0.35">
      <c r="A389" s="21"/>
      <c r="B389" s="14"/>
      <c r="C389" s="14"/>
      <c r="D389" s="15"/>
      <c r="E389" s="14"/>
    </row>
    <row r="390" spans="1:5" x14ac:dyDescent="0.35">
      <c r="A390" s="21"/>
      <c r="B390" s="14"/>
      <c r="C390" s="14"/>
      <c r="D390" s="15"/>
      <c r="E390" s="14"/>
    </row>
    <row r="391" spans="1:5" x14ac:dyDescent="0.35">
      <c r="A391" s="21"/>
      <c r="B391" s="14"/>
      <c r="C391" s="14"/>
      <c r="D391" s="15"/>
      <c r="E391" s="14"/>
    </row>
    <row r="392" spans="1:5" x14ac:dyDescent="0.35">
      <c r="A392" s="21"/>
      <c r="B392" s="14"/>
      <c r="C392" s="14"/>
      <c r="D392" s="15"/>
      <c r="E392" s="14"/>
    </row>
    <row r="393" spans="1:5" x14ac:dyDescent="0.35">
      <c r="A393" s="21"/>
      <c r="B393" s="14"/>
      <c r="C393" s="14"/>
      <c r="D393" s="15"/>
      <c r="E393" s="14"/>
    </row>
    <row r="394" spans="1:5" x14ac:dyDescent="0.35">
      <c r="A394" s="21"/>
      <c r="B394" s="14"/>
      <c r="C394" s="14"/>
      <c r="D394" s="15"/>
      <c r="E394" s="14"/>
    </row>
    <row r="395" spans="1:5" x14ac:dyDescent="0.35">
      <c r="A395" s="21"/>
      <c r="B395" s="14"/>
      <c r="C395" s="14"/>
      <c r="D395" s="15"/>
      <c r="E395" s="14"/>
    </row>
    <row r="396" spans="1:5" x14ac:dyDescent="0.35">
      <c r="A396" s="21"/>
      <c r="B396" s="14"/>
      <c r="C396" s="14"/>
      <c r="D396" s="15"/>
      <c r="E396" s="14"/>
    </row>
    <row r="397" spans="1:5" x14ac:dyDescent="0.35">
      <c r="A397" s="21"/>
      <c r="B397" s="14"/>
      <c r="C397" s="14"/>
      <c r="D397" s="15"/>
      <c r="E397" s="14"/>
    </row>
    <row r="398" spans="1:5" x14ac:dyDescent="0.35">
      <c r="A398" s="21"/>
      <c r="B398" s="14"/>
      <c r="C398" s="14"/>
      <c r="D398" s="15"/>
      <c r="E398" s="14"/>
    </row>
    <row r="399" spans="1:5" x14ac:dyDescent="0.35">
      <c r="A399" s="21"/>
      <c r="B399" s="14"/>
      <c r="C399" s="14"/>
      <c r="D399" s="15"/>
      <c r="E399" s="14"/>
    </row>
    <row r="400" spans="1:5" x14ac:dyDescent="0.35">
      <c r="A400" s="21"/>
      <c r="B400" s="14"/>
      <c r="C400" s="14"/>
      <c r="D400" s="15"/>
      <c r="E400" s="14"/>
    </row>
    <row r="401" spans="1:5" x14ac:dyDescent="0.35">
      <c r="A401" s="21"/>
      <c r="B401" s="14"/>
      <c r="C401" s="14"/>
      <c r="D401" s="15"/>
      <c r="E401" s="14"/>
    </row>
    <row r="402" spans="1:5" x14ac:dyDescent="0.35">
      <c r="A402" s="21"/>
      <c r="B402" s="14"/>
      <c r="C402" s="14"/>
      <c r="D402" s="15"/>
      <c r="E402" s="14"/>
    </row>
    <row r="403" spans="1:5" x14ac:dyDescent="0.35">
      <c r="A403" s="21"/>
      <c r="B403" s="14"/>
      <c r="C403" s="14"/>
      <c r="D403" s="15"/>
      <c r="E403" s="14"/>
    </row>
    <row r="404" spans="1:5" x14ac:dyDescent="0.35">
      <c r="A404" s="21"/>
      <c r="B404" s="14"/>
      <c r="C404" s="14"/>
      <c r="D404" s="15"/>
      <c r="E404" s="14"/>
    </row>
    <row r="405" spans="1:5" x14ac:dyDescent="0.35">
      <c r="A405" s="21"/>
      <c r="B405" s="14"/>
      <c r="C405" s="14"/>
      <c r="D405" s="15"/>
      <c r="E405" s="14"/>
    </row>
    <row r="406" spans="1:5" x14ac:dyDescent="0.35">
      <c r="A406" s="21"/>
      <c r="B406" s="14"/>
      <c r="C406" s="14"/>
      <c r="D406" s="15"/>
      <c r="E406" s="14"/>
    </row>
    <row r="407" spans="1:5" x14ac:dyDescent="0.35">
      <c r="A407" s="21"/>
      <c r="B407" s="14"/>
      <c r="C407" s="14"/>
      <c r="D407" s="15"/>
      <c r="E407" s="14"/>
    </row>
    <row r="408" spans="1:5" x14ac:dyDescent="0.35">
      <c r="A408" s="21"/>
      <c r="B408" s="14"/>
      <c r="C408" s="14"/>
      <c r="D408" s="15"/>
      <c r="E408" s="14"/>
    </row>
    <row r="409" spans="1:5" x14ac:dyDescent="0.35">
      <c r="A409" s="21"/>
      <c r="B409" s="14"/>
      <c r="C409" s="14"/>
      <c r="D409" s="15"/>
      <c r="E409" s="14"/>
    </row>
    <row r="410" spans="1:5" x14ac:dyDescent="0.35">
      <c r="A410" s="21"/>
      <c r="B410" s="14"/>
      <c r="C410" s="14"/>
      <c r="D410" s="15"/>
      <c r="E410" s="14"/>
    </row>
    <row r="411" spans="1:5" x14ac:dyDescent="0.35">
      <c r="A411" s="21"/>
      <c r="B411" s="14"/>
      <c r="C411" s="14"/>
      <c r="D411" s="15"/>
      <c r="E411" s="14"/>
    </row>
    <row r="412" spans="1:5" x14ac:dyDescent="0.35">
      <c r="A412" s="21"/>
      <c r="B412" s="14"/>
      <c r="C412" s="14"/>
      <c r="D412" s="15"/>
      <c r="E412" s="14"/>
    </row>
    <row r="413" spans="1:5" x14ac:dyDescent="0.35">
      <c r="A413" s="21"/>
      <c r="B413" s="14"/>
      <c r="C413" s="14"/>
      <c r="D413" s="15"/>
      <c r="E413" s="14"/>
    </row>
    <row r="414" spans="1:5" x14ac:dyDescent="0.35">
      <c r="A414" s="21"/>
      <c r="B414" s="14"/>
      <c r="C414" s="14"/>
      <c r="D414" s="15"/>
      <c r="E414" s="14"/>
    </row>
    <row r="415" spans="1:5" x14ac:dyDescent="0.35">
      <c r="A415" s="21"/>
      <c r="B415" s="14"/>
      <c r="C415" s="14"/>
      <c r="D415" s="15"/>
      <c r="E415" s="14"/>
    </row>
    <row r="416" spans="1:5" x14ac:dyDescent="0.35">
      <c r="A416" s="21"/>
      <c r="B416" s="14"/>
      <c r="C416" s="14"/>
      <c r="D416" s="15"/>
      <c r="E416" s="14"/>
    </row>
    <row r="417" spans="1:5" x14ac:dyDescent="0.35">
      <c r="A417" s="21"/>
      <c r="B417" s="14"/>
      <c r="C417" s="14"/>
      <c r="D417" s="15"/>
      <c r="E417" s="14"/>
    </row>
    <row r="418" spans="1:5" x14ac:dyDescent="0.35">
      <c r="A418" s="21"/>
      <c r="B418" s="14"/>
      <c r="C418" s="14"/>
      <c r="D418" s="15"/>
      <c r="E418" s="14"/>
    </row>
    <row r="419" spans="1:5" x14ac:dyDescent="0.35">
      <c r="A419" s="21"/>
      <c r="B419" s="14"/>
      <c r="C419" s="14"/>
      <c r="D419" s="15"/>
      <c r="E419" s="14"/>
    </row>
    <row r="420" spans="1:5" x14ac:dyDescent="0.35">
      <c r="A420" s="21"/>
      <c r="B420" s="14"/>
      <c r="C420" s="14"/>
      <c r="D420" s="15"/>
      <c r="E420" s="14"/>
    </row>
    <row r="421" spans="1:5" x14ac:dyDescent="0.35">
      <c r="A421" s="21"/>
      <c r="B421" s="14"/>
      <c r="C421" s="14"/>
      <c r="D421" s="15"/>
      <c r="E421" s="14"/>
    </row>
    <row r="422" spans="1:5" x14ac:dyDescent="0.35">
      <c r="A422" s="21"/>
      <c r="B422" s="14"/>
      <c r="C422" s="14"/>
      <c r="D422" s="15"/>
      <c r="E422" s="14"/>
    </row>
    <row r="423" spans="1:5" x14ac:dyDescent="0.35">
      <c r="A423" s="21"/>
      <c r="B423" s="14"/>
      <c r="C423" s="14"/>
      <c r="D423" s="15"/>
      <c r="E423" s="14"/>
    </row>
    <row r="424" spans="1:5" x14ac:dyDescent="0.35">
      <c r="A424" s="21"/>
      <c r="B424" s="14"/>
      <c r="C424" s="14"/>
      <c r="D424" s="15"/>
      <c r="E424" s="14"/>
    </row>
    <row r="425" spans="1:5" x14ac:dyDescent="0.35">
      <c r="A425" s="21"/>
      <c r="B425" s="14"/>
      <c r="C425" s="14"/>
      <c r="D425" s="15"/>
      <c r="E425" s="14"/>
    </row>
    <row r="426" spans="1:5" x14ac:dyDescent="0.35">
      <c r="A426" s="21"/>
      <c r="B426" s="14"/>
      <c r="C426" s="14"/>
      <c r="D426" s="15"/>
      <c r="E426" s="14"/>
    </row>
    <row r="427" spans="1:5" x14ac:dyDescent="0.35">
      <c r="A427" s="21"/>
      <c r="B427" s="14"/>
      <c r="C427" s="14"/>
      <c r="D427" s="15"/>
      <c r="E427" s="14"/>
    </row>
    <row r="428" spans="1:5" x14ac:dyDescent="0.35">
      <c r="A428" s="21"/>
      <c r="B428" s="14"/>
      <c r="C428" s="14"/>
      <c r="D428" s="15"/>
      <c r="E428" s="14"/>
    </row>
    <row r="429" spans="1:5" x14ac:dyDescent="0.35">
      <c r="A429" s="21"/>
      <c r="B429" s="14"/>
      <c r="C429" s="14"/>
      <c r="D429" s="15"/>
      <c r="E429" s="14"/>
    </row>
    <row r="430" spans="1:5" x14ac:dyDescent="0.35">
      <c r="A430" s="21"/>
      <c r="B430" s="14"/>
      <c r="C430" s="14"/>
      <c r="D430" s="15"/>
      <c r="E430" s="14"/>
    </row>
    <row r="431" spans="1:5" x14ac:dyDescent="0.35">
      <c r="A431" s="21"/>
      <c r="B431" s="14"/>
      <c r="C431" s="14"/>
      <c r="D431" s="15"/>
      <c r="E431" s="14"/>
    </row>
    <row r="432" spans="1:5" x14ac:dyDescent="0.35">
      <c r="A432" s="21"/>
      <c r="B432" s="14"/>
      <c r="C432" s="14"/>
      <c r="D432" s="15"/>
      <c r="E432" s="14"/>
    </row>
    <row r="433" spans="1:5" x14ac:dyDescent="0.35">
      <c r="A433" s="21"/>
      <c r="B433" s="14"/>
      <c r="C433" s="14"/>
      <c r="D433" s="15"/>
      <c r="E433" s="14"/>
    </row>
    <row r="434" spans="1:5" x14ac:dyDescent="0.35">
      <c r="A434" s="21"/>
      <c r="B434" s="14"/>
      <c r="C434" s="14"/>
      <c r="D434" s="15"/>
      <c r="E434" s="14"/>
    </row>
    <row r="435" spans="1:5" x14ac:dyDescent="0.35">
      <c r="A435" s="21"/>
      <c r="B435" s="14"/>
      <c r="C435" s="14"/>
      <c r="D435" s="15"/>
      <c r="E435" s="14"/>
    </row>
    <row r="436" spans="1:5" x14ac:dyDescent="0.35">
      <c r="A436" s="21"/>
      <c r="B436" s="14"/>
      <c r="C436" s="14"/>
      <c r="D436" s="15"/>
      <c r="E436" s="14"/>
    </row>
    <row r="437" spans="1:5" x14ac:dyDescent="0.35">
      <c r="A437" s="21"/>
      <c r="B437" s="14"/>
      <c r="C437" s="14"/>
      <c r="D437" s="15"/>
      <c r="E437" s="14"/>
    </row>
    <row r="438" spans="1:5" x14ac:dyDescent="0.35">
      <c r="A438" s="21"/>
      <c r="B438" s="14"/>
      <c r="C438" s="14"/>
      <c r="D438" s="15"/>
      <c r="E438" s="14"/>
    </row>
    <row r="439" spans="1:5" x14ac:dyDescent="0.35">
      <c r="A439" s="21"/>
      <c r="B439" s="14"/>
      <c r="C439" s="14"/>
      <c r="D439" s="15"/>
      <c r="E439" s="14"/>
    </row>
    <row r="440" spans="1:5" x14ac:dyDescent="0.35">
      <c r="A440" s="21"/>
      <c r="B440" s="14"/>
      <c r="C440" s="14"/>
      <c r="D440" s="15"/>
      <c r="E440" s="14"/>
    </row>
    <row r="441" spans="1:5" x14ac:dyDescent="0.35">
      <c r="A441" s="21"/>
      <c r="B441" s="14"/>
      <c r="C441" s="14"/>
      <c r="D441" s="15"/>
      <c r="E441" s="14"/>
    </row>
    <row r="442" spans="1:5" x14ac:dyDescent="0.35">
      <c r="A442" s="21"/>
      <c r="B442" s="14"/>
      <c r="C442" s="14"/>
      <c r="D442" s="15"/>
      <c r="E442" s="14"/>
    </row>
    <row r="443" spans="1:5" x14ac:dyDescent="0.35">
      <c r="A443" s="21"/>
      <c r="B443" s="14"/>
      <c r="C443" s="14"/>
      <c r="D443" s="15"/>
      <c r="E443" s="14"/>
    </row>
    <row r="444" spans="1:5" x14ac:dyDescent="0.35">
      <c r="A444" s="21"/>
      <c r="B444" s="14"/>
      <c r="C444" s="14"/>
      <c r="D444" s="15"/>
      <c r="E444" s="14"/>
    </row>
    <row r="445" spans="1:5" x14ac:dyDescent="0.35">
      <c r="A445" s="21"/>
      <c r="B445" s="14"/>
      <c r="C445" s="14"/>
      <c r="D445" s="15"/>
      <c r="E445" s="14"/>
    </row>
    <row r="446" spans="1:5" x14ac:dyDescent="0.35">
      <c r="A446" s="21"/>
      <c r="B446" s="14"/>
      <c r="C446" s="14"/>
      <c r="D446" s="15"/>
      <c r="E446" s="14"/>
    </row>
    <row r="447" spans="1:5" x14ac:dyDescent="0.35">
      <c r="A447" s="21"/>
      <c r="B447" s="14"/>
      <c r="C447" s="14"/>
      <c r="D447" s="15"/>
      <c r="E447" s="14"/>
    </row>
    <row r="448" spans="1:5" x14ac:dyDescent="0.35">
      <c r="A448" s="21"/>
      <c r="B448" s="14"/>
      <c r="C448" s="14"/>
      <c r="D448" s="15"/>
      <c r="E448" s="14"/>
    </row>
    <row r="449" spans="1:5" x14ac:dyDescent="0.35">
      <c r="A449" s="21"/>
      <c r="B449" s="14"/>
      <c r="C449" s="14"/>
      <c r="D449" s="15"/>
      <c r="E449" s="14"/>
    </row>
    <row r="450" spans="1:5" x14ac:dyDescent="0.35">
      <c r="A450" s="21"/>
      <c r="B450" s="14"/>
      <c r="C450" s="14"/>
      <c r="D450" s="15"/>
      <c r="E450" s="14"/>
    </row>
    <row r="451" spans="1:5" x14ac:dyDescent="0.35">
      <c r="A451" s="21"/>
      <c r="B451" s="14"/>
      <c r="C451" s="14"/>
      <c r="D451" s="15"/>
      <c r="E451" s="14"/>
    </row>
    <row r="452" spans="1:5" x14ac:dyDescent="0.35">
      <c r="A452" s="21"/>
      <c r="B452" s="14"/>
      <c r="C452" s="14"/>
      <c r="D452" s="15"/>
      <c r="E452" s="14"/>
    </row>
    <row r="453" spans="1:5" x14ac:dyDescent="0.35">
      <c r="A453" s="21"/>
      <c r="B453" s="14"/>
      <c r="C453" s="14"/>
      <c r="D453" s="15"/>
      <c r="E453" s="14"/>
    </row>
    <row r="454" spans="1:5" x14ac:dyDescent="0.35">
      <c r="A454" s="21"/>
      <c r="B454" s="14"/>
      <c r="C454" s="14"/>
      <c r="D454" s="15"/>
      <c r="E454" s="14"/>
    </row>
    <row r="455" spans="1:5" x14ac:dyDescent="0.35">
      <c r="A455" s="21"/>
      <c r="B455" s="14"/>
      <c r="C455" s="14"/>
      <c r="D455" s="15"/>
      <c r="E455" s="14"/>
    </row>
    <row r="456" spans="1:5" x14ac:dyDescent="0.35">
      <c r="A456" s="21"/>
      <c r="B456" s="14"/>
      <c r="C456" s="14"/>
      <c r="D456" s="15"/>
      <c r="E456" s="14"/>
    </row>
    <row r="457" spans="1:5" x14ac:dyDescent="0.35">
      <c r="A457" s="21"/>
      <c r="B457" s="14"/>
      <c r="C457" s="14"/>
      <c r="D457" s="15"/>
      <c r="E457" s="14"/>
    </row>
    <row r="458" spans="1:5" x14ac:dyDescent="0.35">
      <c r="A458" s="21"/>
      <c r="B458" s="14"/>
      <c r="C458" s="14"/>
      <c r="D458" s="15"/>
      <c r="E458" s="14"/>
    </row>
    <row r="459" spans="1:5" x14ac:dyDescent="0.35">
      <c r="A459" s="21"/>
      <c r="B459" s="14"/>
      <c r="C459" s="14"/>
      <c r="D459" s="15"/>
      <c r="E459" s="14"/>
    </row>
    <row r="460" spans="1:5" x14ac:dyDescent="0.35">
      <c r="A460" s="21"/>
      <c r="B460" s="14"/>
      <c r="C460" s="14"/>
      <c r="D460" s="15"/>
      <c r="E460" s="14"/>
    </row>
    <row r="461" spans="1:5" x14ac:dyDescent="0.35">
      <c r="A461" s="21"/>
      <c r="B461" s="14"/>
      <c r="C461" s="14"/>
      <c r="D461" s="15"/>
      <c r="E461" s="14"/>
    </row>
    <row r="462" spans="1:5" x14ac:dyDescent="0.35">
      <c r="A462" s="21"/>
      <c r="B462" s="14"/>
      <c r="C462" s="14"/>
      <c r="D462" s="15"/>
      <c r="E462" s="14"/>
    </row>
    <row r="463" spans="1:5" x14ac:dyDescent="0.35">
      <c r="A463" s="21"/>
      <c r="B463" s="14"/>
      <c r="C463" s="14"/>
      <c r="D463" s="15"/>
      <c r="E463" s="14"/>
    </row>
    <row r="464" spans="1:5" x14ac:dyDescent="0.35">
      <c r="A464" s="21"/>
      <c r="B464" s="14"/>
      <c r="C464" s="14"/>
      <c r="D464" s="15"/>
      <c r="E464" s="14"/>
    </row>
    <row r="465" spans="1:5" x14ac:dyDescent="0.35">
      <c r="A465" s="21"/>
      <c r="B465" s="14"/>
      <c r="C465" s="14"/>
      <c r="D465" s="15"/>
      <c r="E465" s="14"/>
    </row>
    <row r="466" spans="1:5" x14ac:dyDescent="0.35">
      <c r="A466" s="21"/>
      <c r="B466" s="14"/>
      <c r="C466" s="14"/>
      <c r="D466" s="15"/>
      <c r="E466" s="14"/>
    </row>
    <row r="467" spans="1:5" x14ac:dyDescent="0.35">
      <c r="A467" s="21"/>
      <c r="B467" s="14"/>
      <c r="C467" s="14"/>
      <c r="D467" s="15"/>
      <c r="E467" s="14"/>
    </row>
    <row r="468" spans="1:5" x14ac:dyDescent="0.35">
      <c r="A468" s="21"/>
      <c r="B468" s="14"/>
      <c r="C468" s="14"/>
      <c r="D468" s="15"/>
      <c r="E468" s="14"/>
    </row>
    <row r="469" spans="1:5" x14ac:dyDescent="0.35">
      <c r="A469" s="21"/>
      <c r="B469" s="14"/>
      <c r="C469" s="14"/>
      <c r="D469" s="15"/>
      <c r="E469" s="14"/>
    </row>
    <row r="470" spans="1:5" x14ac:dyDescent="0.35">
      <c r="A470" s="21"/>
      <c r="B470" s="14"/>
      <c r="C470" s="14"/>
      <c r="D470" s="15"/>
      <c r="E470" s="14"/>
    </row>
    <row r="471" spans="1:5" x14ac:dyDescent="0.35">
      <c r="A471" s="21"/>
      <c r="B471" s="14"/>
      <c r="C471" s="14"/>
      <c r="D471" s="15"/>
      <c r="E471" s="14"/>
    </row>
    <row r="472" spans="1:5" x14ac:dyDescent="0.35">
      <c r="A472" s="21"/>
      <c r="B472" s="14"/>
      <c r="C472" s="14"/>
      <c r="D472" s="15"/>
      <c r="E472" s="14"/>
    </row>
    <row r="473" spans="1:5" x14ac:dyDescent="0.35">
      <c r="A473" s="21"/>
      <c r="B473" s="14"/>
      <c r="C473" s="14"/>
      <c r="D473" s="15"/>
      <c r="E473" s="14"/>
    </row>
    <row r="474" spans="1:5" x14ac:dyDescent="0.35">
      <c r="A474" s="21"/>
      <c r="B474" s="14"/>
      <c r="C474" s="14"/>
      <c r="D474" s="15"/>
      <c r="E474" s="14"/>
    </row>
    <row r="475" spans="1:5" x14ac:dyDescent="0.35">
      <c r="A475" s="21"/>
      <c r="B475" s="14"/>
      <c r="C475" s="14"/>
      <c r="D475" s="15"/>
      <c r="E475" s="14"/>
    </row>
    <row r="476" spans="1:5" x14ac:dyDescent="0.35">
      <c r="A476" s="21"/>
      <c r="B476" s="14"/>
      <c r="C476" s="14"/>
      <c r="D476" s="15"/>
      <c r="E476" s="14"/>
    </row>
    <row r="477" spans="1:5" x14ac:dyDescent="0.35">
      <c r="A477" s="21"/>
      <c r="B477" s="14"/>
      <c r="C477" s="14"/>
      <c r="D477" s="15"/>
      <c r="E477" s="14"/>
    </row>
    <row r="478" spans="1:5" x14ac:dyDescent="0.35">
      <c r="A478" s="21"/>
      <c r="B478" s="14"/>
      <c r="C478" s="14"/>
      <c r="D478" s="15"/>
      <c r="E478" s="14"/>
    </row>
    <row r="479" spans="1:5" x14ac:dyDescent="0.35">
      <c r="A479" s="21"/>
      <c r="B479" s="14"/>
      <c r="C479" s="14"/>
      <c r="D479" s="15"/>
      <c r="E479" s="14"/>
    </row>
    <row r="480" spans="1:5" x14ac:dyDescent="0.35">
      <c r="A480" s="21"/>
      <c r="B480" s="14"/>
      <c r="C480" s="14"/>
      <c r="D480" s="15"/>
      <c r="E480" s="14"/>
    </row>
    <row r="481" spans="1:5" x14ac:dyDescent="0.35">
      <c r="A481" s="21"/>
      <c r="B481" s="14"/>
      <c r="C481" s="14"/>
      <c r="D481" s="15"/>
      <c r="E481" s="14"/>
    </row>
    <row r="482" spans="1:5" x14ac:dyDescent="0.35">
      <c r="A482" s="21"/>
      <c r="B482" s="14"/>
      <c r="C482" s="14"/>
      <c r="D482" s="15"/>
      <c r="E482" s="14"/>
    </row>
    <row r="483" spans="1:5" x14ac:dyDescent="0.35">
      <c r="A483" s="21"/>
      <c r="B483" s="14"/>
      <c r="C483" s="14"/>
      <c r="D483" s="15"/>
      <c r="E483" s="14"/>
    </row>
    <row r="484" spans="1:5" x14ac:dyDescent="0.35">
      <c r="A484" s="21"/>
      <c r="B484" s="14"/>
      <c r="C484" s="14"/>
      <c r="D484" s="15"/>
      <c r="E484" s="14"/>
    </row>
    <row r="485" spans="1:5" x14ac:dyDescent="0.35">
      <c r="A485" s="21"/>
      <c r="B485" s="14"/>
      <c r="C485" s="14"/>
      <c r="D485" s="15"/>
      <c r="E485" s="14"/>
    </row>
    <row r="486" spans="1:5" x14ac:dyDescent="0.35">
      <c r="A486" s="21"/>
      <c r="B486" s="14"/>
      <c r="C486" s="14"/>
      <c r="D486" s="15"/>
      <c r="E486" s="14"/>
    </row>
    <row r="487" spans="1:5" x14ac:dyDescent="0.35">
      <c r="A487" s="21"/>
      <c r="B487" s="14"/>
      <c r="C487" s="14"/>
      <c r="D487" s="15"/>
      <c r="E487" s="14"/>
    </row>
    <row r="488" spans="1:5" x14ac:dyDescent="0.35">
      <c r="A488" s="21"/>
      <c r="B488" s="14"/>
      <c r="C488" s="14"/>
      <c r="D488" s="15"/>
      <c r="E488" s="14"/>
    </row>
    <row r="489" spans="1:5" x14ac:dyDescent="0.35">
      <c r="A489" s="21"/>
      <c r="B489" s="14"/>
      <c r="C489" s="14"/>
      <c r="D489" s="15"/>
      <c r="E489" s="14"/>
    </row>
    <row r="490" spans="1:5" x14ac:dyDescent="0.35">
      <c r="A490" s="21"/>
      <c r="B490" s="14"/>
      <c r="C490" s="14"/>
      <c r="D490" s="15"/>
      <c r="E490" s="14"/>
    </row>
    <row r="491" spans="1:5" x14ac:dyDescent="0.35">
      <c r="A491" s="21"/>
      <c r="B491" s="14"/>
      <c r="C491" s="14"/>
      <c r="D491" s="15"/>
      <c r="E491" s="14"/>
    </row>
    <row r="492" spans="1:5" x14ac:dyDescent="0.35">
      <c r="A492" s="21"/>
      <c r="B492" s="14"/>
      <c r="C492" s="14"/>
      <c r="D492" s="15"/>
      <c r="E492" s="14"/>
    </row>
    <row r="493" spans="1:5" x14ac:dyDescent="0.35">
      <c r="A493" s="21"/>
      <c r="B493" s="14"/>
      <c r="C493" s="14"/>
      <c r="D493" s="15"/>
      <c r="E493" s="14"/>
    </row>
    <row r="494" spans="1:5" x14ac:dyDescent="0.35">
      <c r="A494" s="21"/>
      <c r="B494" s="14"/>
      <c r="C494" s="14"/>
      <c r="D494" s="15"/>
      <c r="E494" s="14"/>
    </row>
    <row r="495" spans="1:5" x14ac:dyDescent="0.35">
      <c r="A495" s="21"/>
      <c r="B495" s="14"/>
      <c r="C495" s="14"/>
      <c r="D495" s="15"/>
      <c r="E495" s="14"/>
    </row>
    <row r="496" spans="1:5" x14ac:dyDescent="0.35">
      <c r="A496" s="21"/>
      <c r="B496" s="14"/>
      <c r="C496" s="14"/>
      <c r="D496" s="15"/>
      <c r="E496" s="14"/>
    </row>
    <row r="497" spans="1:5" x14ac:dyDescent="0.35">
      <c r="A497" s="21"/>
      <c r="B497" s="14"/>
      <c r="C497" s="14"/>
      <c r="D497" s="15"/>
      <c r="E497" s="14"/>
    </row>
    <row r="498" spans="1:5" x14ac:dyDescent="0.35">
      <c r="A498" s="21"/>
      <c r="B498" s="14"/>
      <c r="C498" s="14"/>
      <c r="D498" s="15"/>
      <c r="E498" s="14"/>
    </row>
    <row r="499" spans="1:5" x14ac:dyDescent="0.35">
      <c r="A499" s="21"/>
      <c r="B499" s="14"/>
      <c r="C499" s="14"/>
      <c r="D499" s="15"/>
      <c r="E499" s="14"/>
    </row>
    <row r="500" spans="1:5" x14ac:dyDescent="0.35">
      <c r="A500" s="21"/>
      <c r="B500" s="14"/>
      <c r="C500" s="14"/>
      <c r="D500" s="15"/>
      <c r="E500" s="14"/>
    </row>
    <row r="501" spans="1:5" x14ac:dyDescent="0.35">
      <c r="A501" s="21"/>
      <c r="B501" s="14"/>
      <c r="C501" s="14"/>
      <c r="D501" s="15"/>
      <c r="E501" s="14"/>
    </row>
    <row r="502" spans="1:5" x14ac:dyDescent="0.35">
      <c r="A502" s="21"/>
      <c r="B502" s="14"/>
      <c r="C502" s="14"/>
      <c r="D502" s="15"/>
      <c r="E502" s="14"/>
    </row>
    <row r="503" spans="1:5" x14ac:dyDescent="0.35">
      <c r="A503" s="21"/>
      <c r="B503" s="14"/>
      <c r="C503" s="14"/>
      <c r="D503" s="15"/>
      <c r="E503" s="14"/>
    </row>
    <row r="504" spans="1:5" x14ac:dyDescent="0.35">
      <c r="A504" s="21"/>
      <c r="B504" s="14"/>
      <c r="C504" s="14"/>
      <c r="D504" s="15"/>
      <c r="E504" s="14"/>
    </row>
    <row r="505" spans="1:5" x14ac:dyDescent="0.35">
      <c r="A505" s="21"/>
      <c r="B505" s="14"/>
      <c r="C505" s="14"/>
      <c r="D505" s="15"/>
      <c r="E505" s="14"/>
    </row>
    <row r="506" spans="1:5" x14ac:dyDescent="0.35">
      <c r="A506" s="21"/>
      <c r="B506" s="14"/>
      <c r="C506" s="14"/>
      <c r="D506" s="15"/>
      <c r="E506" s="14"/>
    </row>
    <row r="507" spans="1:5" x14ac:dyDescent="0.35">
      <c r="A507" s="21"/>
      <c r="B507" s="14"/>
      <c r="C507" s="14"/>
      <c r="D507" s="15"/>
      <c r="E507" s="14"/>
    </row>
    <row r="508" spans="1:5" x14ac:dyDescent="0.35">
      <c r="A508" s="21"/>
      <c r="B508" s="14"/>
      <c r="C508" s="14"/>
      <c r="D508" s="15"/>
      <c r="E508" s="14"/>
    </row>
    <row r="509" spans="1:5" x14ac:dyDescent="0.35">
      <c r="A509" s="21"/>
      <c r="B509" s="14"/>
      <c r="C509" s="14"/>
      <c r="D509" s="15"/>
      <c r="E509" s="14"/>
    </row>
    <row r="510" spans="1:5" x14ac:dyDescent="0.35">
      <c r="A510" s="21"/>
      <c r="B510" s="14"/>
      <c r="C510" s="14"/>
      <c r="D510" s="15"/>
      <c r="E510" s="14"/>
    </row>
    <row r="511" spans="1:5" x14ac:dyDescent="0.35">
      <c r="A511" s="21"/>
      <c r="B511" s="14"/>
      <c r="C511" s="14"/>
      <c r="D511" s="15"/>
      <c r="E511" s="14"/>
    </row>
    <row r="512" spans="1:5" x14ac:dyDescent="0.35">
      <c r="A512" s="21"/>
      <c r="B512" s="14"/>
      <c r="C512" s="14"/>
      <c r="D512" s="15"/>
      <c r="E512" s="14"/>
    </row>
    <row r="513" spans="1:5" x14ac:dyDescent="0.35">
      <c r="A513" s="21"/>
      <c r="B513" s="14"/>
      <c r="C513" s="14"/>
      <c r="D513" s="15"/>
      <c r="E513" s="14"/>
    </row>
    <row r="514" spans="1:5" x14ac:dyDescent="0.35">
      <c r="A514" s="21"/>
      <c r="B514" s="14"/>
      <c r="C514" s="14"/>
      <c r="D514" s="15"/>
      <c r="E514" s="14"/>
    </row>
    <row r="515" spans="1:5" x14ac:dyDescent="0.35">
      <c r="A515" s="21"/>
      <c r="B515" s="14"/>
      <c r="C515" s="14"/>
      <c r="D515" s="15"/>
      <c r="E515" s="14"/>
    </row>
    <row r="516" spans="1:5" x14ac:dyDescent="0.35">
      <c r="A516" s="21"/>
      <c r="B516" s="14"/>
      <c r="C516" s="14"/>
      <c r="D516" s="15"/>
      <c r="E516" s="14"/>
    </row>
    <row r="517" spans="1:5" x14ac:dyDescent="0.35">
      <c r="A517" s="21"/>
      <c r="B517" s="14"/>
      <c r="C517" s="14"/>
      <c r="D517" s="15"/>
      <c r="E517" s="14"/>
    </row>
    <row r="518" spans="1:5" x14ac:dyDescent="0.35">
      <c r="A518" s="21"/>
      <c r="B518" s="14"/>
      <c r="C518" s="14"/>
      <c r="D518" s="15"/>
      <c r="E518" s="14"/>
    </row>
    <row r="519" spans="1:5" x14ac:dyDescent="0.35">
      <c r="A519" s="21"/>
      <c r="B519" s="14"/>
      <c r="C519" s="14"/>
      <c r="D519" s="15"/>
      <c r="E519" s="14"/>
    </row>
    <row r="520" spans="1:5" x14ac:dyDescent="0.35">
      <c r="A520" s="21"/>
      <c r="B520" s="14"/>
      <c r="C520" s="14"/>
      <c r="D520" s="15"/>
      <c r="E520" s="14"/>
    </row>
    <row r="521" spans="1:5" x14ac:dyDescent="0.35">
      <c r="A521" s="21"/>
      <c r="B521" s="14"/>
      <c r="C521" s="14"/>
      <c r="D521" s="15"/>
      <c r="E521" s="14"/>
    </row>
    <row r="522" spans="1:5" x14ac:dyDescent="0.35">
      <c r="A522" s="21"/>
      <c r="B522" s="14"/>
      <c r="C522" s="14"/>
      <c r="D522" s="15"/>
      <c r="E522" s="14"/>
    </row>
    <row r="523" spans="1:5" x14ac:dyDescent="0.35">
      <c r="A523" s="21"/>
      <c r="B523" s="14"/>
      <c r="C523" s="14"/>
      <c r="D523" s="15"/>
      <c r="E523" s="14"/>
    </row>
    <row r="524" spans="1:5" x14ac:dyDescent="0.35">
      <c r="A524" s="21"/>
      <c r="B524" s="14"/>
      <c r="C524" s="14"/>
      <c r="D524" s="15"/>
      <c r="E524" s="14"/>
    </row>
    <row r="525" spans="1:5" x14ac:dyDescent="0.35">
      <c r="A525" s="21"/>
      <c r="B525" s="14"/>
      <c r="C525" s="14"/>
      <c r="D525" s="15"/>
      <c r="E525" s="14"/>
    </row>
    <row r="526" spans="1:5" x14ac:dyDescent="0.35">
      <c r="A526" s="21"/>
      <c r="B526" s="14"/>
      <c r="C526" s="14"/>
      <c r="D526" s="15"/>
      <c r="E526" s="14"/>
    </row>
    <row r="527" spans="1:5" x14ac:dyDescent="0.35">
      <c r="A527" s="21"/>
      <c r="B527" s="14"/>
      <c r="C527" s="14"/>
      <c r="D527" s="15"/>
      <c r="E527" s="14"/>
    </row>
    <row r="528" spans="1:5" x14ac:dyDescent="0.35">
      <c r="A528" s="21"/>
      <c r="B528" s="14"/>
      <c r="C528" s="14"/>
      <c r="D528" s="15"/>
      <c r="E528" s="14"/>
    </row>
    <row r="529" spans="1:5" x14ac:dyDescent="0.35">
      <c r="A529" s="21"/>
      <c r="B529" s="14"/>
      <c r="C529" s="14"/>
      <c r="D529" s="15"/>
      <c r="E529" s="14"/>
    </row>
    <row r="530" spans="1:5" x14ac:dyDescent="0.35">
      <c r="A530" s="21"/>
      <c r="B530" s="14"/>
      <c r="C530" s="14"/>
      <c r="D530" s="15"/>
      <c r="E530" s="14"/>
    </row>
    <row r="531" spans="1:5" x14ac:dyDescent="0.35">
      <c r="A531" s="21"/>
      <c r="B531" s="14"/>
      <c r="C531" s="14"/>
      <c r="D531" s="15"/>
      <c r="E531" s="14"/>
    </row>
    <row r="532" spans="1:5" x14ac:dyDescent="0.35">
      <c r="A532" s="21"/>
      <c r="B532" s="14"/>
      <c r="C532" s="14"/>
      <c r="D532" s="15"/>
      <c r="E532" s="14"/>
    </row>
    <row r="533" spans="1:5" x14ac:dyDescent="0.35">
      <c r="A533" s="21"/>
      <c r="B533" s="14"/>
      <c r="C533" s="14"/>
      <c r="D533" s="15"/>
      <c r="E533" s="14"/>
    </row>
    <row r="534" spans="1:5" x14ac:dyDescent="0.35">
      <c r="A534" s="21"/>
      <c r="B534" s="14"/>
      <c r="C534" s="14"/>
      <c r="D534" s="15"/>
      <c r="E534" s="14"/>
    </row>
    <row r="535" spans="1:5" x14ac:dyDescent="0.35">
      <c r="A535" s="21"/>
      <c r="B535" s="14"/>
      <c r="C535" s="14"/>
      <c r="D535" s="15"/>
      <c r="E535" s="14"/>
    </row>
    <row r="536" spans="1:5" x14ac:dyDescent="0.35">
      <c r="A536" s="21"/>
      <c r="B536" s="14"/>
      <c r="C536" s="14"/>
      <c r="D536" s="15"/>
      <c r="E536" s="14"/>
    </row>
    <row r="537" spans="1:5" x14ac:dyDescent="0.35">
      <c r="A537" s="21"/>
      <c r="B537" s="14"/>
      <c r="C537" s="14"/>
      <c r="D537" s="15"/>
      <c r="E537" s="14"/>
    </row>
    <row r="538" spans="1:5" x14ac:dyDescent="0.35">
      <c r="A538" s="21"/>
      <c r="B538" s="14"/>
      <c r="C538" s="14"/>
      <c r="D538" s="15"/>
      <c r="E538" s="14"/>
    </row>
    <row r="539" spans="1:5" x14ac:dyDescent="0.35">
      <c r="A539" s="21"/>
      <c r="B539" s="14"/>
      <c r="C539" s="14"/>
      <c r="D539" s="15"/>
      <c r="E539" s="14"/>
    </row>
    <row r="540" spans="1:5" x14ac:dyDescent="0.35">
      <c r="A540" s="21"/>
      <c r="B540" s="14"/>
      <c r="C540" s="14"/>
      <c r="D540" s="15"/>
      <c r="E540" s="14"/>
    </row>
    <row r="541" spans="1:5" x14ac:dyDescent="0.35">
      <c r="A541" s="21"/>
      <c r="B541" s="14"/>
      <c r="C541" s="14"/>
      <c r="D541" s="15"/>
      <c r="E541" s="14"/>
    </row>
    <row r="542" spans="1:5" x14ac:dyDescent="0.35">
      <c r="A542" s="21"/>
      <c r="B542" s="14"/>
      <c r="C542" s="14"/>
      <c r="D542" s="15"/>
      <c r="E542" s="14"/>
    </row>
    <row r="543" spans="1:5" x14ac:dyDescent="0.35">
      <c r="A543" s="21"/>
      <c r="B543" s="14"/>
      <c r="C543" s="14"/>
      <c r="D543" s="15"/>
      <c r="E543" s="14"/>
    </row>
    <row r="544" spans="1:5" x14ac:dyDescent="0.35">
      <c r="A544" s="21"/>
      <c r="B544" s="14"/>
      <c r="C544" s="14"/>
      <c r="D544" s="15"/>
      <c r="E544" s="14"/>
    </row>
    <row r="545" spans="1:5" x14ac:dyDescent="0.35">
      <c r="A545" s="21"/>
      <c r="B545" s="14"/>
      <c r="C545" s="14"/>
      <c r="D545" s="15"/>
      <c r="E545" s="14"/>
    </row>
    <row r="546" spans="1:5" x14ac:dyDescent="0.35">
      <c r="A546" s="21"/>
      <c r="B546" s="14"/>
      <c r="C546" s="14"/>
      <c r="D546" s="15"/>
      <c r="E546" s="14"/>
    </row>
    <row r="547" spans="1:5" x14ac:dyDescent="0.35">
      <c r="A547" s="21"/>
      <c r="B547" s="14"/>
      <c r="C547" s="14"/>
      <c r="D547" s="15"/>
      <c r="E547" s="14"/>
    </row>
    <row r="548" spans="1:5" x14ac:dyDescent="0.35">
      <c r="A548" s="21"/>
      <c r="B548" s="14"/>
      <c r="C548" s="14"/>
      <c r="D548" s="15"/>
      <c r="E548" s="14"/>
    </row>
    <row r="549" spans="1:5" x14ac:dyDescent="0.35">
      <c r="A549" s="21"/>
      <c r="B549" s="14"/>
      <c r="C549" s="14"/>
      <c r="D549" s="15"/>
      <c r="E549" s="14"/>
    </row>
    <row r="550" spans="1:5" x14ac:dyDescent="0.35">
      <c r="A550" s="21"/>
      <c r="B550" s="14"/>
      <c r="C550" s="14"/>
      <c r="D550" s="15"/>
      <c r="E550" s="14"/>
    </row>
    <row r="551" spans="1:5" x14ac:dyDescent="0.35">
      <c r="A551" s="21"/>
      <c r="B551" s="14"/>
      <c r="C551" s="14"/>
      <c r="D551" s="15"/>
      <c r="E551" s="14"/>
    </row>
    <row r="552" spans="1:5" x14ac:dyDescent="0.35">
      <c r="A552" s="21"/>
      <c r="B552" s="14"/>
      <c r="C552" s="14"/>
      <c r="D552" s="15"/>
      <c r="E552" s="14"/>
    </row>
    <row r="553" spans="1:5" x14ac:dyDescent="0.35">
      <c r="A553" s="21"/>
      <c r="B553" s="14"/>
      <c r="C553" s="14"/>
      <c r="D553" s="15"/>
      <c r="E553" s="14"/>
    </row>
    <row r="554" spans="1:5" x14ac:dyDescent="0.35">
      <c r="A554" s="21"/>
      <c r="B554" s="14"/>
      <c r="C554" s="14"/>
      <c r="D554" s="15"/>
      <c r="E554" s="14"/>
    </row>
    <row r="555" spans="1:5" x14ac:dyDescent="0.35">
      <c r="A555" s="21"/>
      <c r="B555" s="14"/>
      <c r="C555" s="14"/>
      <c r="D555" s="15"/>
      <c r="E555" s="14"/>
    </row>
    <row r="556" spans="1:5" x14ac:dyDescent="0.35">
      <c r="A556" s="21"/>
      <c r="B556" s="14"/>
      <c r="C556" s="14"/>
      <c r="D556" s="15"/>
      <c r="E556" s="14"/>
    </row>
    <row r="557" spans="1:5" x14ac:dyDescent="0.35">
      <c r="A557" s="21"/>
      <c r="B557" s="14"/>
      <c r="C557" s="14"/>
      <c r="D557" s="15"/>
      <c r="E557" s="14"/>
    </row>
    <row r="558" spans="1:5" x14ac:dyDescent="0.35">
      <c r="A558" s="21"/>
      <c r="B558" s="14"/>
      <c r="C558" s="14"/>
      <c r="D558" s="15"/>
      <c r="E558" s="14"/>
    </row>
    <row r="559" spans="1:5" x14ac:dyDescent="0.35">
      <c r="A559" s="21"/>
      <c r="B559" s="14"/>
      <c r="C559" s="14"/>
      <c r="D559" s="15"/>
      <c r="E559" s="14"/>
    </row>
    <row r="560" spans="1:5" x14ac:dyDescent="0.35">
      <c r="A560" s="21"/>
      <c r="B560" s="14"/>
      <c r="C560" s="14"/>
      <c r="D560" s="15"/>
      <c r="E560" s="14"/>
    </row>
    <row r="561" spans="1:5" x14ac:dyDescent="0.35">
      <c r="A561" s="21"/>
      <c r="B561" s="14"/>
      <c r="C561" s="14"/>
      <c r="D561" s="15"/>
      <c r="E561" s="14"/>
    </row>
    <row r="562" spans="1:5" x14ac:dyDescent="0.35">
      <c r="A562" s="21"/>
      <c r="B562" s="14"/>
      <c r="C562" s="14"/>
      <c r="D562" s="15"/>
      <c r="E562" s="14"/>
    </row>
    <row r="563" spans="1:5" x14ac:dyDescent="0.35">
      <c r="A563" s="21"/>
      <c r="B563" s="14"/>
      <c r="C563" s="14"/>
      <c r="D563" s="15"/>
      <c r="E563" s="14"/>
    </row>
    <row r="564" spans="1:5" x14ac:dyDescent="0.35">
      <c r="A564" s="21"/>
      <c r="B564" s="14"/>
      <c r="C564" s="14"/>
      <c r="D564" s="15"/>
      <c r="E564" s="14"/>
    </row>
    <row r="565" spans="1:5" x14ac:dyDescent="0.35">
      <c r="A565" s="21"/>
      <c r="B565" s="14"/>
      <c r="C565" s="14"/>
      <c r="D565" s="15"/>
      <c r="E565" s="14"/>
    </row>
    <row r="566" spans="1:5" x14ac:dyDescent="0.35">
      <c r="A566" s="21"/>
      <c r="B566" s="14"/>
      <c r="C566" s="14"/>
      <c r="D566" s="15"/>
      <c r="E566" s="14"/>
    </row>
    <row r="567" spans="1:5" x14ac:dyDescent="0.35">
      <c r="A567" s="21"/>
      <c r="B567" s="14"/>
      <c r="C567" s="14"/>
      <c r="D567" s="15"/>
      <c r="E567" s="14"/>
    </row>
    <row r="568" spans="1:5" x14ac:dyDescent="0.35">
      <c r="A568" s="21"/>
      <c r="B568" s="14"/>
      <c r="C568" s="14"/>
      <c r="D568" s="15"/>
      <c r="E568" s="14"/>
    </row>
    <row r="569" spans="1:5" x14ac:dyDescent="0.35">
      <c r="A569" s="21"/>
      <c r="B569" s="14"/>
      <c r="C569" s="14"/>
      <c r="D569" s="15"/>
      <c r="E569" s="14"/>
    </row>
    <row r="570" spans="1:5" x14ac:dyDescent="0.35">
      <c r="A570" s="21"/>
      <c r="B570" s="14"/>
      <c r="C570" s="14"/>
      <c r="D570" s="15"/>
      <c r="E570" s="14"/>
    </row>
    <row r="571" spans="1:5" x14ac:dyDescent="0.35">
      <c r="A571" s="21"/>
      <c r="B571" s="14"/>
      <c r="C571" s="14"/>
      <c r="D571" s="15"/>
      <c r="E571" s="14"/>
    </row>
    <row r="572" spans="1:5" x14ac:dyDescent="0.35">
      <c r="A572" s="21"/>
      <c r="B572" s="14"/>
      <c r="C572" s="14"/>
      <c r="D572" s="15"/>
      <c r="E572" s="14"/>
    </row>
    <row r="573" spans="1:5" x14ac:dyDescent="0.35">
      <c r="A573" s="21"/>
      <c r="B573" s="14"/>
      <c r="C573" s="14"/>
      <c r="D573" s="15"/>
      <c r="E573" s="14"/>
    </row>
    <row r="574" spans="1:5" x14ac:dyDescent="0.35">
      <c r="A574" s="21"/>
      <c r="B574" s="14"/>
      <c r="C574" s="14"/>
      <c r="D574" s="15"/>
      <c r="E574" s="14"/>
    </row>
    <row r="575" spans="1:5" x14ac:dyDescent="0.35">
      <c r="A575" s="21"/>
      <c r="B575" s="14"/>
      <c r="C575" s="14"/>
      <c r="D575" s="15"/>
      <c r="E575" s="14"/>
    </row>
    <row r="576" spans="1:5" x14ac:dyDescent="0.35">
      <c r="A576" s="21"/>
      <c r="B576" s="14"/>
      <c r="C576" s="14"/>
      <c r="D576" s="15"/>
      <c r="E576" s="14"/>
    </row>
    <row r="577" spans="1:5" x14ac:dyDescent="0.35">
      <c r="A577" s="21"/>
      <c r="B577" s="14"/>
      <c r="C577" s="14"/>
      <c r="D577" s="15"/>
      <c r="E577" s="14"/>
    </row>
    <row r="578" spans="1:5" x14ac:dyDescent="0.35">
      <c r="A578" s="21"/>
      <c r="B578" s="14"/>
      <c r="C578" s="14"/>
      <c r="D578" s="15"/>
      <c r="E578" s="14"/>
    </row>
    <row r="579" spans="1:5" x14ac:dyDescent="0.35">
      <c r="A579" s="21"/>
      <c r="B579" s="14"/>
      <c r="C579" s="14"/>
      <c r="D579" s="15"/>
      <c r="E579" s="14"/>
    </row>
    <row r="580" spans="1:5" x14ac:dyDescent="0.35">
      <c r="A580" s="21"/>
      <c r="B580" s="14"/>
      <c r="C580" s="14"/>
      <c r="D580" s="15"/>
      <c r="E580" s="14"/>
    </row>
    <row r="581" spans="1:5" x14ac:dyDescent="0.35">
      <c r="A581" s="21"/>
      <c r="B581" s="14"/>
      <c r="C581" s="14"/>
      <c r="D581" s="15"/>
      <c r="E581" s="14"/>
    </row>
    <row r="582" spans="1:5" x14ac:dyDescent="0.35">
      <c r="A582" s="21"/>
      <c r="B582" s="14"/>
      <c r="C582" s="14"/>
      <c r="D582" s="15"/>
      <c r="E582" s="14"/>
    </row>
    <row r="583" spans="1:5" x14ac:dyDescent="0.35">
      <c r="A583" s="21"/>
      <c r="B583" s="14"/>
      <c r="C583" s="14"/>
      <c r="D583" s="15"/>
      <c r="E583" s="14"/>
    </row>
    <row r="584" spans="1:5" x14ac:dyDescent="0.35">
      <c r="A584" s="21"/>
      <c r="B584" s="14"/>
      <c r="C584" s="14"/>
      <c r="D584" s="15"/>
      <c r="E584" s="14"/>
    </row>
    <row r="585" spans="1:5" x14ac:dyDescent="0.35">
      <c r="A585" s="21"/>
      <c r="B585" s="14"/>
      <c r="C585" s="14"/>
      <c r="D585" s="15"/>
      <c r="E585" s="14"/>
    </row>
    <row r="586" spans="1:5" x14ac:dyDescent="0.35">
      <c r="A586" s="21"/>
      <c r="B586" s="14"/>
      <c r="C586" s="14"/>
      <c r="D586" s="15"/>
      <c r="E586" s="14"/>
    </row>
    <row r="587" spans="1:5" x14ac:dyDescent="0.35">
      <c r="A587" s="21"/>
      <c r="B587" s="14"/>
      <c r="C587" s="14"/>
      <c r="D587" s="15"/>
      <c r="E587" s="14"/>
    </row>
    <row r="588" spans="1:5" x14ac:dyDescent="0.35">
      <c r="A588" s="21"/>
      <c r="B588" s="14"/>
      <c r="C588" s="14"/>
      <c r="D588" s="15"/>
      <c r="E588" s="14"/>
    </row>
    <row r="589" spans="1:5" x14ac:dyDescent="0.35">
      <c r="A589" s="21"/>
      <c r="B589" s="14"/>
      <c r="C589" s="14"/>
      <c r="D589" s="15"/>
      <c r="E589" s="14"/>
    </row>
    <row r="590" spans="1:5" x14ac:dyDescent="0.35">
      <c r="A590" s="21"/>
      <c r="B590" s="14"/>
      <c r="C590" s="14"/>
      <c r="D590" s="15"/>
      <c r="E590" s="14"/>
    </row>
    <row r="591" spans="1:5" x14ac:dyDescent="0.35">
      <c r="A591" s="21"/>
      <c r="B591" s="14"/>
      <c r="C591" s="14"/>
      <c r="D591" s="15"/>
      <c r="E591" s="14"/>
    </row>
    <row r="592" spans="1:5" x14ac:dyDescent="0.35">
      <c r="A592" s="21"/>
      <c r="B592" s="14"/>
      <c r="C592" s="14"/>
      <c r="D592" s="15"/>
      <c r="E592" s="14"/>
    </row>
    <row r="593" spans="1:5" x14ac:dyDescent="0.35">
      <c r="A593" s="21"/>
      <c r="B593" s="14"/>
      <c r="C593" s="14"/>
      <c r="D593" s="15"/>
      <c r="E593" s="14"/>
    </row>
    <row r="594" spans="1:5" x14ac:dyDescent="0.35">
      <c r="A594" s="21"/>
      <c r="B594" s="14"/>
      <c r="C594" s="14"/>
      <c r="D594" s="15"/>
      <c r="E594" s="14"/>
    </row>
    <row r="595" spans="1:5" x14ac:dyDescent="0.35">
      <c r="A595" s="21"/>
      <c r="B595" s="14"/>
      <c r="C595" s="14"/>
      <c r="D595" s="15"/>
      <c r="E595" s="14"/>
    </row>
    <row r="596" spans="1:5" x14ac:dyDescent="0.35">
      <c r="A596" s="21"/>
      <c r="B596" s="14"/>
      <c r="C596" s="14"/>
      <c r="D596" s="15"/>
      <c r="E596" s="14"/>
    </row>
    <row r="597" spans="1:5" x14ac:dyDescent="0.35">
      <c r="A597" s="21"/>
      <c r="B597" s="14"/>
      <c r="C597" s="14"/>
      <c r="D597" s="15"/>
      <c r="E597" s="14"/>
    </row>
    <row r="598" spans="1:5" x14ac:dyDescent="0.35">
      <c r="A598" s="21"/>
      <c r="B598" s="14"/>
      <c r="C598" s="14"/>
      <c r="D598" s="15"/>
      <c r="E598" s="14"/>
    </row>
    <row r="599" spans="1:5" x14ac:dyDescent="0.35">
      <c r="A599" s="21"/>
      <c r="B599" s="14"/>
      <c r="C599" s="14"/>
      <c r="D599" s="15"/>
      <c r="E599" s="14"/>
    </row>
    <row r="600" spans="1:5" x14ac:dyDescent="0.35">
      <c r="A600" s="21"/>
      <c r="B600" s="14"/>
      <c r="C600" s="14"/>
      <c r="D600" s="15"/>
      <c r="E600" s="14"/>
    </row>
    <row r="601" spans="1:5" x14ac:dyDescent="0.35">
      <c r="A601" s="21"/>
      <c r="B601" s="14"/>
      <c r="C601" s="14"/>
      <c r="D601" s="15"/>
      <c r="E601" s="14"/>
    </row>
    <row r="602" spans="1:5" x14ac:dyDescent="0.35">
      <c r="A602" s="21"/>
      <c r="B602" s="14"/>
      <c r="C602" s="14"/>
      <c r="D602" s="15"/>
      <c r="E602" s="14"/>
    </row>
    <row r="603" spans="1:5" x14ac:dyDescent="0.35">
      <c r="A603" s="21"/>
      <c r="B603" s="14"/>
      <c r="C603" s="14"/>
      <c r="D603" s="15"/>
      <c r="E603" s="14"/>
    </row>
    <row r="604" spans="1:5" x14ac:dyDescent="0.35">
      <c r="A604" s="21"/>
      <c r="B604" s="14"/>
      <c r="C604" s="14"/>
      <c r="D604" s="15"/>
      <c r="E604" s="14"/>
    </row>
    <row r="605" spans="1:5" x14ac:dyDescent="0.35">
      <c r="A605" s="21"/>
      <c r="B605" s="14"/>
      <c r="C605" s="14"/>
      <c r="D605" s="15"/>
      <c r="E605" s="14"/>
    </row>
    <row r="606" spans="1:5" x14ac:dyDescent="0.35">
      <c r="A606" s="21"/>
      <c r="B606" s="14"/>
      <c r="C606" s="14"/>
      <c r="D606" s="15"/>
      <c r="E606" s="14"/>
    </row>
    <row r="607" spans="1:5" x14ac:dyDescent="0.35">
      <c r="A607" s="21"/>
      <c r="B607" s="14"/>
      <c r="C607" s="14"/>
      <c r="D607" s="15"/>
      <c r="E607" s="14"/>
    </row>
    <row r="608" spans="1:5" x14ac:dyDescent="0.35">
      <c r="A608" s="21"/>
      <c r="B608" s="14"/>
      <c r="C608" s="14"/>
      <c r="D608" s="15"/>
      <c r="E608" s="14"/>
    </row>
    <row r="609" spans="1:5" x14ac:dyDescent="0.35">
      <c r="A609" s="21"/>
      <c r="B609" s="14"/>
      <c r="C609" s="14"/>
      <c r="D609" s="15"/>
      <c r="E609" s="14"/>
    </row>
    <row r="610" spans="1:5" x14ac:dyDescent="0.35">
      <c r="A610" s="21"/>
      <c r="B610" s="14"/>
      <c r="C610" s="14"/>
      <c r="D610" s="15"/>
      <c r="E610" s="14"/>
    </row>
    <row r="611" spans="1:5" x14ac:dyDescent="0.35">
      <c r="A611" s="21"/>
      <c r="B611" s="14"/>
      <c r="C611" s="14"/>
      <c r="D611" s="15"/>
      <c r="E611" s="14"/>
    </row>
    <row r="612" spans="1:5" x14ac:dyDescent="0.35">
      <c r="A612" s="21"/>
      <c r="B612" s="14"/>
      <c r="C612" s="14"/>
      <c r="D612" s="15"/>
      <c r="E612" s="14"/>
    </row>
    <row r="613" spans="1:5" x14ac:dyDescent="0.35">
      <c r="A613" s="21"/>
      <c r="B613" s="14"/>
      <c r="C613" s="14"/>
      <c r="D613" s="15"/>
      <c r="E613" s="14"/>
    </row>
    <row r="614" spans="1:5" x14ac:dyDescent="0.35">
      <c r="A614" s="21"/>
      <c r="B614" s="14"/>
      <c r="C614" s="14"/>
      <c r="D614" s="15"/>
      <c r="E614" s="14"/>
    </row>
    <row r="615" spans="1:5" x14ac:dyDescent="0.35">
      <c r="A615" s="21"/>
      <c r="B615" s="14"/>
      <c r="C615" s="14"/>
      <c r="D615" s="15"/>
      <c r="E615" s="14"/>
    </row>
    <row r="616" spans="1:5" x14ac:dyDescent="0.35">
      <c r="A616" s="21"/>
      <c r="B616" s="14"/>
      <c r="C616" s="14"/>
      <c r="D616" s="15"/>
      <c r="E616" s="14"/>
    </row>
    <row r="617" spans="1:5" x14ac:dyDescent="0.35">
      <c r="A617" s="21"/>
      <c r="B617" s="14"/>
      <c r="C617" s="14"/>
      <c r="D617" s="15"/>
      <c r="E617" s="14"/>
    </row>
    <row r="618" spans="1:5" x14ac:dyDescent="0.35">
      <c r="A618" s="21"/>
      <c r="B618" s="14"/>
      <c r="C618" s="14"/>
      <c r="D618" s="15"/>
      <c r="E618" s="14"/>
    </row>
    <row r="619" spans="1:5" x14ac:dyDescent="0.35">
      <c r="A619" s="21"/>
      <c r="B619" s="14"/>
      <c r="C619" s="14"/>
      <c r="D619" s="15"/>
      <c r="E619" s="14"/>
    </row>
    <row r="620" spans="1:5" x14ac:dyDescent="0.35">
      <c r="A620" s="21"/>
      <c r="B620" s="14"/>
      <c r="C620" s="14"/>
      <c r="D620" s="15"/>
      <c r="E620" s="14"/>
    </row>
    <row r="621" spans="1:5" x14ac:dyDescent="0.35">
      <c r="A621" s="21"/>
      <c r="B621" s="14"/>
      <c r="C621" s="14"/>
      <c r="D621" s="15"/>
      <c r="E621" s="14"/>
    </row>
    <row r="622" spans="1:5" x14ac:dyDescent="0.35">
      <c r="A622" s="21"/>
      <c r="B622" s="14"/>
      <c r="C622" s="14"/>
      <c r="D622" s="15"/>
      <c r="E622" s="14"/>
    </row>
    <row r="623" spans="1:5" x14ac:dyDescent="0.35">
      <c r="A623" s="21"/>
      <c r="B623" s="14"/>
      <c r="C623" s="14"/>
      <c r="D623" s="15"/>
      <c r="E623" s="14"/>
    </row>
    <row r="624" spans="1:5" x14ac:dyDescent="0.35">
      <c r="A624" s="21"/>
      <c r="B624" s="14"/>
      <c r="C624" s="14"/>
      <c r="D624" s="15"/>
      <c r="E624" s="14"/>
    </row>
    <row r="625" spans="1:5" x14ac:dyDescent="0.35">
      <c r="A625" s="21"/>
      <c r="B625" s="14"/>
      <c r="C625" s="14"/>
      <c r="D625" s="15"/>
      <c r="E625" s="14"/>
    </row>
    <row r="626" spans="1:5" x14ac:dyDescent="0.35">
      <c r="A626" s="21"/>
      <c r="B626" s="14"/>
      <c r="C626" s="14"/>
      <c r="D626" s="15"/>
      <c r="E626" s="14"/>
    </row>
    <row r="627" spans="1:5" x14ac:dyDescent="0.35">
      <c r="A627" s="21"/>
      <c r="B627" s="14"/>
      <c r="C627" s="14"/>
      <c r="D627" s="15"/>
      <c r="E627" s="14"/>
    </row>
    <row r="628" spans="1:5" x14ac:dyDescent="0.35">
      <c r="A628" s="21"/>
      <c r="B628" s="14"/>
      <c r="C628" s="14"/>
      <c r="D628" s="15"/>
      <c r="E628" s="14"/>
    </row>
    <row r="629" spans="1:5" x14ac:dyDescent="0.35">
      <c r="A629" s="21"/>
      <c r="B629" s="14"/>
      <c r="C629" s="14"/>
      <c r="D629" s="15"/>
      <c r="E629" s="14"/>
    </row>
    <row r="630" spans="1:5" x14ac:dyDescent="0.35">
      <c r="A630" s="21"/>
      <c r="B630" s="14"/>
      <c r="C630" s="14"/>
      <c r="D630" s="15"/>
      <c r="E630" s="14"/>
    </row>
    <row r="631" spans="1:5" x14ac:dyDescent="0.35">
      <c r="A631" s="21"/>
      <c r="B631" s="14"/>
      <c r="C631" s="14"/>
      <c r="D631" s="15"/>
      <c r="E631" s="14"/>
    </row>
    <row r="632" spans="1:5" x14ac:dyDescent="0.35">
      <c r="A632" s="21"/>
      <c r="B632" s="14"/>
      <c r="C632" s="14"/>
      <c r="D632" s="15"/>
      <c r="E632" s="14"/>
    </row>
    <row r="633" spans="1:5" x14ac:dyDescent="0.35">
      <c r="A633" s="21"/>
      <c r="B633" s="14"/>
      <c r="C633" s="14"/>
      <c r="D633" s="15"/>
      <c r="E633" s="14"/>
    </row>
    <row r="634" spans="1:5" x14ac:dyDescent="0.35">
      <c r="A634" s="21"/>
      <c r="B634" s="14"/>
      <c r="C634" s="14"/>
      <c r="D634" s="15"/>
      <c r="E634" s="14"/>
    </row>
    <row r="635" spans="1:5" x14ac:dyDescent="0.35">
      <c r="A635" s="21"/>
      <c r="B635" s="14"/>
      <c r="C635" s="14"/>
      <c r="D635" s="15"/>
      <c r="E635" s="14"/>
    </row>
    <row r="636" spans="1:5" x14ac:dyDescent="0.35">
      <c r="A636" s="21"/>
      <c r="B636" s="14"/>
      <c r="C636" s="14"/>
      <c r="D636" s="15"/>
      <c r="E636" s="14"/>
    </row>
    <row r="637" spans="1:5" x14ac:dyDescent="0.35">
      <c r="A637" s="21"/>
      <c r="B637" s="14"/>
      <c r="C637" s="14"/>
      <c r="D637" s="15"/>
      <c r="E637" s="14"/>
    </row>
    <row r="638" spans="1:5" x14ac:dyDescent="0.35">
      <c r="A638" s="21"/>
      <c r="B638" s="14"/>
      <c r="C638" s="14"/>
      <c r="D638" s="15"/>
      <c r="E638" s="14"/>
    </row>
    <row r="639" spans="1:5" x14ac:dyDescent="0.35">
      <c r="A639" s="21"/>
      <c r="B639" s="14"/>
      <c r="C639" s="14"/>
      <c r="D639" s="15"/>
      <c r="E639" s="14"/>
    </row>
    <row r="640" spans="1:5" x14ac:dyDescent="0.35">
      <c r="A640" s="21"/>
      <c r="B640" s="14"/>
      <c r="C640" s="14"/>
      <c r="D640" s="15"/>
      <c r="E640" s="14"/>
    </row>
    <row r="641" spans="1:5" x14ac:dyDescent="0.35">
      <c r="A641" s="21"/>
      <c r="B641" s="14"/>
      <c r="C641" s="14"/>
      <c r="D641" s="15"/>
      <c r="E641" s="14"/>
    </row>
    <row r="642" spans="1:5" x14ac:dyDescent="0.35">
      <c r="A642" s="21"/>
      <c r="B642" s="14"/>
      <c r="C642" s="14"/>
      <c r="D642" s="15"/>
      <c r="E642" s="14"/>
    </row>
    <row r="643" spans="1:5" x14ac:dyDescent="0.35">
      <c r="A643" s="21"/>
      <c r="B643" s="14"/>
      <c r="C643" s="14"/>
      <c r="D643" s="15"/>
      <c r="E643" s="14"/>
    </row>
    <row r="644" spans="1:5" x14ac:dyDescent="0.35">
      <c r="A644" s="21"/>
      <c r="B644" s="14"/>
      <c r="C644" s="14"/>
      <c r="D644" s="15"/>
      <c r="E644" s="14"/>
    </row>
    <row r="645" spans="1:5" x14ac:dyDescent="0.35">
      <c r="A645" s="21"/>
      <c r="B645" s="14"/>
      <c r="C645" s="14"/>
      <c r="D645" s="15"/>
      <c r="E645" s="14"/>
    </row>
    <row r="646" spans="1:5" x14ac:dyDescent="0.35">
      <c r="A646" s="21"/>
      <c r="B646" s="14"/>
      <c r="C646" s="14"/>
      <c r="D646" s="15"/>
      <c r="E646" s="14"/>
    </row>
    <row r="647" spans="1:5" x14ac:dyDescent="0.35">
      <c r="A647" s="21"/>
      <c r="B647" s="14"/>
      <c r="C647" s="14"/>
      <c r="D647" s="15"/>
      <c r="E647" s="14"/>
    </row>
    <row r="648" spans="1:5" x14ac:dyDescent="0.35">
      <c r="A648" s="21"/>
      <c r="B648" s="14"/>
      <c r="C648" s="14"/>
      <c r="D648" s="15"/>
      <c r="E648" s="14"/>
    </row>
    <row r="649" spans="1:5" x14ac:dyDescent="0.35">
      <c r="A649" s="21"/>
      <c r="B649" s="14"/>
      <c r="C649" s="14"/>
      <c r="D649" s="15"/>
      <c r="E649" s="14"/>
    </row>
    <row r="650" spans="1:5" x14ac:dyDescent="0.35">
      <c r="A650" s="21"/>
      <c r="B650" s="14"/>
      <c r="C650" s="14"/>
      <c r="D650" s="15"/>
      <c r="E650" s="14"/>
    </row>
    <row r="651" spans="1:5" x14ac:dyDescent="0.35">
      <c r="A651" s="21"/>
      <c r="B651" s="14"/>
      <c r="C651" s="14"/>
      <c r="D651" s="15"/>
      <c r="E651" s="14"/>
    </row>
    <row r="652" spans="1:5" x14ac:dyDescent="0.35">
      <c r="A652" s="21"/>
      <c r="B652" s="14"/>
      <c r="C652" s="14"/>
      <c r="D652" s="15"/>
      <c r="E652" s="14"/>
    </row>
    <row r="653" spans="1:5" x14ac:dyDescent="0.35">
      <c r="A653" s="21"/>
      <c r="B653" s="14"/>
      <c r="C653" s="14"/>
      <c r="D653" s="15"/>
      <c r="E653" s="14"/>
    </row>
    <row r="654" spans="1:5" x14ac:dyDescent="0.35">
      <c r="A654" s="21"/>
      <c r="B654" s="14"/>
      <c r="C654" s="14"/>
      <c r="D654" s="15"/>
      <c r="E654" s="14"/>
    </row>
    <row r="655" spans="1:5" x14ac:dyDescent="0.35">
      <c r="A655" s="21"/>
      <c r="B655" s="14"/>
      <c r="C655" s="14"/>
      <c r="D655" s="15"/>
      <c r="E655" s="14"/>
    </row>
    <row r="656" spans="1:5" x14ac:dyDescent="0.35">
      <c r="A656" s="21"/>
      <c r="B656" s="14"/>
      <c r="C656" s="14"/>
      <c r="D656" s="15"/>
      <c r="E656" s="14"/>
    </row>
    <row r="657" spans="1:5" x14ac:dyDescent="0.35">
      <c r="A657" s="21"/>
      <c r="B657" s="14"/>
      <c r="C657" s="14"/>
      <c r="D657" s="15"/>
      <c r="E657" s="14"/>
    </row>
    <row r="658" spans="1:5" x14ac:dyDescent="0.35">
      <c r="A658" s="21"/>
      <c r="B658" s="14"/>
      <c r="C658" s="14"/>
      <c r="D658" s="15"/>
      <c r="E658" s="14"/>
    </row>
    <row r="659" spans="1:5" x14ac:dyDescent="0.35">
      <c r="A659" s="21"/>
      <c r="B659" s="14"/>
      <c r="C659" s="14"/>
      <c r="D659" s="15"/>
      <c r="E659" s="14"/>
    </row>
    <row r="660" spans="1:5" x14ac:dyDescent="0.35">
      <c r="A660" s="21"/>
      <c r="B660" s="14"/>
      <c r="C660" s="14"/>
      <c r="D660" s="15"/>
      <c r="E660" s="14"/>
    </row>
    <row r="661" spans="1:5" x14ac:dyDescent="0.35">
      <c r="A661" s="21"/>
      <c r="B661" s="14"/>
      <c r="C661" s="14"/>
      <c r="D661" s="15"/>
      <c r="E661" s="14"/>
    </row>
    <row r="662" spans="1:5" x14ac:dyDescent="0.35">
      <c r="A662" s="21"/>
      <c r="B662" s="14"/>
      <c r="C662" s="14"/>
      <c r="D662" s="15"/>
      <c r="E662" s="14"/>
    </row>
    <row r="663" spans="1:5" x14ac:dyDescent="0.35">
      <c r="A663" s="21"/>
      <c r="B663" s="14"/>
      <c r="C663" s="14"/>
      <c r="D663" s="15"/>
      <c r="E663" s="14"/>
    </row>
    <row r="664" spans="1:5" x14ac:dyDescent="0.35">
      <c r="A664" s="21"/>
      <c r="B664" s="14"/>
      <c r="C664" s="14"/>
      <c r="D664" s="15"/>
      <c r="E664" s="14"/>
    </row>
    <row r="665" spans="1:5" x14ac:dyDescent="0.35">
      <c r="A665" s="21"/>
      <c r="B665" s="14"/>
      <c r="C665" s="14"/>
      <c r="D665" s="15"/>
      <c r="E665" s="14"/>
    </row>
    <row r="666" spans="1:5" x14ac:dyDescent="0.35">
      <c r="A666" s="21"/>
      <c r="B666" s="14"/>
      <c r="C666" s="14"/>
      <c r="D666" s="15"/>
      <c r="E666" s="14"/>
    </row>
    <row r="667" spans="1:5" x14ac:dyDescent="0.35">
      <c r="A667" s="21"/>
      <c r="B667" s="14"/>
      <c r="C667" s="14"/>
      <c r="D667" s="15"/>
      <c r="E667" s="14"/>
    </row>
    <row r="668" spans="1:5" x14ac:dyDescent="0.35">
      <c r="A668" s="21"/>
      <c r="B668" s="14"/>
      <c r="C668" s="14"/>
      <c r="D668" s="15"/>
      <c r="E668" s="14"/>
    </row>
    <row r="669" spans="1:5" x14ac:dyDescent="0.35">
      <c r="A669" s="21"/>
      <c r="B669" s="14"/>
      <c r="C669" s="14"/>
      <c r="D669" s="15"/>
      <c r="E669" s="14"/>
    </row>
    <row r="670" spans="1:5" x14ac:dyDescent="0.35">
      <c r="A670" s="21"/>
      <c r="B670" s="14"/>
      <c r="C670" s="14"/>
      <c r="D670" s="15"/>
      <c r="E670" s="14"/>
    </row>
    <row r="671" spans="1:5" x14ac:dyDescent="0.35">
      <c r="A671" s="21"/>
      <c r="B671" s="14"/>
      <c r="C671" s="14"/>
      <c r="D671" s="15"/>
      <c r="E671" s="14"/>
    </row>
    <row r="672" spans="1:5" x14ac:dyDescent="0.35">
      <c r="A672" s="21"/>
      <c r="B672" s="14"/>
      <c r="C672" s="14"/>
      <c r="D672" s="15"/>
      <c r="E672" s="14"/>
    </row>
    <row r="673" spans="1:5" x14ac:dyDescent="0.35">
      <c r="A673" s="21"/>
      <c r="B673" s="14"/>
      <c r="C673" s="14"/>
      <c r="D673" s="15"/>
      <c r="E673" s="14"/>
    </row>
    <row r="674" spans="1:5" x14ac:dyDescent="0.35">
      <c r="A674" s="21"/>
      <c r="B674" s="14"/>
      <c r="C674" s="14"/>
      <c r="D674" s="15"/>
      <c r="E674" s="14"/>
    </row>
    <row r="675" spans="1:5" x14ac:dyDescent="0.35">
      <c r="A675" s="21"/>
      <c r="B675" s="14"/>
      <c r="C675" s="14"/>
      <c r="D675" s="15"/>
      <c r="E675" s="14"/>
    </row>
    <row r="676" spans="1:5" x14ac:dyDescent="0.35">
      <c r="A676" s="21"/>
      <c r="B676" s="14"/>
      <c r="C676" s="14"/>
      <c r="D676" s="15"/>
      <c r="E676" s="14"/>
    </row>
    <row r="677" spans="1:5" x14ac:dyDescent="0.35">
      <c r="A677" s="21"/>
      <c r="B677" s="14"/>
      <c r="C677" s="14"/>
      <c r="D677" s="15"/>
      <c r="E677" s="14"/>
    </row>
    <row r="678" spans="1:5" x14ac:dyDescent="0.35">
      <c r="A678" s="21"/>
      <c r="B678" s="14"/>
      <c r="C678" s="14"/>
      <c r="D678" s="15"/>
      <c r="E678" s="14"/>
    </row>
    <row r="679" spans="1:5" x14ac:dyDescent="0.35">
      <c r="A679" s="21"/>
      <c r="B679" s="14"/>
      <c r="C679" s="14"/>
      <c r="D679" s="15"/>
      <c r="E679" s="14"/>
    </row>
    <row r="680" spans="1:5" x14ac:dyDescent="0.35">
      <c r="A680" s="21"/>
      <c r="B680" s="14"/>
      <c r="C680" s="14"/>
      <c r="D680" s="15"/>
      <c r="E680" s="14"/>
    </row>
    <row r="681" spans="1:5" x14ac:dyDescent="0.35">
      <c r="A681" s="21"/>
      <c r="B681" s="14"/>
      <c r="C681" s="14"/>
      <c r="D681" s="15"/>
      <c r="E681" s="14"/>
    </row>
    <row r="682" spans="1:5" x14ac:dyDescent="0.35">
      <c r="A682" s="21"/>
      <c r="B682" s="14"/>
      <c r="C682" s="14"/>
      <c r="D682" s="15"/>
      <c r="E682" s="14"/>
    </row>
    <row r="683" spans="1:5" x14ac:dyDescent="0.35">
      <c r="A683" s="21"/>
      <c r="B683" s="14"/>
      <c r="C683" s="14"/>
      <c r="D683" s="15"/>
      <c r="E683" s="14"/>
    </row>
    <row r="684" spans="1:5" x14ac:dyDescent="0.35">
      <c r="A684" s="21"/>
      <c r="B684" s="14"/>
      <c r="C684" s="14"/>
      <c r="D684" s="15"/>
      <c r="E684" s="14"/>
    </row>
    <row r="685" spans="1:5" x14ac:dyDescent="0.35">
      <c r="A685" s="21"/>
      <c r="B685" s="14"/>
      <c r="C685" s="14"/>
      <c r="D685" s="15"/>
      <c r="E685" s="14"/>
    </row>
    <row r="686" spans="1:5" x14ac:dyDescent="0.35">
      <c r="A686" s="21"/>
      <c r="B686" s="14"/>
      <c r="C686" s="14"/>
      <c r="D686" s="15"/>
      <c r="E686" s="14"/>
    </row>
    <row r="687" spans="1:5" x14ac:dyDescent="0.35">
      <c r="A687" s="21"/>
      <c r="B687" s="14"/>
      <c r="C687" s="14"/>
      <c r="D687" s="15"/>
      <c r="E687" s="14"/>
    </row>
    <row r="688" spans="1:5" x14ac:dyDescent="0.35">
      <c r="A688" s="21"/>
      <c r="B688" s="14"/>
      <c r="C688" s="14"/>
      <c r="D688" s="15"/>
      <c r="E688" s="14"/>
    </row>
    <row r="689" spans="1:5" x14ac:dyDescent="0.35">
      <c r="A689" s="21"/>
      <c r="B689" s="14"/>
      <c r="C689" s="14"/>
      <c r="D689" s="15"/>
      <c r="E689" s="14"/>
    </row>
    <row r="690" spans="1:5" x14ac:dyDescent="0.35">
      <c r="A690" s="21"/>
      <c r="B690" s="14"/>
      <c r="C690" s="14"/>
      <c r="D690" s="15"/>
      <c r="E690" s="14"/>
    </row>
    <row r="691" spans="1:5" x14ac:dyDescent="0.35">
      <c r="A691" s="21"/>
      <c r="B691" s="14"/>
      <c r="C691" s="14"/>
      <c r="D691" s="15"/>
      <c r="E691" s="14"/>
    </row>
    <row r="692" spans="1:5" x14ac:dyDescent="0.35">
      <c r="A692" s="21"/>
      <c r="B692" s="14"/>
      <c r="C692" s="14"/>
      <c r="D692" s="15"/>
      <c r="E692" s="14"/>
    </row>
    <row r="693" spans="1:5" x14ac:dyDescent="0.35">
      <c r="A693" s="21"/>
      <c r="B693" s="14"/>
      <c r="C693" s="14"/>
      <c r="D693" s="15"/>
      <c r="E693" s="14"/>
    </row>
    <row r="694" spans="1:5" x14ac:dyDescent="0.35">
      <c r="A694" s="21"/>
      <c r="B694" s="14"/>
      <c r="C694" s="14"/>
      <c r="D694" s="15"/>
      <c r="E694" s="14"/>
    </row>
    <row r="695" spans="1:5" x14ac:dyDescent="0.35">
      <c r="A695" s="21"/>
      <c r="B695" s="14"/>
      <c r="C695" s="14"/>
      <c r="D695" s="15"/>
      <c r="E695" s="14"/>
    </row>
    <row r="696" spans="1:5" x14ac:dyDescent="0.35">
      <c r="A696" s="21"/>
      <c r="B696" s="14"/>
      <c r="C696" s="14"/>
      <c r="D696" s="15"/>
      <c r="E696" s="14"/>
    </row>
    <row r="697" spans="1:5" x14ac:dyDescent="0.35">
      <c r="A697" s="21"/>
      <c r="B697" s="14"/>
      <c r="C697" s="14"/>
      <c r="D697" s="15"/>
      <c r="E697" s="14"/>
    </row>
    <row r="698" spans="1:5" x14ac:dyDescent="0.35">
      <c r="A698" s="21"/>
      <c r="B698" s="14"/>
      <c r="C698" s="14"/>
      <c r="D698" s="15"/>
      <c r="E698" s="14"/>
    </row>
    <row r="699" spans="1:5" x14ac:dyDescent="0.35">
      <c r="A699" s="21"/>
      <c r="B699" s="14"/>
      <c r="C699" s="14"/>
      <c r="D699" s="15"/>
      <c r="E699" s="14"/>
    </row>
    <row r="700" spans="1:5" x14ac:dyDescent="0.35">
      <c r="A700" s="21"/>
      <c r="B700" s="14"/>
      <c r="C700" s="14"/>
      <c r="D700" s="15"/>
      <c r="E700" s="14"/>
    </row>
    <row r="701" spans="1:5" x14ac:dyDescent="0.35">
      <c r="A701" s="21"/>
      <c r="B701" s="14"/>
      <c r="C701" s="14"/>
      <c r="D701" s="15"/>
      <c r="E701" s="14"/>
    </row>
    <row r="702" spans="1:5" x14ac:dyDescent="0.35">
      <c r="A702" s="21"/>
      <c r="B702" s="14"/>
      <c r="C702" s="14"/>
      <c r="D702" s="15"/>
      <c r="E702" s="14"/>
    </row>
    <row r="703" spans="1:5" x14ac:dyDescent="0.35">
      <c r="A703" s="21"/>
      <c r="B703" s="14"/>
      <c r="C703" s="14"/>
      <c r="D703" s="15"/>
      <c r="E703" s="14"/>
    </row>
    <row r="704" spans="1:5" x14ac:dyDescent="0.35">
      <c r="A704" s="21"/>
      <c r="B704" s="14"/>
      <c r="C704" s="14"/>
      <c r="D704" s="15"/>
      <c r="E704" s="14"/>
    </row>
    <row r="705" spans="1:5" x14ac:dyDescent="0.35">
      <c r="A705" s="21"/>
      <c r="B705" s="14"/>
      <c r="C705" s="14"/>
      <c r="D705" s="15"/>
      <c r="E705" s="14"/>
    </row>
    <row r="706" spans="1:5" x14ac:dyDescent="0.35">
      <c r="A706" s="21"/>
      <c r="B706" s="14"/>
      <c r="C706" s="14"/>
      <c r="D706" s="15"/>
      <c r="E706" s="14"/>
    </row>
    <row r="707" spans="1:5" x14ac:dyDescent="0.35">
      <c r="A707" s="21"/>
      <c r="B707" s="14"/>
      <c r="C707" s="14"/>
      <c r="D707" s="15"/>
      <c r="E707" s="14"/>
    </row>
    <row r="708" spans="1:5" x14ac:dyDescent="0.35">
      <c r="A708" s="21"/>
      <c r="B708" s="14"/>
      <c r="C708" s="14"/>
      <c r="D708" s="15"/>
      <c r="E708" s="14"/>
    </row>
    <row r="709" spans="1:5" x14ac:dyDescent="0.35">
      <c r="A709" s="21"/>
      <c r="B709" s="14"/>
      <c r="C709" s="14"/>
      <c r="D709" s="15"/>
      <c r="E709" s="14"/>
    </row>
    <row r="710" spans="1:5" x14ac:dyDescent="0.35">
      <c r="A710" s="21"/>
      <c r="B710" s="14"/>
      <c r="C710" s="14"/>
      <c r="D710" s="15"/>
      <c r="E710" s="14"/>
    </row>
    <row r="711" spans="1:5" x14ac:dyDescent="0.35">
      <c r="A711" s="21"/>
      <c r="B711" s="14"/>
      <c r="C711" s="14"/>
      <c r="D711" s="15"/>
      <c r="E711" s="14"/>
    </row>
    <row r="712" spans="1:5" x14ac:dyDescent="0.35">
      <c r="A712" s="21"/>
      <c r="B712" s="14"/>
      <c r="C712" s="14"/>
      <c r="D712" s="15"/>
      <c r="E712" s="14"/>
    </row>
    <row r="713" spans="1:5" x14ac:dyDescent="0.35">
      <c r="A713" s="21"/>
      <c r="B713" s="14"/>
      <c r="C713" s="14"/>
      <c r="D713" s="15"/>
      <c r="E713" s="14"/>
    </row>
    <row r="714" spans="1:5" x14ac:dyDescent="0.35">
      <c r="A714" s="21"/>
      <c r="B714" s="14"/>
      <c r="C714" s="14"/>
      <c r="D714" s="15"/>
      <c r="E714" s="14"/>
    </row>
    <row r="715" spans="1:5" x14ac:dyDescent="0.35">
      <c r="A715" s="21"/>
      <c r="B715" s="14"/>
      <c r="C715" s="14"/>
      <c r="D715" s="15"/>
      <c r="E715" s="14"/>
    </row>
    <row r="716" spans="1:5" x14ac:dyDescent="0.35">
      <c r="A716" s="21"/>
      <c r="B716" s="14"/>
      <c r="C716" s="14"/>
      <c r="D716" s="15"/>
      <c r="E716" s="14"/>
    </row>
    <row r="717" spans="1:5" x14ac:dyDescent="0.35">
      <c r="A717" s="21"/>
      <c r="B717" s="14"/>
      <c r="C717" s="14"/>
      <c r="D717" s="15"/>
      <c r="E717" s="14"/>
    </row>
    <row r="718" spans="1:5" x14ac:dyDescent="0.35">
      <c r="A718" s="21"/>
      <c r="B718" s="14"/>
      <c r="C718" s="14"/>
      <c r="D718" s="15"/>
      <c r="E718" s="14"/>
    </row>
    <row r="719" spans="1:5" x14ac:dyDescent="0.35">
      <c r="A719" s="21"/>
      <c r="B719" s="14"/>
      <c r="C719" s="14"/>
      <c r="D719" s="15"/>
      <c r="E719" s="14"/>
    </row>
    <row r="720" spans="1:5" x14ac:dyDescent="0.35">
      <c r="A720" s="21"/>
      <c r="B720" s="14"/>
      <c r="C720" s="14"/>
      <c r="D720" s="15"/>
      <c r="E720" s="14"/>
    </row>
    <row r="721" spans="1:5" x14ac:dyDescent="0.35">
      <c r="A721" s="21"/>
      <c r="B721" s="14"/>
      <c r="C721" s="14"/>
      <c r="D721" s="15"/>
      <c r="E721" s="14"/>
    </row>
    <row r="722" spans="1:5" x14ac:dyDescent="0.35">
      <c r="A722" s="21"/>
      <c r="B722" s="14"/>
      <c r="C722" s="14"/>
      <c r="D722" s="15"/>
      <c r="E722" s="14"/>
    </row>
    <row r="723" spans="1:5" x14ac:dyDescent="0.35">
      <c r="A723" s="21"/>
      <c r="B723" s="14"/>
      <c r="C723" s="14"/>
      <c r="D723" s="15"/>
      <c r="E723" s="14"/>
    </row>
    <row r="724" spans="1:5" x14ac:dyDescent="0.35">
      <c r="A724" s="21"/>
      <c r="B724" s="14"/>
      <c r="C724" s="14"/>
      <c r="D724" s="15"/>
      <c r="E724" s="14"/>
    </row>
    <row r="725" spans="1:5" x14ac:dyDescent="0.35">
      <c r="A725" s="21"/>
      <c r="B725" s="14"/>
      <c r="C725" s="14"/>
      <c r="D725" s="15"/>
      <c r="E725" s="14"/>
    </row>
    <row r="726" spans="1:5" x14ac:dyDescent="0.35">
      <c r="A726" s="21"/>
      <c r="B726" s="14"/>
      <c r="C726" s="14"/>
      <c r="D726" s="15"/>
      <c r="E726" s="14"/>
    </row>
    <row r="727" spans="1:5" x14ac:dyDescent="0.35">
      <c r="A727" s="21"/>
      <c r="B727" s="14"/>
      <c r="C727" s="14"/>
      <c r="D727" s="15"/>
      <c r="E727" s="14"/>
    </row>
    <row r="728" spans="1:5" x14ac:dyDescent="0.35">
      <c r="A728" s="21"/>
      <c r="B728" s="14"/>
      <c r="C728" s="14"/>
      <c r="D728" s="15"/>
      <c r="E728" s="14"/>
    </row>
    <row r="729" spans="1:5" x14ac:dyDescent="0.35">
      <c r="A729" s="21"/>
      <c r="B729" s="14"/>
      <c r="C729" s="14"/>
      <c r="D729" s="15"/>
      <c r="E729" s="14"/>
    </row>
    <row r="730" spans="1:5" x14ac:dyDescent="0.35">
      <c r="A730" s="21"/>
      <c r="B730" s="14"/>
      <c r="C730" s="14"/>
      <c r="D730" s="15"/>
      <c r="E730" s="14"/>
    </row>
    <row r="731" spans="1:5" x14ac:dyDescent="0.35">
      <c r="A731" s="21"/>
      <c r="B731" s="14"/>
      <c r="C731" s="14"/>
      <c r="D731" s="15"/>
      <c r="E731" s="14"/>
    </row>
    <row r="732" spans="1:5" x14ac:dyDescent="0.35">
      <c r="A732" s="21"/>
      <c r="B732" s="14"/>
      <c r="C732" s="14"/>
      <c r="D732" s="15"/>
      <c r="E732" s="14"/>
    </row>
    <row r="733" spans="1:5" x14ac:dyDescent="0.35">
      <c r="A733" s="21"/>
      <c r="B733" s="14"/>
      <c r="C733" s="14"/>
      <c r="D733" s="15"/>
      <c r="E733" s="14"/>
    </row>
    <row r="734" spans="1:5" x14ac:dyDescent="0.35">
      <c r="A734" s="21"/>
      <c r="B734" s="14"/>
      <c r="C734" s="14"/>
      <c r="D734" s="15"/>
      <c r="E734" s="14"/>
    </row>
    <row r="735" spans="1:5" x14ac:dyDescent="0.35">
      <c r="A735" s="21"/>
      <c r="B735" s="14"/>
      <c r="C735" s="14"/>
      <c r="D735" s="15"/>
      <c r="E735" s="14"/>
    </row>
    <row r="736" spans="1:5" x14ac:dyDescent="0.35">
      <c r="A736" s="21"/>
      <c r="B736" s="14"/>
      <c r="C736" s="14"/>
      <c r="D736" s="15"/>
      <c r="E736" s="14"/>
    </row>
    <row r="737" spans="1:5" x14ac:dyDescent="0.35">
      <c r="A737" s="21"/>
      <c r="B737" s="14"/>
      <c r="C737" s="14"/>
      <c r="D737" s="15"/>
      <c r="E737" s="14"/>
    </row>
    <row r="738" spans="1:5" x14ac:dyDescent="0.35">
      <c r="A738" s="21"/>
      <c r="B738" s="14"/>
      <c r="C738" s="14"/>
      <c r="D738" s="15"/>
      <c r="E738" s="14"/>
    </row>
    <row r="739" spans="1:5" x14ac:dyDescent="0.35">
      <c r="A739" s="21"/>
      <c r="B739" s="14"/>
      <c r="C739" s="14"/>
      <c r="D739" s="15"/>
      <c r="E739" s="14"/>
    </row>
    <row r="740" spans="1:5" x14ac:dyDescent="0.35">
      <c r="A740" s="21"/>
      <c r="B740" s="14"/>
      <c r="C740" s="14"/>
      <c r="D740" s="15"/>
      <c r="E740" s="14"/>
    </row>
    <row r="741" spans="1:5" x14ac:dyDescent="0.35">
      <c r="A741" s="21"/>
      <c r="B741" s="14"/>
      <c r="C741" s="14"/>
      <c r="D741" s="15"/>
      <c r="E741" s="14"/>
    </row>
    <row r="742" spans="1:5" x14ac:dyDescent="0.35">
      <c r="A742" s="21"/>
      <c r="B742" s="14"/>
      <c r="C742" s="14"/>
      <c r="D742" s="15"/>
      <c r="E742" s="14"/>
    </row>
    <row r="743" spans="1:5" x14ac:dyDescent="0.35">
      <c r="A743" s="21"/>
      <c r="B743" s="14"/>
      <c r="C743" s="14"/>
      <c r="D743" s="15"/>
      <c r="E743" s="14"/>
    </row>
    <row r="744" spans="1:5" x14ac:dyDescent="0.35">
      <c r="A744" s="21"/>
      <c r="B744" s="14"/>
      <c r="C744" s="14"/>
      <c r="D744" s="15"/>
      <c r="E744" s="14"/>
    </row>
    <row r="745" spans="1:5" x14ac:dyDescent="0.35">
      <c r="A745" s="21"/>
      <c r="B745" s="14"/>
      <c r="C745" s="14"/>
      <c r="D745" s="15"/>
      <c r="E745" s="14"/>
    </row>
    <row r="746" spans="1:5" x14ac:dyDescent="0.35">
      <c r="A746" s="21"/>
      <c r="B746" s="14"/>
      <c r="C746" s="14"/>
      <c r="D746" s="15"/>
      <c r="E746" s="14"/>
    </row>
    <row r="747" spans="1:5" x14ac:dyDescent="0.35">
      <c r="A747" s="21"/>
      <c r="B747" s="14"/>
      <c r="C747" s="14"/>
      <c r="D747" s="15"/>
      <c r="E747" s="14"/>
    </row>
    <row r="748" spans="1:5" x14ac:dyDescent="0.35">
      <c r="A748" s="21"/>
      <c r="B748" s="14"/>
      <c r="C748" s="14"/>
      <c r="D748" s="15"/>
      <c r="E748" s="14"/>
    </row>
    <row r="749" spans="1:5" x14ac:dyDescent="0.35">
      <c r="A749" s="21"/>
      <c r="B749" s="14"/>
      <c r="C749" s="14"/>
      <c r="D749" s="15"/>
      <c r="E749" s="14"/>
    </row>
    <row r="750" spans="1:5" x14ac:dyDescent="0.35">
      <c r="A750" s="21"/>
      <c r="B750" s="14"/>
      <c r="C750" s="14"/>
      <c r="D750" s="15"/>
      <c r="E750" s="14"/>
    </row>
    <row r="751" spans="1:5" x14ac:dyDescent="0.35">
      <c r="A751" s="21"/>
      <c r="B751" s="14"/>
      <c r="C751" s="14"/>
      <c r="D751" s="15"/>
      <c r="E751" s="14"/>
    </row>
    <row r="752" spans="1:5" x14ac:dyDescent="0.35">
      <c r="A752" s="21"/>
      <c r="B752" s="14"/>
      <c r="C752" s="14"/>
      <c r="D752" s="15"/>
      <c r="E752" s="14"/>
    </row>
    <row r="753" spans="1:5" x14ac:dyDescent="0.35">
      <c r="A753" s="21"/>
      <c r="B753" s="14"/>
      <c r="C753" s="14"/>
      <c r="D753" s="15"/>
      <c r="E753" s="14"/>
    </row>
    <row r="754" spans="1:5" x14ac:dyDescent="0.35">
      <c r="A754" s="21"/>
      <c r="B754" s="14"/>
      <c r="C754" s="14"/>
      <c r="D754" s="15"/>
      <c r="E754" s="14"/>
    </row>
    <row r="755" spans="1:5" x14ac:dyDescent="0.35">
      <c r="A755" s="21"/>
      <c r="B755" s="14"/>
      <c r="C755" s="14"/>
      <c r="D755" s="15"/>
      <c r="E755" s="14"/>
    </row>
    <row r="756" spans="1:5" x14ac:dyDescent="0.35">
      <c r="A756" s="21"/>
      <c r="B756" s="14"/>
      <c r="C756" s="14"/>
      <c r="D756" s="15"/>
      <c r="E756" s="14"/>
    </row>
    <row r="757" spans="1:5" x14ac:dyDescent="0.35">
      <c r="A757" s="21"/>
      <c r="B757" s="14"/>
      <c r="C757" s="14"/>
      <c r="D757" s="15"/>
      <c r="E757" s="14"/>
    </row>
    <row r="758" spans="1:5" x14ac:dyDescent="0.35">
      <c r="A758" s="21"/>
      <c r="B758" s="14"/>
      <c r="C758" s="14"/>
      <c r="D758" s="15"/>
      <c r="E758" s="14"/>
    </row>
    <row r="759" spans="1:5" x14ac:dyDescent="0.35">
      <c r="A759" s="21"/>
      <c r="B759" s="14"/>
      <c r="C759" s="14"/>
      <c r="D759" s="15"/>
      <c r="E759" s="14"/>
    </row>
    <row r="760" spans="1:5" x14ac:dyDescent="0.35">
      <c r="A760" s="21"/>
      <c r="B760" s="14"/>
      <c r="C760" s="14"/>
      <c r="D760" s="15"/>
      <c r="E760" s="14"/>
    </row>
    <row r="761" spans="1:5" x14ac:dyDescent="0.35">
      <c r="A761" s="21"/>
      <c r="B761" s="14"/>
      <c r="C761" s="14"/>
      <c r="D761" s="15"/>
      <c r="E761" s="14"/>
    </row>
    <row r="762" spans="1:5" x14ac:dyDescent="0.35">
      <c r="A762" s="21"/>
      <c r="B762" s="14"/>
      <c r="C762" s="14"/>
      <c r="D762" s="15"/>
      <c r="E762" s="14"/>
    </row>
    <row r="763" spans="1:5" x14ac:dyDescent="0.35">
      <c r="A763" s="21"/>
      <c r="B763" s="14"/>
      <c r="C763" s="14"/>
      <c r="D763" s="15"/>
      <c r="E763" s="14"/>
    </row>
    <row r="764" spans="1:5" x14ac:dyDescent="0.35">
      <c r="A764" s="21"/>
      <c r="B764" s="14"/>
      <c r="C764" s="14"/>
      <c r="D764" s="15"/>
      <c r="E764" s="14"/>
    </row>
    <row r="765" spans="1:5" x14ac:dyDescent="0.35">
      <c r="A765" s="21"/>
      <c r="B765" s="14"/>
      <c r="C765" s="14"/>
      <c r="D765" s="15"/>
      <c r="E765" s="14"/>
    </row>
    <row r="766" spans="1:5" x14ac:dyDescent="0.35">
      <c r="A766" s="21"/>
      <c r="B766" s="14"/>
      <c r="C766" s="14"/>
      <c r="D766" s="15"/>
      <c r="E766" s="14"/>
    </row>
    <row r="767" spans="1:5" x14ac:dyDescent="0.35">
      <c r="A767" s="21"/>
      <c r="B767" s="14"/>
      <c r="C767" s="14"/>
      <c r="D767" s="15"/>
      <c r="E767" s="14"/>
    </row>
    <row r="768" spans="1:5" x14ac:dyDescent="0.35">
      <c r="A768" s="21"/>
      <c r="B768" s="14"/>
      <c r="C768" s="14"/>
      <c r="D768" s="15"/>
      <c r="E768" s="14"/>
    </row>
    <row r="769" spans="1:5" x14ac:dyDescent="0.35">
      <c r="A769" s="21"/>
      <c r="B769" s="14"/>
      <c r="C769" s="14"/>
      <c r="D769" s="15"/>
      <c r="E769" s="14"/>
    </row>
    <row r="770" spans="1:5" x14ac:dyDescent="0.35">
      <c r="A770" s="21"/>
      <c r="B770" s="14"/>
      <c r="C770" s="14"/>
      <c r="D770" s="15"/>
      <c r="E770" s="14"/>
    </row>
    <row r="771" spans="1:5" x14ac:dyDescent="0.35">
      <c r="A771" s="21"/>
      <c r="B771" s="14"/>
      <c r="C771" s="14"/>
      <c r="D771" s="15"/>
      <c r="E771" s="14"/>
    </row>
    <row r="772" spans="1:5" x14ac:dyDescent="0.35">
      <c r="A772" s="21"/>
      <c r="B772" s="14"/>
      <c r="C772" s="14"/>
      <c r="D772" s="15"/>
      <c r="E772" s="14"/>
    </row>
    <row r="773" spans="1:5" x14ac:dyDescent="0.35">
      <c r="A773" s="21"/>
      <c r="B773" s="14"/>
      <c r="C773" s="14"/>
      <c r="D773" s="15"/>
      <c r="E773" s="14"/>
    </row>
    <row r="774" spans="1:5" x14ac:dyDescent="0.35">
      <c r="A774" s="21"/>
      <c r="B774" s="14"/>
      <c r="C774" s="14"/>
      <c r="D774" s="15"/>
      <c r="E774" s="14"/>
    </row>
    <row r="775" spans="1:5" x14ac:dyDescent="0.35">
      <c r="A775" s="21"/>
      <c r="B775" s="14"/>
      <c r="C775" s="14"/>
      <c r="D775" s="15"/>
      <c r="E775" s="14"/>
    </row>
    <row r="776" spans="1:5" x14ac:dyDescent="0.35">
      <c r="A776" s="21"/>
      <c r="B776" s="14"/>
      <c r="C776" s="14"/>
      <c r="D776" s="15"/>
      <c r="E776" s="14"/>
    </row>
    <row r="777" spans="1:5" x14ac:dyDescent="0.35">
      <c r="A777" s="21"/>
      <c r="B777" s="14"/>
      <c r="C777" s="14"/>
      <c r="D777" s="15"/>
      <c r="E777" s="14"/>
    </row>
    <row r="778" spans="1:5" x14ac:dyDescent="0.35">
      <c r="A778" s="21"/>
      <c r="B778" s="14"/>
      <c r="C778" s="14"/>
      <c r="D778" s="15"/>
      <c r="E778" s="14"/>
    </row>
    <row r="779" spans="1:5" x14ac:dyDescent="0.35">
      <c r="A779" s="21"/>
      <c r="B779" s="14"/>
      <c r="C779" s="14"/>
      <c r="D779" s="15"/>
      <c r="E779" s="14"/>
    </row>
    <row r="780" spans="1:5" x14ac:dyDescent="0.35">
      <c r="A780" s="21"/>
      <c r="B780" s="14"/>
      <c r="C780" s="14"/>
      <c r="D780" s="15"/>
      <c r="E780" s="14"/>
    </row>
    <row r="781" spans="1:5" x14ac:dyDescent="0.35">
      <c r="A781" s="21"/>
      <c r="B781" s="14"/>
      <c r="C781" s="14"/>
      <c r="D781" s="15"/>
      <c r="E781" s="14"/>
    </row>
    <row r="782" spans="1:5" x14ac:dyDescent="0.35">
      <c r="A782" s="21"/>
      <c r="B782" s="14"/>
      <c r="C782" s="14"/>
      <c r="D782" s="15"/>
      <c r="E782" s="14"/>
    </row>
    <row r="783" spans="1:5" x14ac:dyDescent="0.35">
      <c r="A783" s="21"/>
      <c r="B783" s="14"/>
      <c r="C783" s="14"/>
      <c r="D783" s="15"/>
      <c r="E783" s="14"/>
    </row>
    <row r="784" spans="1:5" x14ac:dyDescent="0.35">
      <c r="A784" s="21"/>
      <c r="B784" s="14"/>
      <c r="C784" s="14"/>
      <c r="D784" s="15"/>
      <c r="E784" s="14"/>
    </row>
    <row r="785" spans="1:5" x14ac:dyDescent="0.35">
      <c r="A785" s="21"/>
      <c r="B785" s="14"/>
      <c r="C785" s="14"/>
      <c r="D785" s="15"/>
      <c r="E785" s="14"/>
    </row>
    <row r="786" spans="1:5" x14ac:dyDescent="0.35">
      <c r="A786" s="21"/>
      <c r="B786" s="14"/>
      <c r="C786" s="14"/>
      <c r="D786" s="15"/>
      <c r="E786" s="14"/>
    </row>
    <row r="787" spans="1:5" x14ac:dyDescent="0.35">
      <c r="A787" s="21"/>
      <c r="B787" s="14"/>
      <c r="C787" s="14"/>
      <c r="D787" s="15"/>
      <c r="E787" s="14"/>
    </row>
    <row r="788" spans="1:5" x14ac:dyDescent="0.35">
      <c r="A788" s="21"/>
      <c r="B788" s="14"/>
      <c r="C788" s="14"/>
      <c r="D788" s="15"/>
      <c r="E788" s="14"/>
    </row>
    <row r="789" spans="1:5" x14ac:dyDescent="0.35">
      <c r="A789" s="21"/>
      <c r="B789" s="14"/>
      <c r="C789" s="14"/>
      <c r="D789" s="15"/>
      <c r="E789" s="14"/>
    </row>
    <row r="790" spans="1:5" x14ac:dyDescent="0.35">
      <c r="A790" s="21"/>
      <c r="B790" s="14"/>
      <c r="C790" s="14"/>
      <c r="D790" s="15"/>
      <c r="E790" s="14"/>
    </row>
    <row r="791" spans="1:5" x14ac:dyDescent="0.35">
      <c r="A791" s="21"/>
      <c r="B791" s="14"/>
      <c r="C791" s="14"/>
      <c r="D791" s="15"/>
      <c r="E791" s="14"/>
    </row>
    <row r="792" spans="1:5" x14ac:dyDescent="0.35">
      <c r="A792" s="21"/>
      <c r="B792" s="14"/>
      <c r="C792" s="14"/>
      <c r="D792" s="15"/>
      <c r="E792" s="14"/>
    </row>
    <row r="793" spans="1:5" x14ac:dyDescent="0.35">
      <c r="A793" s="21"/>
      <c r="B793" s="14"/>
      <c r="C793" s="14"/>
      <c r="D793" s="15"/>
      <c r="E793" s="14"/>
    </row>
    <row r="794" spans="1:5" x14ac:dyDescent="0.35">
      <c r="A794" s="21"/>
      <c r="B794" s="14"/>
      <c r="C794" s="14"/>
      <c r="D794" s="15"/>
      <c r="E794" s="14"/>
    </row>
    <row r="795" spans="1:5" x14ac:dyDescent="0.35">
      <c r="A795" s="21"/>
      <c r="B795" s="14"/>
      <c r="C795" s="14"/>
      <c r="D795" s="15"/>
      <c r="E795" s="14"/>
    </row>
    <row r="796" spans="1:5" x14ac:dyDescent="0.35">
      <c r="A796" s="21"/>
      <c r="B796" s="14"/>
      <c r="C796" s="14"/>
      <c r="D796" s="15"/>
      <c r="E796" s="14"/>
    </row>
    <row r="797" spans="1:5" x14ac:dyDescent="0.35">
      <c r="A797" s="21"/>
      <c r="B797" s="14"/>
      <c r="C797" s="14"/>
      <c r="D797" s="15"/>
      <c r="E797" s="14"/>
    </row>
    <row r="798" spans="1:5" x14ac:dyDescent="0.35">
      <c r="A798" s="21"/>
      <c r="B798" s="14"/>
      <c r="C798" s="14"/>
      <c r="D798" s="15"/>
      <c r="E798" s="14"/>
    </row>
    <row r="799" spans="1:5" x14ac:dyDescent="0.35">
      <c r="A799" s="21"/>
      <c r="B799" s="14"/>
      <c r="C799" s="14"/>
      <c r="D799" s="15"/>
      <c r="E799" s="14"/>
    </row>
    <row r="800" spans="1:5" x14ac:dyDescent="0.35">
      <c r="A800" s="21"/>
      <c r="B800" s="14"/>
      <c r="C800" s="14"/>
      <c r="D800" s="15"/>
      <c r="E800" s="14"/>
    </row>
    <row r="801" spans="1:5" x14ac:dyDescent="0.35">
      <c r="A801" s="21"/>
      <c r="B801" s="14"/>
      <c r="C801" s="14"/>
      <c r="D801" s="15"/>
      <c r="E801" s="14"/>
    </row>
    <row r="802" spans="1:5" x14ac:dyDescent="0.35">
      <c r="A802" s="21"/>
      <c r="B802" s="14"/>
      <c r="C802" s="14"/>
      <c r="D802" s="15"/>
      <c r="E802" s="14"/>
    </row>
    <row r="803" spans="1:5" x14ac:dyDescent="0.35">
      <c r="A803" s="21"/>
      <c r="B803" s="14"/>
      <c r="C803" s="14"/>
      <c r="D803" s="15"/>
      <c r="E803" s="14"/>
    </row>
    <row r="804" spans="1:5" x14ac:dyDescent="0.35">
      <c r="A804" s="21"/>
      <c r="B804" s="14"/>
      <c r="C804" s="14"/>
      <c r="D804" s="15"/>
      <c r="E804" s="14"/>
    </row>
    <row r="805" spans="1:5" x14ac:dyDescent="0.35">
      <c r="A805" s="21"/>
      <c r="B805" s="14"/>
      <c r="C805" s="14"/>
      <c r="D805" s="15"/>
      <c r="E805" s="14"/>
    </row>
    <row r="806" spans="1:5" x14ac:dyDescent="0.35">
      <c r="A806" s="21"/>
      <c r="B806" s="14"/>
      <c r="C806" s="14"/>
      <c r="D806" s="15"/>
      <c r="E806" s="14"/>
    </row>
    <row r="807" spans="1:5" x14ac:dyDescent="0.35">
      <c r="A807" s="21"/>
      <c r="B807" s="14"/>
      <c r="C807" s="14"/>
      <c r="D807" s="15"/>
      <c r="E807" s="14"/>
    </row>
    <row r="808" spans="1:5" x14ac:dyDescent="0.35">
      <c r="A808" s="21"/>
      <c r="B808" s="14"/>
      <c r="C808" s="14"/>
      <c r="D808" s="15"/>
      <c r="E808" s="14"/>
    </row>
    <row r="809" spans="1:5" x14ac:dyDescent="0.35">
      <c r="A809" s="21"/>
      <c r="B809" s="14"/>
      <c r="C809" s="14"/>
      <c r="D809" s="15"/>
      <c r="E809" s="14"/>
    </row>
    <row r="810" spans="1:5" x14ac:dyDescent="0.35">
      <c r="A810" s="21"/>
      <c r="B810" s="14"/>
      <c r="C810" s="14"/>
      <c r="D810" s="15"/>
      <c r="E810" s="14"/>
    </row>
    <row r="811" spans="1:5" x14ac:dyDescent="0.35">
      <c r="A811" s="21"/>
      <c r="B811" s="14"/>
      <c r="C811" s="14"/>
      <c r="D811" s="15"/>
      <c r="E811" s="14"/>
    </row>
    <row r="812" spans="1:5" x14ac:dyDescent="0.35">
      <c r="A812" s="21"/>
      <c r="B812" s="14"/>
      <c r="C812" s="14"/>
      <c r="D812" s="15"/>
      <c r="E812" s="14"/>
    </row>
    <row r="813" spans="1:5" x14ac:dyDescent="0.35">
      <c r="A813" s="21"/>
      <c r="B813" s="14"/>
      <c r="C813" s="14"/>
      <c r="D813" s="15"/>
      <c r="E813" s="14"/>
    </row>
    <row r="814" spans="1:5" x14ac:dyDescent="0.35">
      <c r="A814" s="21"/>
      <c r="B814" s="14"/>
      <c r="C814" s="14"/>
      <c r="D814" s="15"/>
      <c r="E814" s="14"/>
    </row>
    <row r="815" spans="1:5" x14ac:dyDescent="0.35">
      <c r="A815" s="21"/>
      <c r="B815" s="14"/>
      <c r="C815" s="14"/>
      <c r="D815" s="15"/>
      <c r="E815" s="14"/>
    </row>
    <row r="816" spans="1:5" x14ac:dyDescent="0.35">
      <c r="A816" s="21"/>
      <c r="B816" s="14"/>
      <c r="C816" s="14"/>
      <c r="D816" s="15"/>
      <c r="E816" s="14"/>
    </row>
    <row r="817" spans="1:5" x14ac:dyDescent="0.35">
      <c r="A817" s="21"/>
      <c r="B817" s="14"/>
      <c r="C817" s="14"/>
      <c r="D817" s="15"/>
      <c r="E817" s="14"/>
    </row>
    <row r="818" spans="1:5" x14ac:dyDescent="0.35">
      <c r="A818" s="21"/>
      <c r="B818" s="14"/>
      <c r="C818" s="14"/>
      <c r="D818" s="15"/>
      <c r="E818" s="14"/>
    </row>
    <row r="819" spans="1:5" x14ac:dyDescent="0.35">
      <c r="A819" s="21"/>
      <c r="B819" s="14"/>
      <c r="C819" s="14"/>
      <c r="D819" s="15"/>
      <c r="E819" s="14"/>
    </row>
    <row r="820" spans="1:5" x14ac:dyDescent="0.35">
      <c r="A820" s="21"/>
      <c r="B820" s="14"/>
      <c r="C820" s="14"/>
      <c r="D820" s="15"/>
      <c r="E820" s="14"/>
    </row>
    <row r="821" spans="1:5" x14ac:dyDescent="0.35">
      <c r="A821" s="21"/>
      <c r="B821" s="14"/>
      <c r="C821" s="14"/>
      <c r="D821" s="15"/>
      <c r="E821" s="14"/>
    </row>
    <row r="822" spans="1:5" x14ac:dyDescent="0.35">
      <c r="A822" s="21"/>
      <c r="B822" s="14"/>
      <c r="C822" s="14"/>
      <c r="D822" s="15"/>
      <c r="E822" s="14"/>
    </row>
    <row r="823" spans="1:5" x14ac:dyDescent="0.35">
      <c r="A823" s="21"/>
      <c r="B823" s="14"/>
      <c r="C823" s="14"/>
      <c r="D823" s="15"/>
      <c r="E823" s="14"/>
    </row>
    <row r="824" spans="1:5" x14ac:dyDescent="0.35">
      <c r="A824" s="21"/>
      <c r="B824" s="14"/>
      <c r="C824" s="14"/>
      <c r="D824" s="15"/>
      <c r="E824" s="14"/>
    </row>
    <row r="825" spans="1:5" x14ac:dyDescent="0.35">
      <c r="A825" s="21"/>
      <c r="B825" s="14"/>
      <c r="C825" s="14"/>
      <c r="D825" s="15"/>
      <c r="E825" s="14"/>
    </row>
    <row r="826" spans="1:5" x14ac:dyDescent="0.35">
      <c r="A826" s="21"/>
      <c r="B826" s="14"/>
      <c r="C826" s="14"/>
      <c r="D826" s="15"/>
      <c r="E826" s="14"/>
    </row>
    <row r="827" spans="1:5" x14ac:dyDescent="0.35">
      <c r="A827" s="21"/>
      <c r="B827" s="14"/>
      <c r="C827" s="14"/>
      <c r="D827" s="15"/>
      <c r="E827" s="14"/>
    </row>
    <row r="828" spans="1:5" x14ac:dyDescent="0.35">
      <c r="A828" s="21"/>
      <c r="B828" s="14"/>
      <c r="C828" s="14"/>
      <c r="D828" s="15"/>
      <c r="E828" s="14"/>
    </row>
    <row r="829" spans="1:5" x14ac:dyDescent="0.35">
      <c r="A829" s="21"/>
      <c r="B829" s="14"/>
      <c r="C829" s="14"/>
      <c r="D829" s="15"/>
      <c r="E829" s="14"/>
    </row>
    <row r="830" spans="1:5" x14ac:dyDescent="0.35">
      <c r="A830" s="21"/>
      <c r="B830" s="14"/>
      <c r="C830" s="14"/>
      <c r="D830" s="15"/>
      <c r="E830" s="14"/>
    </row>
    <row r="831" spans="1:5" x14ac:dyDescent="0.35">
      <c r="A831" s="21"/>
      <c r="B831" s="14"/>
      <c r="C831" s="14"/>
      <c r="D831" s="15"/>
      <c r="E831" s="14"/>
    </row>
    <row r="832" spans="1:5" x14ac:dyDescent="0.35">
      <c r="A832" s="21"/>
      <c r="B832" s="14"/>
      <c r="C832" s="14"/>
      <c r="D832" s="15"/>
      <c r="E832" s="14"/>
    </row>
    <row r="833" spans="1:5" x14ac:dyDescent="0.35">
      <c r="A833" s="21"/>
      <c r="B833" s="14"/>
      <c r="C833" s="14"/>
      <c r="D833" s="15"/>
      <c r="E833" s="14"/>
    </row>
    <row r="834" spans="1:5" x14ac:dyDescent="0.35">
      <c r="A834" s="21"/>
      <c r="B834" s="14"/>
      <c r="C834" s="14"/>
      <c r="D834" s="15"/>
      <c r="E834" s="14"/>
    </row>
    <row r="835" spans="1:5" x14ac:dyDescent="0.35">
      <c r="A835" s="21"/>
      <c r="B835" s="14"/>
      <c r="C835" s="14"/>
      <c r="D835" s="15"/>
      <c r="E835" s="14"/>
    </row>
    <row r="836" spans="1:5" x14ac:dyDescent="0.35">
      <c r="A836" s="21"/>
      <c r="B836" s="14"/>
      <c r="C836" s="14"/>
      <c r="D836" s="15"/>
      <c r="E836" s="14"/>
    </row>
    <row r="837" spans="1:5" x14ac:dyDescent="0.35">
      <c r="A837" s="21"/>
      <c r="B837" s="14"/>
      <c r="C837" s="14"/>
      <c r="D837" s="15"/>
      <c r="E837" s="14"/>
    </row>
    <row r="838" spans="1:5" x14ac:dyDescent="0.35">
      <c r="A838" s="21"/>
      <c r="B838" s="14"/>
      <c r="C838" s="14"/>
      <c r="D838" s="15"/>
      <c r="E838" s="14"/>
    </row>
    <row r="839" spans="1:5" x14ac:dyDescent="0.35">
      <c r="A839" s="21"/>
      <c r="B839" s="14"/>
      <c r="C839" s="14"/>
      <c r="D839" s="15"/>
      <c r="E839" s="14"/>
    </row>
    <row r="840" spans="1:5" x14ac:dyDescent="0.35">
      <c r="A840" s="21"/>
      <c r="B840" s="14"/>
      <c r="C840" s="14"/>
      <c r="D840" s="15"/>
      <c r="E840" s="14"/>
    </row>
    <row r="841" spans="1:5" x14ac:dyDescent="0.35">
      <c r="A841" s="21"/>
      <c r="B841" s="14"/>
      <c r="C841" s="14"/>
      <c r="D841" s="15"/>
      <c r="E841" s="14"/>
    </row>
    <row r="842" spans="1:5" x14ac:dyDescent="0.35">
      <c r="A842" s="21"/>
      <c r="B842" s="14"/>
      <c r="C842" s="14"/>
      <c r="D842" s="15"/>
      <c r="E842" s="14"/>
    </row>
    <row r="843" spans="1:5" x14ac:dyDescent="0.35">
      <c r="A843" s="21"/>
      <c r="B843" s="14"/>
      <c r="C843" s="14"/>
      <c r="D843" s="15"/>
      <c r="E843" s="14"/>
    </row>
    <row r="844" spans="1:5" x14ac:dyDescent="0.35">
      <c r="A844" s="21"/>
      <c r="B844" s="14"/>
      <c r="C844" s="14"/>
      <c r="D844" s="15"/>
      <c r="E844" s="14"/>
    </row>
    <row r="845" spans="1:5" x14ac:dyDescent="0.35">
      <c r="A845" s="21"/>
      <c r="B845" s="14"/>
      <c r="C845" s="14"/>
      <c r="D845" s="15"/>
      <c r="E845" s="14"/>
    </row>
    <row r="846" spans="1:5" x14ac:dyDescent="0.35">
      <c r="A846" s="21"/>
      <c r="B846" s="14"/>
      <c r="C846" s="14"/>
      <c r="D846" s="15"/>
      <c r="E846" s="14"/>
    </row>
    <row r="847" spans="1:5" x14ac:dyDescent="0.35">
      <c r="A847" s="21"/>
      <c r="B847" s="14"/>
      <c r="C847" s="14"/>
      <c r="D847" s="15"/>
      <c r="E847" s="14"/>
    </row>
    <row r="848" spans="1:5" x14ac:dyDescent="0.35">
      <c r="A848" s="21"/>
      <c r="B848" s="14"/>
      <c r="C848" s="14"/>
      <c r="D848" s="15"/>
      <c r="E848" s="14"/>
    </row>
    <row r="849" spans="1:5" x14ac:dyDescent="0.35">
      <c r="A849" s="21"/>
      <c r="B849" s="14"/>
      <c r="C849" s="14"/>
      <c r="D849" s="15"/>
      <c r="E849" s="14"/>
    </row>
    <row r="850" spans="1:5" x14ac:dyDescent="0.35">
      <c r="A850" s="21"/>
      <c r="B850" s="14"/>
      <c r="C850" s="14"/>
      <c r="D850" s="15"/>
      <c r="E850" s="14"/>
    </row>
    <row r="851" spans="1:5" x14ac:dyDescent="0.35">
      <c r="A851" s="21"/>
      <c r="B851" s="14"/>
      <c r="C851" s="14"/>
      <c r="D851" s="15"/>
      <c r="E851" s="14"/>
    </row>
    <row r="852" spans="1:5" x14ac:dyDescent="0.35">
      <c r="A852" s="21"/>
      <c r="B852" s="14"/>
      <c r="C852" s="14"/>
      <c r="D852" s="15"/>
      <c r="E852" s="14"/>
    </row>
    <row r="853" spans="1:5" x14ac:dyDescent="0.35">
      <c r="A853" s="21"/>
      <c r="B853" s="14"/>
      <c r="C853" s="14"/>
      <c r="D853" s="15"/>
      <c r="E853" s="14"/>
    </row>
    <row r="854" spans="1:5" x14ac:dyDescent="0.35">
      <c r="A854" s="21"/>
      <c r="B854" s="14"/>
      <c r="C854" s="14"/>
      <c r="D854" s="15"/>
      <c r="E854" s="14"/>
    </row>
    <row r="855" spans="1:5" x14ac:dyDescent="0.35">
      <c r="A855" s="21"/>
      <c r="B855" s="14"/>
      <c r="C855" s="14"/>
      <c r="D855" s="15"/>
      <c r="E855" s="14"/>
    </row>
    <row r="856" spans="1:5" x14ac:dyDescent="0.35">
      <c r="A856" s="21"/>
      <c r="B856" s="14"/>
      <c r="C856" s="14"/>
      <c r="D856" s="15"/>
      <c r="E856" s="14"/>
    </row>
    <row r="857" spans="1:5" x14ac:dyDescent="0.35">
      <c r="A857" s="21"/>
      <c r="B857" s="14"/>
      <c r="C857" s="14"/>
      <c r="D857" s="15"/>
      <c r="E857" s="14"/>
    </row>
    <row r="858" spans="1:5" x14ac:dyDescent="0.35">
      <c r="A858" s="21"/>
      <c r="B858" s="14"/>
      <c r="C858" s="14"/>
      <c r="D858" s="15"/>
      <c r="E858" s="14"/>
    </row>
    <row r="859" spans="1:5" x14ac:dyDescent="0.35">
      <c r="A859" s="21"/>
      <c r="B859" s="14"/>
      <c r="C859" s="14"/>
      <c r="D859" s="15"/>
      <c r="E859" s="14"/>
    </row>
    <row r="860" spans="1:5" x14ac:dyDescent="0.35">
      <c r="A860" s="21"/>
      <c r="B860" s="14"/>
      <c r="C860" s="14"/>
      <c r="D860" s="15"/>
      <c r="E860" s="14"/>
    </row>
    <row r="861" spans="1:5" x14ac:dyDescent="0.35">
      <c r="A861" s="21"/>
      <c r="B861" s="14"/>
      <c r="C861" s="14"/>
      <c r="D861" s="15"/>
      <c r="E861" s="14"/>
    </row>
    <row r="862" spans="1:5" x14ac:dyDescent="0.35">
      <c r="A862" s="21"/>
      <c r="B862" s="14"/>
      <c r="C862" s="14"/>
      <c r="D862" s="15"/>
      <c r="E862" s="14"/>
    </row>
    <row r="863" spans="1:5" x14ac:dyDescent="0.35">
      <c r="A863" s="21"/>
      <c r="B863" s="14"/>
      <c r="C863" s="14"/>
      <c r="D863" s="15"/>
      <c r="E863" s="14"/>
    </row>
    <row r="864" spans="1:5" x14ac:dyDescent="0.35">
      <c r="A864" s="21"/>
      <c r="B864" s="14"/>
      <c r="C864" s="14"/>
      <c r="D864" s="15"/>
      <c r="E864" s="14"/>
    </row>
    <row r="865" spans="1:5" x14ac:dyDescent="0.35">
      <c r="A865" s="21"/>
      <c r="B865" s="14"/>
      <c r="C865" s="14"/>
      <c r="D865" s="15"/>
      <c r="E865" s="14"/>
    </row>
    <row r="866" spans="1:5" x14ac:dyDescent="0.35">
      <c r="A866" s="21"/>
      <c r="B866" s="14"/>
      <c r="C866" s="14"/>
      <c r="D866" s="15"/>
      <c r="E866" s="14"/>
    </row>
    <row r="867" spans="1:5" x14ac:dyDescent="0.35">
      <c r="A867" s="21"/>
      <c r="B867" s="14"/>
      <c r="C867" s="14"/>
      <c r="D867" s="15"/>
      <c r="E867" s="14"/>
    </row>
    <row r="868" spans="1:5" x14ac:dyDescent="0.35">
      <c r="A868" s="21"/>
      <c r="B868" s="14"/>
      <c r="C868" s="14"/>
      <c r="D868" s="15"/>
      <c r="E868" s="14"/>
    </row>
    <row r="869" spans="1:5" x14ac:dyDescent="0.35">
      <c r="A869" s="21"/>
      <c r="B869" s="14"/>
      <c r="C869" s="14"/>
      <c r="D869" s="15"/>
      <c r="E869" s="14"/>
    </row>
    <row r="870" spans="1:5" x14ac:dyDescent="0.35">
      <c r="A870" s="21"/>
      <c r="B870" s="14"/>
      <c r="C870" s="14"/>
      <c r="D870" s="15"/>
      <c r="E870" s="14"/>
    </row>
    <row r="871" spans="1:5" x14ac:dyDescent="0.35">
      <c r="A871" s="21"/>
      <c r="B871" s="14"/>
      <c r="C871" s="14"/>
      <c r="D871" s="15"/>
      <c r="E871" s="14"/>
    </row>
    <row r="872" spans="1:5" x14ac:dyDescent="0.35">
      <c r="A872" s="21"/>
      <c r="B872" s="14"/>
      <c r="C872" s="14"/>
      <c r="D872" s="15"/>
      <c r="E872" s="14"/>
    </row>
    <row r="873" spans="1:5" x14ac:dyDescent="0.35">
      <c r="A873" s="21"/>
      <c r="B873" s="14"/>
      <c r="C873" s="14"/>
      <c r="D873" s="15"/>
      <c r="E873" s="14"/>
    </row>
    <row r="874" spans="1:5" x14ac:dyDescent="0.35">
      <c r="A874" s="21"/>
      <c r="B874" s="14"/>
      <c r="C874" s="14"/>
      <c r="D874" s="15"/>
      <c r="E874" s="14"/>
    </row>
    <row r="875" spans="1:5" x14ac:dyDescent="0.35">
      <c r="A875" s="21"/>
      <c r="B875" s="14"/>
      <c r="C875" s="14"/>
      <c r="D875" s="15"/>
      <c r="E875" s="14"/>
    </row>
    <row r="876" spans="1:5" x14ac:dyDescent="0.35">
      <c r="A876" s="21"/>
      <c r="B876" s="14"/>
      <c r="C876" s="14"/>
      <c r="D876" s="15"/>
      <c r="E876" s="14"/>
    </row>
    <row r="877" spans="1:5" x14ac:dyDescent="0.35">
      <c r="A877" s="21"/>
      <c r="B877" s="14"/>
      <c r="C877" s="14"/>
      <c r="D877" s="15"/>
      <c r="E877" s="14"/>
    </row>
    <row r="878" spans="1:5" x14ac:dyDescent="0.35">
      <c r="A878" s="21"/>
      <c r="B878" s="14"/>
      <c r="C878" s="14"/>
      <c r="D878" s="15"/>
      <c r="E878" s="14"/>
    </row>
    <row r="879" spans="1:5" x14ac:dyDescent="0.35">
      <c r="A879" s="21"/>
      <c r="B879" s="14"/>
      <c r="C879" s="14"/>
      <c r="D879" s="15"/>
      <c r="E879" s="14"/>
    </row>
    <row r="880" spans="1:5" x14ac:dyDescent="0.35">
      <c r="A880" s="21"/>
      <c r="B880" s="14"/>
      <c r="C880" s="14"/>
      <c r="D880" s="15"/>
      <c r="E880" s="14"/>
    </row>
    <row r="881" spans="1:5" x14ac:dyDescent="0.35">
      <c r="A881" s="21"/>
      <c r="B881" s="14"/>
      <c r="C881" s="14"/>
      <c r="D881" s="15"/>
      <c r="E881" s="14"/>
    </row>
    <row r="882" spans="1:5" x14ac:dyDescent="0.35">
      <c r="A882" s="21"/>
      <c r="B882" s="14"/>
      <c r="C882" s="14"/>
      <c r="D882" s="15"/>
      <c r="E882" s="14"/>
    </row>
    <row r="883" spans="1:5" x14ac:dyDescent="0.35">
      <c r="A883" s="21"/>
      <c r="B883" s="14"/>
      <c r="C883" s="14"/>
      <c r="D883" s="15"/>
      <c r="E883" s="14"/>
    </row>
    <row r="884" spans="1:5" x14ac:dyDescent="0.35">
      <c r="A884" s="21"/>
      <c r="B884" s="14"/>
      <c r="C884" s="14"/>
      <c r="D884" s="15"/>
      <c r="E884" s="14"/>
    </row>
    <row r="885" spans="1:5" x14ac:dyDescent="0.35">
      <c r="A885" s="21"/>
      <c r="B885" s="14"/>
      <c r="C885" s="14"/>
      <c r="D885" s="15"/>
      <c r="E885" s="14"/>
    </row>
    <row r="886" spans="1:5" x14ac:dyDescent="0.35">
      <c r="A886" s="21"/>
      <c r="B886" s="14"/>
      <c r="C886" s="14"/>
      <c r="D886" s="15"/>
      <c r="E886" s="14"/>
    </row>
    <row r="887" spans="1:5" x14ac:dyDescent="0.35">
      <c r="A887" s="21"/>
      <c r="B887" s="14"/>
      <c r="C887" s="14"/>
      <c r="D887" s="15"/>
      <c r="E887" s="14"/>
    </row>
    <row r="888" spans="1:5" x14ac:dyDescent="0.35">
      <c r="A888" s="21"/>
      <c r="B888" s="14"/>
      <c r="C888" s="14"/>
      <c r="D888" s="15"/>
      <c r="E888" s="14"/>
    </row>
    <row r="889" spans="1:5" x14ac:dyDescent="0.35">
      <c r="A889" s="21"/>
      <c r="B889" s="14"/>
      <c r="C889" s="14"/>
      <c r="D889" s="15"/>
      <c r="E889" s="14"/>
    </row>
    <row r="890" spans="1:5" x14ac:dyDescent="0.35">
      <c r="A890" s="21"/>
      <c r="B890" s="14"/>
      <c r="C890" s="14"/>
      <c r="D890" s="15"/>
      <c r="E890" s="14"/>
    </row>
    <row r="891" spans="1:5" x14ac:dyDescent="0.35">
      <c r="A891" s="21"/>
      <c r="B891" s="14"/>
      <c r="C891" s="14"/>
      <c r="D891" s="15"/>
      <c r="E891" s="14"/>
    </row>
    <row r="892" spans="1:5" x14ac:dyDescent="0.35">
      <c r="A892" s="21"/>
      <c r="B892" s="14"/>
      <c r="C892" s="14"/>
      <c r="D892" s="15"/>
      <c r="E892" s="14"/>
    </row>
    <row r="893" spans="1:5" x14ac:dyDescent="0.35">
      <c r="A893" s="21"/>
      <c r="B893" s="14"/>
      <c r="C893" s="14"/>
      <c r="D893" s="15"/>
      <c r="E893" s="14"/>
    </row>
    <row r="894" spans="1:5" x14ac:dyDescent="0.35">
      <c r="A894" s="21"/>
      <c r="B894" s="14"/>
      <c r="C894" s="14"/>
      <c r="D894" s="15"/>
      <c r="E894" s="14"/>
    </row>
    <row r="895" spans="1:5" x14ac:dyDescent="0.35">
      <c r="A895" s="21"/>
      <c r="B895" s="14"/>
      <c r="C895" s="14"/>
      <c r="D895" s="15"/>
      <c r="E895" s="14"/>
    </row>
    <row r="896" spans="1:5" x14ac:dyDescent="0.35">
      <c r="A896" s="21"/>
      <c r="B896" s="14"/>
      <c r="C896" s="14"/>
      <c r="D896" s="15"/>
      <c r="E896" s="14"/>
    </row>
    <row r="897" spans="1:5" x14ac:dyDescent="0.35">
      <c r="A897" s="21"/>
      <c r="B897" s="14"/>
      <c r="C897" s="14"/>
      <c r="D897" s="15"/>
      <c r="E897" s="14"/>
    </row>
    <row r="898" spans="1:5" x14ac:dyDescent="0.35">
      <c r="A898" s="21"/>
      <c r="B898" s="14"/>
      <c r="C898" s="14"/>
      <c r="D898" s="15"/>
      <c r="E898" s="14"/>
    </row>
    <row r="899" spans="1:5" x14ac:dyDescent="0.35">
      <c r="A899" s="21"/>
      <c r="B899" s="14"/>
      <c r="C899" s="14"/>
      <c r="D899" s="15"/>
      <c r="E899" s="14"/>
    </row>
    <row r="900" spans="1:5" x14ac:dyDescent="0.35">
      <c r="A900" s="21"/>
      <c r="B900" s="14"/>
      <c r="C900" s="14"/>
      <c r="D900" s="15"/>
      <c r="E900" s="14"/>
    </row>
    <row r="901" spans="1:5" x14ac:dyDescent="0.35">
      <c r="A901" s="21"/>
      <c r="B901" s="14"/>
      <c r="C901" s="14"/>
      <c r="D901" s="15"/>
      <c r="E901" s="14"/>
    </row>
    <row r="902" spans="1:5" x14ac:dyDescent="0.35">
      <c r="A902" s="21"/>
      <c r="B902" s="14"/>
      <c r="C902" s="14"/>
      <c r="D902" s="15"/>
      <c r="E902" s="14"/>
    </row>
    <row r="903" spans="1:5" x14ac:dyDescent="0.35">
      <c r="A903" s="21"/>
      <c r="B903" s="14"/>
      <c r="C903" s="14"/>
      <c r="D903" s="15"/>
      <c r="E903" s="14"/>
    </row>
    <row r="904" spans="1:5" x14ac:dyDescent="0.35">
      <c r="A904" s="21"/>
      <c r="B904" s="14"/>
      <c r="C904" s="14"/>
      <c r="D904" s="15"/>
      <c r="E904" s="14"/>
    </row>
    <row r="905" spans="1:5" x14ac:dyDescent="0.35">
      <c r="A905" s="21"/>
      <c r="B905" s="14"/>
      <c r="C905" s="14"/>
      <c r="D905" s="15"/>
      <c r="E905" s="14"/>
    </row>
    <row r="906" spans="1:5" x14ac:dyDescent="0.35">
      <c r="A906" s="21"/>
      <c r="B906" s="14"/>
      <c r="C906" s="14"/>
      <c r="D906" s="15"/>
      <c r="E906" s="14"/>
    </row>
    <row r="907" spans="1:5" x14ac:dyDescent="0.35">
      <c r="A907" s="21"/>
      <c r="B907" s="14"/>
      <c r="C907" s="14"/>
      <c r="D907" s="15"/>
      <c r="E907" s="14"/>
    </row>
    <row r="908" spans="1:5" x14ac:dyDescent="0.35">
      <c r="A908" s="21"/>
      <c r="B908" s="14"/>
      <c r="C908" s="14"/>
      <c r="D908" s="15"/>
      <c r="E908" s="14"/>
    </row>
    <row r="909" spans="1:5" x14ac:dyDescent="0.35">
      <c r="A909" s="21"/>
      <c r="B909" s="14"/>
      <c r="C909" s="14"/>
      <c r="D909" s="15"/>
      <c r="E909" s="14"/>
    </row>
    <row r="910" spans="1:5" x14ac:dyDescent="0.35">
      <c r="A910" s="21"/>
      <c r="B910" s="14"/>
      <c r="C910" s="14"/>
      <c r="D910" s="15"/>
      <c r="E910" s="14"/>
    </row>
    <row r="911" spans="1:5" x14ac:dyDescent="0.35">
      <c r="A911" s="21"/>
      <c r="B911" s="14"/>
      <c r="C911" s="14"/>
      <c r="D911" s="15"/>
      <c r="E911" s="14"/>
    </row>
    <row r="912" spans="1:5" x14ac:dyDescent="0.35">
      <c r="A912" s="21"/>
      <c r="B912" s="14"/>
      <c r="C912" s="14"/>
      <c r="D912" s="15"/>
      <c r="E912" s="14"/>
    </row>
    <row r="913" spans="1:5" x14ac:dyDescent="0.35">
      <c r="A913" s="21"/>
      <c r="B913" s="14"/>
      <c r="C913" s="14"/>
      <c r="D913" s="15"/>
      <c r="E913" s="14"/>
    </row>
    <row r="914" spans="1:5" x14ac:dyDescent="0.35">
      <c r="A914" s="21"/>
      <c r="B914" s="14"/>
      <c r="C914" s="14"/>
      <c r="D914" s="15"/>
      <c r="E914" s="14"/>
    </row>
    <row r="915" spans="1:5" x14ac:dyDescent="0.35">
      <c r="A915" s="21"/>
      <c r="B915" s="14"/>
      <c r="C915" s="14"/>
      <c r="D915" s="15"/>
      <c r="E915" s="14"/>
    </row>
    <row r="916" spans="1:5" x14ac:dyDescent="0.35">
      <c r="A916" s="21"/>
      <c r="B916" s="14"/>
      <c r="C916" s="14"/>
      <c r="D916" s="15"/>
      <c r="E916" s="14"/>
    </row>
    <row r="917" spans="1:5" x14ac:dyDescent="0.35">
      <c r="A917" s="21"/>
      <c r="B917" s="14"/>
      <c r="C917" s="14"/>
      <c r="D917" s="15"/>
      <c r="E917" s="14"/>
    </row>
    <row r="918" spans="1:5" x14ac:dyDescent="0.35">
      <c r="A918" s="21"/>
      <c r="B918" s="14"/>
      <c r="C918" s="14"/>
      <c r="D918" s="15"/>
      <c r="E918" s="14"/>
    </row>
    <row r="919" spans="1:5" x14ac:dyDescent="0.35">
      <c r="A919" s="21"/>
      <c r="B919" s="14"/>
      <c r="C919" s="14"/>
      <c r="D919" s="15"/>
      <c r="E919" s="14"/>
    </row>
    <row r="920" spans="1:5" x14ac:dyDescent="0.35">
      <c r="A920" s="21"/>
      <c r="B920" s="14"/>
      <c r="C920" s="14"/>
      <c r="D920" s="15"/>
      <c r="E920" s="14"/>
    </row>
    <row r="921" spans="1:5" x14ac:dyDescent="0.35">
      <c r="A921" s="21"/>
      <c r="B921" s="14"/>
      <c r="C921" s="14"/>
      <c r="D921" s="15"/>
      <c r="E921" s="14"/>
    </row>
    <row r="922" spans="1:5" x14ac:dyDescent="0.35">
      <c r="A922" s="21"/>
      <c r="B922" s="14"/>
      <c r="C922" s="14"/>
      <c r="D922" s="15"/>
      <c r="E922" s="14"/>
    </row>
    <row r="923" spans="1:5" x14ac:dyDescent="0.35">
      <c r="A923" s="21"/>
      <c r="B923" s="14"/>
      <c r="C923" s="14"/>
      <c r="D923" s="15"/>
      <c r="E923" s="14"/>
    </row>
    <row r="924" spans="1:5" x14ac:dyDescent="0.35">
      <c r="A924" s="21"/>
      <c r="B924" s="14"/>
      <c r="C924" s="14"/>
      <c r="D924" s="15"/>
      <c r="E924" s="14"/>
    </row>
    <row r="925" spans="1:5" x14ac:dyDescent="0.35">
      <c r="A925" s="21"/>
      <c r="B925" s="14"/>
      <c r="C925" s="14"/>
      <c r="D925" s="15"/>
      <c r="E925" s="14"/>
    </row>
    <row r="926" spans="1:5" x14ac:dyDescent="0.35">
      <c r="A926" s="21"/>
      <c r="B926" s="14"/>
      <c r="C926" s="14"/>
      <c r="D926" s="15"/>
      <c r="E926" s="14"/>
    </row>
    <row r="927" spans="1:5" x14ac:dyDescent="0.35">
      <c r="A927" s="21"/>
      <c r="B927" s="14"/>
      <c r="C927" s="14"/>
      <c r="D927" s="15"/>
      <c r="E927" s="14"/>
    </row>
    <row r="928" spans="1:5" x14ac:dyDescent="0.35">
      <c r="A928" s="21"/>
      <c r="B928" s="14"/>
      <c r="C928" s="14"/>
      <c r="D928" s="15"/>
      <c r="E928" s="14"/>
    </row>
    <row r="929" spans="1:5" x14ac:dyDescent="0.35">
      <c r="A929" s="21"/>
      <c r="B929" s="14"/>
      <c r="C929" s="14"/>
      <c r="D929" s="15"/>
      <c r="E929" s="14"/>
    </row>
    <row r="930" spans="1:5" x14ac:dyDescent="0.35">
      <c r="A930" s="21"/>
      <c r="B930" s="14"/>
      <c r="C930" s="14"/>
      <c r="D930" s="15"/>
      <c r="E930" s="14"/>
    </row>
    <row r="931" spans="1:5" x14ac:dyDescent="0.35">
      <c r="A931" s="21"/>
      <c r="B931" s="14"/>
      <c r="C931" s="14"/>
      <c r="D931" s="15"/>
      <c r="E931" s="14"/>
    </row>
    <row r="932" spans="1:5" x14ac:dyDescent="0.35">
      <c r="A932" s="21"/>
      <c r="B932" s="14"/>
      <c r="C932" s="14"/>
      <c r="D932" s="15"/>
      <c r="E932" s="14"/>
    </row>
    <row r="933" spans="1:5" x14ac:dyDescent="0.35">
      <c r="A933" s="21"/>
      <c r="B933" s="14"/>
      <c r="C933" s="14"/>
      <c r="D933" s="15"/>
      <c r="E933" s="14"/>
    </row>
    <row r="934" spans="1:5" x14ac:dyDescent="0.35">
      <c r="A934" s="21"/>
      <c r="B934" s="14"/>
      <c r="C934" s="14"/>
      <c r="D934" s="15"/>
      <c r="E934" s="14"/>
    </row>
    <row r="935" spans="1:5" x14ac:dyDescent="0.35">
      <c r="A935" s="21"/>
      <c r="B935" s="14"/>
      <c r="C935" s="14"/>
      <c r="D935" s="15"/>
      <c r="E935" s="14"/>
    </row>
    <row r="936" spans="1:5" x14ac:dyDescent="0.35">
      <c r="A936" s="21"/>
      <c r="B936" s="14"/>
      <c r="C936" s="14"/>
      <c r="D936" s="15"/>
      <c r="E936" s="14"/>
    </row>
    <row r="937" spans="1:5" x14ac:dyDescent="0.35">
      <c r="A937" s="21"/>
      <c r="B937" s="14"/>
      <c r="C937" s="14"/>
      <c r="D937" s="15"/>
      <c r="E937" s="14"/>
    </row>
    <row r="938" spans="1:5" x14ac:dyDescent="0.35">
      <c r="A938" s="21"/>
      <c r="B938" s="14"/>
      <c r="C938" s="14"/>
      <c r="D938" s="15"/>
      <c r="E938" s="14"/>
    </row>
    <row r="939" spans="1:5" x14ac:dyDescent="0.35">
      <c r="A939" s="21"/>
      <c r="B939" s="14"/>
      <c r="C939" s="14"/>
      <c r="D939" s="15"/>
      <c r="E939" s="14"/>
    </row>
    <row r="940" spans="1:5" x14ac:dyDescent="0.35">
      <c r="A940" s="21"/>
      <c r="B940" s="14"/>
      <c r="C940" s="14"/>
      <c r="D940" s="15"/>
      <c r="E940" s="14"/>
    </row>
    <row r="941" spans="1:5" x14ac:dyDescent="0.35">
      <c r="A941" s="21"/>
      <c r="B941" s="14"/>
      <c r="C941" s="14"/>
      <c r="D941" s="15"/>
      <c r="E941" s="14"/>
    </row>
    <row r="942" spans="1:5" x14ac:dyDescent="0.35">
      <c r="A942" s="21"/>
      <c r="B942" s="14"/>
      <c r="C942" s="14"/>
      <c r="D942" s="15"/>
      <c r="E942" s="14"/>
    </row>
    <row r="943" spans="1:5" x14ac:dyDescent="0.35">
      <c r="A943" s="21"/>
      <c r="B943" s="14"/>
      <c r="C943" s="14"/>
      <c r="D943" s="15"/>
      <c r="E943" s="14"/>
    </row>
    <row r="944" spans="1:5" x14ac:dyDescent="0.35">
      <c r="A944" s="21"/>
      <c r="B944" s="14"/>
      <c r="C944" s="14"/>
      <c r="D944" s="15"/>
      <c r="E944" s="14"/>
    </row>
    <row r="945" spans="1:5" x14ac:dyDescent="0.35">
      <c r="A945" s="21"/>
      <c r="B945" s="14"/>
      <c r="C945" s="14"/>
      <c r="D945" s="15"/>
      <c r="E945" s="14"/>
    </row>
    <row r="946" spans="1:5" x14ac:dyDescent="0.35">
      <c r="A946" s="21"/>
      <c r="B946" s="14"/>
      <c r="C946" s="14"/>
      <c r="D946" s="15"/>
      <c r="E946" s="14"/>
    </row>
    <row r="947" spans="1:5" x14ac:dyDescent="0.35">
      <c r="A947" s="21"/>
      <c r="B947" s="14"/>
      <c r="C947" s="14"/>
      <c r="D947" s="15"/>
      <c r="E947" s="14"/>
    </row>
    <row r="948" spans="1:5" x14ac:dyDescent="0.35">
      <c r="A948" s="21"/>
      <c r="B948" s="14"/>
      <c r="C948" s="14"/>
      <c r="D948" s="15"/>
      <c r="E948" s="14"/>
    </row>
    <row r="949" spans="1:5" x14ac:dyDescent="0.35">
      <c r="A949" s="21"/>
      <c r="B949" s="14"/>
      <c r="C949" s="14"/>
      <c r="D949" s="15"/>
      <c r="E949" s="14"/>
    </row>
    <row r="950" spans="1:5" x14ac:dyDescent="0.35">
      <c r="A950" s="21"/>
      <c r="B950" s="14"/>
      <c r="C950" s="14"/>
      <c r="D950" s="15"/>
      <c r="E950" s="14"/>
    </row>
    <row r="951" spans="1:5" x14ac:dyDescent="0.35">
      <c r="A951" s="21"/>
      <c r="B951" s="14"/>
      <c r="C951" s="14"/>
      <c r="D951" s="15"/>
      <c r="E951" s="14"/>
    </row>
    <row r="952" spans="1:5" x14ac:dyDescent="0.35">
      <c r="A952" s="21"/>
      <c r="B952" s="14"/>
      <c r="C952" s="14"/>
      <c r="D952" s="15"/>
      <c r="E952" s="14"/>
    </row>
    <row r="953" spans="1:5" x14ac:dyDescent="0.35">
      <c r="A953" s="21"/>
      <c r="B953" s="14"/>
      <c r="C953" s="14"/>
      <c r="D953" s="15"/>
      <c r="E953" s="14"/>
    </row>
    <row r="954" spans="1:5" x14ac:dyDescent="0.35">
      <c r="A954" s="21"/>
      <c r="B954" s="14"/>
      <c r="C954" s="14"/>
      <c r="D954" s="15"/>
      <c r="E954" s="14"/>
    </row>
    <row r="955" spans="1:5" x14ac:dyDescent="0.35">
      <c r="A955" s="21"/>
      <c r="B955" s="14"/>
      <c r="C955" s="14"/>
      <c r="D955" s="15"/>
      <c r="E955" s="14"/>
    </row>
    <row r="956" spans="1:5" x14ac:dyDescent="0.35">
      <c r="A956" s="21"/>
      <c r="B956" s="14"/>
      <c r="C956" s="14"/>
      <c r="D956" s="15"/>
      <c r="E956" s="14"/>
    </row>
    <row r="957" spans="1:5" x14ac:dyDescent="0.35">
      <c r="A957" s="21"/>
      <c r="B957" s="14"/>
      <c r="C957" s="14"/>
      <c r="D957" s="15"/>
      <c r="E957" s="14"/>
    </row>
    <row r="958" spans="1:5" x14ac:dyDescent="0.35">
      <c r="A958" s="21"/>
      <c r="B958" s="14"/>
      <c r="C958" s="14"/>
      <c r="D958" s="15"/>
      <c r="E958" s="14"/>
    </row>
    <row r="959" spans="1:5" x14ac:dyDescent="0.35">
      <c r="A959" s="21"/>
      <c r="B959" s="14"/>
      <c r="C959" s="14"/>
      <c r="D959" s="15"/>
      <c r="E959" s="14"/>
    </row>
    <row r="960" spans="1:5" x14ac:dyDescent="0.35">
      <c r="A960" s="21"/>
      <c r="B960" s="14"/>
      <c r="C960" s="14"/>
      <c r="D960" s="15"/>
      <c r="E960" s="14"/>
    </row>
    <row r="961" spans="1:5" x14ac:dyDescent="0.35">
      <c r="A961" s="21"/>
      <c r="B961" s="14"/>
      <c r="C961" s="14"/>
      <c r="D961" s="15"/>
      <c r="E961" s="14"/>
    </row>
    <row r="962" spans="1:5" x14ac:dyDescent="0.35">
      <c r="A962" s="21"/>
      <c r="B962" s="14"/>
      <c r="C962" s="14"/>
      <c r="D962" s="15"/>
      <c r="E962" s="14"/>
    </row>
    <row r="963" spans="1:5" x14ac:dyDescent="0.35">
      <c r="A963" s="21"/>
      <c r="B963" s="14"/>
      <c r="C963" s="14"/>
      <c r="D963" s="15"/>
      <c r="E963" s="14"/>
    </row>
    <row r="964" spans="1:5" x14ac:dyDescent="0.35">
      <c r="A964" s="21"/>
      <c r="B964" s="14"/>
      <c r="C964" s="14"/>
      <c r="D964" s="15"/>
      <c r="E964" s="14"/>
    </row>
    <row r="965" spans="1:5" x14ac:dyDescent="0.35">
      <c r="A965" s="21"/>
      <c r="B965" s="14"/>
      <c r="C965" s="14"/>
      <c r="D965" s="15"/>
      <c r="E965" s="14"/>
    </row>
    <row r="966" spans="1:5" x14ac:dyDescent="0.35">
      <c r="A966" s="21"/>
      <c r="B966" s="14"/>
      <c r="C966" s="14"/>
      <c r="D966" s="15"/>
      <c r="E966" s="14"/>
    </row>
    <row r="967" spans="1:5" x14ac:dyDescent="0.35">
      <c r="A967" s="21"/>
      <c r="B967" s="14"/>
      <c r="C967" s="14"/>
      <c r="D967" s="15"/>
      <c r="E967" s="14"/>
    </row>
    <row r="968" spans="1:5" x14ac:dyDescent="0.35">
      <c r="A968" s="21"/>
      <c r="B968" s="14"/>
      <c r="C968" s="14"/>
      <c r="D968" s="15"/>
      <c r="E968" s="14"/>
    </row>
    <row r="969" spans="1:5" x14ac:dyDescent="0.35">
      <c r="A969" s="21"/>
      <c r="B969" s="14"/>
      <c r="C969" s="14"/>
      <c r="D969" s="15"/>
      <c r="E969" s="14"/>
    </row>
    <row r="970" spans="1:5" x14ac:dyDescent="0.35">
      <c r="A970" s="21"/>
      <c r="B970" s="14"/>
      <c r="C970" s="14"/>
      <c r="D970" s="15"/>
      <c r="E970" s="14"/>
    </row>
    <row r="971" spans="1:5" x14ac:dyDescent="0.35">
      <c r="A971" s="21"/>
      <c r="B971" s="14"/>
      <c r="C971" s="14"/>
      <c r="D971" s="15"/>
      <c r="E971" s="14"/>
    </row>
    <row r="972" spans="1:5" x14ac:dyDescent="0.35">
      <c r="A972" s="21"/>
      <c r="B972" s="14"/>
      <c r="C972" s="14"/>
      <c r="D972" s="15"/>
      <c r="E972" s="14"/>
    </row>
    <row r="973" spans="1:5" x14ac:dyDescent="0.35">
      <c r="A973" s="21"/>
      <c r="B973" s="14"/>
      <c r="C973" s="14"/>
      <c r="D973" s="15"/>
      <c r="E973" s="14"/>
    </row>
    <row r="974" spans="1:5" x14ac:dyDescent="0.35">
      <c r="A974" s="21"/>
      <c r="B974" s="14"/>
      <c r="C974" s="14"/>
      <c r="D974" s="15"/>
      <c r="E974" s="14"/>
    </row>
    <row r="975" spans="1:5" x14ac:dyDescent="0.35">
      <c r="A975" s="21"/>
      <c r="B975" s="14"/>
      <c r="C975" s="14"/>
      <c r="D975" s="15"/>
      <c r="E975" s="14"/>
    </row>
    <row r="976" spans="1:5" x14ac:dyDescent="0.35">
      <c r="A976" s="21"/>
      <c r="B976" s="14"/>
      <c r="C976" s="14"/>
      <c r="D976" s="15"/>
      <c r="E976" s="14"/>
    </row>
    <row r="977" spans="1:5" x14ac:dyDescent="0.35">
      <c r="A977" s="21"/>
      <c r="B977" s="14"/>
      <c r="C977" s="14"/>
      <c r="D977" s="15"/>
      <c r="E977" s="14"/>
    </row>
    <row r="978" spans="1:5" x14ac:dyDescent="0.35">
      <c r="A978" s="21"/>
      <c r="B978" s="14"/>
      <c r="C978" s="14"/>
      <c r="D978" s="15"/>
      <c r="E978" s="14"/>
    </row>
    <row r="979" spans="1:5" x14ac:dyDescent="0.35">
      <c r="A979" s="21"/>
      <c r="B979" s="14"/>
      <c r="C979" s="14"/>
      <c r="D979" s="15"/>
      <c r="E979" s="14"/>
    </row>
    <row r="980" spans="1:5" x14ac:dyDescent="0.35">
      <c r="A980" s="21"/>
      <c r="B980" s="14"/>
      <c r="C980" s="14"/>
      <c r="D980" s="15"/>
      <c r="E980" s="14"/>
    </row>
    <row r="981" spans="1:5" x14ac:dyDescent="0.35">
      <c r="A981" s="21"/>
      <c r="B981" s="14"/>
      <c r="C981" s="14"/>
      <c r="D981" s="15"/>
      <c r="E981" s="14"/>
    </row>
    <row r="982" spans="1:5" x14ac:dyDescent="0.35">
      <c r="A982" s="21"/>
      <c r="B982" s="14"/>
      <c r="C982" s="14"/>
      <c r="D982" s="15"/>
      <c r="E982" s="14"/>
    </row>
    <row r="983" spans="1:5" x14ac:dyDescent="0.35">
      <c r="A983" s="21"/>
      <c r="B983" s="14"/>
      <c r="C983" s="14"/>
      <c r="D983" s="15"/>
      <c r="E983" s="14"/>
    </row>
    <row r="984" spans="1:5" x14ac:dyDescent="0.35">
      <c r="A984" s="21"/>
      <c r="B984" s="14"/>
      <c r="C984" s="14"/>
      <c r="D984" s="15"/>
      <c r="E984" s="14"/>
    </row>
    <row r="985" spans="1:5" x14ac:dyDescent="0.35">
      <c r="A985" s="21"/>
      <c r="B985" s="14"/>
      <c r="C985" s="14"/>
      <c r="D985" s="15"/>
      <c r="E985" s="14"/>
    </row>
    <row r="986" spans="1:5" x14ac:dyDescent="0.35">
      <c r="A986" s="21"/>
      <c r="B986" s="14"/>
      <c r="C986" s="14"/>
      <c r="D986" s="15"/>
      <c r="E986" s="14"/>
    </row>
    <row r="987" spans="1:5" x14ac:dyDescent="0.35">
      <c r="A987" s="21"/>
      <c r="B987" s="14"/>
      <c r="C987" s="14"/>
      <c r="D987" s="15"/>
      <c r="E987" s="14"/>
    </row>
    <row r="988" spans="1:5" x14ac:dyDescent="0.35">
      <c r="A988" s="21"/>
      <c r="B988" s="14"/>
      <c r="C988" s="14"/>
      <c r="D988" s="15"/>
      <c r="E988" s="14"/>
    </row>
    <row r="989" spans="1:5" x14ac:dyDescent="0.35">
      <c r="A989" s="21"/>
      <c r="B989" s="14"/>
      <c r="C989" s="14"/>
      <c r="D989" s="15"/>
      <c r="E989" s="14"/>
    </row>
    <row r="990" spans="1:5" x14ac:dyDescent="0.35">
      <c r="A990" s="21"/>
      <c r="B990" s="14"/>
      <c r="C990" s="14"/>
      <c r="D990" s="15"/>
      <c r="E990" s="14"/>
    </row>
    <row r="991" spans="1:5" x14ac:dyDescent="0.35">
      <c r="A991" s="21"/>
      <c r="B991" s="14"/>
      <c r="C991" s="14"/>
      <c r="D991" s="15"/>
      <c r="E991" s="14"/>
    </row>
    <row r="992" spans="1:5" x14ac:dyDescent="0.35">
      <c r="A992" s="21"/>
      <c r="B992" s="14"/>
      <c r="C992" s="14"/>
      <c r="D992" s="15"/>
      <c r="E992" s="14"/>
    </row>
    <row r="993" spans="1:5" x14ac:dyDescent="0.35">
      <c r="A993" s="21"/>
      <c r="B993" s="14"/>
      <c r="C993" s="14"/>
      <c r="D993" s="15"/>
      <c r="E993" s="14"/>
    </row>
    <row r="994" spans="1:5" x14ac:dyDescent="0.35">
      <c r="A994" s="21"/>
      <c r="B994" s="14"/>
      <c r="C994" s="14"/>
      <c r="D994" s="15"/>
      <c r="E994" s="14"/>
    </row>
    <row r="995" spans="1:5" x14ac:dyDescent="0.35">
      <c r="A995" s="21"/>
      <c r="B995" s="14"/>
      <c r="C995" s="14"/>
      <c r="D995" s="15"/>
      <c r="E995" s="14"/>
    </row>
    <row r="996" spans="1:5" x14ac:dyDescent="0.35">
      <c r="A996" s="21"/>
      <c r="B996" s="14"/>
      <c r="C996" s="14"/>
      <c r="D996" s="15"/>
      <c r="E996" s="14"/>
    </row>
    <row r="997" spans="1:5" x14ac:dyDescent="0.35">
      <c r="A997" s="21"/>
      <c r="B997" s="14"/>
      <c r="C997" s="14"/>
      <c r="D997" s="15"/>
      <c r="E997" s="14"/>
    </row>
    <row r="998" spans="1:5" x14ac:dyDescent="0.35">
      <c r="A998" s="21"/>
      <c r="B998" s="14"/>
      <c r="C998" s="14"/>
      <c r="D998" s="15"/>
      <c r="E998" s="14"/>
    </row>
    <row r="999" spans="1:5" x14ac:dyDescent="0.35">
      <c r="A999" s="21"/>
      <c r="B999" s="14"/>
      <c r="C999" s="14"/>
      <c r="D999" s="15"/>
      <c r="E999" s="14"/>
    </row>
    <row r="1000" spans="1:5" x14ac:dyDescent="0.35">
      <c r="A1000" s="21"/>
      <c r="B1000" s="14"/>
      <c r="C1000" s="14"/>
      <c r="D1000" s="15"/>
      <c r="E1000" s="14"/>
    </row>
    <row r="1001" spans="1:5" x14ac:dyDescent="0.35">
      <c r="A1001" s="21"/>
      <c r="B1001" s="14"/>
      <c r="C1001" s="14"/>
      <c r="D1001" s="15"/>
      <c r="E1001" s="14"/>
    </row>
    <row r="1002" spans="1:5" x14ac:dyDescent="0.35">
      <c r="A1002" s="21"/>
      <c r="B1002" s="14"/>
      <c r="C1002" s="14"/>
      <c r="D1002" s="15"/>
      <c r="E1002" s="14"/>
    </row>
    <row r="1003" spans="1:5" x14ac:dyDescent="0.35">
      <c r="A1003" s="21"/>
      <c r="B1003" s="14"/>
      <c r="C1003" s="14"/>
      <c r="D1003" s="15"/>
      <c r="E1003" s="14"/>
    </row>
    <row r="1004" spans="1:5" x14ac:dyDescent="0.35">
      <c r="A1004" s="21"/>
      <c r="B1004" s="14"/>
      <c r="C1004" s="14"/>
      <c r="D1004" s="15"/>
      <c r="E1004" s="14"/>
    </row>
    <row r="1005" spans="1:5" x14ac:dyDescent="0.35">
      <c r="A1005" s="21"/>
      <c r="B1005" s="14"/>
      <c r="C1005" s="14"/>
      <c r="D1005" s="15"/>
      <c r="E1005" s="14"/>
    </row>
    <row r="1006" spans="1:5" x14ac:dyDescent="0.35">
      <c r="A1006" s="21"/>
      <c r="B1006" s="14"/>
      <c r="C1006" s="14"/>
      <c r="D1006" s="15"/>
      <c r="E1006" s="14"/>
    </row>
    <row r="1007" spans="1:5" x14ac:dyDescent="0.35">
      <c r="A1007" s="21"/>
      <c r="B1007" s="14"/>
      <c r="C1007" s="14"/>
      <c r="D1007" s="15"/>
      <c r="E1007" s="14"/>
    </row>
    <row r="1008" spans="1:5" x14ac:dyDescent="0.35">
      <c r="A1008" s="21"/>
      <c r="B1008" s="14"/>
      <c r="C1008" s="14"/>
      <c r="D1008" s="15"/>
      <c r="E1008" s="14"/>
    </row>
    <row r="1009" spans="1:5" x14ac:dyDescent="0.35">
      <c r="A1009" s="21"/>
      <c r="B1009" s="14"/>
      <c r="C1009" s="14"/>
      <c r="D1009" s="15"/>
      <c r="E1009" s="14"/>
    </row>
    <row r="1010" spans="1:5" x14ac:dyDescent="0.35">
      <c r="A1010" s="21"/>
      <c r="B1010" s="14"/>
      <c r="C1010" s="14"/>
      <c r="D1010" s="15"/>
      <c r="E1010" s="14"/>
    </row>
    <row r="1011" spans="1:5" x14ac:dyDescent="0.35">
      <c r="A1011" s="21"/>
      <c r="B1011" s="14"/>
      <c r="C1011" s="14"/>
      <c r="D1011" s="15"/>
      <c r="E1011" s="14"/>
    </row>
    <row r="1012" spans="1:5" x14ac:dyDescent="0.35">
      <c r="A1012" s="21"/>
      <c r="B1012" s="14"/>
      <c r="C1012" s="14"/>
      <c r="D1012" s="15"/>
      <c r="E1012" s="14"/>
    </row>
    <row r="1013" spans="1:5" x14ac:dyDescent="0.35">
      <c r="A1013" s="21"/>
      <c r="B1013" s="14"/>
      <c r="C1013" s="14"/>
      <c r="D1013" s="15"/>
      <c r="E1013" s="14"/>
    </row>
    <row r="1014" spans="1:5" x14ac:dyDescent="0.35">
      <c r="A1014" s="21"/>
      <c r="B1014" s="14"/>
      <c r="C1014" s="14"/>
      <c r="D1014" s="15"/>
      <c r="E1014" s="14"/>
    </row>
    <row r="1015" spans="1:5" x14ac:dyDescent="0.35">
      <c r="A1015" s="21"/>
      <c r="B1015" s="14"/>
      <c r="C1015" s="14"/>
      <c r="D1015" s="15"/>
      <c r="E1015" s="14"/>
    </row>
    <row r="1016" spans="1:5" x14ac:dyDescent="0.35">
      <c r="A1016" s="21"/>
      <c r="B1016" s="14"/>
      <c r="C1016" s="14"/>
      <c r="D1016" s="15"/>
      <c r="E1016" s="14"/>
    </row>
    <row r="1017" spans="1:5" x14ac:dyDescent="0.35">
      <c r="A1017" s="21"/>
      <c r="B1017" s="14"/>
      <c r="C1017" s="14"/>
      <c r="D1017" s="15"/>
      <c r="E1017" s="14"/>
    </row>
    <row r="1018" spans="1:5" x14ac:dyDescent="0.35">
      <c r="A1018" s="21"/>
      <c r="B1018" s="14"/>
      <c r="C1018" s="14"/>
      <c r="D1018" s="15"/>
      <c r="E1018" s="14"/>
    </row>
    <row r="1019" spans="1:5" x14ac:dyDescent="0.35">
      <c r="A1019" s="21"/>
      <c r="B1019" s="14"/>
      <c r="C1019" s="14"/>
      <c r="D1019" s="15"/>
      <c r="E1019" s="14"/>
    </row>
    <row r="1020" spans="1:5" x14ac:dyDescent="0.35">
      <c r="A1020" s="21"/>
      <c r="B1020" s="14"/>
      <c r="C1020" s="14"/>
      <c r="D1020" s="15"/>
      <c r="E1020" s="14"/>
    </row>
    <row r="1021" spans="1:5" x14ac:dyDescent="0.35">
      <c r="A1021" s="21"/>
      <c r="B1021" s="14"/>
      <c r="C1021" s="14"/>
      <c r="D1021" s="15"/>
      <c r="E1021" s="14"/>
    </row>
    <row r="1022" spans="1:5" x14ac:dyDescent="0.35">
      <c r="A1022" s="21"/>
      <c r="B1022" s="14"/>
      <c r="C1022" s="14"/>
      <c r="D1022" s="15"/>
      <c r="E1022" s="14"/>
    </row>
    <row r="1023" spans="1:5" x14ac:dyDescent="0.35">
      <c r="A1023" s="21"/>
      <c r="B1023" s="14"/>
      <c r="C1023" s="14"/>
      <c r="D1023" s="15"/>
      <c r="E1023" s="14"/>
    </row>
    <row r="1024" spans="1:5" x14ac:dyDescent="0.35">
      <c r="A1024" s="21"/>
      <c r="B1024" s="14"/>
      <c r="C1024" s="14"/>
      <c r="D1024" s="15"/>
      <c r="E1024" s="14"/>
    </row>
    <row r="1025" spans="1:5" x14ac:dyDescent="0.35">
      <c r="A1025" s="21"/>
      <c r="B1025" s="14"/>
      <c r="C1025" s="14"/>
      <c r="D1025" s="15"/>
      <c r="E1025" s="14"/>
    </row>
    <row r="1026" spans="1:5" x14ac:dyDescent="0.35">
      <c r="A1026" s="21"/>
      <c r="B1026" s="14"/>
      <c r="C1026" s="14"/>
      <c r="D1026" s="15"/>
      <c r="E1026" s="14"/>
    </row>
    <row r="1027" spans="1:5" x14ac:dyDescent="0.35">
      <c r="A1027" s="21"/>
      <c r="B1027" s="14"/>
      <c r="C1027" s="14"/>
      <c r="D1027" s="15"/>
      <c r="E1027" s="14"/>
    </row>
    <row r="1028" spans="1:5" x14ac:dyDescent="0.35">
      <c r="A1028" s="21"/>
      <c r="B1028" s="14"/>
      <c r="C1028" s="14"/>
      <c r="D1028" s="15"/>
      <c r="E1028" s="14"/>
    </row>
    <row r="1029" spans="1:5" x14ac:dyDescent="0.35">
      <c r="A1029" s="21"/>
      <c r="B1029" s="14"/>
      <c r="C1029" s="14"/>
      <c r="D1029" s="15"/>
      <c r="E1029" s="14"/>
    </row>
    <row r="1030" spans="1:5" x14ac:dyDescent="0.35">
      <c r="A1030" s="21"/>
      <c r="B1030" s="14"/>
      <c r="C1030" s="14"/>
      <c r="D1030" s="15"/>
      <c r="E1030" s="14"/>
    </row>
    <row r="1031" spans="1:5" x14ac:dyDescent="0.35">
      <c r="A1031" s="21"/>
      <c r="B1031" s="14"/>
      <c r="C1031" s="14"/>
      <c r="D1031" s="15"/>
      <c r="E1031" s="14"/>
    </row>
    <row r="1032" spans="1:5" x14ac:dyDescent="0.35">
      <c r="A1032" s="21"/>
      <c r="B1032" s="14"/>
      <c r="C1032" s="14"/>
      <c r="D1032" s="15"/>
      <c r="E1032" s="14"/>
    </row>
    <row r="1033" spans="1:5" x14ac:dyDescent="0.35">
      <c r="A1033" s="21"/>
      <c r="B1033" s="14"/>
      <c r="C1033" s="14"/>
      <c r="D1033" s="15"/>
      <c r="E1033" s="14"/>
    </row>
    <row r="1034" spans="1:5" x14ac:dyDescent="0.35">
      <c r="A1034" s="21"/>
      <c r="B1034" s="14"/>
      <c r="C1034" s="14"/>
      <c r="D1034" s="15"/>
      <c r="E1034" s="14"/>
    </row>
    <row r="1035" spans="1:5" x14ac:dyDescent="0.35">
      <c r="A1035" s="21"/>
      <c r="B1035" s="14"/>
      <c r="C1035" s="14"/>
      <c r="D1035" s="15"/>
      <c r="E1035" s="14"/>
    </row>
    <row r="1036" spans="1:5" x14ac:dyDescent="0.35">
      <c r="A1036" s="21"/>
      <c r="B1036" s="14"/>
      <c r="C1036" s="14"/>
      <c r="D1036" s="15"/>
      <c r="E1036" s="14"/>
    </row>
    <row r="1037" spans="1:5" x14ac:dyDescent="0.35">
      <c r="A1037" s="21"/>
      <c r="B1037" s="14"/>
      <c r="C1037" s="14"/>
      <c r="D1037" s="15"/>
      <c r="E1037" s="14"/>
    </row>
    <row r="1038" spans="1:5" x14ac:dyDescent="0.35">
      <c r="A1038" s="21"/>
      <c r="B1038" s="14"/>
      <c r="C1038" s="14"/>
      <c r="D1038" s="15"/>
      <c r="E1038" s="14"/>
    </row>
    <row r="1039" spans="1:5" x14ac:dyDescent="0.35">
      <c r="A1039" s="21"/>
      <c r="B1039" s="14"/>
      <c r="C1039" s="14"/>
      <c r="D1039" s="15"/>
      <c r="E1039" s="14"/>
    </row>
    <row r="1040" spans="1:5" x14ac:dyDescent="0.35">
      <c r="A1040" s="21"/>
      <c r="B1040" s="14"/>
      <c r="C1040" s="14"/>
      <c r="D1040" s="15"/>
      <c r="E1040" s="14"/>
    </row>
    <row r="1041" spans="1:5" x14ac:dyDescent="0.35">
      <c r="A1041" s="21"/>
      <c r="B1041" s="14"/>
      <c r="C1041" s="14"/>
      <c r="D1041" s="15"/>
      <c r="E1041" s="14"/>
    </row>
    <row r="1042" spans="1:5" x14ac:dyDescent="0.35">
      <c r="A1042" s="21"/>
      <c r="B1042" s="14"/>
      <c r="C1042" s="14"/>
      <c r="D1042" s="15"/>
      <c r="E1042" s="14"/>
    </row>
    <row r="1043" spans="1:5" x14ac:dyDescent="0.35">
      <c r="A1043" s="21"/>
      <c r="B1043" s="14"/>
      <c r="C1043" s="14"/>
      <c r="D1043" s="15"/>
      <c r="E1043" s="14"/>
    </row>
    <row r="1044" spans="1:5" x14ac:dyDescent="0.35">
      <c r="A1044" s="21"/>
      <c r="B1044" s="14"/>
      <c r="C1044" s="14"/>
      <c r="D1044" s="15"/>
      <c r="E1044" s="14"/>
    </row>
    <row r="1045" spans="1:5" x14ac:dyDescent="0.35">
      <c r="A1045" s="21"/>
      <c r="B1045" s="14"/>
      <c r="C1045" s="14"/>
      <c r="D1045" s="15"/>
      <c r="E1045" s="14"/>
    </row>
    <row r="1046" spans="1:5" x14ac:dyDescent="0.35">
      <c r="A1046" s="21"/>
      <c r="B1046" s="14"/>
      <c r="C1046" s="14"/>
      <c r="D1046" s="15"/>
      <c r="E1046" s="14"/>
    </row>
    <row r="1047" spans="1:5" x14ac:dyDescent="0.35">
      <c r="A1047" s="21"/>
      <c r="B1047" s="14"/>
      <c r="C1047" s="14"/>
      <c r="D1047" s="15"/>
      <c r="E1047" s="14"/>
    </row>
    <row r="1048" spans="1:5" x14ac:dyDescent="0.35">
      <c r="A1048" s="21"/>
      <c r="B1048" s="14"/>
      <c r="C1048" s="14"/>
      <c r="D1048" s="15"/>
      <c r="E1048" s="14"/>
    </row>
    <row r="1049" spans="1:5" x14ac:dyDescent="0.35">
      <c r="A1049" s="21"/>
      <c r="B1049" s="14"/>
      <c r="C1049" s="14"/>
      <c r="D1049" s="15"/>
      <c r="E1049" s="14"/>
    </row>
    <row r="1050" spans="1:5" x14ac:dyDescent="0.35">
      <c r="A1050" s="21"/>
      <c r="B1050" s="14"/>
      <c r="C1050" s="14"/>
      <c r="D1050" s="15"/>
      <c r="E1050" s="14"/>
    </row>
    <row r="1051" spans="1:5" x14ac:dyDescent="0.35">
      <c r="A1051" s="21"/>
      <c r="B1051" s="14"/>
      <c r="C1051" s="14"/>
      <c r="D1051" s="15"/>
      <c r="E1051" s="14"/>
    </row>
    <row r="1052" spans="1:5" x14ac:dyDescent="0.35">
      <c r="A1052" s="21"/>
      <c r="B1052" s="14"/>
      <c r="C1052" s="14"/>
      <c r="D1052" s="15"/>
      <c r="E1052" s="14"/>
    </row>
    <row r="1053" spans="1:5" x14ac:dyDescent="0.35">
      <c r="A1053" s="21"/>
      <c r="B1053" s="14"/>
      <c r="C1053" s="14"/>
      <c r="D1053" s="15"/>
      <c r="E1053" s="14"/>
    </row>
    <row r="1054" spans="1:5" x14ac:dyDescent="0.35">
      <c r="A1054" s="21"/>
      <c r="B1054" s="14"/>
      <c r="C1054" s="14"/>
      <c r="D1054" s="15"/>
      <c r="E1054" s="14"/>
    </row>
    <row r="1055" spans="1:5" x14ac:dyDescent="0.35">
      <c r="A1055" s="21"/>
      <c r="B1055" s="14"/>
      <c r="C1055" s="14"/>
      <c r="D1055" s="15"/>
      <c r="E1055" s="14"/>
    </row>
    <row r="1056" spans="1:5" x14ac:dyDescent="0.35">
      <c r="A1056" s="21"/>
      <c r="B1056" s="14"/>
      <c r="C1056" s="14"/>
      <c r="D1056" s="15"/>
      <c r="E1056" s="14"/>
    </row>
    <row r="1057" spans="1:5" x14ac:dyDescent="0.35">
      <c r="A1057" s="21"/>
      <c r="B1057" s="14"/>
      <c r="C1057" s="14"/>
      <c r="D1057" s="15"/>
      <c r="E1057" s="14"/>
    </row>
    <row r="1058" spans="1:5" x14ac:dyDescent="0.35">
      <c r="A1058" s="21"/>
      <c r="B1058" s="14"/>
      <c r="C1058" s="14"/>
      <c r="D1058" s="15"/>
      <c r="E1058" s="14"/>
    </row>
    <row r="1059" spans="1:5" x14ac:dyDescent="0.35">
      <c r="A1059" s="21"/>
      <c r="B1059" s="14"/>
      <c r="C1059" s="14"/>
      <c r="D1059" s="15"/>
      <c r="E1059" s="14"/>
    </row>
    <row r="1060" spans="1:5" x14ac:dyDescent="0.35">
      <c r="A1060" s="21"/>
      <c r="B1060" s="14"/>
      <c r="C1060" s="14"/>
      <c r="D1060" s="15"/>
      <c r="E1060" s="14"/>
    </row>
    <row r="1061" spans="1:5" x14ac:dyDescent="0.35">
      <c r="A1061" s="21"/>
      <c r="B1061" s="14"/>
      <c r="C1061" s="14"/>
      <c r="D1061" s="15"/>
      <c r="E1061" s="14"/>
    </row>
    <row r="1062" spans="1:5" x14ac:dyDescent="0.35">
      <c r="A1062" s="21"/>
      <c r="B1062" s="14"/>
      <c r="C1062" s="14"/>
      <c r="D1062" s="15"/>
      <c r="E1062" s="14"/>
    </row>
    <row r="1063" spans="1:5" x14ac:dyDescent="0.35">
      <c r="A1063" s="21"/>
      <c r="B1063" s="14"/>
      <c r="C1063" s="14"/>
      <c r="D1063" s="15"/>
      <c r="E1063" s="14"/>
    </row>
    <row r="1064" spans="1:5" x14ac:dyDescent="0.35">
      <c r="A1064" s="21"/>
      <c r="B1064" s="14"/>
      <c r="C1064" s="14"/>
      <c r="D1064" s="15"/>
      <c r="E1064" s="14"/>
    </row>
    <row r="1065" spans="1:5" x14ac:dyDescent="0.35">
      <c r="A1065" s="21"/>
      <c r="B1065" s="14"/>
      <c r="C1065" s="14"/>
      <c r="D1065" s="15"/>
      <c r="E1065" s="14"/>
    </row>
    <row r="1066" spans="1:5" x14ac:dyDescent="0.35">
      <c r="A1066" s="21"/>
      <c r="B1066" s="14"/>
      <c r="C1066" s="14"/>
      <c r="D1066" s="15"/>
      <c r="E1066" s="14"/>
    </row>
    <row r="1067" spans="1:5" x14ac:dyDescent="0.35">
      <c r="A1067" s="21"/>
      <c r="B1067" s="14"/>
      <c r="C1067" s="14"/>
      <c r="D1067" s="15"/>
      <c r="E1067" s="14"/>
    </row>
    <row r="1068" spans="1:5" x14ac:dyDescent="0.35">
      <c r="A1068" s="21"/>
      <c r="B1068" s="14"/>
      <c r="C1068" s="14"/>
      <c r="D1068" s="15"/>
      <c r="E1068" s="14"/>
    </row>
    <row r="1069" spans="1:5" x14ac:dyDescent="0.35">
      <c r="A1069" s="21"/>
      <c r="B1069" s="14"/>
      <c r="C1069" s="14"/>
      <c r="D1069" s="15"/>
      <c r="E1069" s="14"/>
    </row>
    <row r="1070" spans="1:5" x14ac:dyDescent="0.35">
      <c r="A1070" s="21"/>
      <c r="B1070" s="14"/>
      <c r="C1070" s="14"/>
      <c r="D1070" s="15"/>
      <c r="E1070" s="14"/>
    </row>
    <row r="1071" spans="1:5" x14ac:dyDescent="0.35">
      <c r="A1071" s="21"/>
      <c r="B1071" s="14"/>
      <c r="C1071" s="14"/>
      <c r="D1071" s="15"/>
      <c r="E1071" s="14"/>
    </row>
    <row r="1072" spans="1:5" x14ac:dyDescent="0.35">
      <c r="A1072" s="21"/>
      <c r="B1072" s="14"/>
      <c r="C1072" s="14"/>
      <c r="D1072" s="15"/>
      <c r="E1072" s="14"/>
    </row>
    <row r="1073" spans="1:5" x14ac:dyDescent="0.35">
      <c r="A1073" s="21"/>
      <c r="B1073" s="14"/>
      <c r="C1073" s="14"/>
      <c r="D1073" s="15"/>
      <c r="E1073" s="14"/>
    </row>
    <row r="1074" spans="1:5" x14ac:dyDescent="0.35">
      <c r="A1074" s="21"/>
      <c r="B1074" s="14"/>
      <c r="C1074" s="14"/>
      <c r="D1074" s="15"/>
      <c r="E1074" s="14"/>
    </row>
    <row r="1075" spans="1:5" x14ac:dyDescent="0.35">
      <c r="A1075" s="21"/>
      <c r="B1075" s="14"/>
      <c r="C1075" s="14"/>
      <c r="D1075" s="15"/>
      <c r="E1075" s="14"/>
    </row>
    <row r="1076" spans="1:5" x14ac:dyDescent="0.35">
      <c r="A1076" s="21"/>
      <c r="B1076" s="14"/>
      <c r="C1076" s="14"/>
      <c r="D1076" s="15"/>
      <c r="E1076" s="14"/>
    </row>
    <row r="1077" spans="1:5" x14ac:dyDescent="0.35">
      <c r="A1077" s="21"/>
      <c r="B1077" s="14"/>
      <c r="C1077" s="14"/>
      <c r="D1077" s="15"/>
      <c r="E1077" s="14"/>
    </row>
    <row r="1078" spans="1:5" x14ac:dyDescent="0.35">
      <c r="A1078" s="21"/>
      <c r="B1078" s="14"/>
      <c r="C1078" s="14"/>
      <c r="D1078" s="15"/>
      <c r="E1078" s="14"/>
    </row>
    <row r="1079" spans="1:5" x14ac:dyDescent="0.35">
      <c r="A1079" s="21"/>
      <c r="B1079" s="14"/>
      <c r="C1079" s="14"/>
      <c r="D1079" s="15"/>
      <c r="E1079" s="14"/>
    </row>
    <row r="1080" spans="1:5" x14ac:dyDescent="0.35">
      <c r="A1080" s="21"/>
      <c r="B1080" s="14"/>
      <c r="C1080" s="14"/>
      <c r="D1080" s="15"/>
      <c r="E1080" s="14"/>
    </row>
    <row r="1081" spans="1:5" x14ac:dyDescent="0.35">
      <c r="A1081" s="21"/>
      <c r="B1081" s="14"/>
      <c r="C1081" s="14"/>
      <c r="D1081" s="15"/>
      <c r="E1081" s="14"/>
    </row>
    <row r="1082" spans="1:5" x14ac:dyDescent="0.35">
      <c r="A1082" s="21"/>
      <c r="B1082" s="14"/>
      <c r="C1082" s="14"/>
      <c r="D1082" s="15"/>
      <c r="E1082" s="14"/>
    </row>
    <row r="1083" spans="1:5" x14ac:dyDescent="0.35">
      <c r="A1083" s="21"/>
      <c r="B1083" s="14"/>
      <c r="C1083" s="14"/>
      <c r="D1083" s="15"/>
      <c r="E1083" s="14"/>
    </row>
    <row r="1084" spans="1:5" x14ac:dyDescent="0.35">
      <c r="A1084" s="21"/>
      <c r="B1084" s="14"/>
      <c r="C1084" s="14"/>
      <c r="D1084" s="15"/>
      <c r="E1084" s="14"/>
    </row>
    <row r="1085" spans="1:5" x14ac:dyDescent="0.35">
      <c r="A1085" s="21"/>
      <c r="B1085" s="14"/>
      <c r="C1085" s="14"/>
      <c r="D1085" s="15"/>
      <c r="E1085" s="14"/>
    </row>
    <row r="1086" spans="1:5" x14ac:dyDescent="0.35">
      <c r="A1086" s="21"/>
      <c r="B1086" s="14"/>
      <c r="C1086" s="14"/>
      <c r="D1086" s="15"/>
      <c r="E1086" s="14"/>
    </row>
    <row r="1087" spans="1:5" x14ac:dyDescent="0.35">
      <c r="A1087" s="21"/>
      <c r="B1087" s="14"/>
      <c r="C1087" s="14"/>
      <c r="D1087" s="15"/>
      <c r="E1087" s="14"/>
    </row>
    <row r="1088" spans="1:5" x14ac:dyDescent="0.35">
      <c r="A1088" s="21"/>
      <c r="B1088" s="14"/>
      <c r="C1088" s="14"/>
      <c r="D1088" s="15"/>
      <c r="E1088" s="14"/>
    </row>
    <row r="1089" spans="1:5" x14ac:dyDescent="0.35">
      <c r="A1089" s="21"/>
      <c r="B1089" s="14"/>
      <c r="C1089" s="14"/>
      <c r="D1089" s="15"/>
      <c r="E1089" s="14"/>
    </row>
    <row r="1090" spans="1:5" x14ac:dyDescent="0.35">
      <c r="A1090" s="21"/>
      <c r="B1090" s="14"/>
      <c r="C1090" s="14"/>
      <c r="D1090" s="15"/>
      <c r="E1090" s="14"/>
    </row>
    <row r="1091" spans="1:5" x14ac:dyDescent="0.35">
      <c r="A1091" s="21"/>
      <c r="B1091" s="14"/>
      <c r="C1091" s="14"/>
      <c r="D1091" s="15"/>
      <c r="E1091" s="14"/>
    </row>
    <row r="1092" spans="1:5" x14ac:dyDescent="0.35">
      <c r="A1092" s="21"/>
      <c r="B1092" s="14"/>
      <c r="C1092" s="14"/>
      <c r="D1092" s="15"/>
      <c r="E1092" s="14"/>
    </row>
    <row r="1093" spans="1:5" x14ac:dyDescent="0.35">
      <c r="A1093" s="21"/>
      <c r="B1093" s="14"/>
      <c r="C1093" s="14"/>
      <c r="D1093" s="15"/>
      <c r="E1093" s="14"/>
    </row>
    <row r="1094" spans="1:5" x14ac:dyDescent="0.35">
      <c r="A1094" s="21"/>
      <c r="B1094" s="14"/>
      <c r="C1094" s="14"/>
      <c r="D1094" s="15"/>
      <c r="E1094" s="14"/>
    </row>
    <row r="1095" spans="1:5" x14ac:dyDescent="0.35">
      <c r="A1095" s="21"/>
      <c r="B1095" s="14"/>
      <c r="C1095" s="14"/>
      <c r="D1095" s="15"/>
      <c r="E1095" s="14"/>
    </row>
    <row r="1096" spans="1:5" x14ac:dyDescent="0.35">
      <c r="A1096" s="21"/>
      <c r="B1096" s="14"/>
      <c r="C1096" s="14"/>
      <c r="D1096" s="15"/>
      <c r="E1096" s="14"/>
    </row>
    <row r="1097" spans="1:5" x14ac:dyDescent="0.35">
      <c r="A1097" s="21"/>
      <c r="B1097" s="14"/>
      <c r="C1097" s="14"/>
      <c r="D1097" s="15"/>
      <c r="E1097" s="14"/>
    </row>
    <row r="1098" spans="1:5" x14ac:dyDescent="0.35">
      <c r="A1098" s="21"/>
      <c r="B1098" s="14"/>
      <c r="C1098" s="14"/>
      <c r="D1098" s="15"/>
      <c r="E1098" s="14"/>
    </row>
    <row r="1099" spans="1:5" x14ac:dyDescent="0.35">
      <c r="A1099" s="21"/>
      <c r="B1099" s="14"/>
      <c r="C1099" s="14"/>
      <c r="D1099" s="15"/>
      <c r="E1099" s="14"/>
    </row>
    <row r="1100" spans="1:5" x14ac:dyDescent="0.35">
      <c r="A1100" s="21"/>
      <c r="B1100" s="14"/>
      <c r="C1100" s="14"/>
      <c r="D1100" s="15"/>
      <c r="E1100" s="14"/>
    </row>
    <row r="1101" spans="1:5" x14ac:dyDescent="0.35">
      <c r="A1101" s="21"/>
      <c r="B1101" s="14"/>
      <c r="C1101" s="14"/>
      <c r="D1101" s="15"/>
      <c r="E1101" s="14"/>
    </row>
    <row r="1102" spans="1:5" x14ac:dyDescent="0.35">
      <c r="A1102" s="21"/>
      <c r="B1102" s="14"/>
      <c r="C1102" s="14"/>
      <c r="D1102" s="15"/>
      <c r="E1102" s="14"/>
    </row>
    <row r="1103" spans="1:5" x14ac:dyDescent="0.35">
      <c r="A1103" s="21"/>
      <c r="B1103" s="14"/>
      <c r="C1103" s="14"/>
      <c r="D1103" s="15"/>
      <c r="E1103" s="14"/>
    </row>
    <row r="1104" spans="1:5" x14ac:dyDescent="0.35">
      <c r="A1104" s="21"/>
      <c r="B1104" s="14"/>
      <c r="C1104" s="14"/>
      <c r="D1104" s="15"/>
      <c r="E1104" s="14"/>
    </row>
    <row r="1105" spans="1:5" x14ac:dyDescent="0.35">
      <c r="A1105" s="21"/>
      <c r="B1105" s="14"/>
      <c r="C1105" s="14"/>
      <c r="D1105" s="15"/>
      <c r="E1105" s="14"/>
    </row>
    <row r="1106" spans="1:5" x14ac:dyDescent="0.35">
      <c r="A1106" s="21"/>
      <c r="B1106" s="14"/>
      <c r="C1106" s="14"/>
      <c r="D1106" s="15"/>
      <c r="E1106" s="14"/>
    </row>
    <row r="1107" spans="1:5" x14ac:dyDescent="0.35">
      <c r="A1107" s="21"/>
      <c r="B1107" s="14"/>
      <c r="C1107" s="14"/>
      <c r="D1107" s="15"/>
      <c r="E1107" s="14"/>
    </row>
    <row r="1108" spans="1:5" x14ac:dyDescent="0.35">
      <c r="A1108" s="21"/>
      <c r="B1108" s="14"/>
      <c r="C1108" s="14"/>
      <c r="D1108" s="15"/>
      <c r="E1108" s="14"/>
    </row>
    <row r="1109" spans="1:5" x14ac:dyDescent="0.35">
      <c r="A1109" s="21"/>
      <c r="B1109" s="14"/>
      <c r="C1109" s="14"/>
      <c r="D1109" s="15"/>
      <c r="E1109" s="14"/>
    </row>
    <row r="1110" spans="1:5" x14ac:dyDescent="0.35">
      <c r="A1110" s="21"/>
      <c r="B1110" s="14"/>
      <c r="C1110" s="14"/>
      <c r="D1110" s="15"/>
      <c r="E1110" s="14"/>
    </row>
    <row r="1111" spans="1:5" x14ac:dyDescent="0.35">
      <c r="A1111" s="21"/>
      <c r="B1111" s="14"/>
      <c r="C1111" s="14"/>
      <c r="D1111" s="15"/>
      <c r="E1111" s="14"/>
    </row>
    <row r="1112" spans="1:5" x14ac:dyDescent="0.35">
      <c r="A1112" s="21"/>
      <c r="B1112" s="14"/>
      <c r="C1112" s="14"/>
      <c r="D1112" s="15"/>
      <c r="E1112" s="14"/>
    </row>
    <row r="1113" spans="1:5" x14ac:dyDescent="0.35">
      <c r="A1113" s="21"/>
      <c r="B1113" s="14"/>
      <c r="C1113" s="14"/>
      <c r="D1113" s="15"/>
      <c r="E1113" s="14"/>
    </row>
    <row r="1114" spans="1:5" x14ac:dyDescent="0.35">
      <c r="A1114" s="21"/>
      <c r="B1114" s="14"/>
      <c r="C1114" s="14"/>
      <c r="D1114" s="15"/>
      <c r="E1114" s="14"/>
    </row>
    <row r="1115" spans="1:5" x14ac:dyDescent="0.35">
      <c r="A1115" s="21"/>
      <c r="B1115" s="14"/>
      <c r="C1115" s="14"/>
      <c r="D1115" s="15"/>
      <c r="E1115" s="14"/>
    </row>
    <row r="1116" spans="1:5" x14ac:dyDescent="0.35">
      <c r="A1116" s="21"/>
      <c r="B1116" s="14"/>
      <c r="C1116" s="14"/>
      <c r="D1116" s="15"/>
      <c r="E1116" s="14"/>
    </row>
    <row r="1117" spans="1:5" x14ac:dyDescent="0.35">
      <c r="A1117" s="21"/>
      <c r="B1117" s="14"/>
      <c r="C1117" s="14"/>
      <c r="D1117" s="15"/>
      <c r="E1117" s="14"/>
    </row>
    <row r="1118" spans="1:5" x14ac:dyDescent="0.35">
      <c r="A1118" s="21"/>
      <c r="B1118" s="14"/>
      <c r="C1118" s="14"/>
      <c r="D1118" s="15"/>
      <c r="E1118" s="14"/>
    </row>
    <row r="1119" spans="1:5" x14ac:dyDescent="0.35">
      <c r="A1119" s="21"/>
      <c r="B1119" s="14"/>
      <c r="C1119" s="14"/>
      <c r="D1119" s="15"/>
      <c r="E1119" s="14"/>
    </row>
    <row r="1120" spans="1:5" x14ac:dyDescent="0.35">
      <c r="A1120" s="21"/>
      <c r="B1120" s="14"/>
      <c r="C1120" s="14"/>
      <c r="D1120" s="15"/>
      <c r="E1120" s="14"/>
    </row>
    <row r="1121" spans="1:5" x14ac:dyDescent="0.35">
      <c r="A1121" s="21"/>
      <c r="B1121" s="14"/>
      <c r="C1121" s="14"/>
      <c r="D1121" s="15"/>
      <c r="E1121" s="14"/>
    </row>
    <row r="1122" spans="1:5" x14ac:dyDescent="0.35">
      <c r="A1122" s="21"/>
      <c r="B1122" s="14"/>
      <c r="C1122" s="14"/>
      <c r="D1122" s="15"/>
      <c r="E1122" s="14"/>
    </row>
    <row r="1123" spans="1:5" x14ac:dyDescent="0.35">
      <c r="A1123" s="21"/>
      <c r="B1123" s="14"/>
      <c r="C1123" s="14"/>
      <c r="D1123" s="15"/>
      <c r="E1123" s="14"/>
    </row>
    <row r="1124" spans="1:5" x14ac:dyDescent="0.35">
      <c r="A1124" s="21"/>
      <c r="B1124" s="14"/>
      <c r="C1124" s="14"/>
      <c r="D1124" s="15"/>
      <c r="E1124" s="14"/>
    </row>
    <row r="1125" spans="1:5" x14ac:dyDescent="0.35">
      <c r="A1125" s="21"/>
      <c r="B1125" s="14"/>
      <c r="C1125" s="14"/>
      <c r="D1125" s="15"/>
      <c r="E1125" s="14"/>
    </row>
    <row r="1126" spans="1:5" x14ac:dyDescent="0.35">
      <c r="A1126" s="21"/>
      <c r="B1126" s="14"/>
      <c r="C1126" s="14"/>
      <c r="D1126" s="15"/>
      <c r="E1126" s="14"/>
    </row>
    <row r="1127" spans="1:5" x14ac:dyDescent="0.35">
      <c r="A1127" s="21"/>
      <c r="B1127" s="14"/>
      <c r="C1127" s="14"/>
      <c r="D1127" s="15"/>
      <c r="E1127" s="14"/>
    </row>
    <row r="1128" spans="1:5" x14ac:dyDescent="0.35">
      <c r="A1128" s="21"/>
      <c r="B1128" s="14"/>
      <c r="C1128" s="14"/>
      <c r="D1128" s="15"/>
      <c r="E1128" s="14"/>
    </row>
    <row r="1129" spans="1:5" x14ac:dyDescent="0.35">
      <c r="A1129" s="21"/>
      <c r="B1129" s="14"/>
      <c r="C1129" s="14"/>
      <c r="D1129" s="15"/>
      <c r="E1129" s="14"/>
    </row>
    <row r="1130" spans="1:5" x14ac:dyDescent="0.35">
      <c r="A1130" s="21"/>
      <c r="B1130" s="14"/>
      <c r="C1130" s="14"/>
      <c r="D1130" s="15"/>
      <c r="E1130" s="14"/>
    </row>
    <row r="1131" spans="1:5" x14ac:dyDescent="0.35">
      <c r="A1131" s="21"/>
      <c r="B1131" s="14"/>
      <c r="C1131" s="14"/>
      <c r="D1131" s="15"/>
      <c r="E1131" s="14"/>
    </row>
    <row r="1132" spans="1:5" x14ac:dyDescent="0.35">
      <c r="A1132" s="21"/>
      <c r="B1132" s="14"/>
      <c r="C1132" s="14"/>
      <c r="D1132" s="15"/>
      <c r="E1132" s="14"/>
    </row>
    <row r="1133" spans="1:5" x14ac:dyDescent="0.35">
      <c r="A1133" s="21"/>
      <c r="B1133" s="14"/>
      <c r="C1133" s="14"/>
      <c r="D1133" s="15"/>
      <c r="E1133" s="14"/>
    </row>
    <row r="1134" spans="1:5" x14ac:dyDescent="0.35">
      <c r="A1134" s="21"/>
      <c r="B1134" s="14"/>
      <c r="C1134" s="14"/>
      <c r="D1134" s="15"/>
      <c r="E1134" s="14"/>
    </row>
    <row r="1135" spans="1:5" x14ac:dyDescent="0.35">
      <c r="A1135" s="21"/>
      <c r="B1135" s="14"/>
      <c r="C1135" s="14"/>
      <c r="D1135" s="15"/>
      <c r="E1135" s="14"/>
    </row>
    <row r="1136" spans="1:5" x14ac:dyDescent="0.35">
      <c r="A1136" s="21"/>
      <c r="B1136" s="14"/>
      <c r="C1136" s="14"/>
      <c r="D1136" s="15"/>
      <c r="E1136" s="14"/>
    </row>
    <row r="1137" spans="1:5" x14ac:dyDescent="0.35">
      <c r="A1137" s="21"/>
      <c r="B1137" s="14"/>
      <c r="C1137" s="14"/>
      <c r="D1137" s="15"/>
      <c r="E1137" s="14"/>
    </row>
    <row r="1138" spans="1:5" x14ac:dyDescent="0.35">
      <c r="A1138" s="21"/>
      <c r="B1138" s="14"/>
      <c r="C1138" s="14"/>
      <c r="D1138" s="15"/>
      <c r="E1138" s="14"/>
    </row>
    <row r="1139" spans="1:5" x14ac:dyDescent="0.35">
      <c r="A1139" s="21"/>
      <c r="B1139" s="14"/>
      <c r="C1139" s="14"/>
      <c r="D1139" s="15"/>
      <c r="E1139" s="14"/>
    </row>
    <row r="1140" spans="1:5" x14ac:dyDescent="0.35">
      <c r="A1140" s="21"/>
      <c r="B1140" s="14"/>
      <c r="C1140" s="14"/>
      <c r="D1140" s="15"/>
      <c r="E1140" s="14"/>
    </row>
    <row r="1141" spans="1:5" x14ac:dyDescent="0.35">
      <c r="A1141" s="21"/>
      <c r="B1141" s="14"/>
      <c r="C1141" s="14"/>
      <c r="D1141" s="15"/>
      <c r="E1141" s="14"/>
    </row>
    <row r="1142" spans="1:5" x14ac:dyDescent="0.35">
      <c r="A1142" s="21"/>
      <c r="B1142" s="14"/>
      <c r="C1142" s="14"/>
      <c r="D1142" s="15"/>
      <c r="E1142" s="14"/>
    </row>
    <row r="1143" spans="1:5" x14ac:dyDescent="0.35">
      <c r="A1143" s="21"/>
      <c r="B1143" s="14"/>
      <c r="C1143" s="14"/>
      <c r="D1143" s="15"/>
      <c r="E1143" s="14"/>
    </row>
    <row r="1144" spans="1:5" x14ac:dyDescent="0.35">
      <c r="A1144" s="21"/>
      <c r="B1144" s="14"/>
      <c r="C1144" s="14"/>
      <c r="D1144" s="15"/>
      <c r="E1144" s="14"/>
    </row>
    <row r="1145" spans="1:5" x14ac:dyDescent="0.35">
      <c r="A1145" s="21"/>
      <c r="B1145" s="14"/>
      <c r="C1145" s="14"/>
      <c r="D1145" s="15"/>
      <c r="E1145" s="14"/>
    </row>
    <row r="1146" spans="1:5" x14ac:dyDescent="0.35">
      <c r="A1146" s="21"/>
      <c r="B1146" s="14"/>
      <c r="C1146" s="14"/>
      <c r="D1146" s="15"/>
      <c r="E1146" s="14"/>
    </row>
    <row r="1147" spans="1:5" x14ac:dyDescent="0.35">
      <c r="A1147" s="21"/>
      <c r="B1147" s="14"/>
      <c r="C1147" s="14"/>
      <c r="D1147" s="15"/>
      <c r="E1147" s="14"/>
    </row>
    <row r="1148" spans="1:5" x14ac:dyDescent="0.35">
      <c r="A1148" s="21"/>
      <c r="B1148" s="14"/>
      <c r="C1148" s="14"/>
      <c r="D1148" s="15"/>
      <c r="E1148" s="14"/>
    </row>
    <row r="1149" spans="1:5" x14ac:dyDescent="0.35">
      <c r="A1149" s="21"/>
      <c r="B1149" s="14"/>
      <c r="C1149" s="14"/>
      <c r="D1149" s="15"/>
      <c r="E1149" s="14"/>
    </row>
    <row r="1150" spans="1:5" x14ac:dyDescent="0.35">
      <c r="A1150" s="21"/>
      <c r="B1150" s="14"/>
      <c r="C1150" s="14"/>
      <c r="D1150" s="15"/>
      <c r="E1150" s="14"/>
    </row>
    <row r="1151" spans="1:5" x14ac:dyDescent="0.35">
      <c r="A1151" s="21"/>
      <c r="B1151" s="14"/>
      <c r="C1151" s="14"/>
      <c r="D1151" s="15"/>
      <c r="E1151" s="14"/>
    </row>
    <row r="1152" spans="1:5" x14ac:dyDescent="0.35">
      <c r="A1152" s="21"/>
      <c r="B1152" s="14"/>
      <c r="C1152" s="14"/>
      <c r="D1152" s="15"/>
      <c r="E1152" s="14"/>
    </row>
    <row r="1153" spans="1:5" x14ac:dyDescent="0.35">
      <c r="A1153" s="21"/>
      <c r="B1153" s="14"/>
      <c r="C1153" s="14"/>
      <c r="D1153" s="15"/>
      <c r="E1153" s="14"/>
    </row>
    <row r="1154" spans="1:5" x14ac:dyDescent="0.35">
      <c r="A1154" s="21"/>
      <c r="B1154" s="14"/>
      <c r="C1154" s="14"/>
      <c r="D1154" s="15"/>
      <c r="E1154" s="14"/>
    </row>
    <row r="1155" spans="1:5" x14ac:dyDescent="0.35">
      <c r="A1155" s="21"/>
      <c r="B1155" s="14"/>
      <c r="C1155" s="14"/>
      <c r="D1155" s="15"/>
      <c r="E1155" s="14"/>
    </row>
    <row r="1156" spans="1:5" x14ac:dyDescent="0.35">
      <c r="A1156" s="21"/>
      <c r="B1156" s="14"/>
      <c r="C1156" s="14"/>
      <c r="D1156" s="15"/>
      <c r="E1156" s="14"/>
    </row>
    <row r="1157" spans="1:5" x14ac:dyDescent="0.35">
      <c r="A1157" s="21"/>
      <c r="B1157" s="14"/>
      <c r="C1157" s="14"/>
      <c r="D1157" s="15"/>
      <c r="E1157" s="14"/>
    </row>
    <row r="1158" spans="1:5" x14ac:dyDescent="0.35">
      <c r="A1158" s="21"/>
      <c r="B1158" s="14"/>
      <c r="C1158" s="14"/>
      <c r="D1158" s="15"/>
      <c r="E1158" s="14"/>
    </row>
    <row r="1159" spans="1:5" x14ac:dyDescent="0.35">
      <c r="A1159" s="21"/>
      <c r="B1159" s="14"/>
      <c r="C1159" s="14"/>
      <c r="D1159" s="15"/>
      <c r="E1159" s="14"/>
    </row>
    <row r="1160" spans="1:5" x14ac:dyDescent="0.35">
      <c r="A1160" s="21"/>
      <c r="B1160" s="14"/>
      <c r="C1160" s="14"/>
      <c r="D1160" s="15"/>
      <c r="E1160" s="14"/>
    </row>
    <row r="1161" spans="1:5" x14ac:dyDescent="0.35">
      <c r="A1161" s="21"/>
      <c r="B1161" s="14"/>
      <c r="C1161" s="14"/>
      <c r="D1161" s="15"/>
      <c r="E1161" s="14"/>
    </row>
    <row r="1162" spans="1:5" x14ac:dyDescent="0.35">
      <c r="A1162" s="21"/>
      <c r="B1162" s="14"/>
      <c r="C1162" s="14"/>
      <c r="D1162" s="15"/>
      <c r="E1162" s="14"/>
    </row>
    <row r="1163" spans="1:5" x14ac:dyDescent="0.35">
      <c r="A1163" s="21"/>
      <c r="B1163" s="14"/>
      <c r="C1163" s="14"/>
      <c r="D1163" s="15"/>
      <c r="E1163" s="14"/>
    </row>
    <row r="1164" spans="1:5" x14ac:dyDescent="0.35">
      <c r="A1164" s="21"/>
      <c r="B1164" s="14"/>
      <c r="C1164" s="14"/>
      <c r="D1164" s="15"/>
      <c r="E1164" s="14"/>
    </row>
    <row r="1165" spans="1:5" x14ac:dyDescent="0.35">
      <c r="A1165" s="21"/>
      <c r="B1165" s="14"/>
      <c r="C1165" s="14"/>
      <c r="D1165" s="15"/>
      <c r="E1165" s="14"/>
    </row>
    <row r="1166" spans="1:5" x14ac:dyDescent="0.35">
      <c r="A1166" s="21"/>
      <c r="B1166" s="14"/>
      <c r="C1166" s="14"/>
      <c r="D1166" s="15"/>
      <c r="E1166" s="14"/>
    </row>
    <row r="1167" spans="1:5" x14ac:dyDescent="0.35">
      <c r="A1167" s="21"/>
      <c r="B1167" s="14"/>
      <c r="C1167" s="14"/>
      <c r="D1167" s="15"/>
      <c r="E1167" s="14"/>
    </row>
    <row r="1168" spans="1:5" x14ac:dyDescent="0.35">
      <c r="A1168" s="21"/>
      <c r="B1168" s="14"/>
      <c r="C1168" s="14"/>
      <c r="D1168" s="15"/>
      <c r="E1168" s="14"/>
    </row>
    <row r="1169" spans="1:5" x14ac:dyDescent="0.35">
      <c r="A1169" s="21"/>
      <c r="B1169" s="14"/>
      <c r="C1169" s="14"/>
      <c r="D1169" s="15"/>
      <c r="E1169" s="14"/>
    </row>
    <row r="1170" spans="1:5" x14ac:dyDescent="0.35">
      <c r="A1170" s="21"/>
      <c r="B1170" s="14"/>
      <c r="C1170" s="14"/>
      <c r="D1170" s="15"/>
      <c r="E1170" s="14"/>
    </row>
    <row r="1171" spans="1:5" x14ac:dyDescent="0.35">
      <c r="A1171" s="21"/>
      <c r="B1171" s="14"/>
      <c r="C1171" s="14"/>
      <c r="D1171" s="15"/>
      <c r="E1171" s="14"/>
    </row>
    <row r="1172" spans="1:5" x14ac:dyDescent="0.35">
      <c r="A1172" s="21"/>
      <c r="B1172" s="14"/>
      <c r="C1172" s="14"/>
      <c r="D1172" s="15"/>
      <c r="E1172" s="14"/>
    </row>
    <row r="1173" spans="1:5" x14ac:dyDescent="0.35">
      <c r="A1173" s="21"/>
      <c r="B1173" s="14"/>
      <c r="C1173" s="14"/>
      <c r="D1173" s="15"/>
      <c r="E1173" s="14"/>
    </row>
    <row r="1174" spans="1:5" x14ac:dyDescent="0.35">
      <c r="A1174" s="21"/>
      <c r="B1174" s="14"/>
      <c r="C1174" s="14"/>
      <c r="D1174" s="15"/>
      <c r="E1174" s="14"/>
    </row>
    <row r="1175" spans="1:5" x14ac:dyDescent="0.35">
      <c r="A1175" s="21"/>
      <c r="B1175" s="14"/>
      <c r="C1175" s="14"/>
      <c r="D1175" s="15"/>
      <c r="E1175" s="14"/>
    </row>
    <row r="1176" spans="1:5" x14ac:dyDescent="0.35">
      <c r="A1176" s="21"/>
      <c r="B1176" s="14"/>
      <c r="C1176" s="14"/>
      <c r="D1176" s="15"/>
      <c r="E1176" s="14"/>
    </row>
    <row r="1177" spans="1:5" x14ac:dyDescent="0.35">
      <c r="A1177" s="21"/>
      <c r="B1177" s="14"/>
      <c r="C1177" s="14"/>
      <c r="D1177" s="15"/>
      <c r="E1177" s="14"/>
    </row>
    <row r="1178" spans="1:5" x14ac:dyDescent="0.35">
      <c r="A1178" s="21"/>
      <c r="B1178" s="14"/>
      <c r="C1178" s="14"/>
      <c r="D1178" s="15"/>
      <c r="E1178" s="14"/>
    </row>
    <row r="1179" spans="1:5" x14ac:dyDescent="0.35">
      <c r="A1179" s="21"/>
      <c r="B1179" s="14"/>
      <c r="C1179" s="14"/>
      <c r="D1179" s="15"/>
      <c r="E1179" s="14"/>
    </row>
    <row r="1180" spans="1:5" x14ac:dyDescent="0.35">
      <c r="A1180" s="21"/>
      <c r="B1180" s="14"/>
      <c r="C1180" s="14"/>
      <c r="D1180" s="15"/>
      <c r="E1180" s="14"/>
    </row>
    <row r="1181" spans="1:5" x14ac:dyDescent="0.35">
      <c r="A1181" s="21"/>
      <c r="B1181" s="14"/>
      <c r="C1181" s="14"/>
      <c r="D1181" s="15"/>
      <c r="E1181" s="14"/>
    </row>
    <row r="1182" spans="1:5" x14ac:dyDescent="0.35">
      <c r="A1182" s="21"/>
      <c r="B1182" s="14"/>
      <c r="C1182" s="14"/>
      <c r="D1182" s="15"/>
      <c r="E1182" s="14"/>
    </row>
    <row r="1183" spans="1:5" x14ac:dyDescent="0.35">
      <c r="A1183" s="21"/>
      <c r="B1183" s="14"/>
      <c r="C1183" s="14"/>
      <c r="D1183" s="15"/>
      <c r="E1183" s="14"/>
    </row>
    <row r="1184" spans="1:5" x14ac:dyDescent="0.35">
      <c r="A1184" s="21"/>
      <c r="B1184" s="14"/>
      <c r="C1184" s="14"/>
      <c r="D1184" s="15"/>
      <c r="E1184" s="14"/>
    </row>
    <row r="1185" spans="1:5" x14ac:dyDescent="0.35">
      <c r="A1185" s="21"/>
      <c r="B1185" s="14"/>
      <c r="C1185" s="14"/>
      <c r="D1185" s="15"/>
      <c r="E1185" s="14"/>
    </row>
    <row r="1186" spans="1:5" x14ac:dyDescent="0.35">
      <c r="A1186" s="21"/>
      <c r="B1186" s="14"/>
      <c r="C1186" s="14"/>
      <c r="D1186" s="15"/>
      <c r="E1186" s="14"/>
    </row>
    <row r="1187" spans="1:5" x14ac:dyDescent="0.35">
      <c r="A1187" s="21"/>
      <c r="B1187" s="14"/>
      <c r="C1187" s="14"/>
      <c r="D1187" s="15"/>
      <c r="E1187" s="14"/>
    </row>
    <row r="1188" spans="1:5" x14ac:dyDescent="0.35">
      <c r="A1188" s="21"/>
      <c r="B1188" s="14"/>
      <c r="C1188" s="14"/>
      <c r="D1188" s="15"/>
      <c r="E1188" s="14"/>
    </row>
    <row r="1189" spans="1:5" x14ac:dyDescent="0.35">
      <c r="A1189" s="21"/>
      <c r="B1189" s="14"/>
      <c r="C1189" s="14"/>
      <c r="D1189" s="15"/>
      <c r="E1189" s="14"/>
    </row>
    <row r="1190" spans="1:5" x14ac:dyDescent="0.35">
      <c r="A1190" s="21"/>
      <c r="B1190" s="14"/>
      <c r="C1190" s="14"/>
      <c r="D1190" s="15"/>
      <c r="E1190" s="14"/>
    </row>
    <row r="1191" spans="1:5" x14ac:dyDescent="0.35">
      <c r="A1191" s="21"/>
      <c r="B1191" s="14"/>
      <c r="C1191" s="14"/>
      <c r="D1191" s="15"/>
      <c r="E1191" s="14"/>
    </row>
    <row r="1192" spans="1:5" x14ac:dyDescent="0.35">
      <c r="A1192" s="21"/>
      <c r="B1192" s="14"/>
      <c r="C1192" s="14"/>
      <c r="D1192" s="15"/>
      <c r="E1192" s="14"/>
    </row>
    <row r="1193" spans="1:5" x14ac:dyDescent="0.35">
      <c r="A1193" s="21"/>
      <c r="B1193" s="14"/>
      <c r="C1193" s="14"/>
      <c r="D1193" s="15"/>
      <c r="E1193" s="14"/>
    </row>
    <row r="1194" spans="1:5" x14ac:dyDescent="0.35">
      <c r="A1194" s="21"/>
      <c r="B1194" s="14"/>
      <c r="C1194" s="14"/>
      <c r="D1194" s="15"/>
      <c r="E1194" s="14"/>
    </row>
    <row r="1195" spans="1:5" x14ac:dyDescent="0.35">
      <c r="A1195" s="21"/>
      <c r="B1195" s="14"/>
      <c r="C1195" s="14"/>
      <c r="D1195" s="15"/>
      <c r="E1195" s="14"/>
    </row>
    <row r="1196" spans="1:5" x14ac:dyDescent="0.35">
      <c r="A1196" s="21"/>
      <c r="B1196" s="14"/>
      <c r="C1196" s="14"/>
      <c r="D1196" s="15"/>
      <c r="E1196" s="14"/>
    </row>
    <row r="1197" spans="1:5" x14ac:dyDescent="0.35">
      <c r="A1197" s="21"/>
      <c r="B1197" s="14"/>
      <c r="C1197" s="14"/>
      <c r="D1197" s="15"/>
      <c r="E1197" s="14"/>
    </row>
    <row r="1198" spans="1:5" x14ac:dyDescent="0.35">
      <c r="A1198" s="21"/>
      <c r="B1198" s="14"/>
      <c r="C1198" s="14"/>
      <c r="D1198" s="15"/>
      <c r="E1198" s="14"/>
    </row>
    <row r="1199" spans="1:5" x14ac:dyDescent="0.35">
      <c r="A1199" s="21"/>
      <c r="B1199" s="14"/>
      <c r="C1199" s="14"/>
      <c r="D1199" s="15"/>
      <c r="E1199" s="14"/>
    </row>
    <row r="1200" spans="1:5" x14ac:dyDescent="0.35">
      <c r="A1200" s="21"/>
      <c r="B1200" s="14"/>
      <c r="C1200" s="14"/>
      <c r="D1200" s="15"/>
      <c r="E1200" s="14"/>
    </row>
    <row r="1201" spans="1:5" x14ac:dyDescent="0.35">
      <c r="A1201" s="21"/>
      <c r="B1201" s="14"/>
      <c r="C1201" s="14"/>
      <c r="D1201" s="15"/>
      <c r="E1201" s="14"/>
    </row>
    <row r="1202" spans="1:5" x14ac:dyDescent="0.35">
      <c r="A1202" s="21"/>
      <c r="B1202" s="14"/>
      <c r="C1202" s="14"/>
      <c r="D1202" s="15"/>
      <c r="E1202" s="14"/>
    </row>
    <row r="1203" spans="1:5" x14ac:dyDescent="0.35">
      <c r="A1203" s="21"/>
      <c r="B1203" s="14"/>
      <c r="C1203" s="14"/>
      <c r="D1203" s="15"/>
      <c r="E1203" s="14"/>
    </row>
    <row r="1204" spans="1:5" x14ac:dyDescent="0.35">
      <c r="A1204" s="21"/>
      <c r="B1204" s="14"/>
      <c r="C1204" s="14"/>
      <c r="D1204" s="15"/>
      <c r="E1204" s="14"/>
    </row>
    <row r="1205" spans="1:5" x14ac:dyDescent="0.35">
      <c r="A1205" s="21"/>
      <c r="B1205" s="14"/>
      <c r="C1205" s="14"/>
      <c r="D1205" s="15"/>
      <c r="E1205" s="14"/>
    </row>
    <row r="1206" spans="1:5" x14ac:dyDescent="0.35">
      <c r="A1206" s="21"/>
      <c r="B1206" s="14"/>
      <c r="C1206" s="14"/>
      <c r="D1206" s="15"/>
      <c r="E1206" s="14"/>
    </row>
    <row r="1207" spans="1:5" x14ac:dyDescent="0.35">
      <c r="A1207" s="21"/>
      <c r="B1207" s="14"/>
      <c r="C1207" s="14"/>
      <c r="D1207" s="15"/>
      <c r="E1207" s="14"/>
    </row>
    <row r="1208" spans="1:5" x14ac:dyDescent="0.35">
      <c r="A1208" s="21"/>
      <c r="B1208" s="14"/>
      <c r="C1208" s="14"/>
      <c r="D1208" s="15"/>
      <c r="E1208" s="14"/>
    </row>
    <row r="1209" spans="1:5" x14ac:dyDescent="0.35">
      <c r="A1209" s="21"/>
      <c r="B1209" s="14"/>
      <c r="C1209" s="14"/>
      <c r="D1209" s="15"/>
      <c r="E1209" s="14"/>
    </row>
    <row r="1210" spans="1:5" x14ac:dyDescent="0.35">
      <c r="A1210" s="21"/>
      <c r="B1210" s="14"/>
      <c r="C1210" s="14"/>
      <c r="D1210" s="15"/>
      <c r="E1210" s="14"/>
    </row>
    <row r="1211" spans="1:5" x14ac:dyDescent="0.35">
      <c r="A1211" s="21"/>
      <c r="B1211" s="14"/>
      <c r="C1211" s="14"/>
      <c r="D1211" s="15"/>
      <c r="E1211" s="14"/>
    </row>
    <row r="1212" spans="1:5" x14ac:dyDescent="0.35">
      <c r="A1212" s="21"/>
      <c r="B1212" s="14"/>
      <c r="C1212" s="14"/>
      <c r="D1212" s="15"/>
      <c r="E1212" s="14"/>
    </row>
    <row r="1213" spans="1:5" x14ac:dyDescent="0.35">
      <c r="A1213" s="21"/>
      <c r="B1213" s="14"/>
      <c r="C1213" s="14"/>
      <c r="D1213" s="15"/>
      <c r="E1213" s="14"/>
    </row>
    <row r="1214" spans="1:5" x14ac:dyDescent="0.35">
      <c r="A1214" s="21"/>
      <c r="B1214" s="14"/>
      <c r="C1214" s="14"/>
      <c r="D1214" s="15"/>
      <c r="E1214" s="14"/>
    </row>
    <row r="1215" spans="1:5" x14ac:dyDescent="0.35">
      <c r="A1215" s="21"/>
      <c r="B1215" s="14"/>
      <c r="C1215" s="14"/>
      <c r="D1215" s="15"/>
      <c r="E1215" s="14"/>
    </row>
    <row r="1216" spans="1:5" x14ac:dyDescent="0.35">
      <c r="A1216" s="21"/>
      <c r="B1216" s="14"/>
      <c r="C1216" s="14"/>
      <c r="D1216" s="15"/>
      <c r="E1216" s="14"/>
    </row>
    <row r="1217" spans="1:5" x14ac:dyDescent="0.35">
      <c r="A1217" s="21"/>
      <c r="B1217" s="14"/>
      <c r="C1217" s="14"/>
      <c r="D1217" s="15"/>
      <c r="E1217" s="14"/>
    </row>
    <row r="1218" spans="1:5" x14ac:dyDescent="0.35">
      <c r="A1218" s="21"/>
      <c r="B1218" s="14"/>
      <c r="C1218" s="14"/>
      <c r="D1218" s="15"/>
      <c r="E1218" s="14"/>
    </row>
    <row r="1219" spans="1:5" x14ac:dyDescent="0.35">
      <c r="A1219" s="21"/>
      <c r="B1219" s="14"/>
      <c r="C1219" s="14"/>
      <c r="D1219" s="15"/>
      <c r="E1219" s="14"/>
    </row>
    <row r="1220" spans="1:5" x14ac:dyDescent="0.35">
      <c r="A1220" s="21"/>
      <c r="B1220" s="14"/>
      <c r="C1220" s="14"/>
      <c r="D1220" s="15"/>
      <c r="E1220" s="14"/>
    </row>
    <row r="1221" spans="1:5" x14ac:dyDescent="0.35">
      <c r="A1221" s="21"/>
      <c r="B1221" s="14"/>
      <c r="C1221" s="14"/>
      <c r="D1221" s="15"/>
      <c r="E1221" s="14"/>
    </row>
    <row r="1222" spans="1:5" x14ac:dyDescent="0.35">
      <c r="A1222" s="21"/>
      <c r="B1222" s="14"/>
      <c r="C1222" s="14"/>
      <c r="D1222" s="15"/>
      <c r="E1222" s="14"/>
    </row>
    <row r="1223" spans="1:5" x14ac:dyDescent="0.35">
      <c r="A1223" s="21"/>
      <c r="B1223" s="14"/>
      <c r="C1223" s="14"/>
      <c r="D1223" s="15"/>
      <c r="E1223" s="14"/>
    </row>
    <row r="1224" spans="1:5" x14ac:dyDescent="0.35">
      <c r="A1224" s="21"/>
      <c r="B1224" s="14"/>
      <c r="C1224" s="14"/>
      <c r="D1224" s="15"/>
      <c r="E1224" s="14"/>
    </row>
    <row r="1225" spans="1:5" x14ac:dyDescent="0.35">
      <c r="A1225" s="21"/>
      <c r="B1225" s="14"/>
      <c r="C1225" s="14"/>
      <c r="D1225" s="15"/>
      <c r="E1225" s="14"/>
    </row>
    <row r="1226" spans="1:5" x14ac:dyDescent="0.35">
      <c r="A1226" s="21"/>
      <c r="B1226" s="14"/>
      <c r="C1226" s="14"/>
      <c r="D1226" s="15"/>
      <c r="E1226" s="14"/>
    </row>
    <row r="1227" spans="1:5" x14ac:dyDescent="0.35">
      <c r="A1227" s="21"/>
      <c r="B1227" s="14"/>
      <c r="C1227" s="14"/>
      <c r="D1227" s="15"/>
      <c r="E1227" s="14"/>
    </row>
    <row r="1228" spans="1:5" x14ac:dyDescent="0.35">
      <c r="A1228" s="21"/>
      <c r="B1228" s="14"/>
      <c r="C1228" s="14"/>
      <c r="D1228" s="15"/>
      <c r="E1228" s="14"/>
    </row>
    <row r="1229" spans="1:5" x14ac:dyDescent="0.35">
      <c r="A1229" s="21"/>
      <c r="B1229" s="14"/>
      <c r="C1229" s="14"/>
      <c r="D1229" s="15"/>
      <c r="E1229" s="14"/>
    </row>
    <row r="1230" spans="1:5" x14ac:dyDescent="0.35">
      <c r="A1230" s="21"/>
      <c r="B1230" s="14"/>
      <c r="C1230" s="14"/>
      <c r="D1230" s="15"/>
      <c r="E1230" s="14"/>
    </row>
    <row r="1231" spans="1:5" x14ac:dyDescent="0.35">
      <c r="A1231" s="21"/>
      <c r="B1231" s="14"/>
      <c r="C1231" s="14"/>
      <c r="D1231" s="15"/>
      <c r="E1231" s="14"/>
    </row>
    <row r="1232" spans="1:5" x14ac:dyDescent="0.35">
      <c r="A1232" s="21"/>
      <c r="B1232" s="14"/>
      <c r="C1232" s="14"/>
      <c r="D1232" s="15"/>
      <c r="E1232" s="14"/>
    </row>
    <row r="1233" spans="1:5" x14ac:dyDescent="0.35">
      <c r="A1233" s="21"/>
      <c r="B1233" s="14"/>
      <c r="C1233" s="14"/>
      <c r="D1233" s="15"/>
      <c r="E1233" s="14"/>
    </row>
    <row r="1234" spans="1:5" x14ac:dyDescent="0.35">
      <c r="A1234" s="21"/>
      <c r="B1234" s="14"/>
      <c r="C1234" s="14"/>
      <c r="D1234" s="15"/>
      <c r="E1234" s="14"/>
    </row>
    <row r="1235" spans="1:5" x14ac:dyDescent="0.35">
      <c r="A1235" s="21"/>
      <c r="B1235" s="14"/>
      <c r="C1235" s="14"/>
      <c r="D1235" s="15"/>
      <c r="E1235" s="14"/>
    </row>
    <row r="1236" spans="1:5" x14ac:dyDescent="0.35">
      <c r="A1236" s="21"/>
      <c r="B1236" s="14"/>
      <c r="C1236" s="14"/>
      <c r="D1236" s="15"/>
      <c r="E1236" s="14"/>
    </row>
    <row r="1237" spans="1:5" x14ac:dyDescent="0.35">
      <c r="A1237" s="21"/>
      <c r="B1237" s="14"/>
      <c r="C1237" s="14"/>
      <c r="D1237" s="15"/>
      <c r="E1237" s="14"/>
    </row>
    <row r="1238" spans="1:5" x14ac:dyDescent="0.35">
      <c r="A1238" s="21"/>
      <c r="B1238" s="14"/>
      <c r="C1238" s="14"/>
      <c r="D1238" s="15"/>
      <c r="E1238" s="14"/>
    </row>
    <row r="1239" spans="1:5" x14ac:dyDescent="0.35">
      <c r="A1239" s="21"/>
      <c r="B1239" s="14"/>
      <c r="C1239" s="14"/>
      <c r="D1239" s="15"/>
      <c r="E1239" s="14"/>
    </row>
    <row r="1240" spans="1:5" x14ac:dyDescent="0.35">
      <c r="A1240" s="21"/>
      <c r="B1240" s="14"/>
      <c r="C1240" s="14"/>
      <c r="D1240" s="15"/>
      <c r="E1240" s="14"/>
    </row>
    <row r="1241" spans="1:5" x14ac:dyDescent="0.35">
      <c r="A1241" s="21"/>
      <c r="B1241" s="14"/>
      <c r="C1241" s="14"/>
      <c r="D1241" s="15"/>
      <c r="E1241" s="14"/>
    </row>
    <row r="1242" spans="1:5" x14ac:dyDescent="0.35">
      <c r="A1242" s="21"/>
      <c r="B1242" s="14"/>
      <c r="C1242" s="14"/>
      <c r="D1242" s="15"/>
      <c r="E1242" s="14"/>
    </row>
    <row r="1243" spans="1:5" x14ac:dyDescent="0.35">
      <c r="A1243" s="21"/>
      <c r="B1243" s="14"/>
      <c r="C1243" s="14"/>
      <c r="D1243" s="15"/>
      <c r="E1243" s="14"/>
    </row>
    <row r="1244" spans="1:5" x14ac:dyDescent="0.35">
      <c r="A1244" s="21"/>
      <c r="B1244" s="14"/>
      <c r="C1244" s="14"/>
      <c r="D1244" s="15"/>
      <c r="E1244" s="14"/>
    </row>
    <row r="1245" spans="1:5" x14ac:dyDescent="0.35">
      <c r="A1245" s="21"/>
      <c r="B1245" s="14"/>
      <c r="C1245" s="14"/>
      <c r="D1245" s="15"/>
      <c r="E1245" s="14"/>
    </row>
    <row r="1246" spans="1:5" x14ac:dyDescent="0.35">
      <c r="A1246" s="21"/>
      <c r="B1246" s="14"/>
      <c r="C1246" s="14"/>
      <c r="D1246" s="15"/>
      <c r="E1246" s="14"/>
    </row>
    <row r="1247" spans="1:5" x14ac:dyDescent="0.35">
      <c r="A1247" s="21"/>
      <c r="B1247" s="14"/>
      <c r="C1247" s="14"/>
      <c r="D1247" s="15"/>
      <c r="E1247" s="14"/>
    </row>
    <row r="1248" spans="1:5" x14ac:dyDescent="0.35">
      <c r="A1248" s="21"/>
      <c r="B1248" s="14"/>
      <c r="C1248" s="14"/>
      <c r="D1248" s="15"/>
      <c r="E1248" s="14"/>
    </row>
    <row r="1249" spans="1:5" x14ac:dyDescent="0.35">
      <c r="A1249" s="21"/>
      <c r="B1249" s="14"/>
      <c r="C1249" s="14"/>
      <c r="D1249" s="15"/>
      <c r="E1249" s="14"/>
    </row>
    <row r="1250" spans="1:5" x14ac:dyDescent="0.35">
      <c r="A1250" s="21"/>
      <c r="B1250" s="14"/>
      <c r="C1250" s="14"/>
      <c r="D1250" s="15"/>
      <c r="E1250" s="14"/>
    </row>
    <row r="1251" spans="1:5" x14ac:dyDescent="0.35">
      <c r="A1251" s="21"/>
      <c r="B1251" s="14"/>
      <c r="C1251" s="14"/>
      <c r="D1251" s="15"/>
      <c r="E1251" s="14"/>
    </row>
    <row r="1252" spans="1:5" x14ac:dyDescent="0.35">
      <c r="A1252" s="21"/>
      <c r="B1252" s="14"/>
      <c r="C1252" s="14"/>
      <c r="D1252" s="15"/>
      <c r="E1252" s="14"/>
    </row>
    <row r="1253" spans="1:5" x14ac:dyDescent="0.35">
      <c r="A1253" s="21"/>
      <c r="B1253" s="14"/>
      <c r="C1253" s="14"/>
      <c r="D1253" s="15"/>
      <c r="E1253" s="14"/>
    </row>
    <row r="1254" spans="1:5" x14ac:dyDescent="0.35">
      <c r="A1254" s="21"/>
      <c r="B1254" s="14"/>
      <c r="C1254" s="14"/>
      <c r="D1254" s="15"/>
      <c r="E1254" s="14"/>
    </row>
    <row r="1255" spans="1:5" x14ac:dyDescent="0.35">
      <c r="A1255" s="21"/>
      <c r="B1255" s="14"/>
      <c r="C1255" s="14"/>
      <c r="D1255" s="15"/>
      <c r="E1255" s="14"/>
    </row>
    <row r="1256" spans="1:5" x14ac:dyDescent="0.35">
      <c r="A1256" s="21"/>
      <c r="B1256" s="14"/>
      <c r="C1256" s="14"/>
      <c r="D1256" s="15"/>
      <c r="E1256" s="14"/>
    </row>
    <row r="1257" spans="1:5" x14ac:dyDescent="0.35">
      <c r="A1257" s="21"/>
      <c r="B1257" s="14"/>
      <c r="C1257" s="14"/>
      <c r="D1257" s="15"/>
      <c r="E1257" s="14"/>
    </row>
    <row r="1258" spans="1:5" x14ac:dyDescent="0.35">
      <c r="A1258" s="21"/>
      <c r="B1258" s="14"/>
      <c r="C1258" s="14"/>
      <c r="D1258" s="15"/>
      <c r="E1258" s="14"/>
    </row>
    <row r="1259" spans="1:5" x14ac:dyDescent="0.35">
      <c r="A1259" s="21"/>
      <c r="B1259" s="14"/>
      <c r="C1259" s="14"/>
      <c r="D1259" s="15"/>
      <c r="E1259" s="14"/>
    </row>
    <row r="1260" spans="1:5" x14ac:dyDescent="0.35">
      <c r="A1260" s="21"/>
      <c r="B1260" s="14"/>
      <c r="C1260" s="14"/>
      <c r="D1260" s="15"/>
      <c r="E1260" s="14"/>
    </row>
    <row r="1261" spans="1:5" x14ac:dyDescent="0.35">
      <c r="A1261" s="21"/>
      <c r="B1261" s="14"/>
      <c r="C1261" s="14"/>
      <c r="D1261" s="15"/>
      <c r="E1261" s="14"/>
    </row>
    <row r="1262" spans="1:5" x14ac:dyDescent="0.35">
      <c r="A1262" s="21"/>
      <c r="B1262" s="14"/>
      <c r="C1262" s="14"/>
      <c r="D1262" s="15"/>
      <c r="E1262" s="14"/>
    </row>
    <row r="1263" spans="1:5" x14ac:dyDescent="0.35">
      <c r="A1263" s="21"/>
      <c r="B1263" s="14"/>
      <c r="C1263" s="14"/>
      <c r="D1263" s="15"/>
      <c r="E1263" s="14"/>
    </row>
    <row r="1264" spans="1:5" x14ac:dyDescent="0.35">
      <c r="A1264" s="21"/>
      <c r="B1264" s="14"/>
      <c r="C1264" s="14"/>
      <c r="D1264" s="15"/>
      <c r="E1264" s="14"/>
    </row>
    <row r="1265" spans="1:5" x14ac:dyDescent="0.35">
      <c r="A1265" s="21"/>
      <c r="B1265" s="14"/>
      <c r="C1265" s="14"/>
      <c r="D1265" s="15"/>
      <c r="E1265" s="14"/>
    </row>
    <row r="1266" spans="1:5" x14ac:dyDescent="0.35">
      <c r="A1266" s="21"/>
      <c r="B1266" s="14"/>
      <c r="C1266" s="14"/>
      <c r="D1266" s="15"/>
      <c r="E1266" s="14"/>
    </row>
    <row r="1267" spans="1:5" x14ac:dyDescent="0.35">
      <c r="A1267" s="21"/>
      <c r="B1267" s="14"/>
      <c r="C1267" s="14"/>
      <c r="D1267" s="15"/>
      <c r="E1267" s="14"/>
    </row>
    <row r="1268" spans="1:5" x14ac:dyDescent="0.35">
      <c r="A1268" s="21"/>
      <c r="B1268" s="14"/>
      <c r="C1268" s="14"/>
      <c r="D1268" s="15"/>
      <c r="E1268" s="14"/>
    </row>
    <row r="1269" spans="1:5" x14ac:dyDescent="0.35">
      <c r="A1269" s="21"/>
      <c r="B1269" s="14"/>
      <c r="C1269" s="14"/>
      <c r="D1269" s="15"/>
      <c r="E1269" s="14"/>
    </row>
    <row r="1270" spans="1:5" x14ac:dyDescent="0.35">
      <c r="A1270" s="21"/>
      <c r="B1270" s="14"/>
      <c r="C1270" s="14"/>
      <c r="D1270" s="15"/>
      <c r="E1270" s="14"/>
    </row>
    <row r="1271" spans="1:5" x14ac:dyDescent="0.35">
      <c r="A1271" s="21"/>
      <c r="B1271" s="14"/>
      <c r="C1271" s="14"/>
      <c r="D1271" s="15"/>
      <c r="E1271" s="14"/>
    </row>
    <row r="1272" spans="1:5" x14ac:dyDescent="0.35">
      <c r="A1272" s="21"/>
      <c r="B1272" s="14"/>
      <c r="C1272" s="14"/>
      <c r="D1272" s="15"/>
      <c r="E1272" s="14"/>
    </row>
    <row r="1273" spans="1:5" x14ac:dyDescent="0.35">
      <c r="A1273" s="21"/>
      <c r="B1273" s="14"/>
      <c r="C1273" s="14"/>
      <c r="D1273" s="15"/>
      <c r="E1273" s="14"/>
    </row>
    <row r="1274" spans="1:5" x14ac:dyDescent="0.35">
      <c r="A1274" s="21"/>
      <c r="B1274" s="14"/>
      <c r="C1274" s="14"/>
      <c r="D1274" s="15"/>
      <c r="E1274" s="14"/>
    </row>
    <row r="1275" spans="1:5" x14ac:dyDescent="0.35">
      <c r="A1275" s="21"/>
      <c r="B1275" s="14"/>
      <c r="C1275" s="14"/>
      <c r="D1275" s="15"/>
      <c r="E1275" s="14"/>
    </row>
    <row r="1276" spans="1:5" x14ac:dyDescent="0.35">
      <c r="A1276" s="21"/>
      <c r="B1276" s="14"/>
      <c r="C1276" s="14"/>
      <c r="D1276" s="15"/>
      <c r="E1276" s="14"/>
    </row>
    <row r="1277" spans="1:5" x14ac:dyDescent="0.35">
      <c r="A1277" s="21"/>
      <c r="B1277" s="14"/>
      <c r="C1277" s="14"/>
      <c r="D1277" s="15"/>
      <c r="E1277" s="14"/>
    </row>
    <row r="1278" spans="1:5" x14ac:dyDescent="0.35">
      <c r="A1278" s="21"/>
      <c r="B1278" s="14"/>
      <c r="C1278" s="14"/>
      <c r="D1278" s="15"/>
      <c r="E1278" s="14"/>
    </row>
    <row r="1279" spans="1:5" x14ac:dyDescent="0.35">
      <c r="A1279" s="21"/>
      <c r="B1279" s="14"/>
      <c r="C1279" s="14"/>
      <c r="D1279" s="15"/>
      <c r="E1279" s="14"/>
    </row>
    <row r="1280" spans="1:5" x14ac:dyDescent="0.35">
      <c r="A1280" s="21"/>
      <c r="B1280" s="14"/>
      <c r="C1280" s="14"/>
      <c r="D1280" s="15"/>
      <c r="E1280" s="14"/>
    </row>
    <row r="1281" spans="1:5" x14ac:dyDescent="0.35">
      <c r="A1281" s="21"/>
      <c r="B1281" s="14"/>
      <c r="C1281" s="14"/>
      <c r="D1281" s="15"/>
      <c r="E1281" s="14"/>
    </row>
    <row r="1282" spans="1:5" x14ac:dyDescent="0.35">
      <c r="A1282" s="21"/>
      <c r="B1282" s="14"/>
      <c r="C1282" s="14"/>
      <c r="D1282" s="15"/>
      <c r="E1282" s="14"/>
    </row>
    <row r="1283" spans="1:5" x14ac:dyDescent="0.35">
      <c r="A1283" s="21"/>
      <c r="B1283" s="14"/>
      <c r="C1283" s="14"/>
      <c r="D1283" s="15"/>
      <c r="E1283" s="14"/>
    </row>
    <row r="1284" spans="1:5" x14ac:dyDescent="0.35">
      <c r="A1284" s="21"/>
      <c r="B1284" s="14"/>
      <c r="C1284" s="14"/>
      <c r="D1284" s="15"/>
      <c r="E1284" s="14"/>
    </row>
    <row r="1285" spans="1:5" x14ac:dyDescent="0.35">
      <c r="A1285" s="21"/>
      <c r="B1285" s="14"/>
      <c r="C1285" s="14"/>
      <c r="D1285" s="15"/>
      <c r="E1285" s="14"/>
    </row>
    <row r="1286" spans="1:5" x14ac:dyDescent="0.35">
      <c r="A1286" s="21"/>
      <c r="B1286" s="14"/>
      <c r="C1286" s="14"/>
      <c r="D1286" s="15"/>
      <c r="E1286" s="14"/>
    </row>
    <row r="1287" spans="1:5" x14ac:dyDescent="0.35">
      <c r="A1287" s="21"/>
      <c r="B1287" s="14"/>
      <c r="C1287" s="14"/>
      <c r="D1287" s="15"/>
      <c r="E1287" s="14"/>
    </row>
    <row r="1288" spans="1:5" x14ac:dyDescent="0.35">
      <c r="A1288" s="21"/>
      <c r="B1288" s="14"/>
      <c r="C1288" s="14"/>
      <c r="D1288" s="15"/>
      <c r="E1288" s="14"/>
    </row>
    <row r="1289" spans="1:5" x14ac:dyDescent="0.35">
      <c r="A1289" s="21"/>
      <c r="B1289" s="14"/>
      <c r="C1289" s="14"/>
      <c r="D1289" s="15"/>
      <c r="E1289" s="14"/>
    </row>
    <row r="1290" spans="1:5" x14ac:dyDescent="0.35">
      <c r="A1290" s="21"/>
      <c r="B1290" s="14"/>
      <c r="C1290" s="14"/>
      <c r="D1290" s="15"/>
      <c r="E1290" s="14"/>
    </row>
    <row r="1291" spans="1:5" x14ac:dyDescent="0.35">
      <c r="A1291" s="21"/>
      <c r="B1291" s="14"/>
      <c r="C1291" s="14"/>
      <c r="D1291" s="15"/>
      <c r="E1291" s="14"/>
    </row>
    <row r="1292" spans="1:5" x14ac:dyDescent="0.35">
      <c r="A1292" s="21"/>
      <c r="B1292" s="14"/>
      <c r="C1292" s="14"/>
      <c r="D1292" s="15"/>
      <c r="E1292" s="14"/>
    </row>
    <row r="1293" spans="1:5" x14ac:dyDescent="0.35">
      <c r="A1293" s="21"/>
      <c r="B1293" s="14"/>
      <c r="C1293" s="14"/>
      <c r="D1293" s="15"/>
      <c r="E1293" s="14"/>
    </row>
    <row r="1294" spans="1:5" x14ac:dyDescent="0.35">
      <c r="A1294" s="21"/>
      <c r="B1294" s="14"/>
      <c r="C1294" s="14"/>
      <c r="D1294" s="15"/>
      <c r="E1294" s="14"/>
    </row>
    <row r="1295" spans="1:5" x14ac:dyDescent="0.35">
      <c r="A1295" s="21"/>
      <c r="B1295" s="14"/>
      <c r="C1295" s="14"/>
      <c r="D1295" s="15"/>
      <c r="E1295" s="14"/>
    </row>
    <row r="1296" spans="1:5" x14ac:dyDescent="0.35">
      <c r="A1296" s="21"/>
      <c r="B1296" s="14"/>
      <c r="C1296" s="14"/>
      <c r="D1296" s="15"/>
      <c r="E1296" s="14"/>
    </row>
    <row r="1297" spans="1:5" x14ac:dyDescent="0.35">
      <c r="A1297" s="21"/>
      <c r="B1297" s="14"/>
      <c r="C1297" s="14"/>
      <c r="D1297" s="15"/>
      <c r="E1297" s="14"/>
    </row>
    <row r="1298" spans="1:5" x14ac:dyDescent="0.35">
      <c r="A1298" s="21"/>
      <c r="B1298" s="14"/>
      <c r="C1298" s="14"/>
      <c r="D1298" s="15"/>
      <c r="E1298" s="14"/>
    </row>
    <row r="1299" spans="1:5" x14ac:dyDescent="0.35">
      <c r="A1299" s="21"/>
      <c r="B1299" s="14"/>
      <c r="C1299" s="14"/>
      <c r="D1299" s="15"/>
      <c r="E1299" s="14"/>
    </row>
    <row r="1300" spans="1:5" x14ac:dyDescent="0.35">
      <c r="A1300" s="21"/>
      <c r="B1300" s="14"/>
      <c r="C1300" s="14"/>
      <c r="D1300" s="15"/>
      <c r="E1300" s="14"/>
    </row>
    <row r="1301" spans="1:5" x14ac:dyDescent="0.35">
      <c r="A1301" s="21"/>
      <c r="B1301" s="14"/>
      <c r="C1301" s="14"/>
      <c r="D1301" s="15"/>
      <c r="E1301" s="14"/>
    </row>
    <row r="1302" spans="1:5" x14ac:dyDescent="0.35">
      <c r="A1302" s="21"/>
      <c r="B1302" s="14"/>
      <c r="C1302" s="14"/>
      <c r="D1302" s="15"/>
      <c r="E1302" s="14"/>
    </row>
    <row r="1303" spans="1:5" x14ac:dyDescent="0.35">
      <c r="A1303" s="21"/>
      <c r="B1303" s="14"/>
      <c r="C1303" s="14"/>
      <c r="D1303" s="15"/>
      <c r="E1303" s="14"/>
    </row>
    <row r="1304" spans="1:5" x14ac:dyDescent="0.35">
      <c r="A1304" s="21"/>
      <c r="B1304" s="14"/>
      <c r="C1304" s="14"/>
      <c r="D1304" s="15"/>
      <c r="E1304" s="14"/>
    </row>
    <row r="1305" spans="1:5" x14ac:dyDescent="0.35">
      <c r="A1305" s="21"/>
      <c r="B1305" s="14"/>
      <c r="C1305" s="14"/>
      <c r="D1305" s="15"/>
      <c r="E1305" s="14"/>
    </row>
    <row r="1306" spans="1:5" x14ac:dyDescent="0.35">
      <c r="A1306" s="21"/>
      <c r="B1306" s="14"/>
      <c r="C1306" s="14"/>
      <c r="D1306" s="15"/>
      <c r="E1306" s="14"/>
    </row>
    <row r="1307" spans="1:5" x14ac:dyDescent="0.35">
      <c r="A1307" s="21"/>
      <c r="B1307" s="14"/>
      <c r="C1307" s="14"/>
      <c r="D1307" s="15"/>
      <c r="E1307" s="14"/>
    </row>
    <row r="1308" spans="1:5" x14ac:dyDescent="0.35">
      <c r="A1308" s="21"/>
      <c r="B1308" s="14"/>
      <c r="C1308" s="14"/>
      <c r="D1308" s="15"/>
      <c r="E1308" s="14"/>
    </row>
    <row r="1309" spans="1:5" x14ac:dyDescent="0.35">
      <c r="A1309" s="21"/>
      <c r="B1309" s="14"/>
      <c r="C1309" s="14"/>
      <c r="D1309" s="15"/>
      <c r="E1309" s="14"/>
    </row>
    <row r="1310" spans="1:5" x14ac:dyDescent="0.35">
      <c r="A1310" s="21"/>
      <c r="B1310" s="14"/>
      <c r="C1310" s="14"/>
      <c r="D1310" s="15"/>
      <c r="E1310" s="14"/>
    </row>
    <row r="1311" spans="1:5" x14ac:dyDescent="0.35">
      <c r="A1311" s="21"/>
      <c r="B1311" s="14"/>
      <c r="C1311" s="14"/>
      <c r="D1311" s="15"/>
      <c r="E1311" s="14"/>
    </row>
    <row r="1312" spans="1:5" x14ac:dyDescent="0.35">
      <c r="A1312" s="21"/>
      <c r="B1312" s="14"/>
      <c r="C1312" s="14"/>
      <c r="D1312" s="15"/>
      <c r="E1312" s="14"/>
    </row>
    <row r="1313" spans="1:5" x14ac:dyDescent="0.35">
      <c r="A1313" s="21"/>
      <c r="B1313" s="14"/>
      <c r="C1313" s="14"/>
      <c r="D1313" s="15"/>
      <c r="E1313" s="14"/>
    </row>
    <row r="1314" spans="1:5" x14ac:dyDescent="0.35">
      <c r="A1314" s="21"/>
      <c r="B1314" s="14"/>
      <c r="C1314" s="14"/>
      <c r="D1314" s="15"/>
      <c r="E1314" s="14"/>
    </row>
    <row r="1315" spans="1:5" x14ac:dyDescent="0.35">
      <c r="A1315" s="21"/>
      <c r="B1315" s="14"/>
      <c r="C1315" s="14"/>
      <c r="D1315" s="15"/>
      <c r="E1315" s="14"/>
    </row>
    <row r="1316" spans="1:5" x14ac:dyDescent="0.35">
      <c r="A1316" s="21"/>
      <c r="B1316" s="14"/>
      <c r="C1316" s="14"/>
      <c r="D1316" s="15"/>
      <c r="E1316" s="14"/>
    </row>
    <row r="1317" spans="1:5" x14ac:dyDescent="0.35">
      <c r="A1317" s="21"/>
      <c r="B1317" s="14"/>
      <c r="C1317" s="14"/>
      <c r="D1317" s="15"/>
      <c r="E1317" s="14"/>
    </row>
    <row r="1318" spans="1:5" x14ac:dyDescent="0.35">
      <c r="A1318" s="21"/>
      <c r="B1318" s="14"/>
      <c r="C1318" s="14"/>
      <c r="D1318" s="15"/>
      <c r="E1318" s="14"/>
    </row>
    <row r="1319" spans="1:5" x14ac:dyDescent="0.35">
      <c r="A1319" s="21"/>
      <c r="B1319" s="14"/>
      <c r="C1319" s="14"/>
      <c r="D1319" s="15"/>
      <c r="E1319" s="14"/>
    </row>
    <row r="1320" spans="1:5" x14ac:dyDescent="0.35">
      <c r="A1320" s="21"/>
      <c r="B1320" s="14"/>
      <c r="C1320" s="14"/>
      <c r="D1320" s="15"/>
      <c r="E1320" s="14"/>
    </row>
    <row r="1321" spans="1:5" x14ac:dyDescent="0.35">
      <c r="A1321" s="21"/>
      <c r="B1321" s="14"/>
      <c r="C1321" s="14"/>
      <c r="D1321" s="15"/>
      <c r="E1321" s="14"/>
    </row>
    <row r="1322" spans="1:5" x14ac:dyDescent="0.35">
      <c r="A1322" s="21"/>
      <c r="B1322" s="14"/>
      <c r="C1322" s="14"/>
      <c r="D1322" s="15"/>
      <c r="E1322" s="14"/>
    </row>
    <row r="1323" spans="1:5" x14ac:dyDescent="0.35">
      <c r="A1323" s="21"/>
      <c r="B1323" s="14"/>
      <c r="C1323" s="14"/>
      <c r="D1323" s="15"/>
      <c r="E1323" s="14"/>
    </row>
    <row r="1324" spans="1:5" x14ac:dyDescent="0.35">
      <c r="A1324" s="21"/>
      <c r="B1324" s="14"/>
      <c r="C1324" s="14"/>
      <c r="D1324" s="15"/>
      <c r="E1324" s="14"/>
    </row>
    <row r="1325" spans="1:5" x14ac:dyDescent="0.35">
      <c r="A1325" s="21"/>
      <c r="B1325" s="14"/>
      <c r="C1325" s="14"/>
      <c r="D1325" s="15"/>
      <c r="E1325" s="14"/>
    </row>
    <row r="1326" spans="1:5" x14ac:dyDescent="0.35">
      <c r="A1326" s="21"/>
      <c r="B1326" s="14"/>
      <c r="C1326" s="14"/>
      <c r="D1326" s="15"/>
      <c r="E1326" s="14"/>
    </row>
    <row r="1327" spans="1:5" x14ac:dyDescent="0.35">
      <c r="A1327" s="21"/>
      <c r="B1327" s="14"/>
      <c r="C1327" s="14"/>
      <c r="D1327" s="15"/>
      <c r="E1327" s="14"/>
    </row>
    <row r="1328" spans="1:5" x14ac:dyDescent="0.35">
      <c r="A1328" s="21"/>
      <c r="B1328" s="14"/>
      <c r="C1328" s="14"/>
      <c r="D1328" s="15"/>
      <c r="E1328" s="14"/>
    </row>
    <row r="1329" spans="1:5" x14ac:dyDescent="0.35">
      <c r="A1329" s="21"/>
      <c r="B1329" s="14"/>
      <c r="C1329" s="14"/>
      <c r="D1329" s="15"/>
      <c r="E1329" s="14"/>
    </row>
    <row r="1330" spans="1:5" x14ac:dyDescent="0.35">
      <c r="A1330" s="21"/>
      <c r="B1330" s="14"/>
      <c r="C1330" s="14"/>
      <c r="D1330" s="15"/>
      <c r="E1330" s="14"/>
    </row>
    <row r="1331" spans="1:5" x14ac:dyDescent="0.35">
      <c r="A1331" s="21"/>
      <c r="B1331" s="14"/>
      <c r="C1331" s="14"/>
      <c r="D1331" s="15"/>
      <c r="E1331" s="14"/>
    </row>
    <row r="1332" spans="1:5" x14ac:dyDescent="0.35">
      <c r="A1332" s="21"/>
      <c r="B1332" s="14"/>
      <c r="C1332" s="14"/>
      <c r="D1332" s="15"/>
      <c r="E1332" s="14"/>
    </row>
    <row r="1333" spans="1:5" x14ac:dyDescent="0.35">
      <c r="A1333" s="21"/>
      <c r="B1333" s="14"/>
      <c r="C1333" s="14"/>
      <c r="D1333" s="15"/>
      <c r="E1333" s="14"/>
    </row>
    <row r="1334" spans="1:5" x14ac:dyDescent="0.35">
      <c r="A1334" s="21"/>
      <c r="B1334" s="14"/>
      <c r="C1334" s="14"/>
      <c r="D1334" s="15"/>
      <c r="E1334" s="14"/>
    </row>
    <row r="1335" spans="1:5" x14ac:dyDescent="0.35">
      <c r="A1335" s="21"/>
      <c r="B1335" s="14"/>
      <c r="C1335" s="14"/>
      <c r="D1335" s="15"/>
      <c r="E1335" s="14"/>
    </row>
    <row r="1336" spans="1:5" x14ac:dyDescent="0.35">
      <c r="A1336" s="21"/>
      <c r="B1336" s="14"/>
      <c r="C1336" s="14"/>
      <c r="D1336" s="15"/>
      <c r="E1336" s="14"/>
    </row>
    <row r="1337" spans="1:5" x14ac:dyDescent="0.35">
      <c r="A1337" s="21"/>
      <c r="B1337" s="14"/>
      <c r="C1337" s="14"/>
      <c r="D1337" s="15"/>
      <c r="E1337" s="14"/>
    </row>
    <row r="1338" spans="1:5" x14ac:dyDescent="0.35">
      <c r="A1338" s="21"/>
      <c r="B1338" s="14"/>
      <c r="C1338" s="14"/>
      <c r="D1338" s="15"/>
      <c r="E1338" s="14"/>
    </row>
    <row r="1339" spans="1:5" x14ac:dyDescent="0.35">
      <c r="A1339" s="21"/>
      <c r="B1339" s="14"/>
      <c r="C1339" s="14"/>
      <c r="D1339" s="15"/>
      <c r="E1339" s="14"/>
    </row>
    <row r="1340" spans="1:5" x14ac:dyDescent="0.35">
      <c r="A1340" s="21"/>
      <c r="B1340" s="14"/>
      <c r="C1340" s="14"/>
      <c r="D1340" s="15"/>
      <c r="E1340" s="14"/>
    </row>
    <row r="1341" spans="1:5" x14ac:dyDescent="0.35">
      <c r="A1341" s="21"/>
      <c r="B1341" s="14"/>
      <c r="C1341" s="14"/>
      <c r="D1341" s="15"/>
      <c r="E1341" s="14"/>
    </row>
    <row r="1342" spans="1:5" x14ac:dyDescent="0.35">
      <c r="A1342" s="21"/>
      <c r="B1342" s="14"/>
      <c r="C1342" s="14"/>
      <c r="D1342" s="15"/>
      <c r="E1342" s="14"/>
    </row>
    <row r="1343" spans="1:5" x14ac:dyDescent="0.35">
      <c r="A1343" s="21"/>
      <c r="B1343" s="14"/>
      <c r="C1343" s="14"/>
      <c r="D1343" s="15"/>
      <c r="E1343" s="14"/>
    </row>
    <row r="1344" spans="1:5" x14ac:dyDescent="0.35">
      <c r="A1344" s="21"/>
      <c r="B1344" s="14"/>
      <c r="C1344" s="14"/>
      <c r="D1344" s="15"/>
      <c r="E1344" s="14"/>
    </row>
    <row r="1345" spans="1:5" x14ac:dyDescent="0.35">
      <c r="A1345" s="21"/>
      <c r="B1345" s="14"/>
      <c r="C1345" s="14"/>
      <c r="D1345" s="15"/>
      <c r="E1345" s="14"/>
    </row>
    <row r="1346" spans="1:5" x14ac:dyDescent="0.35">
      <c r="A1346" s="21"/>
      <c r="B1346" s="14"/>
      <c r="C1346" s="14"/>
      <c r="D1346" s="15"/>
      <c r="E1346" s="14"/>
    </row>
    <row r="1347" spans="1:5" x14ac:dyDescent="0.35">
      <c r="A1347" s="21"/>
      <c r="B1347" s="14"/>
      <c r="C1347" s="14"/>
      <c r="D1347" s="15"/>
      <c r="E1347" s="14"/>
    </row>
    <row r="1348" spans="1:5" x14ac:dyDescent="0.35">
      <c r="A1348" s="21"/>
      <c r="B1348" s="14"/>
      <c r="C1348" s="14"/>
      <c r="D1348" s="15"/>
      <c r="E1348" s="14"/>
    </row>
    <row r="1349" spans="1:5" x14ac:dyDescent="0.35">
      <c r="A1349" s="21"/>
      <c r="B1349" s="14"/>
      <c r="C1349" s="14"/>
      <c r="D1349" s="15"/>
      <c r="E1349" s="14"/>
    </row>
    <row r="1350" spans="1:5" x14ac:dyDescent="0.35">
      <c r="A1350" s="21"/>
      <c r="B1350" s="14"/>
      <c r="C1350" s="14"/>
      <c r="D1350" s="15"/>
      <c r="E1350" s="14"/>
    </row>
    <row r="1351" spans="1:5" x14ac:dyDescent="0.35">
      <c r="A1351" s="21"/>
      <c r="B1351" s="14"/>
      <c r="C1351" s="14"/>
      <c r="D1351" s="15"/>
      <c r="E1351" s="14"/>
    </row>
    <row r="1352" spans="1:5" x14ac:dyDescent="0.35">
      <c r="A1352" s="21"/>
      <c r="B1352" s="14"/>
      <c r="C1352" s="14"/>
      <c r="D1352" s="15"/>
      <c r="E1352" s="14"/>
    </row>
    <row r="1353" spans="1:5" x14ac:dyDescent="0.35">
      <c r="A1353" s="21"/>
      <c r="B1353" s="14"/>
      <c r="C1353" s="14"/>
      <c r="D1353" s="15"/>
      <c r="E1353" s="14"/>
    </row>
    <row r="1354" spans="1:5" x14ac:dyDescent="0.35">
      <c r="A1354" s="21"/>
      <c r="B1354" s="14"/>
      <c r="C1354" s="14"/>
      <c r="D1354" s="15"/>
      <c r="E1354" s="14"/>
    </row>
    <row r="1355" spans="1:5" x14ac:dyDescent="0.35">
      <c r="A1355" s="21"/>
      <c r="B1355" s="14"/>
      <c r="C1355" s="14"/>
      <c r="D1355" s="15"/>
      <c r="E1355" s="14"/>
    </row>
    <row r="1356" spans="1:5" x14ac:dyDescent="0.35">
      <c r="A1356" s="21"/>
      <c r="B1356" s="14"/>
      <c r="C1356" s="14"/>
      <c r="D1356" s="15"/>
      <c r="E1356" s="14"/>
    </row>
    <row r="1357" spans="1:5" x14ac:dyDescent="0.35">
      <c r="A1357" s="21"/>
      <c r="B1357" s="14"/>
      <c r="C1357" s="14"/>
      <c r="D1357" s="15"/>
      <c r="E1357" s="14"/>
    </row>
    <row r="1358" spans="1:5" x14ac:dyDescent="0.35">
      <c r="A1358" s="21"/>
      <c r="B1358" s="14"/>
      <c r="C1358" s="14"/>
      <c r="D1358" s="15"/>
      <c r="E1358" s="14"/>
    </row>
    <row r="1359" spans="1:5" x14ac:dyDescent="0.35">
      <c r="A1359" s="21"/>
      <c r="B1359" s="14"/>
      <c r="C1359" s="14"/>
      <c r="D1359" s="15"/>
      <c r="E1359" s="14"/>
    </row>
    <row r="1360" spans="1:5" x14ac:dyDescent="0.35">
      <c r="A1360" s="21"/>
      <c r="B1360" s="14"/>
      <c r="C1360" s="14"/>
      <c r="D1360" s="15"/>
      <c r="E1360" s="14"/>
    </row>
    <row r="1361" spans="1:5" x14ac:dyDescent="0.35">
      <c r="A1361" s="21"/>
      <c r="B1361" s="14"/>
      <c r="C1361" s="14"/>
      <c r="D1361" s="15"/>
      <c r="E1361" s="14"/>
    </row>
    <row r="1362" spans="1:5" x14ac:dyDescent="0.35">
      <c r="A1362" s="21"/>
      <c r="B1362" s="14"/>
      <c r="C1362" s="14"/>
      <c r="D1362" s="15"/>
      <c r="E1362" s="14"/>
    </row>
    <row r="1363" spans="1:5" x14ac:dyDescent="0.35">
      <c r="A1363" s="21"/>
      <c r="B1363" s="14"/>
      <c r="C1363" s="14"/>
      <c r="D1363" s="15"/>
      <c r="E1363" s="14"/>
    </row>
    <row r="1364" spans="1:5" x14ac:dyDescent="0.35">
      <c r="A1364" s="21"/>
      <c r="B1364" s="14"/>
      <c r="C1364" s="14"/>
      <c r="D1364" s="15"/>
      <c r="E1364" s="14"/>
    </row>
    <row r="1365" spans="1:5" x14ac:dyDescent="0.35">
      <c r="A1365" s="21"/>
      <c r="B1365" s="14"/>
      <c r="C1365" s="14"/>
      <c r="D1365" s="15"/>
      <c r="E1365" s="14"/>
    </row>
    <row r="1366" spans="1:5" x14ac:dyDescent="0.35">
      <c r="A1366" s="21"/>
      <c r="B1366" s="14"/>
      <c r="C1366" s="14"/>
      <c r="D1366" s="15"/>
      <c r="E1366" s="14"/>
    </row>
    <row r="1367" spans="1:5" x14ac:dyDescent="0.35">
      <c r="A1367" s="21"/>
      <c r="B1367" s="14"/>
      <c r="C1367" s="14"/>
      <c r="D1367" s="15"/>
      <c r="E1367" s="14"/>
    </row>
    <row r="1368" spans="1:5" x14ac:dyDescent="0.35">
      <c r="A1368" s="21"/>
      <c r="B1368" s="14"/>
      <c r="C1368" s="14"/>
      <c r="D1368" s="15"/>
      <c r="E1368" s="14"/>
    </row>
    <row r="1369" spans="1:5" x14ac:dyDescent="0.35">
      <c r="A1369" s="21"/>
      <c r="B1369" s="14"/>
      <c r="C1369" s="14"/>
      <c r="D1369" s="15"/>
      <c r="E1369" s="14"/>
    </row>
    <row r="1370" spans="1:5" x14ac:dyDescent="0.35">
      <c r="A1370" s="21"/>
      <c r="B1370" s="14"/>
      <c r="C1370" s="14"/>
      <c r="D1370" s="15"/>
      <c r="E1370" s="14"/>
    </row>
    <row r="1371" spans="1:5" x14ac:dyDescent="0.35">
      <c r="A1371" s="21"/>
      <c r="B1371" s="14"/>
      <c r="C1371" s="14"/>
      <c r="D1371" s="15"/>
      <c r="E1371" s="14"/>
    </row>
    <row r="1372" spans="1:5" x14ac:dyDescent="0.35">
      <c r="A1372" s="21"/>
      <c r="B1372" s="14"/>
      <c r="C1372" s="14"/>
      <c r="D1372" s="15"/>
      <c r="E1372" s="14"/>
    </row>
    <row r="1373" spans="1:5" x14ac:dyDescent="0.35">
      <c r="A1373" s="21"/>
      <c r="B1373" s="14"/>
      <c r="C1373" s="14"/>
      <c r="D1373" s="15"/>
      <c r="E1373" s="14"/>
    </row>
    <row r="1374" spans="1:5" x14ac:dyDescent="0.35">
      <c r="A1374" s="21"/>
      <c r="B1374" s="14"/>
      <c r="C1374" s="14"/>
      <c r="D1374" s="15"/>
      <c r="E1374" s="14"/>
    </row>
    <row r="1375" spans="1:5" x14ac:dyDescent="0.35">
      <c r="A1375" s="21"/>
      <c r="B1375" s="14"/>
      <c r="C1375" s="14"/>
      <c r="D1375" s="15"/>
      <c r="E1375" s="14"/>
    </row>
    <row r="1376" spans="1:5" x14ac:dyDescent="0.35">
      <c r="A1376" s="21"/>
      <c r="B1376" s="14"/>
      <c r="C1376" s="14"/>
      <c r="D1376" s="15"/>
      <c r="E1376" s="14"/>
    </row>
    <row r="1377" spans="1:5" x14ac:dyDescent="0.35">
      <c r="A1377" s="21"/>
      <c r="B1377" s="14"/>
      <c r="C1377" s="14"/>
      <c r="D1377" s="15"/>
      <c r="E1377" s="14"/>
    </row>
    <row r="1378" spans="1:5" x14ac:dyDescent="0.35">
      <c r="A1378" s="21"/>
      <c r="B1378" s="14"/>
      <c r="C1378" s="14"/>
      <c r="D1378" s="15"/>
      <c r="E1378" s="14"/>
    </row>
    <row r="1379" spans="1:5" x14ac:dyDescent="0.35">
      <c r="A1379" s="21"/>
      <c r="B1379" s="14"/>
      <c r="C1379" s="14"/>
      <c r="D1379" s="15"/>
      <c r="E1379" s="14"/>
    </row>
    <row r="1380" spans="1:5" x14ac:dyDescent="0.35">
      <c r="A1380" s="21"/>
      <c r="B1380" s="14"/>
      <c r="C1380" s="14"/>
      <c r="D1380" s="15"/>
      <c r="E1380" s="14"/>
    </row>
    <row r="1381" spans="1:5" x14ac:dyDescent="0.35">
      <c r="A1381" s="21"/>
      <c r="B1381" s="14"/>
      <c r="C1381" s="14"/>
      <c r="D1381" s="15"/>
      <c r="E1381" s="14"/>
    </row>
    <row r="1382" spans="1:5" x14ac:dyDescent="0.35">
      <c r="A1382" s="21"/>
      <c r="B1382" s="14"/>
      <c r="C1382" s="14"/>
      <c r="D1382" s="15"/>
      <c r="E1382" s="14"/>
    </row>
    <row r="1383" spans="1:5" x14ac:dyDescent="0.35">
      <c r="A1383" s="21"/>
      <c r="B1383" s="14"/>
      <c r="C1383" s="14"/>
      <c r="D1383" s="15"/>
      <c r="E1383" s="14"/>
    </row>
    <row r="1384" spans="1:5" x14ac:dyDescent="0.35">
      <c r="A1384" s="21"/>
      <c r="B1384" s="14"/>
      <c r="C1384" s="14"/>
      <c r="D1384" s="15"/>
      <c r="E1384" s="14"/>
    </row>
    <row r="1385" spans="1:5" x14ac:dyDescent="0.35">
      <c r="A1385" s="21"/>
      <c r="B1385" s="14"/>
      <c r="C1385" s="14"/>
      <c r="D1385" s="15"/>
      <c r="E1385" s="14"/>
    </row>
    <row r="1386" spans="1:5" x14ac:dyDescent="0.35">
      <c r="A1386" s="21"/>
      <c r="B1386" s="14"/>
      <c r="C1386" s="14"/>
      <c r="D1386" s="15"/>
      <c r="E1386" s="14"/>
    </row>
    <row r="1387" spans="1:5" x14ac:dyDescent="0.35">
      <c r="A1387" s="21"/>
      <c r="B1387" s="14"/>
      <c r="C1387" s="14"/>
      <c r="D1387" s="15"/>
      <c r="E1387" s="14"/>
    </row>
    <row r="1388" spans="1:5" x14ac:dyDescent="0.35">
      <c r="A1388" s="21"/>
      <c r="B1388" s="14"/>
      <c r="C1388" s="14"/>
      <c r="D1388" s="15"/>
      <c r="E1388" s="14"/>
    </row>
    <row r="1389" spans="1:5" x14ac:dyDescent="0.35">
      <c r="A1389" s="21"/>
      <c r="B1389" s="14"/>
      <c r="C1389" s="14"/>
      <c r="D1389" s="15"/>
      <c r="E1389" s="14"/>
    </row>
    <row r="1390" spans="1:5" x14ac:dyDescent="0.35">
      <c r="A1390" s="21"/>
      <c r="B1390" s="14"/>
      <c r="C1390" s="14"/>
      <c r="D1390" s="15"/>
      <c r="E1390" s="14"/>
    </row>
    <row r="1391" spans="1:5" x14ac:dyDescent="0.35">
      <c r="A1391" s="21"/>
      <c r="B1391" s="14"/>
      <c r="C1391" s="14"/>
      <c r="D1391" s="15"/>
      <c r="E1391" s="14"/>
    </row>
    <row r="1392" spans="1:5" x14ac:dyDescent="0.35">
      <c r="A1392" s="21"/>
      <c r="B1392" s="14"/>
      <c r="C1392" s="14"/>
      <c r="D1392" s="15"/>
      <c r="E1392" s="14"/>
    </row>
    <row r="1393" spans="1:5" x14ac:dyDescent="0.35">
      <c r="A1393" s="21"/>
      <c r="B1393" s="14"/>
      <c r="C1393" s="14"/>
      <c r="D1393" s="15"/>
      <c r="E1393" s="14"/>
    </row>
    <row r="1394" spans="1:5" x14ac:dyDescent="0.35">
      <c r="A1394" s="21"/>
      <c r="B1394" s="14"/>
      <c r="C1394" s="14"/>
      <c r="D1394" s="15"/>
      <c r="E1394" s="14"/>
    </row>
    <row r="1395" spans="1:5" x14ac:dyDescent="0.35">
      <c r="A1395" s="21"/>
      <c r="B1395" s="14"/>
      <c r="C1395" s="14"/>
      <c r="D1395" s="15"/>
      <c r="E1395" s="14"/>
    </row>
    <row r="1396" spans="1:5" x14ac:dyDescent="0.35">
      <c r="A1396" s="21"/>
      <c r="B1396" s="14"/>
      <c r="C1396" s="14"/>
      <c r="D1396" s="15"/>
      <c r="E1396" s="14"/>
    </row>
    <row r="1397" spans="1:5" x14ac:dyDescent="0.35">
      <c r="A1397" s="21"/>
      <c r="B1397" s="14"/>
      <c r="C1397" s="14"/>
      <c r="D1397" s="15"/>
      <c r="E1397" s="14"/>
    </row>
    <row r="1398" spans="1:5" x14ac:dyDescent="0.35">
      <c r="A1398" s="21"/>
      <c r="B1398" s="14"/>
      <c r="C1398" s="14"/>
      <c r="D1398" s="15"/>
      <c r="E1398" s="14"/>
    </row>
    <row r="1399" spans="1:5" x14ac:dyDescent="0.35">
      <c r="A1399" s="21"/>
      <c r="B1399" s="14"/>
      <c r="C1399" s="14"/>
      <c r="D1399" s="15"/>
      <c r="E1399" s="14"/>
    </row>
    <row r="1400" spans="1:5" x14ac:dyDescent="0.35">
      <c r="A1400" s="21"/>
      <c r="B1400" s="14"/>
      <c r="C1400" s="14"/>
      <c r="D1400" s="15"/>
      <c r="E1400" s="14"/>
    </row>
    <row r="1401" spans="1:5" x14ac:dyDescent="0.35">
      <c r="A1401" s="21"/>
      <c r="B1401" s="14"/>
      <c r="C1401" s="14"/>
      <c r="D1401" s="15"/>
      <c r="E1401" s="14"/>
    </row>
    <row r="1402" spans="1:5" x14ac:dyDescent="0.35">
      <c r="A1402" s="21"/>
      <c r="B1402" s="14"/>
      <c r="C1402" s="14"/>
      <c r="D1402" s="15"/>
      <c r="E1402" s="14"/>
    </row>
    <row r="1403" spans="1:5" x14ac:dyDescent="0.35">
      <c r="A1403" s="21"/>
      <c r="B1403" s="14"/>
      <c r="C1403" s="14"/>
      <c r="D1403" s="15"/>
      <c r="E1403" s="14"/>
    </row>
    <row r="1404" spans="1:5" x14ac:dyDescent="0.35">
      <c r="A1404" s="21"/>
      <c r="B1404" s="14"/>
      <c r="C1404" s="14"/>
      <c r="D1404" s="15"/>
      <c r="E1404" s="14"/>
    </row>
    <row r="1405" spans="1:5" x14ac:dyDescent="0.35">
      <c r="A1405" s="21"/>
      <c r="B1405" s="14"/>
      <c r="C1405" s="14"/>
      <c r="D1405" s="15"/>
      <c r="E1405" s="14"/>
    </row>
    <row r="1406" spans="1:5" x14ac:dyDescent="0.35">
      <c r="A1406" s="21"/>
      <c r="B1406" s="14"/>
      <c r="C1406" s="14"/>
      <c r="D1406" s="15"/>
      <c r="E1406" s="14"/>
    </row>
    <row r="1407" spans="1:5" x14ac:dyDescent="0.35">
      <c r="A1407" s="21"/>
      <c r="B1407" s="14"/>
      <c r="C1407" s="14"/>
      <c r="D1407" s="15"/>
      <c r="E1407" s="14"/>
    </row>
    <row r="1408" spans="1:5" x14ac:dyDescent="0.35">
      <c r="A1408" s="21"/>
      <c r="B1408" s="14"/>
      <c r="C1408" s="14"/>
      <c r="D1408" s="15"/>
      <c r="E1408" s="14"/>
    </row>
    <row r="1409" spans="1:5" x14ac:dyDescent="0.35">
      <c r="A1409" s="21"/>
      <c r="B1409" s="14"/>
      <c r="C1409" s="14"/>
      <c r="D1409" s="15"/>
      <c r="E1409" s="14"/>
    </row>
    <row r="1410" spans="1:5" x14ac:dyDescent="0.35">
      <c r="A1410" s="21"/>
      <c r="B1410" s="14"/>
      <c r="C1410" s="14"/>
      <c r="D1410" s="15"/>
      <c r="E1410" s="14"/>
    </row>
    <row r="1411" spans="1:5" x14ac:dyDescent="0.35">
      <c r="A1411" s="21"/>
      <c r="B1411" s="14"/>
      <c r="C1411" s="14"/>
      <c r="D1411" s="15"/>
      <c r="E1411" s="14"/>
    </row>
    <row r="1412" spans="1:5" x14ac:dyDescent="0.35">
      <c r="A1412" s="21"/>
      <c r="B1412" s="14"/>
      <c r="C1412" s="14"/>
      <c r="D1412" s="15"/>
      <c r="E1412" s="14"/>
    </row>
    <row r="1413" spans="1:5" x14ac:dyDescent="0.35">
      <c r="A1413" s="21"/>
      <c r="B1413" s="14"/>
      <c r="C1413" s="14"/>
      <c r="D1413" s="15"/>
      <c r="E1413" s="14"/>
    </row>
    <row r="1414" spans="1:5" x14ac:dyDescent="0.35">
      <c r="A1414" s="21"/>
      <c r="B1414" s="14"/>
      <c r="C1414" s="14"/>
      <c r="D1414" s="15"/>
      <c r="E1414" s="14"/>
    </row>
    <row r="1415" spans="1:5" x14ac:dyDescent="0.35">
      <c r="A1415" s="21"/>
      <c r="B1415" s="14"/>
      <c r="C1415" s="14"/>
      <c r="D1415" s="15"/>
      <c r="E1415" s="14"/>
    </row>
    <row r="1416" spans="1:5" x14ac:dyDescent="0.35">
      <c r="A1416" s="21"/>
      <c r="B1416" s="14"/>
      <c r="C1416" s="14"/>
      <c r="D1416" s="15"/>
      <c r="E1416" s="14"/>
    </row>
    <row r="1417" spans="1:5" x14ac:dyDescent="0.35">
      <c r="A1417" s="21"/>
      <c r="B1417" s="14"/>
      <c r="C1417" s="14"/>
      <c r="D1417" s="15"/>
      <c r="E1417" s="14"/>
    </row>
    <row r="1418" spans="1:5" x14ac:dyDescent="0.35">
      <c r="A1418" s="21"/>
      <c r="B1418" s="14"/>
      <c r="C1418" s="14"/>
      <c r="D1418" s="15"/>
      <c r="E1418" s="14"/>
    </row>
    <row r="1419" spans="1:5" x14ac:dyDescent="0.35">
      <c r="A1419" s="21"/>
      <c r="B1419" s="14"/>
      <c r="C1419" s="14"/>
      <c r="D1419" s="15"/>
      <c r="E1419" s="14"/>
    </row>
    <row r="1420" spans="1:5" x14ac:dyDescent="0.35">
      <c r="A1420" s="21"/>
      <c r="B1420" s="14"/>
      <c r="C1420" s="14"/>
      <c r="D1420" s="15"/>
      <c r="E1420" s="14"/>
    </row>
    <row r="1421" spans="1:5" x14ac:dyDescent="0.35">
      <c r="A1421" s="21"/>
      <c r="B1421" s="14"/>
      <c r="C1421" s="14"/>
      <c r="D1421" s="15"/>
      <c r="E1421" s="14"/>
    </row>
    <row r="1422" spans="1:5" x14ac:dyDescent="0.35">
      <c r="A1422" s="21"/>
      <c r="B1422" s="14"/>
      <c r="C1422" s="14"/>
      <c r="D1422" s="15"/>
      <c r="E1422" s="14"/>
    </row>
    <row r="1423" spans="1:5" x14ac:dyDescent="0.35">
      <c r="A1423" s="21"/>
      <c r="B1423" s="14"/>
      <c r="C1423" s="14"/>
      <c r="D1423" s="15"/>
      <c r="E1423" s="14"/>
    </row>
    <row r="1424" spans="1:5" x14ac:dyDescent="0.35">
      <c r="A1424" s="21"/>
      <c r="B1424" s="14"/>
      <c r="C1424" s="14"/>
      <c r="D1424" s="15"/>
      <c r="E1424" s="14"/>
    </row>
    <row r="1425" spans="1:5" x14ac:dyDescent="0.35">
      <c r="A1425" s="21"/>
      <c r="B1425" s="14"/>
      <c r="C1425" s="14"/>
      <c r="D1425" s="15"/>
      <c r="E1425" s="14"/>
    </row>
    <row r="1426" spans="1:5" x14ac:dyDescent="0.35">
      <c r="A1426" s="21"/>
      <c r="B1426" s="14"/>
      <c r="C1426" s="14"/>
      <c r="D1426" s="15"/>
      <c r="E1426" s="14"/>
    </row>
    <row r="1427" spans="1:5" x14ac:dyDescent="0.35">
      <c r="A1427" s="21"/>
      <c r="B1427" s="14"/>
      <c r="C1427" s="14"/>
      <c r="D1427" s="15"/>
      <c r="E1427" s="14"/>
    </row>
    <row r="1428" spans="1:5" x14ac:dyDescent="0.35">
      <c r="A1428" s="21"/>
      <c r="B1428" s="14"/>
      <c r="C1428" s="14"/>
      <c r="D1428" s="15"/>
      <c r="E1428" s="14"/>
    </row>
    <row r="1429" spans="1:5" x14ac:dyDescent="0.35">
      <c r="A1429" s="21"/>
      <c r="B1429" s="14"/>
      <c r="C1429" s="14"/>
      <c r="D1429" s="15"/>
      <c r="E1429" s="14"/>
    </row>
    <row r="1430" spans="1:5" x14ac:dyDescent="0.35">
      <c r="A1430" s="21"/>
      <c r="B1430" s="14"/>
      <c r="C1430" s="14"/>
      <c r="D1430" s="15"/>
      <c r="E1430" s="14"/>
    </row>
    <row r="1431" spans="1:5" x14ac:dyDescent="0.35">
      <c r="A1431" s="21"/>
      <c r="B1431" s="14"/>
      <c r="C1431" s="14"/>
      <c r="D1431" s="15"/>
      <c r="E1431" s="14"/>
    </row>
    <row r="1432" spans="1:5" x14ac:dyDescent="0.35">
      <c r="A1432" s="21"/>
      <c r="B1432" s="14"/>
      <c r="C1432" s="14"/>
      <c r="D1432" s="15"/>
      <c r="E1432" s="14"/>
    </row>
    <row r="1433" spans="1:5" x14ac:dyDescent="0.35">
      <c r="A1433" s="21"/>
      <c r="B1433" s="14"/>
      <c r="C1433" s="14"/>
      <c r="D1433" s="15"/>
      <c r="E1433" s="14"/>
    </row>
    <row r="1434" spans="1:5" x14ac:dyDescent="0.35">
      <c r="A1434" s="21"/>
      <c r="B1434" s="14"/>
      <c r="C1434" s="14"/>
      <c r="D1434" s="15"/>
      <c r="E1434" s="14"/>
    </row>
    <row r="1435" spans="1:5" x14ac:dyDescent="0.35">
      <c r="A1435" s="21"/>
      <c r="B1435" s="14"/>
      <c r="C1435" s="14"/>
      <c r="D1435" s="15"/>
      <c r="E1435" s="14"/>
    </row>
    <row r="1436" spans="1:5" x14ac:dyDescent="0.35">
      <c r="A1436" s="21"/>
      <c r="B1436" s="14"/>
      <c r="C1436" s="14"/>
      <c r="D1436" s="15"/>
      <c r="E1436" s="14"/>
    </row>
    <row r="1437" spans="1:5" x14ac:dyDescent="0.35">
      <c r="A1437" s="21"/>
      <c r="B1437" s="14"/>
      <c r="C1437" s="14"/>
      <c r="D1437" s="15"/>
      <c r="E1437" s="14"/>
    </row>
    <row r="1438" spans="1:5" x14ac:dyDescent="0.35">
      <c r="A1438" s="21"/>
      <c r="B1438" s="14"/>
      <c r="C1438" s="14"/>
      <c r="D1438" s="15"/>
      <c r="E1438" s="14"/>
    </row>
    <row r="1439" spans="1:5" x14ac:dyDescent="0.35">
      <c r="A1439" s="21"/>
      <c r="B1439" s="14"/>
      <c r="C1439" s="14"/>
      <c r="D1439" s="15"/>
      <c r="E1439" s="14"/>
    </row>
    <row r="1440" spans="1:5" x14ac:dyDescent="0.35">
      <c r="A1440" s="21"/>
      <c r="B1440" s="14"/>
      <c r="C1440" s="14"/>
      <c r="D1440" s="15"/>
      <c r="E1440" s="14"/>
    </row>
    <row r="1441" spans="1:5" x14ac:dyDescent="0.35">
      <c r="A1441" s="21"/>
      <c r="B1441" s="14"/>
      <c r="C1441" s="14"/>
      <c r="D1441" s="15"/>
      <c r="E1441" s="14"/>
    </row>
    <row r="1442" spans="1:5" x14ac:dyDescent="0.35">
      <c r="A1442" s="21"/>
      <c r="B1442" s="14"/>
      <c r="C1442" s="14"/>
      <c r="D1442" s="15"/>
      <c r="E1442" s="14"/>
    </row>
    <row r="1443" spans="1:5" x14ac:dyDescent="0.35">
      <c r="A1443" s="21"/>
      <c r="B1443" s="14"/>
      <c r="C1443" s="14"/>
      <c r="D1443" s="15"/>
      <c r="E1443" s="14"/>
    </row>
    <row r="1444" spans="1:5" x14ac:dyDescent="0.35">
      <c r="A1444" s="21"/>
      <c r="B1444" s="14"/>
      <c r="C1444" s="14"/>
      <c r="D1444" s="15"/>
      <c r="E1444" s="14"/>
    </row>
    <row r="1445" spans="1:5" x14ac:dyDescent="0.35">
      <c r="A1445" s="21"/>
      <c r="B1445" s="14"/>
      <c r="C1445" s="14"/>
      <c r="D1445" s="15"/>
      <c r="E1445" s="14"/>
    </row>
    <row r="1446" spans="1:5" x14ac:dyDescent="0.35">
      <c r="A1446" s="21"/>
      <c r="B1446" s="14"/>
      <c r="C1446" s="14"/>
      <c r="D1446" s="15"/>
      <c r="E1446" s="14"/>
    </row>
    <row r="1447" spans="1:5" x14ac:dyDescent="0.35">
      <c r="A1447" s="21"/>
      <c r="B1447" s="14"/>
      <c r="C1447" s="14"/>
      <c r="D1447" s="15"/>
      <c r="E1447" s="14"/>
    </row>
    <row r="1448" spans="1:5" x14ac:dyDescent="0.35">
      <c r="A1448" s="21"/>
      <c r="B1448" s="14"/>
      <c r="C1448" s="14"/>
      <c r="D1448" s="15"/>
      <c r="E1448" s="14"/>
    </row>
    <row r="1449" spans="1:5" x14ac:dyDescent="0.35">
      <c r="A1449" s="21"/>
      <c r="B1449" s="14"/>
      <c r="C1449" s="14"/>
      <c r="D1449" s="15"/>
      <c r="E1449" s="14"/>
    </row>
    <row r="1450" spans="1:5" x14ac:dyDescent="0.35">
      <c r="A1450" s="21"/>
      <c r="B1450" s="14"/>
      <c r="C1450" s="14"/>
      <c r="D1450" s="15"/>
      <c r="E1450" s="14"/>
    </row>
    <row r="1451" spans="1:5" x14ac:dyDescent="0.35">
      <c r="A1451" s="21"/>
      <c r="B1451" s="14"/>
      <c r="C1451" s="14"/>
      <c r="D1451" s="15"/>
      <c r="E1451" s="14"/>
    </row>
    <row r="1452" spans="1:5" x14ac:dyDescent="0.35">
      <c r="A1452" s="21"/>
      <c r="B1452" s="14"/>
      <c r="C1452" s="14"/>
      <c r="D1452" s="15"/>
      <c r="E1452" s="14"/>
    </row>
    <row r="1453" spans="1:5" x14ac:dyDescent="0.35">
      <c r="A1453" s="21"/>
      <c r="B1453" s="14"/>
      <c r="C1453" s="14"/>
      <c r="D1453" s="15"/>
      <c r="E1453" s="14"/>
    </row>
    <row r="1454" spans="1:5" x14ac:dyDescent="0.35">
      <c r="A1454" s="21"/>
      <c r="B1454" s="14"/>
      <c r="C1454" s="14"/>
      <c r="D1454" s="15"/>
      <c r="E1454" s="14"/>
    </row>
    <row r="1455" spans="1:5" x14ac:dyDescent="0.35">
      <c r="A1455" s="21"/>
      <c r="B1455" s="14"/>
      <c r="C1455" s="14"/>
      <c r="D1455" s="15"/>
      <c r="E1455" s="14"/>
    </row>
    <row r="1456" spans="1:5" x14ac:dyDescent="0.35">
      <c r="A1456" s="21"/>
      <c r="B1456" s="14"/>
      <c r="C1456" s="14"/>
      <c r="D1456" s="15"/>
      <c r="E1456" s="14"/>
    </row>
    <row r="1457" spans="1:5" x14ac:dyDescent="0.35">
      <c r="A1457" s="21"/>
      <c r="B1457" s="14"/>
      <c r="C1457" s="14"/>
      <c r="D1457" s="15"/>
      <c r="E1457" s="14"/>
    </row>
    <row r="1458" spans="1:5" x14ac:dyDescent="0.35">
      <c r="A1458" s="21"/>
      <c r="B1458" s="14"/>
      <c r="C1458" s="14"/>
      <c r="D1458" s="15"/>
      <c r="E1458" s="14"/>
    </row>
    <row r="1459" spans="1:5" x14ac:dyDescent="0.35">
      <c r="A1459" s="21"/>
      <c r="B1459" s="14"/>
      <c r="C1459" s="14"/>
      <c r="D1459" s="15"/>
      <c r="E1459" s="14"/>
    </row>
    <row r="1460" spans="1:5" x14ac:dyDescent="0.35">
      <c r="A1460" s="21"/>
      <c r="B1460" s="14"/>
      <c r="C1460" s="14"/>
      <c r="D1460" s="15"/>
      <c r="E1460" s="14"/>
    </row>
    <row r="1461" spans="1:5" x14ac:dyDescent="0.35">
      <c r="A1461" s="21"/>
      <c r="B1461" s="14"/>
      <c r="C1461" s="14"/>
      <c r="D1461" s="15"/>
      <c r="E1461" s="14"/>
    </row>
    <row r="1462" spans="1:5" x14ac:dyDescent="0.35">
      <c r="A1462" s="21"/>
      <c r="B1462" s="14"/>
      <c r="C1462" s="14"/>
      <c r="D1462" s="15"/>
      <c r="E1462" s="14"/>
    </row>
    <row r="1463" spans="1:5" x14ac:dyDescent="0.35">
      <c r="A1463" s="21"/>
      <c r="B1463" s="14"/>
      <c r="C1463" s="14"/>
      <c r="D1463" s="15"/>
      <c r="E1463" s="14"/>
    </row>
    <row r="1464" spans="1:5" x14ac:dyDescent="0.35">
      <c r="A1464" s="21"/>
      <c r="B1464" s="14"/>
      <c r="C1464" s="14"/>
      <c r="D1464" s="15"/>
      <c r="E1464" s="14"/>
    </row>
    <row r="1465" spans="1:5" x14ac:dyDescent="0.35">
      <c r="A1465" s="21"/>
      <c r="B1465" s="14"/>
      <c r="C1465" s="14"/>
      <c r="D1465" s="15"/>
      <c r="E1465" s="14"/>
    </row>
    <row r="1466" spans="1:5" x14ac:dyDescent="0.35">
      <c r="A1466" s="21"/>
      <c r="B1466" s="14"/>
      <c r="C1466" s="14"/>
      <c r="D1466" s="15"/>
      <c r="E1466" s="14"/>
    </row>
    <row r="1467" spans="1:5" x14ac:dyDescent="0.35">
      <c r="A1467" s="21"/>
      <c r="B1467" s="14"/>
      <c r="C1467" s="14"/>
      <c r="D1467" s="15"/>
      <c r="E1467" s="14"/>
    </row>
    <row r="1468" spans="1:5" x14ac:dyDescent="0.35">
      <c r="A1468" s="21"/>
      <c r="B1468" s="14"/>
      <c r="C1468" s="14"/>
      <c r="D1468" s="15"/>
      <c r="E1468" s="14"/>
    </row>
    <row r="1469" spans="1:5" x14ac:dyDescent="0.35">
      <c r="A1469" s="21"/>
      <c r="B1469" s="14"/>
      <c r="C1469" s="14"/>
      <c r="D1469" s="15"/>
      <c r="E1469" s="14"/>
    </row>
    <row r="1470" spans="1:5" x14ac:dyDescent="0.35">
      <c r="A1470" s="21"/>
      <c r="B1470" s="14"/>
      <c r="C1470" s="14"/>
      <c r="D1470" s="15"/>
      <c r="E1470" s="14"/>
    </row>
    <row r="1471" spans="1:5" x14ac:dyDescent="0.35">
      <c r="A1471" s="21"/>
      <c r="B1471" s="14"/>
      <c r="C1471" s="14"/>
      <c r="D1471" s="15"/>
      <c r="E1471" s="14"/>
    </row>
    <row r="1472" spans="1:5" x14ac:dyDescent="0.35">
      <c r="A1472" s="21"/>
      <c r="B1472" s="14"/>
      <c r="C1472" s="14"/>
      <c r="D1472" s="15"/>
      <c r="E1472" s="14"/>
    </row>
    <row r="1473" spans="1:5" x14ac:dyDescent="0.35">
      <c r="A1473" s="21"/>
      <c r="B1473" s="14"/>
      <c r="C1473" s="14"/>
      <c r="D1473" s="15"/>
      <c r="E1473" s="14"/>
    </row>
    <row r="1474" spans="1:5" x14ac:dyDescent="0.35">
      <c r="A1474" s="21"/>
      <c r="B1474" s="14"/>
      <c r="C1474" s="14"/>
      <c r="D1474" s="15"/>
      <c r="E1474" s="14"/>
    </row>
    <row r="1475" spans="1:5" x14ac:dyDescent="0.35">
      <c r="A1475" s="21"/>
      <c r="B1475" s="14"/>
      <c r="C1475" s="14"/>
      <c r="D1475" s="15"/>
      <c r="E1475" s="14"/>
    </row>
    <row r="1476" spans="1:5" x14ac:dyDescent="0.35">
      <c r="A1476" s="21"/>
      <c r="B1476" s="14"/>
      <c r="C1476" s="14"/>
      <c r="D1476" s="15"/>
      <c r="E1476" s="14"/>
    </row>
    <row r="1477" spans="1:5" x14ac:dyDescent="0.35">
      <c r="A1477" s="21"/>
      <c r="B1477" s="14"/>
      <c r="C1477" s="14"/>
      <c r="D1477" s="15"/>
      <c r="E1477" s="14"/>
    </row>
    <row r="1478" spans="1:5" x14ac:dyDescent="0.35">
      <c r="A1478" s="21"/>
      <c r="B1478" s="14"/>
      <c r="C1478" s="14"/>
      <c r="D1478" s="15"/>
      <c r="E1478" s="14"/>
    </row>
    <row r="1479" spans="1:5" x14ac:dyDescent="0.35">
      <c r="A1479" s="21"/>
      <c r="B1479" s="14"/>
      <c r="C1479" s="14"/>
      <c r="D1479" s="15"/>
      <c r="E1479" s="14"/>
    </row>
    <row r="1480" spans="1:5" x14ac:dyDescent="0.35">
      <c r="A1480" s="21"/>
      <c r="B1480" s="14"/>
      <c r="C1480" s="14"/>
      <c r="D1480" s="15"/>
      <c r="E1480" s="14"/>
    </row>
    <row r="1481" spans="1:5" x14ac:dyDescent="0.35">
      <c r="A1481" s="21"/>
      <c r="B1481" s="14"/>
      <c r="C1481" s="14"/>
      <c r="D1481" s="15"/>
      <c r="E1481" s="14"/>
    </row>
    <row r="1482" spans="1:5" x14ac:dyDescent="0.35">
      <c r="A1482" s="21"/>
      <c r="B1482" s="14"/>
      <c r="C1482" s="14"/>
      <c r="D1482" s="15"/>
      <c r="E1482" s="14"/>
    </row>
    <row r="1483" spans="1:5" x14ac:dyDescent="0.35">
      <c r="A1483" s="21"/>
      <c r="B1483" s="14"/>
      <c r="C1483" s="14"/>
      <c r="D1483" s="15"/>
      <c r="E1483" s="14"/>
    </row>
    <row r="1484" spans="1:5" x14ac:dyDescent="0.35">
      <c r="A1484" s="21"/>
      <c r="B1484" s="14"/>
      <c r="C1484" s="14"/>
      <c r="D1484" s="15"/>
      <c r="E1484" s="14"/>
    </row>
    <row r="1485" spans="1:5" x14ac:dyDescent="0.35">
      <c r="A1485" s="21"/>
      <c r="B1485" s="14"/>
      <c r="C1485" s="14"/>
      <c r="D1485" s="15"/>
      <c r="E1485" s="14"/>
    </row>
    <row r="1486" spans="1:5" x14ac:dyDescent="0.35">
      <c r="A1486" s="21"/>
      <c r="B1486" s="14"/>
      <c r="C1486" s="14"/>
      <c r="D1486" s="15"/>
      <c r="E1486" s="14"/>
    </row>
    <row r="1487" spans="1:5" x14ac:dyDescent="0.35">
      <c r="A1487" s="21"/>
      <c r="B1487" s="14"/>
      <c r="C1487" s="14"/>
      <c r="D1487" s="15"/>
      <c r="E1487" s="14"/>
    </row>
    <row r="1488" spans="1:5" x14ac:dyDescent="0.35">
      <c r="A1488" s="21"/>
      <c r="B1488" s="14"/>
      <c r="C1488" s="14"/>
      <c r="D1488" s="15"/>
      <c r="E1488" s="14"/>
    </row>
    <row r="1489" spans="1:5" x14ac:dyDescent="0.35">
      <c r="A1489" s="21"/>
      <c r="B1489" s="14"/>
      <c r="C1489" s="14"/>
      <c r="D1489" s="15"/>
      <c r="E1489" s="14"/>
    </row>
    <row r="1490" spans="1:5" x14ac:dyDescent="0.35">
      <c r="A1490" s="21"/>
      <c r="B1490" s="14"/>
      <c r="C1490" s="14"/>
      <c r="D1490" s="15"/>
      <c r="E1490" s="14"/>
    </row>
    <row r="1491" spans="1:5" x14ac:dyDescent="0.35">
      <c r="A1491" s="21"/>
      <c r="B1491" s="14"/>
      <c r="C1491" s="14"/>
      <c r="D1491" s="15"/>
      <c r="E1491" s="14"/>
    </row>
    <row r="1492" spans="1:5" x14ac:dyDescent="0.35">
      <c r="A1492" s="21"/>
      <c r="B1492" s="14"/>
      <c r="C1492" s="14"/>
      <c r="D1492" s="15"/>
      <c r="E1492" s="14"/>
    </row>
    <row r="1493" spans="1:5" x14ac:dyDescent="0.35">
      <c r="A1493" s="21"/>
      <c r="B1493" s="14"/>
      <c r="C1493" s="14"/>
      <c r="D1493" s="15"/>
      <c r="E1493" s="14"/>
    </row>
    <row r="1494" spans="1:5" x14ac:dyDescent="0.35">
      <c r="A1494" s="21"/>
      <c r="B1494" s="14"/>
      <c r="C1494" s="14"/>
      <c r="D1494" s="15"/>
      <c r="E1494" s="14"/>
    </row>
    <row r="1495" spans="1:5" x14ac:dyDescent="0.35">
      <c r="A1495" s="21"/>
      <c r="B1495" s="14"/>
      <c r="C1495" s="14"/>
      <c r="D1495" s="15"/>
      <c r="E1495" s="14"/>
    </row>
    <row r="1496" spans="1:5" x14ac:dyDescent="0.35">
      <c r="A1496" s="21"/>
      <c r="B1496" s="14"/>
      <c r="C1496" s="14"/>
      <c r="D1496" s="15"/>
      <c r="E1496" s="14"/>
    </row>
    <row r="1497" spans="1:5" x14ac:dyDescent="0.35">
      <c r="A1497" s="21"/>
      <c r="B1497" s="14"/>
      <c r="C1497" s="14"/>
      <c r="D1497" s="15"/>
      <c r="E1497" s="14"/>
    </row>
    <row r="1498" spans="1:5" x14ac:dyDescent="0.35">
      <c r="A1498" s="21"/>
      <c r="B1498" s="14"/>
      <c r="C1498" s="14"/>
      <c r="D1498" s="15"/>
      <c r="E1498" s="14"/>
    </row>
    <row r="1499" spans="1:5" x14ac:dyDescent="0.35">
      <c r="A1499" s="21"/>
      <c r="B1499" s="14"/>
      <c r="C1499" s="14"/>
      <c r="D1499" s="15"/>
      <c r="E1499" s="14"/>
    </row>
    <row r="1500" spans="1:5" x14ac:dyDescent="0.35">
      <c r="A1500" s="21"/>
      <c r="B1500" s="14"/>
      <c r="C1500" s="14"/>
      <c r="D1500" s="15"/>
      <c r="E1500" s="14"/>
    </row>
    <row r="1501" spans="1:5" x14ac:dyDescent="0.35">
      <c r="A1501" s="21"/>
      <c r="B1501" s="14"/>
      <c r="C1501" s="14"/>
      <c r="D1501" s="15"/>
      <c r="E1501" s="14"/>
    </row>
    <row r="1502" spans="1:5" x14ac:dyDescent="0.35">
      <c r="A1502" s="21"/>
      <c r="B1502" s="14"/>
      <c r="C1502" s="14"/>
      <c r="D1502" s="15"/>
      <c r="E1502" s="14"/>
    </row>
    <row r="1503" spans="1:5" x14ac:dyDescent="0.35">
      <c r="A1503" s="21"/>
      <c r="B1503" s="14"/>
      <c r="C1503" s="14"/>
      <c r="D1503" s="15"/>
      <c r="E1503" s="14"/>
    </row>
    <row r="1504" spans="1:5" x14ac:dyDescent="0.35">
      <c r="A1504" s="21"/>
      <c r="B1504" s="14"/>
      <c r="C1504" s="14"/>
      <c r="D1504" s="15"/>
      <c r="E1504" s="14"/>
    </row>
  </sheetData>
  <conditionalFormatting sqref="A5:A1504">
    <cfRule type="expression" dxfId="15" priority="1">
      <formula>AND(OR(A5&lt;&gt;"",B5&lt;&gt;"",C5&lt;&gt;"",D5&lt;&gt;""),NOT(ISNUMBER(A5)))</formula>
    </cfRule>
  </conditionalFormatting>
  <conditionalFormatting sqref="D5:D1504">
    <cfRule type="expression" dxfId="13" priority="3">
      <formula>AND(OR(A5&lt;&gt;"",B5&lt;&gt;"",C5&lt;&gt;"",D5&lt;&gt;""),NOT(ISNUMBER(D5)))</formula>
    </cfRule>
  </conditionalFormatting>
  <dataValidations count="2">
    <dataValidation type="date" operator="greaterThan" allowBlank="1" showErrorMessage="1" errorTitle="Date" error="Enter a real date, e.g. 3/15/2026." sqref="A5:A1504" xr:uid="{00000000-0002-0000-0300-000001000000}">
      <formula1>1</formula1>
    </dataValidation>
    <dataValidation type="decimal" allowBlank="1" showErrorMessage="1" errorTitle="Amount" error="Enter a number only. Use a negative number for a refund." sqref="D5:D1504" xr:uid="{00000000-0002-0000-0300-000002000000}">
      <formula1>-100000000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AND(OR(A5&lt;&gt;"",B5&lt;&gt;"",C5&lt;&gt;"",D5&lt;&gt;""),COUNTIF(Lists!$A$2:$A$31,B5)=0)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B5:B1504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category from the Budget tab list." xr:uid="{00000000-0002-0000-0300-000000000000}">
          <x14:formula1>
            <xm:f>Lists!$B$2:$B$31</xm:f>
          </x14:formula1>
          <xm:sqref>B5:B1504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B5E"/>
  </sheetPr>
  <dimension ref="A1:P4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9" customWidth="1"/>
    <col min="3" max="14" width="11" customWidth="1"/>
    <col min="15" max="16" width="12" customWidth="1"/>
  </cols>
  <sheetData>
    <row r="1" spans="1:16" ht="23" x14ac:dyDescent="0.5">
      <c r="A1" s="1" t="s">
        <v>122</v>
      </c>
    </row>
    <row r="2" spans="1:16" x14ac:dyDescent="0.35">
      <c r="A2" s="2" t="str">
        <f>IF(Calc!$C$4=0,"Type a valid year on the Dashboard.","Every category, every month of "&amp;Calc!$C$4&amp;". Nothing to type here.")</f>
        <v>Every category, every month of 2026. Nothing to type here.</v>
      </c>
    </row>
    <row r="5" spans="1:16" x14ac:dyDescent="0.35">
      <c r="A5" s="13" t="s">
        <v>29</v>
      </c>
      <c r="B5" s="13" t="s">
        <v>74</v>
      </c>
      <c r="C5" s="13" t="s">
        <v>47</v>
      </c>
      <c r="D5" s="13" t="s">
        <v>48</v>
      </c>
      <c r="E5" s="13" t="s">
        <v>49</v>
      </c>
      <c r="F5" s="13" t="s">
        <v>50</v>
      </c>
      <c r="G5" s="13" t="s">
        <v>52</v>
      </c>
      <c r="H5" s="13" t="s">
        <v>53</v>
      </c>
      <c r="I5" s="13" t="s">
        <v>54</v>
      </c>
      <c r="J5" s="13" t="s">
        <v>55</v>
      </c>
      <c r="K5" s="13" t="s">
        <v>56</v>
      </c>
      <c r="L5" s="13" t="s">
        <v>57</v>
      </c>
      <c r="M5" s="13" t="s">
        <v>58</v>
      </c>
      <c r="N5" s="13" t="s">
        <v>59</v>
      </c>
      <c r="O5" s="13" t="s">
        <v>123</v>
      </c>
      <c r="P5" s="13" t="s">
        <v>124</v>
      </c>
    </row>
    <row r="6" spans="1:16" x14ac:dyDescent="0.35">
      <c r="A6" s="22" t="str">
        <f>IF(Budget!A7="","",Budget!A7)</f>
        <v>Paycheck</v>
      </c>
      <c r="B6" s="22" t="str">
        <f>IF(LEFT(Lists!$A$2,1)="[","",Budget!B7)</f>
        <v>Income</v>
      </c>
      <c r="C6" s="23">
        <f>SUMPRODUCT(ISNUMBER(Transactions!$A$5:$A$1504)*ISNUMBER(MATCH(Transactions!$B$5:$B$1504,Lists!$A$2:$A$31,0))*ISNUMBER(Transactions!$D$5:$D$1504)*(Transactions!$B$5:$B$1504=Lists!$A$2)*(Transactions!$A$5:$A$1504&gt;=DATE(Calc!$C$4,1,1))*(Transactions!$A$5:$A$1504&lt;DATE(Calc!$C$4,2,1)),Transactions!$D$5:$D$1504)</f>
        <v>4600</v>
      </c>
      <c r="D6" s="23">
        <f>SUMPRODUCT(ISNUMBER(Transactions!$A$5:$A$1504)*ISNUMBER(MATCH(Transactions!$B$5:$B$1504,Lists!$A$2:$A$31,0))*ISNUMBER(Transactions!$D$5:$D$1504)*(Transactions!$B$5:$B$1504=Lists!$A$2)*(Transactions!$A$5:$A$1504&gt;=DATE(Calc!$C$4,2,1))*(Transactions!$A$5:$A$1504&lt;DATE(Calc!$C$4,3,1)),Transactions!$D$5:$D$1504)</f>
        <v>0</v>
      </c>
      <c r="E6" s="23">
        <f>SUMPRODUCT(ISNUMBER(Transactions!$A$5:$A$1504)*ISNUMBER(MATCH(Transactions!$B$5:$B$1504,Lists!$A$2:$A$31,0))*ISNUMBER(Transactions!$D$5:$D$1504)*(Transactions!$B$5:$B$1504=Lists!$A$2)*(Transactions!$A$5:$A$1504&gt;=DATE(Calc!$C$4,3,1))*(Transactions!$A$5:$A$1504&lt;DATE(Calc!$C$4,4,1)),Transactions!$D$5:$D$1504)</f>
        <v>0</v>
      </c>
      <c r="F6" s="23">
        <f>SUMPRODUCT(ISNUMBER(Transactions!$A$5:$A$1504)*ISNUMBER(MATCH(Transactions!$B$5:$B$1504,Lists!$A$2:$A$31,0))*ISNUMBER(Transactions!$D$5:$D$1504)*(Transactions!$B$5:$B$1504=Lists!$A$2)*(Transactions!$A$5:$A$1504&gt;=DATE(Calc!$C$4,4,1))*(Transactions!$A$5:$A$1504&lt;DATE(Calc!$C$4,5,1)),Transactions!$D$5:$D$1504)</f>
        <v>0</v>
      </c>
      <c r="G6" s="23">
        <f>SUMPRODUCT(ISNUMBER(Transactions!$A$5:$A$1504)*ISNUMBER(MATCH(Transactions!$B$5:$B$1504,Lists!$A$2:$A$31,0))*ISNUMBER(Transactions!$D$5:$D$1504)*(Transactions!$B$5:$B$1504=Lists!$A$2)*(Transactions!$A$5:$A$1504&gt;=DATE(Calc!$C$4,5,1))*(Transactions!$A$5:$A$1504&lt;DATE(Calc!$C$4,6,1)),Transactions!$D$5:$D$1504)</f>
        <v>0</v>
      </c>
      <c r="H6" s="23">
        <f>SUMPRODUCT(ISNUMBER(Transactions!$A$5:$A$1504)*ISNUMBER(MATCH(Transactions!$B$5:$B$1504,Lists!$A$2:$A$31,0))*ISNUMBER(Transactions!$D$5:$D$1504)*(Transactions!$B$5:$B$1504=Lists!$A$2)*(Transactions!$A$5:$A$1504&gt;=DATE(Calc!$C$4,6,1))*(Transactions!$A$5:$A$1504&lt;DATE(Calc!$C$4,7,1)),Transactions!$D$5:$D$1504)</f>
        <v>0</v>
      </c>
      <c r="I6" s="23">
        <f>SUMPRODUCT(ISNUMBER(Transactions!$A$5:$A$1504)*ISNUMBER(MATCH(Transactions!$B$5:$B$1504,Lists!$A$2:$A$31,0))*ISNUMBER(Transactions!$D$5:$D$1504)*(Transactions!$B$5:$B$1504=Lists!$A$2)*(Transactions!$A$5:$A$1504&gt;=DATE(Calc!$C$4,7,1))*(Transactions!$A$5:$A$1504&lt;DATE(Calc!$C$4,8,1)),Transactions!$D$5:$D$1504)</f>
        <v>0</v>
      </c>
      <c r="J6" s="23">
        <f>SUMPRODUCT(ISNUMBER(Transactions!$A$5:$A$1504)*ISNUMBER(MATCH(Transactions!$B$5:$B$1504,Lists!$A$2:$A$31,0))*ISNUMBER(Transactions!$D$5:$D$1504)*(Transactions!$B$5:$B$1504=Lists!$A$2)*(Transactions!$A$5:$A$1504&gt;=DATE(Calc!$C$4,8,1))*(Transactions!$A$5:$A$1504&lt;DATE(Calc!$C$4,9,1)),Transactions!$D$5:$D$1504)</f>
        <v>0</v>
      </c>
      <c r="K6" s="23">
        <f>SUMPRODUCT(ISNUMBER(Transactions!$A$5:$A$1504)*ISNUMBER(MATCH(Transactions!$B$5:$B$1504,Lists!$A$2:$A$31,0))*ISNUMBER(Transactions!$D$5:$D$1504)*(Transactions!$B$5:$B$1504=Lists!$A$2)*(Transactions!$A$5:$A$1504&gt;=DATE(Calc!$C$4,9,1))*(Transactions!$A$5:$A$1504&lt;DATE(Calc!$C$4,10,1)),Transactions!$D$5:$D$1504)</f>
        <v>0</v>
      </c>
      <c r="L6" s="23">
        <f>SUMPRODUCT(ISNUMBER(Transactions!$A$5:$A$1504)*ISNUMBER(MATCH(Transactions!$B$5:$B$1504,Lists!$A$2:$A$31,0))*ISNUMBER(Transactions!$D$5:$D$1504)*(Transactions!$B$5:$B$1504=Lists!$A$2)*(Transactions!$A$5:$A$1504&gt;=DATE(Calc!$C$4,10,1))*(Transactions!$A$5:$A$1504&lt;DATE(Calc!$C$4,11,1)),Transactions!$D$5:$D$1504)</f>
        <v>0</v>
      </c>
      <c r="M6" s="23">
        <f>SUMPRODUCT(ISNUMBER(Transactions!$A$5:$A$1504)*ISNUMBER(MATCH(Transactions!$B$5:$B$1504,Lists!$A$2:$A$31,0))*ISNUMBER(Transactions!$D$5:$D$1504)*(Transactions!$B$5:$B$1504=Lists!$A$2)*(Transactions!$A$5:$A$1504&gt;=DATE(Calc!$C$4,11,1))*(Transactions!$A$5:$A$1504&lt;DATE(Calc!$C$4,12,1)),Transactions!$D$5:$D$1504)</f>
        <v>0</v>
      </c>
      <c r="N6" s="23">
        <f>SUMPRODUCT(ISNUMBER(Transactions!$A$5:$A$1504)*ISNUMBER(MATCH(Transactions!$B$5:$B$1504,Lists!$A$2:$A$31,0))*ISNUMBER(Transactions!$D$5:$D$1504)*(Transactions!$B$5:$B$1504=Lists!$A$2)*(Transactions!$A$5:$A$1504&gt;=DATE(Calc!$C$4,12,1))*(Transactions!$A$5:$A$1504&lt;DATE(Calc!$C$4,13,1)),Transactions!$D$5:$D$1504)</f>
        <v>0</v>
      </c>
      <c r="O6" s="24">
        <f t="shared" ref="O6:O35" si="0">SUM(C6:N6)</f>
        <v>4600</v>
      </c>
      <c r="P6" s="24">
        <f>IF(Calc!$C$5=0,0,O6/Calc!$C$5)</f>
        <v>4600</v>
      </c>
    </row>
    <row r="7" spans="1:16" x14ac:dyDescent="0.35">
      <c r="A7" s="22" t="str">
        <f>IF(Budget!A8="","",Budget!A8)</f>
        <v>Side income</v>
      </c>
      <c r="B7" s="22" t="str">
        <f>IF(LEFT(Lists!$A$3,1)="[","",Budget!B8)</f>
        <v>Income</v>
      </c>
      <c r="C7" s="23">
        <f>SUMPRODUCT(ISNUMBER(Transactions!$A$5:$A$1504)*ISNUMBER(MATCH(Transactions!$B$5:$B$1504,Lists!$A$2:$A$31,0))*ISNUMBER(Transactions!$D$5:$D$1504)*(Transactions!$B$5:$B$1504=Lists!$A$3)*(Transactions!$A$5:$A$1504&gt;=DATE(Calc!$C$4,1,1))*(Transactions!$A$5:$A$1504&lt;DATE(Calc!$C$4,2,1)),Transactions!$D$5:$D$1504)</f>
        <v>0</v>
      </c>
      <c r="D7" s="23">
        <f>SUMPRODUCT(ISNUMBER(Transactions!$A$5:$A$1504)*ISNUMBER(MATCH(Transactions!$B$5:$B$1504,Lists!$A$2:$A$31,0))*ISNUMBER(Transactions!$D$5:$D$1504)*(Transactions!$B$5:$B$1504=Lists!$A$3)*(Transactions!$A$5:$A$1504&gt;=DATE(Calc!$C$4,2,1))*(Transactions!$A$5:$A$1504&lt;DATE(Calc!$C$4,3,1)),Transactions!$D$5:$D$1504)</f>
        <v>0</v>
      </c>
      <c r="E7" s="23">
        <f>SUMPRODUCT(ISNUMBER(Transactions!$A$5:$A$1504)*ISNUMBER(MATCH(Transactions!$B$5:$B$1504,Lists!$A$2:$A$31,0))*ISNUMBER(Transactions!$D$5:$D$1504)*(Transactions!$B$5:$B$1504=Lists!$A$3)*(Transactions!$A$5:$A$1504&gt;=DATE(Calc!$C$4,3,1))*(Transactions!$A$5:$A$1504&lt;DATE(Calc!$C$4,4,1)),Transactions!$D$5:$D$1504)</f>
        <v>0</v>
      </c>
      <c r="F7" s="23">
        <f>SUMPRODUCT(ISNUMBER(Transactions!$A$5:$A$1504)*ISNUMBER(MATCH(Transactions!$B$5:$B$1504,Lists!$A$2:$A$31,0))*ISNUMBER(Transactions!$D$5:$D$1504)*(Transactions!$B$5:$B$1504=Lists!$A$3)*(Transactions!$A$5:$A$1504&gt;=DATE(Calc!$C$4,4,1))*(Transactions!$A$5:$A$1504&lt;DATE(Calc!$C$4,5,1)),Transactions!$D$5:$D$1504)</f>
        <v>0</v>
      </c>
      <c r="G7" s="23">
        <f>SUMPRODUCT(ISNUMBER(Transactions!$A$5:$A$1504)*ISNUMBER(MATCH(Transactions!$B$5:$B$1504,Lists!$A$2:$A$31,0))*ISNUMBER(Transactions!$D$5:$D$1504)*(Transactions!$B$5:$B$1504=Lists!$A$3)*(Transactions!$A$5:$A$1504&gt;=DATE(Calc!$C$4,5,1))*(Transactions!$A$5:$A$1504&lt;DATE(Calc!$C$4,6,1)),Transactions!$D$5:$D$1504)</f>
        <v>0</v>
      </c>
      <c r="H7" s="23">
        <f>SUMPRODUCT(ISNUMBER(Transactions!$A$5:$A$1504)*ISNUMBER(MATCH(Transactions!$B$5:$B$1504,Lists!$A$2:$A$31,0))*ISNUMBER(Transactions!$D$5:$D$1504)*(Transactions!$B$5:$B$1504=Lists!$A$3)*(Transactions!$A$5:$A$1504&gt;=DATE(Calc!$C$4,6,1))*(Transactions!$A$5:$A$1504&lt;DATE(Calc!$C$4,7,1)),Transactions!$D$5:$D$1504)</f>
        <v>0</v>
      </c>
      <c r="I7" s="23">
        <f>SUMPRODUCT(ISNUMBER(Transactions!$A$5:$A$1504)*ISNUMBER(MATCH(Transactions!$B$5:$B$1504,Lists!$A$2:$A$31,0))*ISNUMBER(Transactions!$D$5:$D$1504)*(Transactions!$B$5:$B$1504=Lists!$A$3)*(Transactions!$A$5:$A$1504&gt;=DATE(Calc!$C$4,7,1))*(Transactions!$A$5:$A$1504&lt;DATE(Calc!$C$4,8,1)),Transactions!$D$5:$D$1504)</f>
        <v>0</v>
      </c>
      <c r="J7" s="23">
        <f>SUMPRODUCT(ISNUMBER(Transactions!$A$5:$A$1504)*ISNUMBER(MATCH(Transactions!$B$5:$B$1504,Lists!$A$2:$A$31,0))*ISNUMBER(Transactions!$D$5:$D$1504)*(Transactions!$B$5:$B$1504=Lists!$A$3)*(Transactions!$A$5:$A$1504&gt;=DATE(Calc!$C$4,8,1))*(Transactions!$A$5:$A$1504&lt;DATE(Calc!$C$4,9,1)),Transactions!$D$5:$D$1504)</f>
        <v>0</v>
      </c>
      <c r="K7" s="23">
        <f>SUMPRODUCT(ISNUMBER(Transactions!$A$5:$A$1504)*ISNUMBER(MATCH(Transactions!$B$5:$B$1504,Lists!$A$2:$A$31,0))*ISNUMBER(Transactions!$D$5:$D$1504)*(Transactions!$B$5:$B$1504=Lists!$A$3)*(Transactions!$A$5:$A$1504&gt;=DATE(Calc!$C$4,9,1))*(Transactions!$A$5:$A$1504&lt;DATE(Calc!$C$4,10,1)),Transactions!$D$5:$D$1504)</f>
        <v>0</v>
      </c>
      <c r="L7" s="23">
        <f>SUMPRODUCT(ISNUMBER(Transactions!$A$5:$A$1504)*ISNUMBER(MATCH(Transactions!$B$5:$B$1504,Lists!$A$2:$A$31,0))*ISNUMBER(Transactions!$D$5:$D$1504)*(Transactions!$B$5:$B$1504=Lists!$A$3)*(Transactions!$A$5:$A$1504&gt;=DATE(Calc!$C$4,10,1))*(Transactions!$A$5:$A$1504&lt;DATE(Calc!$C$4,11,1)),Transactions!$D$5:$D$1504)</f>
        <v>0</v>
      </c>
      <c r="M7" s="23">
        <f>SUMPRODUCT(ISNUMBER(Transactions!$A$5:$A$1504)*ISNUMBER(MATCH(Transactions!$B$5:$B$1504,Lists!$A$2:$A$31,0))*ISNUMBER(Transactions!$D$5:$D$1504)*(Transactions!$B$5:$B$1504=Lists!$A$3)*(Transactions!$A$5:$A$1504&gt;=DATE(Calc!$C$4,11,1))*(Transactions!$A$5:$A$1504&lt;DATE(Calc!$C$4,12,1)),Transactions!$D$5:$D$1504)</f>
        <v>0</v>
      </c>
      <c r="N7" s="23">
        <f>SUMPRODUCT(ISNUMBER(Transactions!$A$5:$A$1504)*ISNUMBER(MATCH(Transactions!$B$5:$B$1504,Lists!$A$2:$A$31,0))*ISNUMBER(Transactions!$D$5:$D$1504)*(Transactions!$B$5:$B$1504=Lists!$A$3)*(Transactions!$A$5:$A$1504&gt;=DATE(Calc!$C$4,12,1))*(Transactions!$A$5:$A$1504&lt;DATE(Calc!$C$4,13,1)),Transactions!$D$5:$D$1504)</f>
        <v>0</v>
      </c>
      <c r="O7" s="24">
        <f t="shared" si="0"/>
        <v>0</v>
      </c>
      <c r="P7" s="24">
        <f>IF(Calc!$C$5=0,0,O7/Calc!$C$5)</f>
        <v>0</v>
      </c>
    </row>
    <row r="8" spans="1:16" x14ac:dyDescent="0.35">
      <c r="A8" s="22" t="str">
        <f>IF(Budget!A9="","",Budget!A9)</f>
        <v>Other income</v>
      </c>
      <c r="B8" s="22" t="str">
        <f>IF(LEFT(Lists!$A$4,1)="[","",Budget!B9)</f>
        <v>Income</v>
      </c>
      <c r="C8" s="23">
        <f>SUMPRODUCT(ISNUMBER(Transactions!$A$5:$A$1504)*ISNUMBER(MATCH(Transactions!$B$5:$B$1504,Lists!$A$2:$A$31,0))*ISNUMBER(Transactions!$D$5:$D$1504)*(Transactions!$B$5:$B$1504=Lists!$A$4)*(Transactions!$A$5:$A$1504&gt;=DATE(Calc!$C$4,1,1))*(Transactions!$A$5:$A$1504&lt;DATE(Calc!$C$4,2,1)),Transactions!$D$5:$D$1504)</f>
        <v>0</v>
      </c>
      <c r="D8" s="23">
        <f>SUMPRODUCT(ISNUMBER(Transactions!$A$5:$A$1504)*ISNUMBER(MATCH(Transactions!$B$5:$B$1504,Lists!$A$2:$A$31,0))*ISNUMBER(Transactions!$D$5:$D$1504)*(Transactions!$B$5:$B$1504=Lists!$A$4)*(Transactions!$A$5:$A$1504&gt;=DATE(Calc!$C$4,2,1))*(Transactions!$A$5:$A$1504&lt;DATE(Calc!$C$4,3,1)),Transactions!$D$5:$D$1504)</f>
        <v>0</v>
      </c>
      <c r="E8" s="23">
        <f>SUMPRODUCT(ISNUMBER(Transactions!$A$5:$A$1504)*ISNUMBER(MATCH(Transactions!$B$5:$B$1504,Lists!$A$2:$A$31,0))*ISNUMBER(Transactions!$D$5:$D$1504)*(Transactions!$B$5:$B$1504=Lists!$A$4)*(Transactions!$A$5:$A$1504&gt;=DATE(Calc!$C$4,3,1))*(Transactions!$A$5:$A$1504&lt;DATE(Calc!$C$4,4,1)),Transactions!$D$5:$D$1504)</f>
        <v>0</v>
      </c>
      <c r="F8" s="23">
        <f>SUMPRODUCT(ISNUMBER(Transactions!$A$5:$A$1504)*ISNUMBER(MATCH(Transactions!$B$5:$B$1504,Lists!$A$2:$A$31,0))*ISNUMBER(Transactions!$D$5:$D$1504)*(Transactions!$B$5:$B$1504=Lists!$A$4)*(Transactions!$A$5:$A$1504&gt;=DATE(Calc!$C$4,4,1))*(Transactions!$A$5:$A$1504&lt;DATE(Calc!$C$4,5,1)),Transactions!$D$5:$D$1504)</f>
        <v>0</v>
      </c>
      <c r="G8" s="23">
        <f>SUMPRODUCT(ISNUMBER(Transactions!$A$5:$A$1504)*ISNUMBER(MATCH(Transactions!$B$5:$B$1504,Lists!$A$2:$A$31,0))*ISNUMBER(Transactions!$D$5:$D$1504)*(Transactions!$B$5:$B$1504=Lists!$A$4)*(Transactions!$A$5:$A$1504&gt;=DATE(Calc!$C$4,5,1))*(Transactions!$A$5:$A$1504&lt;DATE(Calc!$C$4,6,1)),Transactions!$D$5:$D$1504)</f>
        <v>0</v>
      </c>
      <c r="H8" s="23">
        <f>SUMPRODUCT(ISNUMBER(Transactions!$A$5:$A$1504)*ISNUMBER(MATCH(Transactions!$B$5:$B$1504,Lists!$A$2:$A$31,0))*ISNUMBER(Transactions!$D$5:$D$1504)*(Transactions!$B$5:$B$1504=Lists!$A$4)*(Transactions!$A$5:$A$1504&gt;=DATE(Calc!$C$4,6,1))*(Transactions!$A$5:$A$1504&lt;DATE(Calc!$C$4,7,1)),Transactions!$D$5:$D$1504)</f>
        <v>0</v>
      </c>
      <c r="I8" s="23">
        <f>SUMPRODUCT(ISNUMBER(Transactions!$A$5:$A$1504)*ISNUMBER(MATCH(Transactions!$B$5:$B$1504,Lists!$A$2:$A$31,0))*ISNUMBER(Transactions!$D$5:$D$1504)*(Transactions!$B$5:$B$1504=Lists!$A$4)*(Transactions!$A$5:$A$1504&gt;=DATE(Calc!$C$4,7,1))*(Transactions!$A$5:$A$1504&lt;DATE(Calc!$C$4,8,1)),Transactions!$D$5:$D$1504)</f>
        <v>0</v>
      </c>
      <c r="J8" s="23">
        <f>SUMPRODUCT(ISNUMBER(Transactions!$A$5:$A$1504)*ISNUMBER(MATCH(Transactions!$B$5:$B$1504,Lists!$A$2:$A$31,0))*ISNUMBER(Transactions!$D$5:$D$1504)*(Transactions!$B$5:$B$1504=Lists!$A$4)*(Transactions!$A$5:$A$1504&gt;=DATE(Calc!$C$4,8,1))*(Transactions!$A$5:$A$1504&lt;DATE(Calc!$C$4,9,1)),Transactions!$D$5:$D$1504)</f>
        <v>0</v>
      </c>
      <c r="K8" s="23">
        <f>SUMPRODUCT(ISNUMBER(Transactions!$A$5:$A$1504)*ISNUMBER(MATCH(Transactions!$B$5:$B$1504,Lists!$A$2:$A$31,0))*ISNUMBER(Transactions!$D$5:$D$1504)*(Transactions!$B$5:$B$1504=Lists!$A$4)*(Transactions!$A$5:$A$1504&gt;=DATE(Calc!$C$4,9,1))*(Transactions!$A$5:$A$1504&lt;DATE(Calc!$C$4,10,1)),Transactions!$D$5:$D$1504)</f>
        <v>0</v>
      </c>
      <c r="L8" s="23">
        <f>SUMPRODUCT(ISNUMBER(Transactions!$A$5:$A$1504)*ISNUMBER(MATCH(Transactions!$B$5:$B$1504,Lists!$A$2:$A$31,0))*ISNUMBER(Transactions!$D$5:$D$1504)*(Transactions!$B$5:$B$1504=Lists!$A$4)*(Transactions!$A$5:$A$1504&gt;=DATE(Calc!$C$4,10,1))*(Transactions!$A$5:$A$1504&lt;DATE(Calc!$C$4,11,1)),Transactions!$D$5:$D$1504)</f>
        <v>0</v>
      </c>
      <c r="M8" s="23">
        <f>SUMPRODUCT(ISNUMBER(Transactions!$A$5:$A$1504)*ISNUMBER(MATCH(Transactions!$B$5:$B$1504,Lists!$A$2:$A$31,0))*ISNUMBER(Transactions!$D$5:$D$1504)*(Transactions!$B$5:$B$1504=Lists!$A$4)*(Transactions!$A$5:$A$1504&gt;=DATE(Calc!$C$4,11,1))*(Transactions!$A$5:$A$1504&lt;DATE(Calc!$C$4,12,1)),Transactions!$D$5:$D$1504)</f>
        <v>0</v>
      </c>
      <c r="N8" s="23">
        <f>SUMPRODUCT(ISNUMBER(Transactions!$A$5:$A$1504)*ISNUMBER(MATCH(Transactions!$B$5:$B$1504,Lists!$A$2:$A$31,0))*ISNUMBER(Transactions!$D$5:$D$1504)*(Transactions!$B$5:$B$1504=Lists!$A$4)*(Transactions!$A$5:$A$1504&gt;=DATE(Calc!$C$4,12,1))*(Transactions!$A$5:$A$1504&lt;DATE(Calc!$C$4,13,1)),Transactions!$D$5:$D$1504)</f>
        <v>0</v>
      </c>
      <c r="O8" s="24">
        <f t="shared" si="0"/>
        <v>0</v>
      </c>
      <c r="P8" s="24">
        <f>IF(Calc!$C$5=0,0,O8/Calc!$C$5)</f>
        <v>0</v>
      </c>
    </row>
    <row r="9" spans="1:16" x14ac:dyDescent="0.35">
      <c r="A9" s="22" t="str">
        <f>IF(Budget!A10="","",Budget!A10)</f>
        <v>Rent / mortgage</v>
      </c>
      <c r="B9" s="22" t="str">
        <f>IF(LEFT(Lists!$A$5,1)="[","",Budget!B10)</f>
        <v>Bills</v>
      </c>
      <c r="C9" s="23">
        <f>SUMPRODUCT(ISNUMBER(Transactions!$A$5:$A$1504)*ISNUMBER(MATCH(Transactions!$B$5:$B$1504,Lists!$A$2:$A$31,0))*ISNUMBER(Transactions!$D$5:$D$1504)*(Transactions!$B$5:$B$1504=Lists!$A$5)*(Transactions!$A$5:$A$1504&gt;=DATE(Calc!$C$4,1,1))*(Transactions!$A$5:$A$1504&lt;DATE(Calc!$C$4,2,1)),Transactions!$D$5:$D$1504)</f>
        <v>1450</v>
      </c>
      <c r="D9" s="23">
        <f>SUMPRODUCT(ISNUMBER(Transactions!$A$5:$A$1504)*ISNUMBER(MATCH(Transactions!$B$5:$B$1504,Lists!$A$2:$A$31,0))*ISNUMBER(Transactions!$D$5:$D$1504)*(Transactions!$B$5:$B$1504=Lists!$A$5)*(Transactions!$A$5:$A$1504&gt;=DATE(Calc!$C$4,2,1))*(Transactions!$A$5:$A$1504&lt;DATE(Calc!$C$4,3,1)),Transactions!$D$5:$D$1504)</f>
        <v>0</v>
      </c>
      <c r="E9" s="23">
        <f>SUMPRODUCT(ISNUMBER(Transactions!$A$5:$A$1504)*ISNUMBER(MATCH(Transactions!$B$5:$B$1504,Lists!$A$2:$A$31,0))*ISNUMBER(Transactions!$D$5:$D$1504)*(Transactions!$B$5:$B$1504=Lists!$A$5)*(Transactions!$A$5:$A$1504&gt;=DATE(Calc!$C$4,3,1))*(Transactions!$A$5:$A$1504&lt;DATE(Calc!$C$4,4,1)),Transactions!$D$5:$D$1504)</f>
        <v>0</v>
      </c>
      <c r="F9" s="23">
        <f>SUMPRODUCT(ISNUMBER(Transactions!$A$5:$A$1504)*ISNUMBER(MATCH(Transactions!$B$5:$B$1504,Lists!$A$2:$A$31,0))*ISNUMBER(Transactions!$D$5:$D$1504)*(Transactions!$B$5:$B$1504=Lists!$A$5)*(Transactions!$A$5:$A$1504&gt;=DATE(Calc!$C$4,4,1))*(Transactions!$A$5:$A$1504&lt;DATE(Calc!$C$4,5,1)),Transactions!$D$5:$D$1504)</f>
        <v>0</v>
      </c>
      <c r="G9" s="23">
        <f>SUMPRODUCT(ISNUMBER(Transactions!$A$5:$A$1504)*ISNUMBER(MATCH(Transactions!$B$5:$B$1504,Lists!$A$2:$A$31,0))*ISNUMBER(Transactions!$D$5:$D$1504)*(Transactions!$B$5:$B$1504=Lists!$A$5)*(Transactions!$A$5:$A$1504&gt;=DATE(Calc!$C$4,5,1))*(Transactions!$A$5:$A$1504&lt;DATE(Calc!$C$4,6,1)),Transactions!$D$5:$D$1504)</f>
        <v>0</v>
      </c>
      <c r="H9" s="23">
        <f>SUMPRODUCT(ISNUMBER(Transactions!$A$5:$A$1504)*ISNUMBER(MATCH(Transactions!$B$5:$B$1504,Lists!$A$2:$A$31,0))*ISNUMBER(Transactions!$D$5:$D$1504)*(Transactions!$B$5:$B$1504=Lists!$A$5)*(Transactions!$A$5:$A$1504&gt;=DATE(Calc!$C$4,6,1))*(Transactions!$A$5:$A$1504&lt;DATE(Calc!$C$4,7,1)),Transactions!$D$5:$D$1504)</f>
        <v>0</v>
      </c>
      <c r="I9" s="23">
        <f>SUMPRODUCT(ISNUMBER(Transactions!$A$5:$A$1504)*ISNUMBER(MATCH(Transactions!$B$5:$B$1504,Lists!$A$2:$A$31,0))*ISNUMBER(Transactions!$D$5:$D$1504)*(Transactions!$B$5:$B$1504=Lists!$A$5)*(Transactions!$A$5:$A$1504&gt;=DATE(Calc!$C$4,7,1))*(Transactions!$A$5:$A$1504&lt;DATE(Calc!$C$4,8,1)),Transactions!$D$5:$D$1504)</f>
        <v>0</v>
      </c>
      <c r="J9" s="23">
        <f>SUMPRODUCT(ISNUMBER(Transactions!$A$5:$A$1504)*ISNUMBER(MATCH(Transactions!$B$5:$B$1504,Lists!$A$2:$A$31,0))*ISNUMBER(Transactions!$D$5:$D$1504)*(Transactions!$B$5:$B$1504=Lists!$A$5)*(Transactions!$A$5:$A$1504&gt;=DATE(Calc!$C$4,8,1))*(Transactions!$A$5:$A$1504&lt;DATE(Calc!$C$4,9,1)),Transactions!$D$5:$D$1504)</f>
        <v>0</v>
      </c>
      <c r="K9" s="23">
        <f>SUMPRODUCT(ISNUMBER(Transactions!$A$5:$A$1504)*ISNUMBER(MATCH(Transactions!$B$5:$B$1504,Lists!$A$2:$A$31,0))*ISNUMBER(Transactions!$D$5:$D$1504)*(Transactions!$B$5:$B$1504=Lists!$A$5)*(Transactions!$A$5:$A$1504&gt;=DATE(Calc!$C$4,9,1))*(Transactions!$A$5:$A$1504&lt;DATE(Calc!$C$4,10,1)),Transactions!$D$5:$D$1504)</f>
        <v>0</v>
      </c>
      <c r="L9" s="23">
        <f>SUMPRODUCT(ISNUMBER(Transactions!$A$5:$A$1504)*ISNUMBER(MATCH(Transactions!$B$5:$B$1504,Lists!$A$2:$A$31,0))*ISNUMBER(Transactions!$D$5:$D$1504)*(Transactions!$B$5:$B$1504=Lists!$A$5)*(Transactions!$A$5:$A$1504&gt;=DATE(Calc!$C$4,10,1))*(Transactions!$A$5:$A$1504&lt;DATE(Calc!$C$4,11,1)),Transactions!$D$5:$D$1504)</f>
        <v>0</v>
      </c>
      <c r="M9" s="23">
        <f>SUMPRODUCT(ISNUMBER(Transactions!$A$5:$A$1504)*ISNUMBER(MATCH(Transactions!$B$5:$B$1504,Lists!$A$2:$A$31,0))*ISNUMBER(Transactions!$D$5:$D$1504)*(Transactions!$B$5:$B$1504=Lists!$A$5)*(Transactions!$A$5:$A$1504&gt;=DATE(Calc!$C$4,11,1))*(Transactions!$A$5:$A$1504&lt;DATE(Calc!$C$4,12,1)),Transactions!$D$5:$D$1504)</f>
        <v>0</v>
      </c>
      <c r="N9" s="23">
        <f>SUMPRODUCT(ISNUMBER(Transactions!$A$5:$A$1504)*ISNUMBER(MATCH(Transactions!$B$5:$B$1504,Lists!$A$2:$A$31,0))*ISNUMBER(Transactions!$D$5:$D$1504)*(Transactions!$B$5:$B$1504=Lists!$A$5)*(Transactions!$A$5:$A$1504&gt;=DATE(Calc!$C$4,12,1))*(Transactions!$A$5:$A$1504&lt;DATE(Calc!$C$4,13,1)),Transactions!$D$5:$D$1504)</f>
        <v>0</v>
      </c>
      <c r="O9" s="24">
        <f t="shared" si="0"/>
        <v>1450</v>
      </c>
      <c r="P9" s="24">
        <f>IF(Calc!$C$5=0,0,O9/Calc!$C$5)</f>
        <v>1450</v>
      </c>
    </row>
    <row r="10" spans="1:16" x14ac:dyDescent="0.35">
      <c r="A10" s="22" t="str">
        <f>IF(Budget!A11="","",Budget!A11)</f>
        <v>Utilities</v>
      </c>
      <c r="B10" s="22" t="str">
        <f>IF(LEFT(Lists!$A$6,1)="[","",Budget!B11)</f>
        <v>Bills</v>
      </c>
      <c r="C10" s="23">
        <f>SUMPRODUCT(ISNUMBER(Transactions!$A$5:$A$1504)*ISNUMBER(MATCH(Transactions!$B$5:$B$1504,Lists!$A$2:$A$31,0))*ISNUMBER(Transactions!$D$5:$D$1504)*(Transactions!$B$5:$B$1504=Lists!$A$6)*(Transactions!$A$5:$A$1504&gt;=DATE(Calc!$C$4,1,1))*(Transactions!$A$5:$A$1504&lt;DATE(Calc!$C$4,2,1)),Transactions!$D$5:$D$1504)</f>
        <v>0</v>
      </c>
      <c r="D10" s="23">
        <f>SUMPRODUCT(ISNUMBER(Transactions!$A$5:$A$1504)*ISNUMBER(MATCH(Transactions!$B$5:$B$1504,Lists!$A$2:$A$31,0))*ISNUMBER(Transactions!$D$5:$D$1504)*(Transactions!$B$5:$B$1504=Lists!$A$6)*(Transactions!$A$5:$A$1504&gt;=DATE(Calc!$C$4,2,1))*(Transactions!$A$5:$A$1504&lt;DATE(Calc!$C$4,3,1)),Transactions!$D$5:$D$1504)</f>
        <v>0</v>
      </c>
      <c r="E10" s="23">
        <f>SUMPRODUCT(ISNUMBER(Transactions!$A$5:$A$1504)*ISNUMBER(MATCH(Transactions!$B$5:$B$1504,Lists!$A$2:$A$31,0))*ISNUMBER(Transactions!$D$5:$D$1504)*(Transactions!$B$5:$B$1504=Lists!$A$6)*(Transactions!$A$5:$A$1504&gt;=DATE(Calc!$C$4,3,1))*(Transactions!$A$5:$A$1504&lt;DATE(Calc!$C$4,4,1)),Transactions!$D$5:$D$1504)</f>
        <v>0</v>
      </c>
      <c r="F10" s="23">
        <f>SUMPRODUCT(ISNUMBER(Transactions!$A$5:$A$1504)*ISNUMBER(MATCH(Transactions!$B$5:$B$1504,Lists!$A$2:$A$31,0))*ISNUMBER(Transactions!$D$5:$D$1504)*(Transactions!$B$5:$B$1504=Lists!$A$6)*(Transactions!$A$5:$A$1504&gt;=DATE(Calc!$C$4,4,1))*(Transactions!$A$5:$A$1504&lt;DATE(Calc!$C$4,5,1)),Transactions!$D$5:$D$1504)</f>
        <v>0</v>
      </c>
      <c r="G10" s="23">
        <f>SUMPRODUCT(ISNUMBER(Transactions!$A$5:$A$1504)*ISNUMBER(MATCH(Transactions!$B$5:$B$1504,Lists!$A$2:$A$31,0))*ISNUMBER(Transactions!$D$5:$D$1504)*(Transactions!$B$5:$B$1504=Lists!$A$6)*(Transactions!$A$5:$A$1504&gt;=DATE(Calc!$C$4,5,1))*(Transactions!$A$5:$A$1504&lt;DATE(Calc!$C$4,6,1)),Transactions!$D$5:$D$1504)</f>
        <v>0</v>
      </c>
      <c r="H10" s="23">
        <f>SUMPRODUCT(ISNUMBER(Transactions!$A$5:$A$1504)*ISNUMBER(MATCH(Transactions!$B$5:$B$1504,Lists!$A$2:$A$31,0))*ISNUMBER(Transactions!$D$5:$D$1504)*(Transactions!$B$5:$B$1504=Lists!$A$6)*(Transactions!$A$5:$A$1504&gt;=DATE(Calc!$C$4,6,1))*(Transactions!$A$5:$A$1504&lt;DATE(Calc!$C$4,7,1)),Transactions!$D$5:$D$1504)</f>
        <v>0</v>
      </c>
      <c r="I10" s="23">
        <f>SUMPRODUCT(ISNUMBER(Transactions!$A$5:$A$1504)*ISNUMBER(MATCH(Transactions!$B$5:$B$1504,Lists!$A$2:$A$31,0))*ISNUMBER(Transactions!$D$5:$D$1504)*(Transactions!$B$5:$B$1504=Lists!$A$6)*(Transactions!$A$5:$A$1504&gt;=DATE(Calc!$C$4,7,1))*(Transactions!$A$5:$A$1504&lt;DATE(Calc!$C$4,8,1)),Transactions!$D$5:$D$1504)</f>
        <v>0</v>
      </c>
      <c r="J10" s="23">
        <f>SUMPRODUCT(ISNUMBER(Transactions!$A$5:$A$1504)*ISNUMBER(MATCH(Transactions!$B$5:$B$1504,Lists!$A$2:$A$31,0))*ISNUMBER(Transactions!$D$5:$D$1504)*(Transactions!$B$5:$B$1504=Lists!$A$6)*(Transactions!$A$5:$A$1504&gt;=DATE(Calc!$C$4,8,1))*(Transactions!$A$5:$A$1504&lt;DATE(Calc!$C$4,9,1)),Transactions!$D$5:$D$1504)</f>
        <v>0</v>
      </c>
      <c r="K10" s="23">
        <f>SUMPRODUCT(ISNUMBER(Transactions!$A$5:$A$1504)*ISNUMBER(MATCH(Transactions!$B$5:$B$1504,Lists!$A$2:$A$31,0))*ISNUMBER(Transactions!$D$5:$D$1504)*(Transactions!$B$5:$B$1504=Lists!$A$6)*(Transactions!$A$5:$A$1504&gt;=DATE(Calc!$C$4,9,1))*(Transactions!$A$5:$A$1504&lt;DATE(Calc!$C$4,10,1)),Transactions!$D$5:$D$1504)</f>
        <v>0</v>
      </c>
      <c r="L10" s="23">
        <f>SUMPRODUCT(ISNUMBER(Transactions!$A$5:$A$1504)*ISNUMBER(MATCH(Transactions!$B$5:$B$1504,Lists!$A$2:$A$31,0))*ISNUMBER(Transactions!$D$5:$D$1504)*(Transactions!$B$5:$B$1504=Lists!$A$6)*(Transactions!$A$5:$A$1504&gt;=DATE(Calc!$C$4,10,1))*(Transactions!$A$5:$A$1504&lt;DATE(Calc!$C$4,11,1)),Transactions!$D$5:$D$1504)</f>
        <v>0</v>
      </c>
      <c r="M10" s="23">
        <f>SUMPRODUCT(ISNUMBER(Transactions!$A$5:$A$1504)*ISNUMBER(MATCH(Transactions!$B$5:$B$1504,Lists!$A$2:$A$31,0))*ISNUMBER(Transactions!$D$5:$D$1504)*(Transactions!$B$5:$B$1504=Lists!$A$6)*(Transactions!$A$5:$A$1504&gt;=DATE(Calc!$C$4,11,1))*(Transactions!$A$5:$A$1504&lt;DATE(Calc!$C$4,12,1)),Transactions!$D$5:$D$1504)</f>
        <v>0</v>
      </c>
      <c r="N10" s="23">
        <f>SUMPRODUCT(ISNUMBER(Transactions!$A$5:$A$1504)*ISNUMBER(MATCH(Transactions!$B$5:$B$1504,Lists!$A$2:$A$31,0))*ISNUMBER(Transactions!$D$5:$D$1504)*(Transactions!$B$5:$B$1504=Lists!$A$6)*(Transactions!$A$5:$A$1504&gt;=DATE(Calc!$C$4,12,1))*(Transactions!$A$5:$A$1504&lt;DATE(Calc!$C$4,13,1)),Transactions!$D$5:$D$1504)</f>
        <v>0</v>
      </c>
      <c r="O10" s="24">
        <f t="shared" si="0"/>
        <v>0</v>
      </c>
      <c r="P10" s="24">
        <f>IF(Calc!$C$5=0,0,O10/Calc!$C$5)</f>
        <v>0</v>
      </c>
    </row>
    <row r="11" spans="1:16" x14ac:dyDescent="0.35">
      <c r="A11" s="22" t="str">
        <f>IF(Budget!A12="","",Budget!A12)</f>
        <v>Phone &amp; internet</v>
      </c>
      <c r="B11" s="22" t="str">
        <f>IF(LEFT(Lists!$A$7,1)="[","",Budget!B12)</f>
        <v>Bills</v>
      </c>
      <c r="C11" s="23">
        <f>SUMPRODUCT(ISNUMBER(Transactions!$A$5:$A$1504)*ISNUMBER(MATCH(Transactions!$B$5:$B$1504,Lists!$A$2:$A$31,0))*ISNUMBER(Transactions!$D$5:$D$1504)*(Transactions!$B$5:$B$1504=Lists!$A$7)*(Transactions!$A$5:$A$1504&gt;=DATE(Calc!$C$4,1,1))*(Transactions!$A$5:$A$1504&lt;DATE(Calc!$C$4,2,1)),Transactions!$D$5:$D$1504)</f>
        <v>0</v>
      </c>
      <c r="D11" s="23">
        <f>SUMPRODUCT(ISNUMBER(Transactions!$A$5:$A$1504)*ISNUMBER(MATCH(Transactions!$B$5:$B$1504,Lists!$A$2:$A$31,0))*ISNUMBER(Transactions!$D$5:$D$1504)*(Transactions!$B$5:$B$1504=Lists!$A$7)*(Transactions!$A$5:$A$1504&gt;=DATE(Calc!$C$4,2,1))*(Transactions!$A$5:$A$1504&lt;DATE(Calc!$C$4,3,1)),Transactions!$D$5:$D$1504)</f>
        <v>0</v>
      </c>
      <c r="E11" s="23">
        <f>SUMPRODUCT(ISNUMBER(Transactions!$A$5:$A$1504)*ISNUMBER(MATCH(Transactions!$B$5:$B$1504,Lists!$A$2:$A$31,0))*ISNUMBER(Transactions!$D$5:$D$1504)*(Transactions!$B$5:$B$1504=Lists!$A$7)*(Transactions!$A$5:$A$1504&gt;=DATE(Calc!$C$4,3,1))*(Transactions!$A$5:$A$1504&lt;DATE(Calc!$C$4,4,1)),Transactions!$D$5:$D$1504)</f>
        <v>0</v>
      </c>
      <c r="F11" s="23">
        <f>SUMPRODUCT(ISNUMBER(Transactions!$A$5:$A$1504)*ISNUMBER(MATCH(Transactions!$B$5:$B$1504,Lists!$A$2:$A$31,0))*ISNUMBER(Transactions!$D$5:$D$1504)*(Transactions!$B$5:$B$1504=Lists!$A$7)*(Transactions!$A$5:$A$1504&gt;=DATE(Calc!$C$4,4,1))*(Transactions!$A$5:$A$1504&lt;DATE(Calc!$C$4,5,1)),Transactions!$D$5:$D$1504)</f>
        <v>0</v>
      </c>
      <c r="G11" s="23">
        <f>SUMPRODUCT(ISNUMBER(Transactions!$A$5:$A$1504)*ISNUMBER(MATCH(Transactions!$B$5:$B$1504,Lists!$A$2:$A$31,0))*ISNUMBER(Transactions!$D$5:$D$1504)*(Transactions!$B$5:$B$1504=Lists!$A$7)*(Transactions!$A$5:$A$1504&gt;=DATE(Calc!$C$4,5,1))*(Transactions!$A$5:$A$1504&lt;DATE(Calc!$C$4,6,1)),Transactions!$D$5:$D$1504)</f>
        <v>0</v>
      </c>
      <c r="H11" s="23">
        <f>SUMPRODUCT(ISNUMBER(Transactions!$A$5:$A$1504)*ISNUMBER(MATCH(Transactions!$B$5:$B$1504,Lists!$A$2:$A$31,0))*ISNUMBER(Transactions!$D$5:$D$1504)*(Transactions!$B$5:$B$1504=Lists!$A$7)*(Transactions!$A$5:$A$1504&gt;=DATE(Calc!$C$4,6,1))*(Transactions!$A$5:$A$1504&lt;DATE(Calc!$C$4,7,1)),Transactions!$D$5:$D$1504)</f>
        <v>0</v>
      </c>
      <c r="I11" s="23">
        <f>SUMPRODUCT(ISNUMBER(Transactions!$A$5:$A$1504)*ISNUMBER(MATCH(Transactions!$B$5:$B$1504,Lists!$A$2:$A$31,0))*ISNUMBER(Transactions!$D$5:$D$1504)*(Transactions!$B$5:$B$1504=Lists!$A$7)*(Transactions!$A$5:$A$1504&gt;=DATE(Calc!$C$4,7,1))*(Transactions!$A$5:$A$1504&lt;DATE(Calc!$C$4,8,1)),Transactions!$D$5:$D$1504)</f>
        <v>0</v>
      </c>
      <c r="J11" s="23">
        <f>SUMPRODUCT(ISNUMBER(Transactions!$A$5:$A$1504)*ISNUMBER(MATCH(Transactions!$B$5:$B$1504,Lists!$A$2:$A$31,0))*ISNUMBER(Transactions!$D$5:$D$1504)*(Transactions!$B$5:$B$1504=Lists!$A$7)*(Transactions!$A$5:$A$1504&gt;=DATE(Calc!$C$4,8,1))*(Transactions!$A$5:$A$1504&lt;DATE(Calc!$C$4,9,1)),Transactions!$D$5:$D$1504)</f>
        <v>0</v>
      </c>
      <c r="K11" s="23">
        <f>SUMPRODUCT(ISNUMBER(Transactions!$A$5:$A$1504)*ISNUMBER(MATCH(Transactions!$B$5:$B$1504,Lists!$A$2:$A$31,0))*ISNUMBER(Transactions!$D$5:$D$1504)*(Transactions!$B$5:$B$1504=Lists!$A$7)*(Transactions!$A$5:$A$1504&gt;=DATE(Calc!$C$4,9,1))*(Transactions!$A$5:$A$1504&lt;DATE(Calc!$C$4,10,1)),Transactions!$D$5:$D$1504)</f>
        <v>0</v>
      </c>
      <c r="L11" s="23">
        <f>SUMPRODUCT(ISNUMBER(Transactions!$A$5:$A$1504)*ISNUMBER(MATCH(Transactions!$B$5:$B$1504,Lists!$A$2:$A$31,0))*ISNUMBER(Transactions!$D$5:$D$1504)*(Transactions!$B$5:$B$1504=Lists!$A$7)*(Transactions!$A$5:$A$1504&gt;=DATE(Calc!$C$4,10,1))*(Transactions!$A$5:$A$1504&lt;DATE(Calc!$C$4,11,1)),Transactions!$D$5:$D$1504)</f>
        <v>0</v>
      </c>
      <c r="M11" s="23">
        <f>SUMPRODUCT(ISNUMBER(Transactions!$A$5:$A$1504)*ISNUMBER(MATCH(Transactions!$B$5:$B$1504,Lists!$A$2:$A$31,0))*ISNUMBER(Transactions!$D$5:$D$1504)*(Transactions!$B$5:$B$1504=Lists!$A$7)*(Transactions!$A$5:$A$1504&gt;=DATE(Calc!$C$4,11,1))*(Transactions!$A$5:$A$1504&lt;DATE(Calc!$C$4,12,1)),Transactions!$D$5:$D$1504)</f>
        <v>0</v>
      </c>
      <c r="N11" s="23">
        <f>SUMPRODUCT(ISNUMBER(Transactions!$A$5:$A$1504)*ISNUMBER(MATCH(Transactions!$B$5:$B$1504,Lists!$A$2:$A$31,0))*ISNUMBER(Transactions!$D$5:$D$1504)*(Transactions!$B$5:$B$1504=Lists!$A$7)*(Transactions!$A$5:$A$1504&gt;=DATE(Calc!$C$4,12,1))*(Transactions!$A$5:$A$1504&lt;DATE(Calc!$C$4,13,1)),Transactions!$D$5:$D$1504)</f>
        <v>0</v>
      </c>
      <c r="O11" s="24">
        <f t="shared" si="0"/>
        <v>0</v>
      </c>
      <c r="P11" s="24">
        <f>IF(Calc!$C$5=0,0,O11/Calc!$C$5)</f>
        <v>0</v>
      </c>
    </row>
    <row r="12" spans="1:16" x14ac:dyDescent="0.35">
      <c r="A12" s="22" t="str">
        <f>IF(Budget!A13="","",Budget!A13)</f>
        <v>Insurance</v>
      </c>
      <c r="B12" s="22" t="str">
        <f>IF(LEFT(Lists!$A$8,1)="[","",Budget!B13)</f>
        <v>Bills</v>
      </c>
      <c r="C12" s="23">
        <f>SUMPRODUCT(ISNUMBER(Transactions!$A$5:$A$1504)*ISNUMBER(MATCH(Transactions!$B$5:$B$1504,Lists!$A$2:$A$31,0))*ISNUMBER(Transactions!$D$5:$D$1504)*(Transactions!$B$5:$B$1504=Lists!$A$8)*(Transactions!$A$5:$A$1504&gt;=DATE(Calc!$C$4,1,1))*(Transactions!$A$5:$A$1504&lt;DATE(Calc!$C$4,2,1)),Transactions!$D$5:$D$1504)</f>
        <v>0</v>
      </c>
      <c r="D12" s="23">
        <f>SUMPRODUCT(ISNUMBER(Transactions!$A$5:$A$1504)*ISNUMBER(MATCH(Transactions!$B$5:$B$1504,Lists!$A$2:$A$31,0))*ISNUMBER(Transactions!$D$5:$D$1504)*(Transactions!$B$5:$B$1504=Lists!$A$8)*(Transactions!$A$5:$A$1504&gt;=DATE(Calc!$C$4,2,1))*(Transactions!$A$5:$A$1504&lt;DATE(Calc!$C$4,3,1)),Transactions!$D$5:$D$1504)</f>
        <v>0</v>
      </c>
      <c r="E12" s="23">
        <f>SUMPRODUCT(ISNUMBER(Transactions!$A$5:$A$1504)*ISNUMBER(MATCH(Transactions!$B$5:$B$1504,Lists!$A$2:$A$31,0))*ISNUMBER(Transactions!$D$5:$D$1504)*(Transactions!$B$5:$B$1504=Lists!$A$8)*(Transactions!$A$5:$A$1504&gt;=DATE(Calc!$C$4,3,1))*(Transactions!$A$5:$A$1504&lt;DATE(Calc!$C$4,4,1)),Transactions!$D$5:$D$1504)</f>
        <v>0</v>
      </c>
      <c r="F12" s="23">
        <f>SUMPRODUCT(ISNUMBER(Transactions!$A$5:$A$1504)*ISNUMBER(MATCH(Transactions!$B$5:$B$1504,Lists!$A$2:$A$31,0))*ISNUMBER(Transactions!$D$5:$D$1504)*(Transactions!$B$5:$B$1504=Lists!$A$8)*(Transactions!$A$5:$A$1504&gt;=DATE(Calc!$C$4,4,1))*(Transactions!$A$5:$A$1504&lt;DATE(Calc!$C$4,5,1)),Transactions!$D$5:$D$1504)</f>
        <v>0</v>
      </c>
      <c r="G12" s="23">
        <f>SUMPRODUCT(ISNUMBER(Transactions!$A$5:$A$1504)*ISNUMBER(MATCH(Transactions!$B$5:$B$1504,Lists!$A$2:$A$31,0))*ISNUMBER(Transactions!$D$5:$D$1504)*(Transactions!$B$5:$B$1504=Lists!$A$8)*(Transactions!$A$5:$A$1504&gt;=DATE(Calc!$C$4,5,1))*(Transactions!$A$5:$A$1504&lt;DATE(Calc!$C$4,6,1)),Transactions!$D$5:$D$1504)</f>
        <v>0</v>
      </c>
      <c r="H12" s="23">
        <f>SUMPRODUCT(ISNUMBER(Transactions!$A$5:$A$1504)*ISNUMBER(MATCH(Transactions!$B$5:$B$1504,Lists!$A$2:$A$31,0))*ISNUMBER(Transactions!$D$5:$D$1504)*(Transactions!$B$5:$B$1504=Lists!$A$8)*(Transactions!$A$5:$A$1504&gt;=DATE(Calc!$C$4,6,1))*(Transactions!$A$5:$A$1504&lt;DATE(Calc!$C$4,7,1)),Transactions!$D$5:$D$1504)</f>
        <v>0</v>
      </c>
      <c r="I12" s="23">
        <f>SUMPRODUCT(ISNUMBER(Transactions!$A$5:$A$1504)*ISNUMBER(MATCH(Transactions!$B$5:$B$1504,Lists!$A$2:$A$31,0))*ISNUMBER(Transactions!$D$5:$D$1504)*(Transactions!$B$5:$B$1504=Lists!$A$8)*(Transactions!$A$5:$A$1504&gt;=DATE(Calc!$C$4,7,1))*(Transactions!$A$5:$A$1504&lt;DATE(Calc!$C$4,8,1)),Transactions!$D$5:$D$1504)</f>
        <v>0</v>
      </c>
      <c r="J12" s="23">
        <f>SUMPRODUCT(ISNUMBER(Transactions!$A$5:$A$1504)*ISNUMBER(MATCH(Transactions!$B$5:$B$1504,Lists!$A$2:$A$31,0))*ISNUMBER(Transactions!$D$5:$D$1504)*(Transactions!$B$5:$B$1504=Lists!$A$8)*(Transactions!$A$5:$A$1504&gt;=DATE(Calc!$C$4,8,1))*(Transactions!$A$5:$A$1504&lt;DATE(Calc!$C$4,9,1)),Transactions!$D$5:$D$1504)</f>
        <v>0</v>
      </c>
      <c r="K12" s="23">
        <f>SUMPRODUCT(ISNUMBER(Transactions!$A$5:$A$1504)*ISNUMBER(MATCH(Transactions!$B$5:$B$1504,Lists!$A$2:$A$31,0))*ISNUMBER(Transactions!$D$5:$D$1504)*(Transactions!$B$5:$B$1504=Lists!$A$8)*(Transactions!$A$5:$A$1504&gt;=DATE(Calc!$C$4,9,1))*(Transactions!$A$5:$A$1504&lt;DATE(Calc!$C$4,10,1)),Transactions!$D$5:$D$1504)</f>
        <v>0</v>
      </c>
      <c r="L12" s="23">
        <f>SUMPRODUCT(ISNUMBER(Transactions!$A$5:$A$1504)*ISNUMBER(MATCH(Transactions!$B$5:$B$1504,Lists!$A$2:$A$31,0))*ISNUMBER(Transactions!$D$5:$D$1504)*(Transactions!$B$5:$B$1504=Lists!$A$8)*(Transactions!$A$5:$A$1504&gt;=DATE(Calc!$C$4,10,1))*(Transactions!$A$5:$A$1504&lt;DATE(Calc!$C$4,11,1)),Transactions!$D$5:$D$1504)</f>
        <v>0</v>
      </c>
      <c r="M12" s="23">
        <f>SUMPRODUCT(ISNUMBER(Transactions!$A$5:$A$1504)*ISNUMBER(MATCH(Transactions!$B$5:$B$1504,Lists!$A$2:$A$31,0))*ISNUMBER(Transactions!$D$5:$D$1504)*(Transactions!$B$5:$B$1504=Lists!$A$8)*(Transactions!$A$5:$A$1504&gt;=DATE(Calc!$C$4,11,1))*(Transactions!$A$5:$A$1504&lt;DATE(Calc!$C$4,12,1)),Transactions!$D$5:$D$1504)</f>
        <v>0</v>
      </c>
      <c r="N12" s="23">
        <f>SUMPRODUCT(ISNUMBER(Transactions!$A$5:$A$1504)*ISNUMBER(MATCH(Transactions!$B$5:$B$1504,Lists!$A$2:$A$31,0))*ISNUMBER(Transactions!$D$5:$D$1504)*(Transactions!$B$5:$B$1504=Lists!$A$8)*(Transactions!$A$5:$A$1504&gt;=DATE(Calc!$C$4,12,1))*(Transactions!$A$5:$A$1504&lt;DATE(Calc!$C$4,13,1)),Transactions!$D$5:$D$1504)</f>
        <v>0</v>
      </c>
      <c r="O12" s="24">
        <f t="shared" si="0"/>
        <v>0</v>
      </c>
      <c r="P12" s="24">
        <f>IF(Calc!$C$5=0,0,O12/Calc!$C$5)</f>
        <v>0</v>
      </c>
    </row>
    <row r="13" spans="1:16" x14ac:dyDescent="0.35">
      <c r="A13" s="22" t="str">
        <f>IF(Budget!A14="","",Budget!A14)</f>
        <v>Subscriptions</v>
      </c>
      <c r="B13" s="22" t="str">
        <f>IF(LEFT(Lists!$A$9,1)="[","",Budget!B14)</f>
        <v>Bills</v>
      </c>
      <c r="C13" s="23">
        <f>SUMPRODUCT(ISNUMBER(Transactions!$A$5:$A$1504)*ISNUMBER(MATCH(Transactions!$B$5:$B$1504,Lists!$A$2:$A$31,0))*ISNUMBER(Transactions!$D$5:$D$1504)*(Transactions!$B$5:$B$1504=Lists!$A$9)*(Transactions!$A$5:$A$1504&gt;=DATE(Calc!$C$4,1,1))*(Transactions!$A$5:$A$1504&lt;DATE(Calc!$C$4,2,1)),Transactions!$D$5:$D$1504)</f>
        <v>0</v>
      </c>
      <c r="D13" s="23">
        <f>SUMPRODUCT(ISNUMBER(Transactions!$A$5:$A$1504)*ISNUMBER(MATCH(Transactions!$B$5:$B$1504,Lists!$A$2:$A$31,0))*ISNUMBER(Transactions!$D$5:$D$1504)*(Transactions!$B$5:$B$1504=Lists!$A$9)*(Transactions!$A$5:$A$1504&gt;=DATE(Calc!$C$4,2,1))*(Transactions!$A$5:$A$1504&lt;DATE(Calc!$C$4,3,1)),Transactions!$D$5:$D$1504)</f>
        <v>0</v>
      </c>
      <c r="E13" s="23">
        <f>SUMPRODUCT(ISNUMBER(Transactions!$A$5:$A$1504)*ISNUMBER(MATCH(Transactions!$B$5:$B$1504,Lists!$A$2:$A$31,0))*ISNUMBER(Transactions!$D$5:$D$1504)*(Transactions!$B$5:$B$1504=Lists!$A$9)*(Transactions!$A$5:$A$1504&gt;=DATE(Calc!$C$4,3,1))*(Transactions!$A$5:$A$1504&lt;DATE(Calc!$C$4,4,1)),Transactions!$D$5:$D$1504)</f>
        <v>0</v>
      </c>
      <c r="F13" s="23">
        <f>SUMPRODUCT(ISNUMBER(Transactions!$A$5:$A$1504)*ISNUMBER(MATCH(Transactions!$B$5:$B$1504,Lists!$A$2:$A$31,0))*ISNUMBER(Transactions!$D$5:$D$1504)*(Transactions!$B$5:$B$1504=Lists!$A$9)*(Transactions!$A$5:$A$1504&gt;=DATE(Calc!$C$4,4,1))*(Transactions!$A$5:$A$1504&lt;DATE(Calc!$C$4,5,1)),Transactions!$D$5:$D$1504)</f>
        <v>0</v>
      </c>
      <c r="G13" s="23">
        <f>SUMPRODUCT(ISNUMBER(Transactions!$A$5:$A$1504)*ISNUMBER(MATCH(Transactions!$B$5:$B$1504,Lists!$A$2:$A$31,0))*ISNUMBER(Transactions!$D$5:$D$1504)*(Transactions!$B$5:$B$1504=Lists!$A$9)*(Transactions!$A$5:$A$1504&gt;=DATE(Calc!$C$4,5,1))*(Transactions!$A$5:$A$1504&lt;DATE(Calc!$C$4,6,1)),Transactions!$D$5:$D$1504)</f>
        <v>0</v>
      </c>
      <c r="H13" s="23">
        <f>SUMPRODUCT(ISNUMBER(Transactions!$A$5:$A$1504)*ISNUMBER(MATCH(Transactions!$B$5:$B$1504,Lists!$A$2:$A$31,0))*ISNUMBER(Transactions!$D$5:$D$1504)*(Transactions!$B$5:$B$1504=Lists!$A$9)*(Transactions!$A$5:$A$1504&gt;=DATE(Calc!$C$4,6,1))*(Transactions!$A$5:$A$1504&lt;DATE(Calc!$C$4,7,1)),Transactions!$D$5:$D$1504)</f>
        <v>0</v>
      </c>
      <c r="I13" s="23">
        <f>SUMPRODUCT(ISNUMBER(Transactions!$A$5:$A$1504)*ISNUMBER(MATCH(Transactions!$B$5:$B$1504,Lists!$A$2:$A$31,0))*ISNUMBER(Transactions!$D$5:$D$1504)*(Transactions!$B$5:$B$1504=Lists!$A$9)*(Transactions!$A$5:$A$1504&gt;=DATE(Calc!$C$4,7,1))*(Transactions!$A$5:$A$1504&lt;DATE(Calc!$C$4,8,1)),Transactions!$D$5:$D$1504)</f>
        <v>0</v>
      </c>
      <c r="J13" s="23">
        <f>SUMPRODUCT(ISNUMBER(Transactions!$A$5:$A$1504)*ISNUMBER(MATCH(Transactions!$B$5:$B$1504,Lists!$A$2:$A$31,0))*ISNUMBER(Transactions!$D$5:$D$1504)*(Transactions!$B$5:$B$1504=Lists!$A$9)*(Transactions!$A$5:$A$1504&gt;=DATE(Calc!$C$4,8,1))*(Transactions!$A$5:$A$1504&lt;DATE(Calc!$C$4,9,1)),Transactions!$D$5:$D$1504)</f>
        <v>0</v>
      </c>
      <c r="K13" s="23">
        <f>SUMPRODUCT(ISNUMBER(Transactions!$A$5:$A$1504)*ISNUMBER(MATCH(Transactions!$B$5:$B$1504,Lists!$A$2:$A$31,0))*ISNUMBER(Transactions!$D$5:$D$1504)*(Transactions!$B$5:$B$1504=Lists!$A$9)*(Transactions!$A$5:$A$1504&gt;=DATE(Calc!$C$4,9,1))*(Transactions!$A$5:$A$1504&lt;DATE(Calc!$C$4,10,1)),Transactions!$D$5:$D$1504)</f>
        <v>0</v>
      </c>
      <c r="L13" s="23">
        <f>SUMPRODUCT(ISNUMBER(Transactions!$A$5:$A$1504)*ISNUMBER(MATCH(Transactions!$B$5:$B$1504,Lists!$A$2:$A$31,0))*ISNUMBER(Transactions!$D$5:$D$1504)*(Transactions!$B$5:$B$1504=Lists!$A$9)*(Transactions!$A$5:$A$1504&gt;=DATE(Calc!$C$4,10,1))*(Transactions!$A$5:$A$1504&lt;DATE(Calc!$C$4,11,1)),Transactions!$D$5:$D$1504)</f>
        <v>0</v>
      </c>
      <c r="M13" s="23">
        <f>SUMPRODUCT(ISNUMBER(Transactions!$A$5:$A$1504)*ISNUMBER(MATCH(Transactions!$B$5:$B$1504,Lists!$A$2:$A$31,0))*ISNUMBER(Transactions!$D$5:$D$1504)*(Transactions!$B$5:$B$1504=Lists!$A$9)*(Transactions!$A$5:$A$1504&gt;=DATE(Calc!$C$4,11,1))*(Transactions!$A$5:$A$1504&lt;DATE(Calc!$C$4,12,1)),Transactions!$D$5:$D$1504)</f>
        <v>0</v>
      </c>
      <c r="N13" s="23">
        <f>SUMPRODUCT(ISNUMBER(Transactions!$A$5:$A$1504)*ISNUMBER(MATCH(Transactions!$B$5:$B$1504,Lists!$A$2:$A$31,0))*ISNUMBER(Transactions!$D$5:$D$1504)*(Transactions!$B$5:$B$1504=Lists!$A$9)*(Transactions!$A$5:$A$1504&gt;=DATE(Calc!$C$4,12,1))*(Transactions!$A$5:$A$1504&lt;DATE(Calc!$C$4,13,1)),Transactions!$D$5:$D$1504)</f>
        <v>0</v>
      </c>
      <c r="O13" s="24">
        <f t="shared" si="0"/>
        <v>0</v>
      </c>
      <c r="P13" s="24">
        <f>IF(Calc!$C$5=0,0,O13/Calc!$C$5)</f>
        <v>0</v>
      </c>
    </row>
    <row r="14" spans="1:16" x14ac:dyDescent="0.35">
      <c r="A14" s="22" t="str">
        <f>IF(Budget!A15="","",Budget!A15)</f>
        <v>Groceries</v>
      </c>
      <c r="B14" s="22" t="str">
        <f>IF(LEFT(Lists!$A$10,1)="[","",Budget!B15)</f>
        <v>Living</v>
      </c>
      <c r="C14" s="23">
        <f>SUMPRODUCT(ISNUMBER(Transactions!$A$5:$A$1504)*ISNUMBER(MATCH(Transactions!$B$5:$B$1504,Lists!$A$2:$A$31,0))*ISNUMBER(Transactions!$D$5:$D$1504)*(Transactions!$B$5:$B$1504=Lists!$A$10)*(Transactions!$A$5:$A$1504&gt;=DATE(Calc!$C$4,1,1))*(Transactions!$A$5:$A$1504&lt;DATE(Calc!$C$4,2,1)),Transactions!$D$5:$D$1504)</f>
        <v>112.4</v>
      </c>
      <c r="D14" s="23">
        <f>SUMPRODUCT(ISNUMBER(Transactions!$A$5:$A$1504)*ISNUMBER(MATCH(Transactions!$B$5:$B$1504,Lists!$A$2:$A$31,0))*ISNUMBER(Transactions!$D$5:$D$1504)*(Transactions!$B$5:$B$1504=Lists!$A$10)*(Transactions!$A$5:$A$1504&gt;=DATE(Calc!$C$4,2,1))*(Transactions!$A$5:$A$1504&lt;DATE(Calc!$C$4,3,1)),Transactions!$D$5:$D$1504)</f>
        <v>0</v>
      </c>
      <c r="E14" s="23">
        <f>SUMPRODUCT(ISNUMBER(Transactions!$A$5:$A$1504)*ISNUMBER(MATCH(Transactions!$B$5:$B$1504,Lists!$A$2:$A$31,0))*ISNUMBER(Transactions!$D$5:$D$1504)*(Transactions!$B$5:$B$1504=Lists!$A$10)*(Transactions!$A$5:$A$1504&gt;=DATE(Calc!$C$4,3,1))*(Transactions!$A$5:$A$1504&lt;DATE(Calc!$C$4,4,1)),Transactions!$D$5:$D$1504)</f>
        <v>0</v>
      </c>
      <c r="F14" s="23">
        <f>SUMPRODUCT(ISNUMBER(Transactions!$A$5:$A$1504)*ISNUMBER(MATCH(Transactions!$B$5:$B$1504,Lists!$A$2:$A$31,0))*ISNUMBER(Transactions!$D$5:$D$1504)*(Transactions!$B$5:$B$1504=Lists!$A$10)*(Transactions!$A$5:$A$1504&gt;=DATE(Calc!$C$4,4,1))*(Transactions!$A$5:$A$1504&lt;DATE(Calc!$C$4,5,1)),Transactions!$D$5:$D$1504)</f>
        <v>0</v>
      </c>
      <c r="G14" s="23">
        <f>SUMPRODUCT(ISNUMBER(Transactions!$A$5:$A$1504)*ISNUMBER(MATCH(Transactions!$B$5:$B$1504,Lists!$A$2:$A$31,0))*ISNUMBER(Transactions!$D$5:$D$1504)*(Transactions!$B$5:$B$1504=Lists!$A$10)*(Transactions!$A$5:$A$1504&gt;=DATE(Calc!$C$4,5,1))*(Transactions!$A$5:$A$1504&lt;DATE(Calc!$C$4,6,1)),Transactions!$D$5:$D$1504)</f>
        <v>0</v>
      </c>
      <c r="H14" s="23">
        <f>SUMPRODUCT(ISNUMBER(Transactions!$A$5:$A$1504)*ISNUMBER(MATCH(Transactions!$B$5:$B$1504,Lists!$A$2:$A$31,0))*ISNUMBER(Transactions!$D$5:$D$1504)*(Transactions!$B$5:$B$1504=Lists!$A$10)*(Transactions!$A$5:$A$1504&gt;=DATE(Calc!$C$4,6,1))*(Transactions!$A$5:$A$1504&lt;DATE(Calc!$C$4,7,1)),Transactions!$D$5:$D$1504)</f>
        <v>0</v>
      </c>
      <c r="I14" s="23">
        <f>SUMPRODUCT(ISNUMBER(Transactions!$A$5:$A$1504)*ISNUMBER(MATCH(Transactions!$B$5:$B$1504,Lists!$A$2:$A$31,0))*ISNUMBER(Transactions!$D$5:$D$1504)*(Transactions!$B$5:$B$1504=Lists!$A$10)*(Transactions!$A$5:$A$1504&gt;=DATE(Calc!$C$4,7,1))*(Transactions!$A$5:$A$1504&lt;DATE(Calc!$C$4,8,1)),Transactions!$D$5:$D$1504)</f>
        <v>0</v>
      </c>
      <c r="J14" s="23">
        <f>SUMPRODUCT(ISNUMBER(Transactions!$A$5:$A$1504)*ISNUMBER(MATCH(Transactions!$B$5:$B$1504,Lists!$A$2:$A$31,0))*ISNUMBER(Transactions!$D$5:$D$1504)*(Transactions!$B$5:$B$1504=Lists!$A$10)*(Transactions!$A$5:$A$1504&gt;=DATE(Calc!$C$4,8,1))*(Transactions!$A$5:$A$1504&lt;DATE(Calc!$C$4,9,1)),Transactions!$D$5:$D$1504)</f>
        <v>0</v>
      </c>
      <c r="K14" s="23">
        <f>SUMPRODUCT(ISNUMBER(Transactions!$A$5:$A$1504)*ISNUMBER(MATCH(Transactions!$B$5:$B$1504,Lists!$A$2:$A$31,0))*ISNUMBER(Transactions!$D$5:$D$1504)*(Transactions!$B$5:$B$1504=Lists!$A$10)*(Transactions!$A$5:$A$1504&gt;=DATE(Calc!$C$4,9,1))*(Transactions!$A$5:$A$1504&lt;DATE(Calc!$C$4,10,1)),Transactions!$D$5:$D$1504)</f>
        <v>0</v>
      </c>
      <c r="L14" s="23">
        <f>SUMPRODUCT(ISNUMBER(Transactions!$A$5:$A$1504)*ISNUMBER(MATCH(Transactions!$B$5:$B$1504,Lists!$A$2:$A$31,0))*ISNUMBER(Transactions!$D$5:$D$1504)*(Transactions!$B$5:$B$1504=Lists!$A$10)*(Transactions!$A$5:$A$1504&gt;=DATE(Calc!$C$4,10,1))*(Transactions!$A$5:$A$1504&lt;DATE(Calc!$C$4,11,1)),Transactions!$D$5:$D$1504)</f>
        <v>0</v>
      </c>
      <c r="M14" s="23">
        <f>SUMPRODUCT(ISNUMBER(Transactions!$A$5:$A$1504)*ISNUMBER(MATCH(Transactions!$B$5:$B$1504,Lists!$A$2:$A$31,0))*ISNUMBER(Transactions!$D$5:$D$1504)*(Transactions!$B$5:$B$1504=Lists!$A$10)*(Transactions!$A$5:$A$1504&gt;=DATE(Calc!$C$4,11,1))*(Transactions!$A$5:$A$1504&lt;DATE(Calc!$C$4,12,1)),Transactions!$D$5:$D$1504)</f>
        <v>0</v>
      </c>
      <c r="N14" s="23">
        <f>SUMPRODUCT(ISNUMBER(Transactions!$A$5:$A$1504)*ISNUMBER(MATCH(Transactions!$B$5:$B$1504,Lists!$A$2:$A$31,0))*ISNUMBER(Transactions!$D$5:$D$1504)*(Transactions!$B$5:$B$1504=Lists!$A$10)*(Transactions!$A$5:$A$1504&gt;=DATE(Calc!$C$4,12,1))*(Transactions!$A$5:$A$1504&lt;DATE(Calc!$C$4,13,1)),Transactions!$D$5:$D$1504)</f>
        <v>0</v>
      </c>
      <c r="O14" s="24">
        <f t="shared" si="0"/>
        <v>112.4</v>
      </c>
      <c r="P14" s="24">
        <f>IF(Calc!$C$5=0,0,O14/Calc!$C$5)</f>
        <v>112.4</v>
      </c>
    </row>
    <row r="15" spans="1:16" x14ac:dyDescent="0.35">
      <c r="A15" s="22" t="str">
        <f>IF(Budget!A16="","",Budget!A16)</f>
        <v>Dining out</v>
      </c>
      <c r="B15" s="22" t="str">
        <f>IF(LEFT(Lists!$A$11,1)="[","",Budget!B16)</f>
        <v>Living</v>
      </c>
      <c r="C15" s="23">
        <f>SUMPRODUCT(ISNUMBER(Transactions!$A$5:$A$1504)*ISNUMBER(MATCH(Transactions!$B$5:$B$1504,Lists!$A$2:$A$31,0))*ISNUMBER(Transactions!$D$5:$D$1504)*(Transactions!$B$5:$B$1504=Lists!$A$11)*(Transactions!$A$5:$A$1504&gt;=DATE(Calc!$C$4,1,1))*(Transactions!$A$5:$A$1504&lt;DATE(Calc!$C$4,2,1)),Transactions!$D$5:$D$1504)</f>
        <v>0</v>
      </c>
      <c r="D15" s="23">
        <f>SUMPRODUCT(ISNUMBER(Transactions!$A$5:$A$1504)*ISNUMBER(MATCH(Transactions!$B$5:$B$1504,Lists!$A$2:$A$31,0))*ISNUMBER(Transactions!$D$5:$D$1504)*(Transactions!$B$5:$B$1504=Lists!$A$11)*(Transactions!$A$5:$A$1504&gt;=DATE(Calc!$C$4,2,1))*(Transactions!$A$5:$A$1504&lt;DATE(Calc!$C$4,3,1)),Transactions!$D$5:$D$1504)</f>
        <v>0</v>
      </c>
      <c r="E15" s="23">
        <f>SUMPRODUCT(ISNUMBER(Transactions!$A$5:$A$1504)*ISNUMBER(MATCH(Transactions!$B$5:$B$1504,Lists!$A$2:$A$31,0))*ISNUMBER(Transactions!$D$5:$D$1504)*(Transactions!$B$5:$B$1504=Lists!$A$11)*(Transactions!$A$5:$A$1504&gt;=DATE(Calc!$C$4,3,1))*(Transactions!$A$5:$A$1504&lt;DATE(Calc!$C$4,4,1)),Transactions!$D$5:$D$1504)</f>
        <v>0</v>
      </c>
      <c r="F15" s="23">
        <f>SUMPRODUCT(ISNUMBER(Transactions!$A$5:$A$1504)*ISNUMBER(MATCH(Transactions!$B$5:$B$1504,Lists!$A$2:$A$31,0))*ISNUMBER(Transactions!$D$5:$D$1504)*(Transactions!$B$5:$B$1504=Lists!$A$11)*(Transactions!$A$5:$A$1504&gt;=DATE(Calc!$C$4,4,1))*(Transactions!$A$5:$A$1504&lt;DATE(Calc!$C$4,5,1)),Transactions!$D$5:$D$1504)</f>
        <v>0</v>
      </c>
      <c r="G15" s="23">
        <f>SUMPRODUCT(ISNUMBER(Transactions!$A$5:$A$1504)*ISNUMBER(MATCH(Transactions!$B$5:$B$1504,Lists!$A$2:$A$31,0))*ISNUMBER(Transactions!$D$5:$D$1504)*(Transactions!$B$5:$B$1504=Lists!$A$11)*(Transactions!$A$5:$A$1504&gt;=DATE(Calc!$C$4,5,1))*(Transactions!$A$5:$A$1504&lt;DATE(Calc!$C$4,6,1)),Transactions!$D$5:$D$1504)</f>
        <v>0</v>
      </c>
      <c r="H15" s="23">
        <f>SUMPRODUCT(ISNUMBER(Transactions!$A$5:$A$1504)*ISNUMBER(MATCH(Transactions!$B$5:$B$1504,Lists!$A$2:$A$31,0))*ISNUMBER(Transactions!$D$5:$D$1504)*(Transactions!$B$5:$B$1504=Lists!$A$11)*(Transactions!$A$5:$A$1504&gt;=DATE(Calc!$C$4,6,1))*(Transactions!$A$5:$A$1504&lt;DATE(Calc!$C$4,7,1)),Transactions!$D$5:$D$1504)</f>
        <v>0</v>
      </c>
      <c r="I15" s="23">
        <f>SUMPRODUCT(ISNUMBER(Transactions!$A$5:$A$1504)*ISNUMBER(MATCH(Transactions!$B$5:$B$1504,Lists!$A$2:$A$31,0))*ISNUMBER(Transactions!$D$5:$D$1504)*(Transactions!$B$5:$B$1504=Lists!$A$11)*(Transactions!$A$5:$A$1504&gt;=DATE(Calc!$C$4,7,1))*(Transactions!$A$5:$A$1504&lt;DATE(Calc!$C$4,8,1)),Transactions!$D$5:$D$1504)</f>
        <v>0</v>
      </c>
      <c r="J15" s="23">
        <f>SUMPRODUCT(ISNUMBER(Transactions!$A$5:$A$1504)*ISNUMBER(MATCH(Transactions!$B$5:$B$1504,Lists!$A$2:$A$31,0))*ISNUMBER(Transactions!$D$5:$D$1504)*(Transactions!$B$5:$B$1504=Lists!$A$11)*(Transactions!$A$5:$A$1504&gt;=DATE(Calc!$C$4,8,1))*(Transactions!$A$5:$A$1504&lt;DATE(Calc!$C$4,9,1)),Transactions!$D$5:$D$1504)</f>
        <v>0</v>
      </c>
      <c r="K15" s="23">
        <f>SUMPRODUCT(ISNUMBER(Transactions!$A$5:$A$1504)*ISNUMBER(MATCH(Transactions!$B$5:$B$1504,Lists!$A$2:$A$31,0))*ISNUMBER(Transactions!$D$5:$D$1504)*(Transactions!$B$5:$B$1504=Lists!$A$11)*(Transactions!$A$5:$A$1504&gt;=DATE(Calc!$C$4,9,1))*(Transactions!$A$5:$A$1504&lt;DATE(Calc!$C$4,10,1)),Transactions!$D$5:$D$1504)</f>
        <v>0</v>
      </c>
      <c r="L15" s="23">
        <f>SUMPRODUCT(ISNUMBER(Transactions!$A$5:$A$1504)*ISNUMBER(MATCH(Transactions!$B$5:$B$1504,Lists!$A$2:$A$31,0))*ISNUMBER(Transactions!$D$5:$D$1504)*(Transactions!$B$5:$B$1504=Lists!$A$11)*(Transactions!$A$5:$A$1504&gt;=DATE(Calc!$C$4,10,1))*(Transactions!$A$5:$A$1504&lt;DATE(Calc!$C$4,11,1)),Transactions!$D$5:$D$1504)</f>
        <v>0</v>
      </c>
      <c r="M15" s="23">
        <f>SUMPRODUCT(ISNUMBER(Transactions!$A$5:$A$1504)*ISNUMBER(MATCH(Transactions!$B$5:$B$1504,Lists!$A$2:$A$31,0))*ISNUMBER(Transactions!$D$5:$D$1504)*(Transactions!$B$5:$B$1504=Lists!$A$11)*(Transactions!$A$5:$A$1504&gt;=DATE(Calc!$C$4,11,1))*(Transactions!$A$5:$A$1504&lt;DATE(Calc!$C$4,12,1)),Transactions!$D$5:$D$1504)</f>
        <v>0</v>
      </c>
      <c r="N15" s="23">
        <f>SUMPRODUCT(ISNUMBER(Transactions!$A$5:$A$1504)*ISNUMBER(MATCH(Transactions!$B$5:$B$1504,Lists!$A$2:$A$31,0))*ISNUMBER(Transactions!$D$5:$D$1504)*(Transactions!$B$5:$B$1504=Lists!$A$11)*(Transactions!$A$5:$A$1504&gt;=DATE(Calc!$C$4,12,1))*(Transactions!$A$5:$A$1504&lt;DATE(Calc!$C$4,13,1)),Transactions!$D$5:$D$1504)</f>
        <v>0</v>
      </c>
      <c r="O15" s="24">
        <f t="shared" si="0"/>
        <v>0</v>
      </c>
      <c r="P15" s="24">
        <f>IF(Calc!$C$5=0,0,O15/Calc!$C$5)</f>
        <v>0</v>
      </c>
    </row>
    <row r="16" spans="1:16" x14ac:dyDescent="0.35">
      <c r="A16" s="22" t="str">
        <f>IF(Budget!A17="","",Budget!A17)</f>
        <v>Transportation &amp; gas</v>
      </c>
      <c r="B16" s="22" t="str">
        <f>IF(LEFT(Lists!$A$12,1)="[","",Budget!B17)</f>
        <v>Living</v>
      </c>
      <c r="C16" s="23">
        <f>SUMPRODUCT(ISNUMBER(Transactions!$A$5:$A$1504)*ISNUMBER(MATCH(Transactions!$B$5:$B$1504,Lists!$A$2:$A$31,0))*ISNUMBER(Transactions!$D$5:$D$1504)*(Transactions!$B$5:$B$1504=Lists!$A$12)*(Transactions!$A$5:$A$1504&gt;=DATE(Calc!$C$4,1,1))*(Transactions!$A$5:$A$1504&lt;DATE(Calc!$C$4,2,1)),Transactions!$D$5:$D$1504)</f>
        <v>0</v>
      </c>
      <c r="D16" s="23">
        <f>SUMPRODUCT(ISNUMBER(Transactions!$A$5:$A$1504)*ISNUMBER(MATCH(Transactions!$B$5:$B$1504,Lists!$A$2:$A$31,0))*ISNUMBER(Transactions!$D$5:$D$1504)*(Transactions!$B$5:$B$1504=Lists!$A$12)*(Transactions!$A$5:$A$1504&gt;=DATE(Calc!$C$4,2,1))*(Transactions!$A$5:$A$1504&lt;DATE(Calc!$C$4,3,1)),Transactions!$D$5:$D$1504)</f>
        <v>0</v>
      </c>
      <c r="E16" s="23">
        <f>SUMPRODUCT(ISNUMBER(Transactions!$A$5:$A$1504)*ISNUMBER(MATCH(Transactions!$B$5:$B$1504,Lists!$A$2:$A$31,0))*ISNUMBER(Transactions!$D$5:$D$1504)*(Transactions!$B$5:$B$1504=Lists!$A$12)*(Transactions!$A$5:$A$1504&gt;=DATE(Calc!$C$4,3,1))*(Transactions!$A$5:$A$1504&lt;DATE(Calc!$C$4,4,1)),Transactions!$D$5:$D$1504)</f>
        <v>0</v>
      </c>
      <c r="F16" s="23">
        <f>SUMPRODUCT(ISNUMBER(Transactions!$A$5:$A$1504)*ISNUMBER(MATCH(Transactions!$B$5:$B$1504,Lists!$A$2:$A$31,0))*ISNUMBER(Transactions!$D$5:$D$1504)*(Transactions!$B$5:$B$1504=Lists!$A$12)*(Transactions!$A$5:$A$1504&gt;=DATE(Calc!$C$4,4,1))*(Transactions!$A$5:$A$1504&lt;DATE(Calc!$C$4,5,1)),Transactions!$D$5:$D$1504)</f>
        <v>0</v>
      </c>
      <c r="G16" s="23">
        <f>SUMPRODUCT(ISNUMBER(Transactions!$A$5:$A$1504)*ISNUMBER(MATCH(Transactions!$B$5:$B$1504,Lists!$A$2:$A$31,0))*ISNUMBER(Transactions!$D$5:$D$1504)*(Transactions!$B$5:$B$1504=Lists!$A$12)*(Transactions!$A$5:$A$1504&gt;=DATE(Calc!$C$4,5,1))*(Transactions!$A$5:$A$1504&lt;DATE(Calc!$C$4,6,1)),Transactions!$D$5:$D$1504)</f>
        <v>0</v>
      </c>
      <c r="H16" s="23">
        <f>SUMPRODUCT(ISNUMBER(Transactions!$A$5:$A$1504)*ISNUMBER(MATCH(Transactions!$B$5:$B$1504,Lists!$A$2:$A$31,0))*ISNUMBER(Transactions!$D$5:$D$1504)*(Transactions!$B$5:$B$1504=Lists!$A$12)*(Transactions!$A$5:$A$1504&gt;=DATE(Calc!$C$4,6,1))*(Transactions!$A$5:$A$1504&lt;DATE(Calc!$C$4,7,1)),Transactions!$D$5:$D$1504)</f>
        <v>0</v>
      </c>
      <c r="I16" s="23">
        <f>SUMPRODUCT(ISNUMBER(Transactions!$A$5:$A$1504)*ISNUMBER(MATCH(Transactions!$B$5:$B$1504,Lists!$A$2:$A$31,0))*ISNUMBER(Transactions!$D$5:$D$1504)*(Transactions!$B$5:$B$1504=Lists!$A$12)*(Transactions!$A$5:$A$1504&gt;=DATE(Calc!$C$4,7,1))*(Transactions!$A$5:$A$1504&lt;DATE(Calc!$C$4,8,1)),Transactions!$D$5:$D$1504)</f>
        <v>0</v>
      </c>
      <c r="J16" s="23">
        <f>SUMPRODUCT(ISNUMBER(Transactions!$A$5:$A$1504)*ISNUMBER(MATCH(Transactions!$B$5:$B$1504,Lists!$A$2:$A$31,0))*ISNUMBER(Transactions!$D$5:$D$1504)*(Transactions!$B$5:$B$1504=Lists!$A$12)*(Transactions!$A$5:$A$1504&gt;=DATE(Calc!$C$4,8,1))*(Transactions!$A$5:$A$1504&lt;DATE(Calc!$C$4,9,1)),Transactions!$D$5:$D$1504)</f>
        <v>0</v>
      </c>
      <c r="K16" s="23">
        <f>SUMPRODUCT(ISNUMBER(Transactions!$A$5:$A$1504)*ISNUMBER(MATCH(Transactions!$B$5:$B$1504,Lists!$A$2:$A$31,0))*ISNUMBER(Transactions!$D$5:$D$1504)*(Transactions!$B$5:$B$1504=Lists!$A$12)*(Transactions!$A$5:$A$1504&gt;=DATE(Calc!$C$4,9,1))*(Transactions!$A$5:$A$1504&lt;DATE(Calc!$C$4,10,1)),Transactions!$D$5:$D$1504)</f>
        <v>0</v>
      </c>
      <c r="L16" s="23">
        <f>SUMPRODUCT(ISNUMBER(Transactions!$A$5:$A$1504)*ISNUMBER(MATCH(Transactions!$B$5:$B$1504,Lists!$A$2:$A$31,0))*ISNUMBER(Transactions!$D$5:$D$1504)*(Transactions!$B$5:$B$1504=Lists!$A$12)*(Transactions!$A$5:$A$1504&gt;=DATE(Calc!$C$4,10,1))*(Transactions!$A$5:$A$1504&lt;DATE(Calc!$C$4,11,1)),Transactions!$D$5:$D$1504)</f>
        <v>0</v>
      </c>
      <c r="M16" s="23">
        <f>SUMPRODUCT(ISNUMBER(Transactions!$A$5:$A$1504)*ISNUMBER(MATCH(Transactions!$B$5:$B$1504,Lists!$A$2:$A$31,0))*ISNUMBER(Transactions!$D$5:$D$1504)*(Transactions!$B$5:$B$1504=Lists!$A$12)*(Transactions!$A$5:$A$1504&gt;=DATE(Calc!$C$4,11,1))*(Transactions!$A$5:$A$1504&lt;DATE(Calc!$C$4,12,1)),Transactions!$D$5:$D$1504)</f>
        <v>0</v>
      </c>
      <c r="N16" s="23">
        <f>SUMPRODUCT(ISNUMBER(Transactions!$A$5:$A$1504)*ISNUMBER(MATCH(Transactions!$B$5:$B$1504,Lists!$A$2:$A$31,0))*ISNUMBER(Transactions!$D$5:$D$1504)*(Transactions!$B$5:$B$1504=Lists!$A$12)*(Transactions!$A$5:$A$1504&gt;=DATE(Calc!$C$4,12,1))*(Transactions!$A$5:$A$1504&lt;DATE(Calc!$C$4,13,1)),Transactions!$D$5:$D$1504)</f>
        <v>0</v>
      </c>
      <c r="O16" s="24">
        <f t="shared" si="0"/>
        <v>0</v>
      </c>
      <c r="P16" s="24">
        <f>IF(Calc!$C$5=0,0,O16/Calc!$C$5)</f>
        <v>0</v>
      </c>
    </row>
    <row r="17" spans="1:16" x14ac:dyDescent="0.35">
      <c r="A17" s="22" t="str">
        <f>IF(Budget!A18="","",Budget!A18)</f>
        <v>Health</v>
      </c>
      <c r="B17" s="22" t="str">
        <f>IF(LEFT(Lists!$A$13,1)="[","",Budget!B18)</f>
        <v>Living</v>
      </c>
      <c r="C17" s="23">
        <f>SUMPRODUCT(ISNUMBER(Transactions!$A$5:$A$1504)*ISNUMBER(MATCH(Transactions!$B$5:$B$1504,Lists!$A$2:$A$31,0))*ISNUMBER(Transactions!$D$5:$D$1504)*(Transactions!$B$5:$B$1504=Lists!$A$13)*(Transactions!$A$5:$A$1504&gt;=DATE(Calc!$C$4,1,1))*(Transactions!$A$5:$A$1504&lt;DATE(Calc!$C$4,2,1)),Transactions!$D$5:$D$1504)</f>
        <v>0</v>
      </c>
      <c r="D17" s="23">
        <f>SUMPRODUCT(ISNUMBER(Transactions!$A$5:$A$1504)*ISNUMBER(MATCH(Transactions!$B$5:$B$1504,Lists!$A$2:$A$31,0))*ISNUMBER(Transactions!$D$5:$D$1504)*(Transactions!$B$5:$B$1504=Lists!$A$13)*(Transactions!$A$5:$A$1504&gt;=DATE(Calc!$C$4,2,1))*(Transactions!$A$5:$A$1504&lt;DATE(Calc!$C$4,3,1)),Transactions!$D$5:$D$1504)</f>
        <v>0</v>
      </c>
      <c r="E17" s="23">
        <f>SUMPRODUCT(ISNUMBER(Transactions!$A$5:$A$1504)*ISNUMBER(MATCH(Transactions!$B$5:$B$1504,Lists!$A$2:$A$31,0))*ISNUMBER(Transactions!$D$5:$D$1504)*(Transactions!$B$5:$B$1504=Lists!$A$13)*(Transactions!$A$5:$A$1504&gt;=DATE(Calc!$C$4,3,1))*(Transactions!$A$5:$A$1504&lt;DATE(Calc!$C$4,4,1)),Transactions!$D$5:$D$1504)</f>
        <v>0</v>
      </c>
      <c r="F17" s="23">
        <f>SUMPRODUCT(ISNUMBER(Transactions!$A$5:$A$1504)*ISNUMBER(MATCH(Transactions!$B$5:$B$1504,Lists!$A$2:$A$31,0))*ISNUMBER(Transactions!$D$5:$D$1504)*(Transactions!$B$5:$B$1504=Lists!$A$13)*(Transactions!$A$5:$A$1504&gt;=DATE(Calc!$C$4,4,1))*(Transactions!$A$5:$A$1504&lt;DATE(Calc!$C$4,5,1)),Transactions!$D$5:$D$1504)</f>
        <v>0</v>
      </c>
      <c r="G17" s="23">
        <f>SUMPRODUCT(ISNUMBER(Transactions!$A$5:$A$1504)*ISNUMBER(MATCH(Transactions!$B$5:$B$1504,Lists!$A$2:$A$31,0))*ISNUMBER(Transactions!$D$5:$D$1504)*(Transactions!$B$5:$B$1504=Lists!$A$13)*(Transactions!$A$5:$A$1504&gt;=DATE(Calc!$C$4,5,1))*(Transactions!$A$5:$A$1504&lt;DATE(Calc!$C$4,6,1)),Transactions!$D$5:$D$1504)</f>
        <v>0</v>
      </c>
      <c r="H17" s="23">
        <f>SUMPRODUCT(ISNUMBER(Transactions!$A$5:$A$1504)*ISNUMBER(MATCH(Transactions!$B$5:$B$1504,Lists!$A$2:$A$31,0))*ISNUMBER(Transactions!$D$5:$D$1504)*(Transactions!$B$5:$B$1504=Lists!$A$13)*(Transactions!$A$5:$A$1504&gt;=DATE(Calc!$C$4,6,1))*(Transactions!$A$5:$A$1504&lt;DATE(Calc!$C$4,7,1)),Transactions!$D$5:$D$1504)</f>
        <v>0</v>
      </c>
      <c r="I17" s="23">
        <f>SUMPRODUCT(ISNUMBER(Transactions!$A$5:$A$1504)*ISNUMBER(MATCH(Transactions!$B$5:$B$1504,Lists!$A$2:$A$31,0))*ISNUMBER(Transactions!$D$5:$D$1504)*(Transactions!$B$5:$B$1504=Lists!$A$13)*(Transactions!$A$5:$A$1504&gt;=DATE(Calc!$C$4,7,1))*(Transactions!$A$5:$A$1504&lt;DATE(Calc!$C$4,8,1)),Transactions!$D$5:$D$1504)</f>
        <v>0</v>
      </c>
      <c r="J17" s="23">
        <f>SUMPRODUCT(ISNUMBER(Transactions!$A$5:$A$1504)*ISNUMBER(MATCH(Transactions!$B$5:$B$1504,Lists!$A$2:$A$31,0))*ISNUMBER(Transactions!$D$5:$D$1504)*(Transactions!$B$5:$B$1504=Lists!$A$13)*(Transactions!$A$5:$A$1504&gt;=DATE(Calc!$C$4,8,1))*(Transactions!$A$5:$A$1504&lt;DATE(Calc!$C$4,9,1)),Transactions!$D$5:$D$1504)</f>
        <v>0</v>
      </c>
      <c r="K17" s="23">
        <f>SUMPRODUCT(ISNUMBER(Transactions!$A$5:$A$1504)*ISNUMBER(MATCH(Transactions!$B$5:$B$1504,Lists!$A$2:$A$31,0))*ISNUMBER(Transactions!$D$5:$D$1504)*(Transactions!$B$5:$B$1504=Lists!$A$13)*(Transactions!$A$5:$A$1504&gt;=DATE(Calc!$C$4,9,1))*(Transactions!$A$5:$A$1504&lt;DATE(Calc!$C$4,10,1)),Transactions!$D$5:$D$1504)</f>
        <v>0</v>
      </c>
      <c r="L17" s="23">
        <f>SUMPRODUCT(ISNUMBER(Transactions!$A$5:$A$1504)*ISNUMBER(MATCH(Transactions!$B$5:$B$1504,Lists!$A$2:$A$31,0))*ISNUMBER(Transactions!$D$5:$D$1504)*(Transactions!$B$5:$B$1504=Lists!$A$13)*(Transactions!$A$5:$A$1504&gt;=DATE(Calc!$C$4,10,1))*(Transactions!$A$5:$A$1504&lt;DATE(Calc!$C$4,11,1)),Transactions!$D$5:$D$1504)</f>
        <v>0</v>
      </c>
      <c r="M17" s="23">
        <f>SUMPRODUCT(ISNUMBER(Transactions!$A$5:$A$1504)*ISNUMBER(MATCH(Transactions!$B$5:$B$1504,Lists!$A$2:$A$31,0))*ISNUMBER(Transactions!$D$5:$D$1504)*(Transactions!$B$5:$B$1504=Lists!$A$13)*(Transactions!$A$5:$A$1504&gt;=DATE(Calc!$C$4,11,1))*(Transactions!$A$5:$A$1504&lt;DATE(Calc!$C$4,12,1)),Transactions!$D$5:$D$1504)</f>
        <v>0</v>
      </c>
      <c r="N17" s="23">
        <f>SUMPRODUCT(ISNUMBER(Transactions!$A$5:$A$1504)*ISNUMBER(MATCH(Transactions!$B$5:$B$1504,Lists!$A$2:$A$31,0))*ISNUMBER(Transactions!$D$5:$D$1504)*(Transactions!$B$5:$B$1504=Lists!$A$13)*(Transactions!$A$5:$A$1504&gt;=DATE(Calc!$C$4,12,1))*(Transactions!$A$5:$A$1504&lt;DATE(Calc!$C$4,13,1)),Transactions!$D$5:$D$1504)</f>
        <v>0</v>
      </c>
      <c r="O17" s="24">
        <f t="shared" si="0"/>
        <v>0</v>
      </c>
      <c r="P17" s="24">
        <f>IF(Calc!$C$5=0,0,O17/Calc!$C$5)</f>
        <v>0</v>
      </c>
    </row>
    <row r="18" spans="1:16" x14ac:dyDescent="0.35">
      <c r="A18" s="22" t="str">
        <f>IF(Budget!A19="","",Budget!A19)</f>
        <v>Personal care</v>
      </c>
      <c r="B18" s="22" t="str">
        <f>IF(LEFT(Lists!$A$14,1)="[","",Budget!B19)</f>
        <v>Living</v>
      </c>
      <c r="C18" s="23">
        <f>SUMPRODUCT(ISNUMBER(Transactions!$A$5:$A$1504)*ISNUMBER(MATCH(Transactions!$B$5:$B$1504,Lists!$A$2:$A$31,0))*ISNUMBER(Transactions!$D$5:$D$1504)*(Transactions!$B$5:$B$1504=Lists!$A$14)*(Transactions!$A$5:$A$1504&gt;=DATE(Calc!$C$4,1,1))*(Transactions!$A$5:$A$1504&lt;DATE(Calc!$C$4,2,1)),Transactions!$D$5:$D$1504)</f>
        <v>0</v>
      </c>
      <c r="D18" s="23">
        <f>SUMPRODUCT(ISNUMBER(Transactions!$A$5:$A$1504)*ISNUMBER(MATCH(Transactions!$B$5:$B$1504,Lists!$A$2:$A$31,0))*ISNUMBER(Transactions!$D$5:$D$1504)*(Transactions!$B$5:$B$1504=Lists!$A$14)*(Transactions!$A$5:$A$1504&gt;=DATE(Calc!$C$4,2,1))*(Transactions!$A$5:$A$1504&lt;DATE(Calc!$C$4,3,1)),Transactions!$D$5:$D$1504)</f>
        <v>0</v>
      </c>
      <c r="E18" s="23">
        <f>SUMPRODUCT(ISNUMBER(Transactions!$A$5:$A$1504)*ISNUMBER(MATCH(Transactions!$B$5:$B$1504,Lists!$A$2:$A$31,0))*ISNUMBER(Transactions!$D$5:$D$1504)*(Transactions!$B$5:$B$1504=Lists!$A$14)*(Transactions!$A$5:$A$1504&gt;=DATE(Calc!$C$4,3,1))*(Transactions!$A$5:$A$1504&lt;DATE(Calc!$C$4,4,1)),Transactions!$D$5:$D$1504)</f>
        <v>0</v>
      </c>
      <c r="F18" s="23">
        <f>SUMPRODUCT(ISNUMBER(Transactions!$A$5:$A$1504)*ISNUMBER(MATCH(Transactions!$B$5:$B$1504,Lists!$A$2:$A$31,0))*ISNUMBER(Transactions!$D$5:$D$1504)*(Transactions!$B$5:$B$1504=Lists!$A$14)*(Transactions!$A$5:$A$1504&gt;=DATE(Calc!$C$4,4,1))*(Transactions!$A$5:$A$1504&lt;DATE(Calc!$C$4,5,1)),Transactions!$D$5:$D$1504)</f>
        <v>0</v>
      </c>
      <c r="G18" s="23">
        <f>SUMPRODUCT(ISNUMBER(Transactions!$A$5:$A$1504)*ISNUMBER(MATCH(Transactions!$B$5:$B$1504,Lists!$A$2:$A$31,0))*ISNUMBER(Transactions!$D$5:$D$1504)*(Transactions!$B$5:$B$1504=Lists!$A$14)*(Transactions!$A$5:$A$1504&gt;=DATE(Calc!$C$4,5,1))*(Transactions!$A$5:$A$1504&lt;DATE(Calc!$C$4,6,1)),Transactions!$D$5:$D$1504)</f>
        <v>0</v>
      </c>
      <c r="H18" s="23">
        <f>SUMPRODUCT(ISNUMBER(Transactions!$A$5:$A$1504)*ISNUMBER(MATCH(Transactions!$B$5:$B$1504,Lists!$A$2:$A$31,0))*ISNUMBER(Transactions!$D$5:$D$1504)*(Transactions!$B$5:$B$1504=Lists!$A$14)*(Transactions!$A$5:$A$1504&gt;=DATE(Calc!$C$4,6,1))*(Transactions!$A$5:$A$1504&lt;DATE(Calc!$C$4,7,1)),Transactions!$D$5:$D$1504)</f>
        <v>0</v>
      </c>
      <c r="I18" s="23">
        <f>SUMPRODUCT(ISNUMBER(Transactions!$A$5:$A$1504)*ISNUMBER(MATCH(Transactions!$B$5:$B$1504,Lists!$A$2:$A$31,0))*ISNUMBER(Transactions!$D$5:$D$1504)*(Transactions!$B$5:$B$1504=Lists!$A$14)*(Transactions!$A$5:$A$1504&gt;=DATE(Calc!$C$4,7,1))*(Transactions!$A$5:$A$1504&lt;DATE(Calc!$C$4,8,1)),Transactions!$D$5:$D$1504)</f>
        <v>0</v>
      </c>
      <c r="J18" s="23">
        <f>SUMPRODUCT(ISNUMBER(Transactions!$A$5:$A$1504)*ISNUMBER(MATCH(Transactions!$B$5:$B$1504,Lists!$A$2:$A$31,0))*ISNUMBER(Transactions!$D$5:$D$1504)*(Transactions!$B$5:$B$1504=Lists!$A$14)*(Transactions!$A$5:$A$1504&gt;=DATE(Calc!$C$4,8,1))*(Transactions!$A$5:$A$1504&lt;DATE(Calc!$C$4,9,1)),Transactions!$D$5:$D$1504)</f>
        <v>0</v>
      </c>
      <c r="K18" s="23">
        <f>SUMPRODUCT(ISNUMBER(Transactions!$A$5:$A$1504)*ISNUMBER(MATCH(Transactions!$B$5:$B$1504,Lists!$A$2:$A$31,0))*ISNUMBER(Transactions!$D$5:$D$1504)*(Transactions!$B$5:$B$1504=Lists!$A$14)*(Transactions!$A$5:$A$1504&gt;=DATE(Calc!$C$4,9,1))*(Transactions!$A$5:$A$1504&lt;DATE(Calc!$C$4,10,1)),Transactions!$D$5:$D$1504)</f>
        <v>0</v>
      </c>
      <c r="L18" s="23">
        <f>SUMPRODUCT(ISNUMBER(Transactions!$A$5:$A$1504)*ISNUMBER(MATCH(Transactions!$B$5:$B$1504,Lists!$A$2:$A$31,0))*ISNUMBER(Transactions!$D$5:$D$1504)*(Transactions!$B$5:$B$1504=Lists!$A$14)*(Transactions!$A$5:$A$1504&gt;=DATE(Calc!$C$4,10,1))*(Transactions!$A$5:$A$1504&lt;DATE(Calc!$C$4,11,1)),Transactions!$D$5:$D$1504)</f>
        <v>0</v>
      </c>
      <c r="M18" s="23">
        <f>SUMPRODUCT(ISNUMBER(Transactions!$A$5:$A$1504)*ISNUMBER(MATCH(Transactions!$B$5:$B$1504,Lists!$A$2:$A$31,0))*ISNUMBER(Transactions!$D$5:$D$1504)*(Transactions!$B$5:$B$1504=Lists!$A$14)*(Transactions!$A$5:$A$1504&gt;=DATE(Calc!$C$4,11,1))*(Transactions!$A$5:$A$1504&lt;DATE(Calc!$C$4,12,1)),Transactions!$D$5:$D$1504)</f>
        <v>0</v>
      </c>
      <c r="N18" s="23">
        <f>SUMPRODUCT(ISNUMBER(Transactions!$A$5:$A$1504)*ISNUMBER(MATCH(Transactions!$B$5:$B$1504,Lists!$A$2:$A$31,0))*ISNUMBER(Transactions!$D$5:$D$1504)*(Transactions!$B$5:$B$1504=Lists!$A$14)*(Transactions!$A$5:$A$1504&gt;=DATE(Calc!$C$4,12,1))*(Transactions!$A$5:$A$1504&lt;DATE(Calc!$C$4,13,1)),Transactions!$D$5:$D$1504)</f>
        <v>0</v>
      </c>
      <c r="O18" s="24">
        <f t="shared" si="0"/>
        <v>0</v>
      </c>
      <c r="P18" s="24">
        <f>IF(Calc!$C$5=0,0,O18/Calc!$C$5)</f>
        <v>0</v>
      </c>
    </row>
    <row r="19" spans="1:16" x14ac:dyDescent="0.35">
      <c r="A19" s="22" t="str">
        <f>IF(Budget!A20="","",Budget!A20)</f>
        <v>Shopping</v>
      </c>
      <c r="B19" s="22" t="str">
        <f>IF(LEFT(Lists!$A$15,1)="[","",Budget!B20)</f>
        <v>Living</v>
      </c>
      <c r="C19" s="23">
        <f>SUMPRODUCT(ISNUMBER(Transactions!$A$5:$A$1504)*ISNUMBER(MATCH(Transactions!$B$5:$B$1504,Lists!$A$2:$A$31,0))*ISNUMBER(Transactions!$D$5:$D$1504)*(Transactions!$B$5:$B$1504=Lists!$A$15)*(Transactions!$A$5:$A$1504&gt;=DATE(Calc!$C$4,1,1))*(Transactions!$A$5:$A$1504&lt;DATE(Calc!$C$4,2,1)),Transactions!$D$5:$D$1504)</f>
        <v>0</v>
      </c>
      <c r="D19" s="23">
        <f>SUMPRODUCT(ISNUMBER(Transactions!$A$5:$A$1504)*ISNUMBER(MATCH(Transactions!$B$5:$B$1504,Lists!$A$2:$A$31,0))*ISNUMBER(Transactions!$D$5:$D$1504)*(Transactions!$B$5:$B$1504=Lists!$A$15)*(Transactions!$A$5:$A$1504&gt;=DATE(Calc!$C$4,2,1))*(Transactions!$A$5:$A$1504&lt;DATE(Calc!$C$4,3,1)),Transactions!$D$5:$D$1504)</f>
        <v>0</v>
      </c>
      <c r="E19" s="23">
        <f>SUMPRODUCT(ISNUMBER(Transactions!$A$5:$A$1504)*ISNUMBER(MATCH(Transactions!$B$5:$B$1504,Lists!$A$2:$A$31,0))*ISNUMBER(Transactions!$D$5:$D$1504)*(Transactions!$B$5:$B$1504=Lists!$A$15)*(Transactions!$A$5:$A$1504&gt;=DATE(Calc!$C$4,3,1))*(Transactions!$A$5:$A$1504&lt;DATE(Calc!$C$4,4,1)),Transactions!$D$5:$D$1504)</f>
        <v>0</v>
      </c>
      <c r="F19" s="23">
        <f>SUMPRODUCT(ISNUMBER(Transactions!$A$5:$A$1504)*ISNUMBER(MATCH(Transactions!$B$5:$B$1504,Lists!$A$2:$A$31,0))*ISNUMBER(Transactions!$D$5:$D$1504)*(Transactions!$B$5:$B$1504=Lists!$A$15)*(Transactions!$A$5:$A$1504&gt;=DATE(Calc!$C$4,4,1))*(Transactions!$A$5:$A$1504&lt;DATE(Calc!$C$4,5,1)),Transactions!$D$5:$D$1504)</f>
        <v>0</v>
      </c>
      <c r="G19" s="23">
        <f>SUMPRODUCT(ISNUMBER(Transactions!$A$5:$A$1504)*ISNUMBER(MATCH(Transactions!$B$5:$B$1504,Lists!$A$2:$A$31,0))*ISNUMBER(Transactions!$D$5:$D$1504)*(Transactions!$B$5:$B$1504=Lists!$A$15)*(Transactions!$A$5:$A$1504&gt;=DATE(Calc!$C$4,5,1))*(Transactions!$A$5:$A$1504&lt;DATE(Calc!$C$4,6,1)),Transactions!$D$5:$D$1504)</f>
        <v>0</v>
      </c>
      <c r="H19" s="23">
        <f>SUMPRODUCT(ISNUMBER(Transactions!$A$5:$A$1504)*ISNUMBER(MATCH(Transactions!$B$5:$B$1504,Lists!$A$2:$A$31,0))*ISNUMBER(Transactions!$D$5:$D$1504)*(Transactions!$B$5:$B$1504=Lists!$A$15)*(Transactions!$A$5:$A$1504&gt;=DATE(Calc!$C$4,6,1))*(Transactions!$A$5:$A$1504&lt;DATE(Calc!$C$4,7,1)),Transactions!$D$5:$D$1504)</f>
        <v>0</v>
      </c>
      <c r="I19" s="23">
        <f>SUMPRODUCT(ISNUMBER(Transactions!$A$5:$A$1504)*ISNUMBER(MATCH(Transactions!$B$5:$B$1504,Lists!$A$2:$A$31,0))*ISNUMBER(Transactions!$D$5:$D$1504)*(Transactions!$B$5:$B$1504=Lists!$A$15)*(Transactions!$A$5:$A$1504&gt;=DATE(Calc!$C$4,7,1))*(Transactions!$A$5:$A$1504&lt;DATE(Calc!$C$4,8,1)),Transactions!$D$5:$D$1504)</f>
        <v>0</v>
      </c>
      <c r="J19" s="23">
        <f>SUMPRODUCT(ISNUMBER(Transactions!$A$5:$A$1504)*ISNUMBER(MATCH(Transactions!$B$5:$B$1504,Lists!$A$2:$A$31,0))*ISNUMBER(Transactions!$D$5:$D$1504)*(Transactions!$B$5:$B$1504=Lists!$A$15)*(Transactions!$A$5:$A$1504&gt;=DATE(Calc!$C$4,8,1))*(Transactions!$A$5:$A$1504&lt;DATE(Calc!$C$4,9,1)),Transactions!$D$5:$D$1504)</f>
        <v>0</v>
      </c>
      <c r="K19" s="23">
        <f>SUMPRODUCT(ISNUMBER(Transactions!$A$5:$A$1504)*ISNUMBER(MATCH(Transactions!$B$5:$B$1504,Lists!$A$2:$A$31,0))*ISNUMBER(Transactions!$D$5:$D$1504)*(Transactions!$B$5:$B$1504=Lists!$A$15)*(Transactions!$A$5:$A$1504&gt;=DATE(Calc!$C$4,9,1))*(Transactions!$A$5:$A$1504&lt;DATE(Calc!$C$4,10,1)),Transactions!$D$5:$D$1504)</f>
        <v>0</v>
      </c>
      <c r="L19" s="23">
        <f>SUMPRODUCT(ISNUMBER(Transactions!$A$5:$A$1504)*ISNUMBER(MATCH(Transactions!$B$5:$B$1504,Lists!$A$2:$A$31,0))*ISNUMBER(Transactions!$D$5:$D$1504)*(Transactions!$B$5:$B$1504=Lists!$A$15)*(Transactions!$A$5:$A$1504&gt;=DATE(Calc!$C$4,10,1))*(Transactions!$A$5:$A$1504&lt;DATE(Calc!$C$4,11,1)),Transactions!$D$5:$D$1504)</f>
        <v>0</v>
      </c>
      <c r="M19" s="23">
        <f>SUMPRODUCT(ISNUMBER(Transactions!$A$5:$A$1504)*ISNUMBER(MATCH(Transactions!$B$5:$B$1504,Lists!$A$2:$A$31,0))*ISNUMBER(Transactions!$D$5:$D$1504)*(Transactions!$B$5:$B$1504=Lists!$A$15)*(Transactions!$A$5:$A$1504&gt;=DATE(Calc!$C$4,11,1))*(Transactions!$A$5:$A$1504&lt;DATE(Calc!$C$4,12,1)),Transactions!$D$5:$D$1504)</f>
        <v>0</v>
      </c>
      <c r="N19" s="23">
        <f>SUMPRODUCT(ISNUMBER(Transactions!$A$5:$A$1504)*ISNUMBER(MATCH(Transactions!$B$5:$B$1504,Lists!$A$2:$A$31,0))*ISNUMBER(Transactions!$D$5:$D$1504)*(Transactions!$B$5:$B$1504=Lists!$A$15)*(Transactions!$A$5:$A$1504&gt;=DATE(Calc!$C$4,12,1))*(Transactions!$A$5:$A$1504&lt;DATE(Calc!$C$4,13,1)),Transactions!$D$5:$D$1504)</f>
        <v>0</v>
      </c>
      <c r="O19" s="24">
        <f t="shared" si="0"/>
        <v>0</v>
      </c>
      <c r="P19" s="24">
        <f>IF(Calc!$C$5=0,0,O19/Calc!$C$5)</f>
        <v>0</v>
      </c>
    </row>
    <row r="20" spans="1:16" x14ac:dyDescent="0.35">
      <c r="A20" s="22" t="str">
        <f>IF(Budget!A21="","",Budget!A21)</f>
        <v>Entertainment</v>
      </c>
      <c r="B20" s="22" t="str">
        <f>IF(LEFT(Lists!$A$16,1)="[","",Budget!B21)</f>
        <v>Living</v>
      </c>
      <c r="C20" s="23">
        <f>SUMPRODUCT(ISNUMBER(Transactions!$A$5:$A$1504)*ISNUMBER(MATCH(Transactions!$B$5:$B$1504,Lists!$A$2:$A$31,0))*ISNUMBER(Transactions!$D$5:$D$1504)*(Transactions!$B$5:$B$1504=Lists!$A$16)*(Transactions!$A$5:$A$1504&gt;=DATE(Calc!$C$4,1,1))*(Transactions!$A$5:$A$1504&lt;DATE(Calc!$C$4,2,1)),Transactions!$D$5:$D$1504)</f>
        <v>0</v>
      </c>
      <c r="D20" s="23">
        <f>SUMPRODUCT(ISNUMBER(Transactions!$A$5:$A$1504)*ISNUMBER(MATCH(Transactions!$B$5:$B$1504,Lists!$A$2:$A$31,0))*ISNUMBER(Transactions!$D$5:$D$1504)*(Transactions!$B$5:$B$1504=Lists!$A$16)*(Transactions!$A$5:$A$1504&gt;=DATE(Calc!$C$4,2,1))*(Transactions!$A$5:$A$1504&lt;DATE(Calc!$C$4,3,1)),Transactions!$D$5:$D$1504)</f>
        <v>0</v>
      </c>
      <c r="E20" s="23">
        <f>SUMPRODUCT(ISNUMBER(Transactions!$A$5:$A$1504)*ISNUMBER(MATCH(Transactions!$B$5:$B$1504,Lists!$A$2:$A$31,0))*ISNUMBER(Transactions!$D$5:$D$1504)*(Transactions!$B$5:$B$1504=Lists!$A$16)*(Transactions!$A$5:$A$1504&gt;=DATE(Calc!$C$4,3,1))*(Transactions!$A$5:$A$1504&lt;DATE(Calc!$C$4,4,1)),Transactions!$D$5:$D$1504)</f>
        <v>0</v>
      </c>
      <c r="F20" s="23">
        <f>SUMPRODUCT(ISNUMBER(Transactions!$A$5:$A$1504)*ISNUMBER(MATCH(Transactions!$B$5:$B$1504,Lists!$A$2:$A$31,0))*ISNUMBER(Transactions!$D$5:$D$1504)*(Transactions!$B$5:$B$1504=Lists!$A$16)*(Transactions!$A$5:$A$1504&gt;=DATE(Calc!$C$4,4,1))*(Transactions!$A$5:$A$1504&lt;DATE(Calc!$C$4,5,1)),Transactions!$D$5:$D$1504)</f>
        <v>0</v>
      </c>
      <c r="G20" s="23">
        <f>SUMPRODUCT(ISNUMBER(Transactions!$A$5:$A$1504)*ISNUMBER(MATCH(Transactions!$B$5:$B$1504,Lists!$A$2:$A$31,0))*ISNUMBER(Transactions!$D$5:$D$1504)*(Transactions!$B$5:$B$1504=Lists!$A$16)*(Transactions!$A$5:$A$1504&gt;=DATE(Calc!$C$4,5,1))*(Transactions!$A$5:$A$1504&lt;DATE(Calc!$C$4,6,1)),Transactions!$D$5:$D$1504)</f>
        <v>0</v>
      </c>
      <c r="H20" s="23">
        <f>SUMPRODUCT(ISNUMBER(Transactions!$A$5:$A$1504)*ISNUMBER(MATCH(Transactions!$B$5:$B$1504,Lists!$A$2:$A$31,0))*ISNUMBER(Transactions!$D$5:$D$1504)*(Transactions!$B$5:$B$1504=Lists!$A$16)*(Transactions!$A$5:$A$1504&gt;=DATE(Calc!$C$4,6,1))*(Transactions!$A$5:$A$1504&lt;DATE(Calc!$C$4,7,1)),Transactions!$D$5:$D$1504)</f>
        <v>0</v>
      </c>
      <c r="I20" s="23">
        <f>SUMPRODUCT(ISNUMBER(Transactions!$A$5:$A$1504)*ISNUMBER(MATCH(Transactions!$B$5:$B$1504,Lists!$A$2:$A$31,0))*ISNUMBER(Transactions!$D$5:$D$1504)*(Transactions!$B$5:$B$1504=Lists!$A$16)*(Transactions!$A$5:$A$1504&gt;=DATE(Calc!$C$4,7,1))*(Transactions!$A$5:$A$1504&lt;DATE(Calc!$C$4,8,1)),Transactions!$D$5:$D$1504)</f>
        <v>0</v>
      </c>
      <c r="J20" s="23">
        <f>SUMPRODUCT(ISNUMBER(Transactions!$A$5:$A$1504)*ISNUMBER(MATCH(Transactions!$B$5:$B$1504,Lists!$A$2:$A$31,0))*ISNUMBER(Transactions!$D$5:$D$1504)*(Transactions!$B$5:$B$1504=Lists!$A$16)*(Transactions!$A$5:$A$1504&gt;=DATE(Calc!$C$4,8,1))*(Transactions!$A$5:$A$1504&lt;DATE(Calc!$C$4,9,1)),Transactions!$D$5:$D$1504)</f>
        <v>0</v>
      </c>
      <c r="K20" s="23">
        <f>SUMPRODUCT(ISNUMBER(Transactions!$A$5:$A$1504)*ISNUMBER(MATCH(Transactions!$B$5:$B$1504,Lists!$A$2:$A$31,0))*ISNUMBER(Transactions!$D$5:$D$1504)*(Transactions!$B$5:$B$1504=Lists!$A$16)*(Transactions!$A$5:$A$1504&gt;=DATE(Calc!$C$4,9,1))*(Transactions!$A$5:$A$1504&lt;DATE(Calc!$C$4,10,1)),Transactions!$D$5:$D$1504)</f>
        <v>0</v>
      </c>
      <c r="L20" s="23">
        <f>SUMPRODUCT(ISNUMBER(Transactions!$A$5:$A$1504)*ISNUMBER(MATCH(Transactions!$B$5:$B$1504,Lists!$A$2:$A$31,0))*ISNUMBER(Transactions!$D$5:$D$1504)*(Transactions!$B$5:$B$1504=Lists!$A$16)*(Transactions!$A$5:$A$1504&gt;=DATE(Calc!$C$4,10,1))*(Transactions!$A$5:$A$1504&lt;DATE(Calc!$C$4,11,1)),Transactions!$D$5:$D$1504)</f>
        <v>0</v>
      </c>
      <c r="M20" s="23">
        <f>SUMPRODUCT(ISNUMBER(Transactions!$A$5:$A$1504)*ISNUMBER(MATCH(Transactions!$B$5:$B$1504,Lists!$A$2:$A$31,0))*ISNUMBER(Transactions!$D$5:$D$1504)*(Transactions!$B$5:$B$1504=Lists!$A$16)*(Transactions!$A$5:$A$1504&gt;=DATE(Calc!$C$4,11,1))*(Transactions!$A$5:$A$1504&lt;DATE(Calc!$C$4,12,1)),Transactions!$D$5:$D$1504)</f>
        <v>0</v>
      </c>
      <c r="N20" s="23">
        <f>SUMPRODUCT(ISNUMBER(Transactions!$A$5:$A$1504)*ISNUMBER(MATCH(Transactions!$B$5:$B$1504,Lists!$A$2:$A$31,0))*ISNUMBER(Transactions!$D$5:$D$1504)*(Transactions!$B$5:$B$1504=Lists!$A$16)*(Transactions!$A$5:$A$1504&gt;=DATE(Calc!$C$4,12,1))*(Transactions!$A$5:$A$1504&lt;DATE(Calc!$C$4,13,1)),Transactions!$D$5:$D$1504)</f>
        <v>0</v>
      </c>
      <c r="O20" s="24">
        <f t="shared" si="0"/>
        <v>0</v>
      </c>
      <c r="P20" s="24">
        <f>IF(Calc!$C$5=0,0,O20/Calc!$C$5)</f>
        <v>0</v>
      </c>
    </row>
    <row r="21" spans="1:16" x14ac:dyDescent="0.35">
      <c r="A21" s="22" t="str">
        <f>IF(Budget!A22="","",Budget!A22)</f>
        <v>Kids</v>
      </c>
      <c r="B21" s="22" t="str">
        <f>IF(LEFT(Lists!$A$17,1)="[","",Budget!B22)</f>
        <v>Living</v>
      </c>
      <c r="C21" s="23">
        <f>SUMPRODUCT(ISNUMBER(Transactions!$A$5:$A$1504)*ISNUMBER(MATCH(Transactions!$B$5:$B$1504,Lists!$A$2:$A$31,0))*ISNUMBER(Transactions!$D$5:$D$1504)*(Transactions!$B$5:$B$1504=Lists!$A$17)*(Transactions!$A$5:$A$1504&gt;=DATE(Calc!$C$4,1,1))*(Transactions!$A$5:$A$1504&lt;DATE(Calc!$C$4,2,1)),Transactions!$D$5:$D$1504)</f>
        <v>0</v>
      </c>
      <c r="D21" s="23">
        <f>SUMPRODUCT(ISNUMBER(Transactions!$A$5:$A$1504)*ISNUMBER(MATCH(Transactions!$B$5:$B$1504,Lists!$A$2:$A$31,0))*ISNUMBER(Transactions!$D$5:$D$1504)*(Transactions!$B$5:$B$1504=Lists!$A$17)*(Transactions!$A$5:$A$1504&gt;=DATE(Calc!$C$4,2,1))*(Transactions!$A$5:$A$1504&lt;DATE(Calc!$C$4,3,1)),Transactions!$D$5:$D$1504)</f>
        <v>0</v>
      </c>
      <c r="E21" s="23">
        <f>SUMPRODUCT(ISNUMBER(Transactions!$A$5:$A$1504)*ISNUMBER(MATCH(Transactions!$B$5:$B$1504,Lists!$A$2:$A$31,0))*ISNUMBER(Transactions!$D$5:$D$1504)*(Transactions!$B$5:$B$1504=Lists!$A$17)*(Transactions!$A$5:$A$1504&gt;=DATE(Calc!$C$4,3,1))*(Transactions!$A$5:$A$1504&lt;DATE(Calc!$C$4,4,1)),Transactions!$D$5:$D$1504)</f>
        <v>0</v>
      </c>
      <c r="F21" s="23">
        <f>SUMPRODUCT(ISNUMBER(Transactions!$A$5:$A$1504)*ISNUMBER(MATCH(Transactions!$B$5:$B$1504,Lists!$A$2:$A$31,0))*ISNUMBER(Transactions!$D$5:$D$1504)*(Transactions!$B$5:$B$1504=Lists!$A$17)*(Transactions!$A$5:$A$1504&gt;=DATE(Calc!$C$4,4,1))*(Transactions!$A$5:$A$1504&lt;DATE(Calc!$C$4,5,1)),Transactions!$D$5:$D$1504)</f>
        <v>0</v>
      </c>
      <c r="G21" s="23">
        <f>SUMPRODUCT(ISNUMBER(Transactions!$A$5:$A$1504)*ISNUMBER(MATCH(Transactions!$B$5:$B$1504,Lists!$A$2:$A$31,0))*ISNUMBER(Transactions!$D$5:$D$1504)*(Transactions!$B$5:$B$1504=Lists!$A$17)*(Transactions!$A$5:$A$1504&gt;=DATE(Calc!$C$4,5,1))*(Transactions!$A$5:$A$1504&lt;DATE(Calc!$C$4,6,1)),Transactions!$D$5:$D$1504)</f>
        <v>0</v>
      </c>
      <c r="H21" s="23">
        <f>SUMPRODUCT(ISNUMBER(Transactions!$A$5:$A$1504)*ISNUMBER(MATCH(Transactions!$B$5:$B$1504,Lists!$A$2:$A$31,0))*ISNUMBER(Transactions!$D$5:$D$1504)*(Transactions!$B$5:$B$1504=Lists!$A$17)*(Transactions!$A$5:$A$1504&gt;=DATE(Calc!$C$4,6,1))*(Transactions!$A$5:$A$1504&lt;DATE(Calc!$C$4,7,1)),Transactions!$D$5:$D$1504)</f>
        <v>0</v>
      </c>
      <c r="I21" s="23">
        <f>SUMPRODUCT(ISNUMBER(Transactions!$A$5:$A$1504)*ISNUMBER(MATCH(Transactions!$B$5:$B$1504,Lists!$A$2:$A$31,0))*ISNUMBER(Transactions!$D$5:$D$1504)*(Transactions!$B$5:$B$1504=Lists!$A$17)*(Transactions!$A$5:$A$1504&gt;=DATE(Calc!$C$4,7,1))*(Transactions!$A$5:$A$1504&lt;DATE(Calc!$C$4,8,1)),Transactions!$D$5:$D$1504)</f>
        <v>0</v>
      </c>
      <c r="J21" s="23">
        <f>SUMPRODUCT(ISNUMBER(Transactions!$A$5:$A$1504)*ISNUMBER(MATCH(Transactions!$B$5:$B$1504,Lists!$A$2:$A$31,0))*ISNUMBER(Transactions!$D$5:$D$1504)*(Transactions!$B$5:$B$1504=Lists!$A$17)*(Transactions!$A$5:$A$1504&gt;=DATE(Calc!$C$4,8,1))*(Transactions!$A$5:$A$1504&lt;DATE(Calc!$C$4,9,1)),Transactions!$D$5:$D$1504)</f>
        <v>0</v>
      </c>
      <c r="K21" s="23">
        <f>SUMPRODUCT(ISNUMBER(Transactions!$A$5:$A$1504)*ISNUMBER(MATCH(Transactions!$B$5:$B$1504,Lists!$A$2:$A$31,0))*ISNUMBER(Transactions!$D$5:$D$1504)*(Transactions!$B$5:$B$1504=Lists!$A$17)*(Transactions!$A$5:$A$1504&gt;=DATE(Calc!$C$4,9,1))*(Transactions!$A$5:$A$1504&lt;DATE(Calc!$C$4,10,1)),Transactions!$D$5:$D$1504)</f>
        <v>0</v>
      </c>
      <c r="L21" s="23">
        <f>SUMPRODUCT(ISNUMBER(Transactions!$A$5:$A$1504)*ISNUMBER(MATCH(Transactions!$B$5:$B$1504,Lists!$A$2:$A$31,0))*ISNUMBER(Transactions!$D$5:$D$1504)*(Transactions!$B$5:$B$1504=Lists!$A$17)*(Transactions!$A$5:$A$1504&gt;=DATE(Calc!$C$4,10,1))*(Transactions!$A$5:$A$1504&lt;DATE(Calc!$C$4,11,1)),Transactions!$D$5:$D$1504)</f>
        <v>0</v>
      </c>
      <c r="M21" s="23">
        <f>SUMPRODUCT(ISNUMBER(Transactions!$A$5:$A$1504)*ISNUMBER(MATCH(Transactions!$B$5:$B$1504,Lists!$A$2:$A$31,0))*ISNUMBER(Transactions!$D$5:$D$1504)*(Transactions!$B$5:$B$1504=Lists!$A$17)*(Transactions!$A$5:$A$1504&gt;=DATE(Calc!$C$4,11,1))*(Transactions!$A$5:$A$1504&lt;DATE(Calc!$C$4,12,1)),Transactions!$D$5:$D$1504)</f>
        <v>0</v>
      </c>
      <c r="N21" s="23">
        <f>SUMPRODUCT(ISNUMBER(Transactions!$A$5:$A$1504)*ISNUMBER(MATCH(Transactions!$B$5:$B$1504,Lists!$A$2:$A$31,0))*ISNUMBER(Transactions!$D$5:$D$1504)*(Transactions!$B$5:$B$1504=Lists!$A$17)*(Transactions!$A$5:$A$1504&gt;=DATE(Calc!$C$4,12,1))*(Transactions!$A$5:$A$1504&lt;DATE(Calc!$C$4,13,1)),Transactions!$D$5:$D$1504)</f>
        <v>0</v>
      </c>
      <c r="O21" s="24">
        <f t="shared" si="0"/>
        <v>0</v>
      </c>
      <c r="P21" s="24">
        <f>IF(Calc!$C$5=0,0,O21/Calc!$C$5)</f>
        <v>0</v>
      </c>
    </row>
    <row r="22" spans="1:16" x14ac:dyDescent="0.35">
      <c r="A22" s="22" t="str">
        <f>IF(Budget!A23="","",Budget!A23)</f>
        <v>Pets</v>
      </c>
      <c r="B22" s="22" t="str">
        <f>IF(LEFT(Lists!$A$18,1)="[","",Budget!B23)</f>
        <v>Living</v>
      </c>
      <c r="C22" s="23">
        <f>SUMPRODUCT(ISNUMBER(Transactions!$A$5:$A$1504)*ISNUMBER(MATCH(Transactions!$B$5:$B$1504,Lists!$A$2:$A$31,0))*ISNUMBER(Transactions!$D$5:$D$1504)*(Transactions!$B$5:$B$1504=Lists!$A$18)*(Transactions!$A$5:$A$1504&gt;=DATE(Calc!$C$4,1,1))*(Transactions!$A$5:$A$1504&lt;DATE(Calc!$C$4,2,1)),Transactions!$D$5:$D$1504)</f>
        <v>0</v>
      </c>
      <c r="D22" s="23">
        <f>SUMPRODUCT(ISNUMBER(Transactions!$A$5:$A$1504)*ISNUMBER(MATCH(Transactions!$B$5:$B$1504,Lists!$A$2:$A$31,0))*ISNUMBER(Transactions!$D$5:$D$1504)*(Transactions!$B$5:$B$1504=Lists!$A$18)*(Transactions!$A$5:$A$1504&gt;=DATE(Calc!$C$4,2,1))*(Transactions!$A$5:$A$1504&lt;DATE(Calc!$C$4,3,1)),Transactions!$D$5:$D$1504)</f>
        <v>0</v>
      </c>
      <c r="E22" s="23">
        <f>SUMPRODUCT(ISNUMBER(Transactions!$A$5:$A$1504)*ISNUMBER(MATCH(Transactions!$B$5:$B$1504,Lists!$A$2:$A$31,0))*ISNUMBER(Transactions!$D$5:$D$1504)*(Transactions!$B$5:$B$1504=Lists!$A$18)*(Transactions!$A$5:$A$1504&gt;=DATE(Calc!$C$4,3,1))*(Transactions!$A$5:$A$1504&lt;DATE(Calc!$C$4,4,1)),Transactions!$D$5:$D$1504)</f>
        <v>0</v>
      </c>
      <c r="F22" s="23">
        <f>SUMPRODUCT(ISNUMBER(Transactions!$A$5:$A$1504)*ISNUMBER(MATCH(Transactions!$B$5:$B$1504,Lists!$A$2:$A$31,0))*ISNUMBER(Transactions!$D$5:$D$1504)*(Transactions!$B$5:$B$1504=Lists!$A$18)*(Transactions!$A$5:$A$1504&gt;=DATE(Calc!$C$4,4,1))*(Transactions!$A$5:$A$1504&lt;DATE(Calc!$C$4,5,1)),Transactions!$D$5:$D$1504)</f>
        <v>0</v>
      </c>
      <c r="G22" s="23">
        <f>SUMPRODUCT(ISNUMBER(Transactions!$A$5:$A$1504)*ISNUMBER(MATCH(Transactions!$B$5:$B$1504,Lists!$A$2:$A$31,0))*ISNUMBER(Transactions!$D$5:$D$1504)*(Transactions!$B$5:$B$1504=Lists!$A$18)*(Transactions!$A$5:$A$1504&gt;=DATE(Calc!$C$4,5,1))*(Transactions!$A$5:$A$1504&lt;DATE(Calc!$C$4,6,1)),Transactions!$D$5:$D$1504)</f>
        <v>0</v>
      </c>
      <c r="H22" s="23">
        <f>SUMPRODUCT(ISNUMBER(Transactions!$A$5:$A$1504)*ISNUMBER(MATCH(Transactions!$B$5:$B$1504,Lists!$A$2:$A$31,0))*ISNUMBER(Transactions!$D$5:$D$1504)*(Transactions!$B$5:$B$1504=Lists!$A$18)*(Transactions!$A$5:$A$1504&gt;=DATE(Calc!$C$4,6,1))*(Transactions!$A$5:$A$1504&lt;DATE(Calc!$C$4,7,1)),Transactions!$D$5:$D$1504)</f>
        <v>0</v>
      </c>
      <c r="I22" s="23">
        <f>SUMPRODUCT(ISNUMBER(Transactions!$A$5:$A$1504)*ISNUMBER(MATCH(Transactions!$B$5:$B$1504,Lists!$A$2:$A$31,0))*ISNUMBER(Transactions!$D$5:$D$1504)*(Transactions!$B$5:$B$1504=Lists!$A$18)*(Transactions!$A$5:$A$1504&gt;=DATE(Calc!$C$4,7,1))*(Transactions!$A$5:$A$1504&lt;DATE(Calc!$C$4,8,1)),Transactions!$D$5:$D$1504)</f>
        <v>0</v>
      </c>
      <c r="J22" s="23">
        <f>SUMPRODUCT(ISNUMBER(Transactions!$A$5:$A$1504)*ISNUMBER(MATCH(Transactions!$B$5:$B$1504,Lists!$A$2:$A$31,0))*ISNUMBER(Transactions!$D$5:$D$1504)*(Transactions!$B$5:$B$1504=Lists!$A$18)*(Transactions!$A$5:$A$1504&gt;=DATE(Calc!$C$4,8,1))*(Transactions!$A$5:$A$1504&lt;DATE(Calc!$C$4,9,1)),Transactions!$D$5:$D$1504)</f>
        <v>0</v>
      </c>
      <c r="K22" s="23">
        <f>SUMPRODUCT(ISNUMBER(Transactions!$A$5:$A$1504)*ISNUMBER(MATCH(Transactions!$B$5:$B$1504,Lists!$A$2:$A$31,0))*ISNUMBER(Transactions!$D$5:$D$1504)*(Transactions!$B$5:$B$1504=Lists!$A$18)*(Transactions!$A$5:$A$1504&gt;=DATE(Calc!$C$4,9,1))*(Transactions!$A$5:$A$1504&lt;DATE(Calc!$C$4,10,1)),Transactions!$D$5:$D$1504)</f>
        <v>0</v>
      </c>
      <c r="L22" s="23">
        <f>SUMPRODUCT(ISNUMBER(Transactions!$A$5:$A$1504)*ISNUMBER(MATCH(Transactions!$B$5:$B$1504,Lists!$A$2:$A$31,0))*ISNUMBER(Transactions!$D$5:$D$1504)*(Transactions!$B$5:$B$1504=Lists!$A$18)*(Transactions!$A$5:$A$1504&gt;=DATE(Calc!$C$4,10,1))*(Transactions!$A$5:$A$1504&lt;DATE(Calc!$C$4,11,1)),Transactions!$D$5:$D$1504)</f>
        <v>0</v>
      </c>
      <c r="M22" s="23">
        <f>SUMPRODUCT(ISNUMBER(Transactions!$A$5:$A$1504)*ISNUMBER(MATCH(Transactions!$B$5:$B$1504,Lists!$A$2:$A$31,0))*ISNUMBER(Transactions!$D$5:$D$1504)*(Transactions!$B$5:$B$1504=Lists!$A$18)*(Transactions!$A$5:$A$1504&gt;=DATE(Calc!$C$4,11,1))*(Transactions!$A$5:$A$1504&lt;DATE(Calc!$C$4,12,1)),Transactions!$D$5:$D$1504)</f>
        <v>0</v>
      </c>
      <c r="N22" s="23">
        <f>SUMPRODUCT(ISNUMBER(Transactions!$A$5:$A$1504)*ISNUMBER(MATCH(Transactions!$B$5:$B$1504,Lists!$A$2:$A$31,0))*ISNUMBER(Transactions!$D$5:$D$1504)*(Transactions!$B$5:$B$1504=Lists!$A$18)*(Transactions!$A$5:$A$1504&gt;=DATE(Calc!$C$4,12,1))*(Transactions!$A$5:$A$1504&lt;DATE(Calc!$C$4,13,1)),Transactions!$D$5:$D$1504)</f>
        <v>0</v>
      </c>
      <c r="O22" s="24">
        <f t="shared" si="0"/>
        <v>0</v>
      </c>
      <c r="P22" s="24">
        <f>IF(Calc!$C$5=0,0,O22/Calc!$C$5)</f>
        <v>0</v>
      </c>
    </row>
    <row r="23" spans="1:16" x14ac:dyDescent="0.35">
      <c r="A23" s="22" t="str">
        <f>IF(Budget!A24="","",Budget!A24)</f>
        <v>Gifts</v>
      </c>
      <c r="B23" s="22" t="str">
        <f>IF(LEFT(Lists!$A$19,1)="[","",Budget!B24)</f>
        <v>Living</v>
      </c>
      <c r="C23" s="23">
        <f>SUMPRODUCT(ISNUMBER(Transactions!$A$5:$A$1504)*ISNUMBER(MATCH(Transactions!$B$5:$B$1504,Lists!$A$2:$A$31,0))*ISNUMBER(Transactions!$D$5:$D$1504)*(Transactions!$B$5:$B$1504=Lists!$A$19)*(Transactions!$A$5:$A$1504&gt;=DATE(Calc!$C$4,1,1))*(Transactions!$A$5:$A$1504&lt;DATE(Calc!$C$4,2,1)),Transactions!$D$5:$D$1504)</f>
        <v>0</v>
      </c>
      <c r="D23" s="23">
        <f>SUMPRODUCT(ISNUMBER(Transactions!$A$5:$A$1504)*ISNUMBER(MATCH(Transactions!$B$5:$B$1504,Lists!$A$2:$A$31,0))*ISNUMBER(Transactions!$D$5:$D$1504)*(Transactions!$B$5:$B$1504=Lists!$A$19)*(Transactions!$A$5:$A$1504&gt;=DATE(Calc!$C$4,2,1))*(Transactions!$A$5:$A$1504&lt;DATE(Calc!$C$4,3,1)),Transactions!$D$5:$D$1504)</f>
        <v>0</v>
      </c>
      <c r="E23" s="23">
        <f>SUMPRODUCT(ISNUMBER(Transactions!$A$5:$A$1504)*ISNUMBER(MATCH(Transactions!$B$5:$B$1504,Lists!$A$2:$A$31,0))*ISNUMBER(Transactions!$D$5:$D$1504)*(Transactions!$B$5:$B$1504=Lists!$A$19)*(Transactions!$A$5:$A$1504&gt;=DATE(Calc!$C$4,3,1))*(Transactions!$A$5:$A$1504&lt;DATE(Calc!$C$4,4,1)),Transactions!$D$5:$D$1504)</f>
        <v>0</v>
      </c>
      <c r="F23" s="23">
        <f>SUMPRODUCT(ISNUMBER(Transactions!$A$5:$A$1504)*ISNUMBER(MATCH(Transactions!$B$5:$B$1504,Lists!$A$2:$A$31,0))*ISNUMBER(Transactions!$D$5:$D$1504)*(Transactions!$B$5:$B$1504=Lists!$A$19)*(Transactions!$A$5:$A$1504&gt;=DATE(Calc!$C$4,4,1))*(Transactions!$A$5:$A$1504&lt;DATE(Calc!$C$4,5,1)),Transactions!$D$5:$D$1504)</f>
        <v>0</v>
      </c>
      <c r="G23" s="23">
        <f>SUMPRODUCT(ISNUMBER(Transactions!$A$5:$A$1504)*ISNUMBER(MATCH(Transactions!$B$5:$B$1504,Lists!$A$2:$A$31,0))*ISNUMBER(Transactions!$D$5:$D$1504)*(Transactions!$B$5:$B$1504=Lists!$A$19)*(Transactions!$A$5:$A$1504&gt;=DATE(Calc!$C$4,5,1))*(Transactions!$A$5:$A$1504&lt;DATE(Calc!$C$4,6,1)),Transactions!$D$5:$D$1504)</f>
        <v>0</v>
      </c>
      <c r="H23" s="23">
        <f>SUMPRODUCT(ISNUMBER(Transactions!$A$5:$A$1504)*ISNUMBER(MATCH(Transactions!$B$5:$B$1504,Lists!$A$2:$A$31,0))*ISNUMBER(Transactions!$D$5:$D$1504)*(Transactions!$B$5:$B$1504=Lists!$A$19)*(Transactions!$A$5:$A$1504&gt;=DATE(Calc!$C$4,6,1))*(Transactions!$A$5:$A$1504&lt;DATE(Calc!$C$4,7,1)),Transactions!$D$5:$D$1504)</f>
        <v>0</v>
      </c>
      <c r="I23" s="23">
        <f>SUMPRODUCT(ISNUMBER(Transactions!$A$5:$A$1504)*ISNUMBER(MATCH(Transactions!$B$5:$B$1504,Lists!$A$2:$A$31,0))*ISNUMBER(Transactions!$D$5:$D$1504)*(Transactions!$B$5:$B$1504=Lists!$A$19)*(Transactions!$A$5:$A$1504&gt;=DATE(Calc!$C$4,7,1))*(Transactions!$A$5:$A$1504&lt;DATE(Calc!$C$4,8,1)),Transactions!$D$5:$D$1504)</f>
        <v>0</v>
      </c>
      <c r="J23" s="23">
        <f>SUMPRODUCT(ISNUMBER(Transactions!$A$5:$A$1504)*ISNUMBER(MATCH(Transactions!$B$5:$B$1504,Lists!$A$2:$A$31,0))*ISNUMBER(Transactions!$D$5:$D$1504)*(Transactions!$B$5:$B$1504=Lists!$A$19)*(Transactions!$A$5:$A$1504&gt;=DATE(Calc!$C$4,8,1))*(Transactions!$A$5:$A$1504&lt;DATE(Calc!$C$4,9,1)),Transactions!$D$5:$D$1504)</f>
        <v>0</v>
      </c>
      <c r="K23" s="23">
        <f>SUMPRODUCT(ISNUMBER(Transactions!$A$5:$A$1504)*ISNUMBER(MATCH(Transactions!$B$5:$B$1504,Lists!$A$2:$A$31,0))*ISNUMBER(Transactions!$D$5:$D$1504)*(Transactions!$B$5:$B$1504=Lists!$A$19)*(Transactions!$A$5:$A$1504&gt;=DATE(Calc!$C$4,9,1))*(Transactions!$A$5:$A$1504&lt;DATE(Calc!$C$4,10,1)),Transactions!$D$5:$D$1504)</f>
        <v>0</v>
      </c>
      <c r="L23" s="23">
        <f>SUMPRODUCT(ISNUMBER(Transactions!$A$5:$A$1504)*ISNUMBER(MATCH(Transactions!$B$5:$B$1504,Lists!$A$2:$A$31,0))*ISNUMBER(Transactions!$D$5:$D$1504)*(Transactions!$B$5:$B$1504=Lists!$A$19)*(Transactions!$A$5:$A$1504&gt;=DATE(Calc!$C$4,10,1))*(Transactions!$A$5:$A$1504&lt;DATE(Calc!$C$4,11,1)),Transactions!$D$5:$D$1504)</f>
        <v>0</v>
      </c>
      <c r="M23" s="23">
        <f>SUMPRODUCT(ISNUMBER(Transactions!$A$5:$A$1504)*ISNUMBER(MATCH(Transactions!$B$5:$B$1504,Lists!$A$2:$A$31,0))*ISNUMBER(Transactions!$D$5:$D$1504)*(Transactions!$B$5:$B$1504=Lists!$A$19)*(Transactions!$A$5:$A$1504&gt;=DATE(Calc!$C$4,11,1))*(Transactions!$A$5:$A$1504&lt;DATE(Calc!$C$4,12,1)),Transactions!$D$5:$D$1504)</f>
        <v>0</v>
      </c>
      <c r="N23" s="23">
        <f>SUMPRODUCT(ISNUMBER(Transactions!$A$5:$A$1504)*ISNUMBER(MATCH(Transactions!$B$5:$B$1504,Lists!$A$2:$A$31,0))*ISNUMBER(Transactions!$D$5:$D$1504)*(Transactions!$B$5:$B$1504=Lists!$A$19)*(Transactions!$A$5:$A$1504&gt;=DATE(Calc!$C$4,12,1))*(Transactions!$A$5:$A$1504&lt;DATE(Calc!$C$4,13,1)),Transactions!$D$5:$D$1504)</f>
        <v>0</v>
      </c>
      <c r="O23" s="24">
        <f t="shared" si="0"/>
        <v>0</v>
      </c>
      <c r="P23" s="24">
        <f>IF(Calc!$C$5=0,0,O23/Calc!$C$5)</f>
        <v>0</v>
      </c>
    </row>
    <row r="24" spans="1:16" x14ac:dyDescent="0.35">
      <c r="A24" s="22" t="str">
        <f>IF(Budget!A25="","",Budget!A25)</f>
        <v>Travel</v>
      </c>
      <c r="B24" s="22" t="str">
        <f>IF(LEFT(Lists!$A$20,1)="[","",Budget!B25)</f>
        <v>Living</v>
      </c>
      <c r="C24" s="23">
        <f>SUMPRODUCT(ISNUMBER(Transactions!$A$5:$A$1504)*ISNUMBER(MATCH(Transactions!$B$5:$B$1504,Lists!$A$2:$A$31,0))*ISNUMBER(Transactions!$D$5:$D$1504)*(Transactions!$B$5:$B$1504=Lists!$A$20)*(Transactions!$A$5:$A$1504&gt;=DATE(Calc!$C$4,1,1))*(Transactions!$A$5:$A$1504&lt;DATE(Calc!$C$4,2,1)),Transactions!$D$5:$D$1504)</f>
        <v>0</v>
      </c>
      <c r="D24" s="23">
        <f>SUMPRODUCT(ISNUMBER(Transactions!$A$5:$A$1504)*ISNUMBER(MATCH(Transactions!$B$5:$B$1504,Lists!$A$2:$A$31,0))*ISNUMBER(Transactions!$D$5:$D$1504)*(Transactions!$B$5:$B$1504=Lists!$A$20)*(Transactions!$A$5:$A$1504&gt;=DATE(Calc!$C$4,2,1))*(Transactions!$A$5:$A$1504&lt;DATE(Calc!$C$4,3,1)),Transactions!$D$5:$D$1504)</f>
        <v>0</v>
      </c>
      <c r="E24" s="23">
        <f>SUMPRODUCT(ISNUMBER(Transactions!$A$5:$A$1504)*ISNUMBER(MATCH(Transactions!$B$5:$B$1504,Lists!$A$2:$A$31,0))*ISNUMBER(Transactions!$D$5:$D$1504)*(Transactions!$B$5:$B$1504=Lists!$A$20)*(Transactions!$A$5:$A$1504&gt;=DATE(Calc!$C$4,3,1))*(Transactions!$A$5:$A$1504&lt;DATE(Calc!$C$4,4,1)),Transactions!$D$5:$D$1504)</f>
        <v>0</v>
      </c>
      <c r="F24" s="23">
        <f>SUMPRODUCT(ISNUMBER(Transactions!$A$5:$A$1504)*ISNUMBER(MATCH(Transactions!$B$5:$B$1504,Lists!$A$2:$A$31,0))*ISNUMBER(Transactions!$D$5:$D$1504)*(Transactions!$B$5:$B$1504=Lists!$A$20)*(Transactions!$A$5:$A$1504&gt;=DATE(Calc!$C$4,4,1))*(Transactions!$A$5:$A$1504&lt;DATE(Calc!$C$4,5,1)),Transactions!$D$5:$D$1504)</f>
        <v>0</v>
      </c>
      <c r="G24" s="23">
        <f>SUMPRODUCT(ISNUMBER(Transactions!$A$5:$A$1504)*ISNUMBER(MATCH(Transactions!$B$5:$B$1504,Lists!$A$2:$A$31,0))*ISNUMBER(Transactions!$D$5:$D$1504)*(Transactions!$B$5:$B$1504=Lists!$A$20)*(Transactions!$A$5:$A$1504&gt;=DATE(Calc!$C$4,5,1))*(Transactions!$A$5:$A$1504&lt;DATE(Calc!$C$4,6,1)),Transactions!$D$5:$D$1504)</f>
        <v>0</v>
      </c>
      <c r="H24" s="23">
        <f>SUMPRODUCT(ISNUMBER(Transactions!$A$5:$A$1504)*ISNUMBER(MATCH(Transactions!$B$5:$B$1504,Lists!$A$2:$A$31,0))*ISNUMBER(Transactions!$D$5:$D$1504)*(Transactions!$B$5:$B$1504=Lists!$A$20)*(Transactions!$A$5:$A$1504&gt;=DATE(Calc!$C$4,6,1))*(Transactions!$A$5:$A$1504&lt;DATE(Calc!$C$4,7,1)),Transactions!$D$5:$D$1504)</f>
        <v>0</v>
      </c>
      <c r="I24" s="23">
        <f>SUMPRODUCT(ISNUMBER(Transactions!$A$5:$A$1504)*ISNUMBER(MATCH(Transactions!$B$5:$B$1504,Lists!$A$2:$A$31,0))*ISNUMBER(Transactions!$D$5:$D$1504)*(Transactions!$B$5:$B$1504=Lists!$A$20)*(Transactions!$A$5:$A$1504&gt;=DATE(Calc!$C$4,7,1))*(Transactions!$A$5:$A$1504&lt;DATE(Calc!$C$4,8,1)),Transactions!$D$5:$D$1504)</f>
        <v>0</v>
      </c>
      <c r="J24" s="23">
        <f>SUMPRODUCT(ISNUMBER(Transactions!$A$5:$A$1504)*ISNUMBER(MATCH(Transactions!$B$5:$B$1504,Lists!$A$2:$A$31,0))*ISNUMBER(Transactions!$D$5:$D$1504)*(Transactions!$B$5:$B$1504=Lists!$A$20)*(Transactions!$A$5:$A$1504&gt;=DATE(Calc!$C$4,8,1))*(Transactions!$A$5:$A$1504&lt;DATE(Calc!$C$4,9,1)),Transactions!$D$5:$D$1504)</f>
        <v>0</v>
      </c>
      <c r="K24" s="23">
        <f>SUMPRODUCT(ISNUMBER(Transactions!$A$5:$A$1504)*ISNUMBER(MATCH(Transactions!$B$5:$B$1504,Lists!$A$2:$A$31,0))*ISNUMBER(Transactions!$D$5:$D$1504)*(Transactions!$B$5:$B$1504=Lists!$A$20)*(Transactions!$A$5:$A$1504&gt;=DATE(Calc!$C$4,9,1))*(Transactions!$A$5:$A$1504&lt;DATE(Calc!$C$4,10,1)),Transactions!$D$5:$D$1504)</f>
        <v>0</v>
      </c>
      <c r="L24" s="23">
        <f>SUMPRODUCT(ISNUMBER(Transactions!$A$5:$A$1504)*ISNUMBER(MATCH(Transactions!$B$5:$B$1504,Lists!$A$2:$A$31,0))*ISNUMBER(Transactions!$D$5:$D$1504)*(Transactions!$B$5:$B$1504=Lists!$A$20)*(Transactions!$A$5:$A$1504&gt;=DATE(Calc!$C$4,10,1))*(Transactions!$A$5:$A$1504&lt;DATE(Calc!$C$4,11,1)),Transactions!$D$5:$D$1504)</f>
        <v>0</v>
      </c>
      <c r="M24" s="23">
        <f>SUMPRODUCT(ISNUMBER(Transactions!$A$5:$A$1504)*ISNUMBER(MATCH(Transactions!$B$5:$B$1504,Lists!$A$2:$A$31,0))*ISNUMBER(Transactions!$D$5:$D$1504)*(Transactions!$B$5:$B$1504=Lists!$A$20)*(Transactions!$A$5:$A$1504&gt;=DATE(Calc!$C$4,11,1))*(Transactions!$A$5:$A$1504&lt;DATE(Calc!$C$4,12,1)),Transactions!$D$5:$D$1504)</f>
        <v>0</v>
      </c>
      <c r="N24" s="23">
        <f>SUMPRODUCT(ISNUMBER(Transactions!$A$5:$A$1504)*ISNUMBER(MATCH(Transactions!$B$5:$B$1504,Lists!$A$2:$A$31,0))*ISNUMBER(Transactions!$D$5:$D$1504)*(Transactions!$B$5:$B$1504=Lists!$A$20)*(Transactions!$A$5:$A$1504&gt;=DATE(Calc!$C$4,12,1))*(Transactions!$A$5:$A$1504&lt;DATE(Calc!$C$4,13,1)),Transactions!$D$5:$D$1504)</f>
        <v>0</v>
      </c>
      <c r="O24" s="24">
        <f t="shared" si="0"/>
        <v>0</v>
      </c>
      <c r="P24" s="24">
        <f>IF(Calc!$C$5=0,0,O24/Calc!$C$5)</f>
        <v>0</v>
      </c>
    </row>
    <row r="25" spans="1:16" x14ac:dyDescent="0.35">
      <c r="A25" s="22" t="str">
        <f>IF(Budget!A26="","",Budget!A26)</f>
        <v>Household</v>
      </c>
      <c r="B25" s="22" t="str">
        <f>IF(LEFT(Lists!$A$21,1)="[","",Budget!B26)</f>
        <v>Living</v>
      </c>
      <c r="C25" s="23">
        <f>SUMPRODUCT(ISNUMBER(Transactions!$A$5:$A$1504)*ISNUMBER(MATCH(Transactions!$B$5:$B$1504,Lists!$A$2:$A$31,0))*ISNUMBER(Transactions!$D$5:$D$1504)*(Transactions!$B$5:$B$1504=Lists!$A$21)*(Transactions!$A$5:$A$1504&gt;=DATE(Calc!$C$4,1,1))*(Transactions!$A$5:$A$1504&lt;DATE(Calc!$C$4,2,1)),Transactions!$D$5:$D$1504)</f>
        <v>0</v>
      </c>
      <c r="D25" s="23">
        <f>SUMPRODUCT(ISNUMBER(Transactions!$A$5:$A$1504)*ISNUMBER(MATCH(Transactions!$B$5:$B$1504,Lists!$A$2:$A$31,0))*ISNUMBER(Transactions!$D$5:$D$1504)*(Transactions!$B$5:$B$1504=Lists!$A$21)*(Transactions!$A$5:$A$1504&gt;=DATE(Calc!$C$4,2,1))*(Transactions!$A$5:$A$1504&lt;DATE(Calc!$C$4,3,1)),Transactions!$D$5:$D$1504)</f>
        <v>0</v>
      </c>
      <c r="E25" s="23">
        <f>SUMPRODUCT(ISNUMBER(Transactions!$A$5:$A$1504)*ISNUMBER(MATCH(Transactions!$B$5:$B$1504,Lists!$A$2:$A$31,0))*ISNUMBER(Transactions!$D$5:$D$1504)*(Transactions!$B$5:$B$1504=Lists!$A$21)*(Transactions!$A$5:$A$1504&gt;=DATE(Calc!$C$4,3,1))*(Transactions!$A$5:$A$1504&lt;DATE(Calc!$C$4,4,1)),Transactions!$D$5:$D$1504)</f>
        <v>0</v>
      </c>
      <c r="F25" s="23">
        <f>SUMPRODUCT(ISNUMBER(Transactions!$A$5:$A$1504)*ISNUMBER(MATCH(Transactions!$B$5:$B$1504,Lists!$A$2:$A$31,0))*ISNUMBER(Transactions!$D$5:$D$1504)*(Transactions!$B$5:$B$1504=Lists!$A$21)*(Transactions!$A$5:$A$1504&gt;=DATE(Calc!$C$4,4,1))*(Transactions!$A$5:$A$1504&lt;DATE(Calc!$C$4,5,1)),Transactions!$D$5:$D$1504)</f>
        <v>0</v>
      </c>
      <c r="G25" s="23">
        <f>SUMPRODUCT(ISNUMBER(Transactions!$A$5:$A$1504)*ISNUMBER(MATCH(Transactions!$B$5:$B$1504,Lists!$A$2:$A$31,0))*ISNUMBER(Transactions!$D$5:$D$1504)*(Transactions!$B$5:$B$1504=Lists!$A$21)*(Transactions!$A$5:$A$1504&gt;=DATE(Calc!$C$4,5,1))*(Transactions!$A$5:$A$1504&lt;DATE(Calc!$C$4,6,1)),Transactions!$D$5:$D$1504)</f>
        <v>0</v>
      </c>
      <c r="H25" s="23">
        <f>SUMPRODUCT(ISNUMBER(Transactions!$A$5:$A$1504)*ISNUMBER(MATCH(Transactions!$B$5:$B$1504,Lists!$A$2:$A$31,0))*ISNUMBER(Transactions!$D$5:$D$1504)*(Transactions!$B$5:$B$1504=Lists!$A$21)*(Transactions!$A$5:$A$1504&gt;=DATE(Calc!$C$4,6,1))*(Transactions!$A$5:$A$1504&lt;DATE(Calc!$C$4,7,1)),Transactions!$D$5:$D$1504)</f>
        <v>0</v>
      </c>
      <c r="I25" s="23">
        <f>SUMPRODUCT(ISNUMBER(Transactions!$A$5:$A$1504)*ISNUMBER(MATCH(Transactions!$B$5:$B$1504,Lists!$A$2:$A$31,0))*ISNUMBER(Transactions!$D$5:$D$1504)*(Transactions!$B$5:$B$1504=Lists!$A$21)*(Transactions!$A$5:$A$1504&gt;=DATE(Calc!$C$4,7,1))*(Transactions!$A$5:$A$1504&lt;DATE(Calc!$C$4,8,1)),Transactions!$D$5:$D$1504)</f>
        <v>0</v>
      </c>
      <c r="J25" s="23">
        <f>SUMPRODUCT(ISNUMBER(Transactions!$A$5:$A$1504)*ISNUMBER(MATCH(Transactions!$B$5:$B$1504,Lists!$A$2:$A$31,0))*ISNUMBER(Transactions!$D$5:$D$1504)*(Transactions!$B$5:$B$1504=Lists!$A$21)*(Transactions!$A$5:$A$1504&gt;=DATE(Calc!$C$4,8,1))*(Transactions!$A$5:$A$1504&lt;DATE(Calc!$C$4,9,1)),Transactions!$D$5:$D$1504)</f>
        <v>0</v>
      </c>
      <c r="K25" s="23">
        <f>SUMPRODUCT(ISNUMBER(Transactions!$A$5:$A$1504)*ISNUMBER(MATCH(Transactions!$B$5:$B$1504,Lists!$A$2:$A$31,0))*ISNUMBER(Transactions!$D$5:$D$1504)*(Transactions!$B$5:$B$1504=Lists!$A$21)*(Transactions!$A$5:$A$1504&gt;=DATE(Calc!$C$4,9,1))*(Transactions!$A$5:$A$1504&lt;DATE(Calc!$C$4,10,1)),Transactions!$D$5:$D$1504)</f>
        <v>0</v>
      </c>
      <c r="L25" s="23">
        <f>SUMPRODUCT(ISNUMBER(Transactions!$A$5:$A$1504)*ISNUMBER(MATCH(Transactions!$B$5:$B$1504,Lists!$A$2:$A$31,0))*ISNUMBER(Transactions!$D$5:$D$1504)*(Transactions!$B$5:$B$1504=Lists!$A$21)*(Transactions!$A$5:$A$1504&gt;=DATE(Calc!$C$4,10,1))*(Transactions!$A$5:$A$1504&lt;DATE(Calc!$C$4,11,1)),Transactions!$D$5:$D$1504)</f>
        <v>0</v>
      </c>
      <c r="M25" s="23">
        <f>SUMPRODUCT(ISNUMBER(Transactions!$A$5:$A$1504)*ISNUMBER(MATCH(Transactions!$B$5:$B$1504,Lists!$A$2:$A$31,0))*ISNUMBER(Transactions!$D$5:$D$1504)*(Transactions!$B$5:$B$1504=Lists!$A$21)*(Transactions!$A$5:$A$1504&gt;=DATE(Calc!$C$4,11,1))*(Transactions!$A$5:$A$1504&lt;DATE(Calc!$C$4,12,1)),Transactions!$D$5:$D$1504)</f>
        <v>0</v>
      </c>
      <c r="N25" s="23">
        <f>SUMPRODUCT(ISNUMBER(Transactions!$A$5:$A$1504)*ISNUMBER(MATCH(Transactions!$B$5:$B$1504,Lists!$A$2:$A$31,0))*ISNUMBER(Transactions!$D$5:$D$1504)*(Transactions!$B$5:$B$1504=Lists!$A$21)*(Transactions!$A$5:$A$1504&gt;=DATE(Calc!$C$4,12,1))*(Transactions!$A$5:$A$1504&lt;DATE(Calc!$C$4,13,1)),Transactions!$D$5:$D$1504)</f>
        <v>0</v>
      </c>
      <c r="O25" s="24">
        <f t="shared" si="0"/>
        <v>0</v>
      </c>
      <c r="P25" s="24">
        <f>IF(Calc!$C$5=0,0,O25/Calc!$C$5)</f>
        <v>0</v>
      </c>
    </row>
    <row r="26" spans="1:16" x14ac:dyDescent="0.35">
      <c r="A26" s="22" t="str">
        <f>IF(Budget!A27="","",Budget!A27)</f>
        <v>Miscellaneous</v>
      </c>
      <c r="B26" s="22" t="str">
        <f>IF(LEFT(Lists!$A$22,1)="[","",Budget!B27)</f>
        <v>Living</v>
      </c>
      <c r="C26" s="23">
        <f>SUMPRODUCT(ISNUMBER(Transactions!$A$5:$A$1504)*ISNUMBER(MATCH(Transactions!$B$5:$B$1504,Lists!$A$2:$A$31,0))*ISNUMBER(Transactions!$D$5:$D$1504)*(Transactions!$B$5:$B$1504=Lists!$A$22)*(Transactions!$A$5:$A$1504&gt;=DATE(Calc!$C$4,1,1))*(Transactions!$A$5:$A$1504&lt;DATE(Calc!$C$4,2,1)),Transactions!$D$5:$D$1504)</f>
        <v>0</v>
      </c>
      <c r="D26" s="23">
        <f>SUMPRODUCT(ISNUMBER(Transactions!$A$5:$A$1504)*ISNUMBER(MATCH(Transactions!$B$5:$B$1504,Lists!$A$2:$A$31,0))*ISNUMBER(Transactions!$D$5:$D$1504)*(Transactions!$B$5:$B$1504=Lists!$A$22)*(Transactions!$A$5:$A$1504&gt;=DATE(Calc!$C$4,2,1))*(Transactions!$A$5:$A$1504&lt;DATE(Calc!$C$4,3,1)),Transactions!$D$5:$D$1504)</f>
        <v>0</v>
      </c>
      <c r="E26" s="23">
        <f>SUMPRODUCT(ISNUMBER(Transactions!$A$5:$A$1504)*ISNUMBER(MATCH(Transactions!$B$5:$B$1504,Lists!$A$2:$A$31,0))*ISNUMBER(Transactions!$D$5:$D$1504)*(Transactions!$B$5:$B$1504=Lists!$A$22)*(Transactions!$A$5:$A$1504&gt;=DATE(Calc!$C$4,3,1))*(Transactions!$A$5:$A$1504&lt;DATE(Calc!$C$4,4,1)),Transactions!$D$5:$D$1504)</f>
        <v>0</v>
      </c>
      <c r="F26" s="23">
        <f>SUMPRODUCT(ISNUMBER(Transactions!$A$5:$A$1504)*ISNUMBER(MATCH(Transactions!$B$5:$B$1504,Lists!$A$2:$A$31,0))*ISNUMBER(Transactions!$D$5:$D$1504)*(Transactions!$B$5:$B$1504=Lists!$A$22)*(Transactions!$A$5:$A$1504&gt;=DATE(Calc!$C$4,4,1))*(Transactions!$A$5:$A$1504&lt;DATE(Calc!$C$4,5,1)),Transactions!$D$5:$D$1504)</f>
        <v>0</v>
      </c>
      <c r="G26" s="23">
        <f>SUMPRODUCT(ISNUMBER(Transactions!$A$5:$A$1504)*ISNUMBER(MATCH(Transactions!$B$5:$B$1504,Lists!$A$2:$A$31,0))*ISNUMBER(Transactions!$D$5:$D$1504)*(Transactions!$B$5:$B$1504=Lists!$A$22)*(Transactions!$A$5:$A$1504&gt;=DATE(Calc!$C$4,5,1))*(Transactions!$A$5:$A$1504&lt;DATE(Calc!$C$4,6,1)),Transactions!$D$5:$D$1504)</f>
        <v>0</v>
      </c>
      <c r="H26" s="23">
        <f>SUMPRODUCT(ISNUMBER(Transactions!$A$5:$A$1504)*ISNUMBER(MATCH(Transactions!$B$5:$B$1504,Lists!$A$2:$A$31,0))*ISNUMBER(Transactions!$D$5:$D$1504)*(Transactions!$B$5:$B$1504=Lists!$A$22)*(Transactions!$A$5:$A$1504&gt;=DATE(Calc!$C$4,6,1))*(Transactions!$A$5:$A$1504&lt;DATE(Calc!$C$4,7,1)),Transactions!$D$5:$D$1504)</f>
        <v>0</v>
      </c>
      <c r="I26" s="23">
        <f>SUMPRODUCT(ISNUMBER(Transactions!$A$5:$A$1504)*ISNUMBER(MATCH(Transactions!$B$5:$B$1504,Lists!$A$2:$A$31,0))*ISNUMBER(Transactions!$D$5:$D$1504)*(Transactions!$B$5:$B$1504=Lists!$A$22)*(Transactions!$A$5:$A$1504&gt;=DATE(Calc!$C$4,7,1))*(Transactions!$A$5:$A$1504&lt;DATE(Calc!$C$4,8,1)),Transactions!$D$5:$D$1504)</f>
        <v>0</v>
      </c>
      <c r="J26" s="23">
        <f>SUMPRODUCT(ISNUMBER(Transactions!$A$5:$A$1504)*ISNUMBER(MATCH(Transactions!$B$5:$B$1504,Lists!$A$2:$A$31,0))*ISNUMBER(Transactions!$D$5:$D$1504)*(Transactions!$B$5:$B$1504=Lists!$A$22)*(Transactions!$A$5:$A$1504&gt;=DATE(Calc!$C$4,8,1))*(Transactions!$A$5:$A$1504&lt;DATE(Calc!$C$4,9,1)),Transactions!$D$5:$D$1504)</f>
        <v>0</v>
      </c>
      <c r="K26" s="23">
        <f>SUMPRODUCT(ISNUMBER(Transactions!$A$5:$A$1504)*ISNUMBER(MATCH(Transactions!$B$5:$B$1504,Lists!$A$2:$A$31,0))*ISNUMBER(Transactions!$D$5:$D$1504)*(Transactions!$B$5:$B$1504=Lists!$A$22)*(Transactions!$A$5:$A$1504&gt;=DATE(Calc!$C$4,9,1))*(Transactions!$A$5:$A$1504&lt;DATE(Calc!$C$4,10,1)),Transactions!$D$5:$D$1504)</f>
        <v>0</v>
      </c>
      <c r="L26" s="23">
        <f>SUMPRODUCT(ISNUMBER(Transactions!$A$5:$A$1504)*ISNUMBER(MATCH(Transactions!$B$5:$B$1504,Lists!$A$2:$A$31,0))*ISNUMBER(Transactions!$D$5:$D$1504)*(Transactions!$B$5:$B$1504=Lists!$A$22)*(Transactions!$A$5:$A$1504&gt;=DATE(Calc!$C$4,10,1))*(Transactions!$A$5:$A$1504&lt;DATE(Calc!$C$4,11,1)),Transactions!$D$5:$D$1504)</f>
        <v>0</v>
      </c>
      <c r="M26" s="23">
        <f>SUMPRODUCT(ISNUMBER(Transactions!$A$5:$A$1504)*ISNUMBER(MATCH(Transactions!$B$5:$B$1504,Lists!$A$2:$A$31,0))*ISNUMBER(Transactions!$D$5:$D$1504)*(Transactions!$B$5:$B$1504=Lists!$A$22)*(Transactions!$A$5:$A$1504&gt;=DATE(Calc!$C$4,11,1))*(Transactions!$A$5:$A$1504&lt;DATE(Calc!$C$4,12,1)),Transactions!$D$5:$D$1504)</f>
        <v>0</v>
      </c>
      <c r="N26" s="23">
        <f>SUMPRODUCT(ISNUMBER(Transactions!$A$5:$A$1504)*ISNUMBER(MATCH(Transactions!$B$5:$B$1504,Lists!$A$2:$A$31,0))*ISNUMBER(Transactions!$D$5:$D$1504)*(Transactions!$B$5:$B$1504=Lists!$A$22)*(Transactions!$A$5:$A$1504&gt;=DATE(Calc!$C$4,12,1))*(Transactions!$A$5:$A$1504&lt;DATE(Calc!$C$4,13,1)),Transactions!$D$5:$D$1504)</f>
        <v>0</v>
      </c>
      <c r="O26" s="24">
        <f t="shared" si="0"/>
        <v>0</v>
      </c>
      <c r="P26" s="24">
        <f>IF(Calc!$C$5=0,0,O26/Calc!$C$5)</f>
        <v>0</v>
      </c>
    </row>
    <row r="27" spans="1:16" x14ac:dyDescent="0.35">
      <c r="A27" s="22" t="str">
        <f>IF(Budget!A28="","",Budget!A28)</f>
        <v>Credit card</v>
      </c>
      <c r="B27" s="22" t="str">
        <f>IF(LEFT(Lists!$A$23,1)="[","",Budget!B28)</f>
        <v>Debt</v>
      </c>
      <c r="C27" s="23">
        <f>SUMPRODUCT(ISNUMBER(Transactions!$A$5:$A$1504)*ISNUMBER(MATCH(Transactions!$B$5:$B$1504,Lists!$A$2:$A$31,0))*ISNUMBER(Transactions!$D$5:$D$1504)*(Transactions!$B$5:$B$1504=Lists!$A$23)*(Transactions!$A$5:$A$1504&gt;=DATE(Calc!$C$4,1,1))*(Transactions!$A$5:$A$1504&lt;DATE(Calc!$C$4,2,1)),Transactions!$D$5:$D$1504)</f>
        <v>0</v>
      </c>
      <c r="D27" s="23">
        <f>SUMPRODUCT(ISNUMBER(Transactions!$A$5:$A$1504)*ISNUMBER(MATCH(Transactions!$B$5:$B$1504,Lists!$A$2:$A$31,0))*ISNUMBER(Transactions!$D$5:$D$1504)*(Transactions!$B$5:$B$1504=Lists!$A$23)*(Transactions!$A$5:$A$1504&gt;=DATE(Calc!$C$4,2,1))*(Transactions!$A$5:$A$1504&lt;DATE(Calc!$C$4,3,1)),Transactions!$D$5:$D$1504)</f>
        <v>0</v>
      </c>
      <c r="E27" s="23">
        <f>SUMPRODUCT(ISNUMBER(Transactions!$A$5:$A$1504)*ISNUMBER(MATCH(Transactions!$B$5:$B$1504,Lists!$A$2:$A$31,0))*ISNUMBER(Transactions!$D$5:$D$1504)*(Transactions!$B$5:$B$1504=Lists!$A$23)*(Transactions!$A$5:$A$1504&gt;=DATE(Calc!$C$4,3,1))*(Transactions!$A$5:$A$1504&lt;DATE(Calc!$C$4,4,1)),Transactions!$D$5:$D$1504)</f>
        <v>0</v>
      </c>
      <c r="F27" s="23">
        <f>SUMPRODUCT(ISNUMBER(Transactions!$A$5:$A$1504)*ISNUMBER(MATCH(Transactions!$B$5:$B$1504,Lists!$A$2:$A$31,0))*ISNUMBER(Transactions!$D$5:$D$1504)*(Transactions!$B$5:$B$1504=Lists!$A$23)*(Transactions!$A$5:$A$1504&gt;=DATE(Calc!$C$4,4,1))*(Transactions!$A$5:$A$1504&lt;DATE(Calc!$C$4,5,1)),Transactions!$D$5:$D$1504)</f>
        <v>0</v>
      </c>
      <c r="G27" s="23">
        <f>SUMPRODUCT(ISNUMBER(Transactions!$A$5:$A$1504)*ISNUMBER(MATCH(Transactions!$B$5:$B$1504,Lists!$A$2:$A$31,0))*ISNUMBER(Transactions!$D$5:$D$1504)*(Transactions!$B$5:$B$1504=Lists!$A$23)*(Transactions!$A$5:$A$1504&gt;=DATE(Calc!$C$4,5,1))*(Transactions!$A$5:$A$1504&lt;DATE(Calc!$C$4,6,1)),Transactions!$D$5:$D$1504)</f>
        <v>0</v>
      </c>
      <c r="H27" s="23">
        <f>SUMPRODUCT(ISNUMBER(Transactions!$A$5:$A$1504)*ISNUMBER(MATCH(Transactions!$B$5:$B$1504,Lists!$A$2:$A$31,0))*ISNUMBER(Transactions!$D$5:$D$1504)*(Transactions!$B$5:$B$1504=Lists!$A$23)*(Transactions!$A$5:$A$1504&gt;=DATE(Calc!$C$4,6,1))*(Transactions!$A$5:$A$1504&lt;DATE(Calc!$C$4,7,1)),Transactions!$D$5:$D$1504)</f>
        <v>0</v>
      </c>
      <c r="I27" s="23">
        <f>SUMPRODUCT(ISNUMBER(Transactions!$A$5:$A$1504)*ISNUMBER(MATCH(Transactions!$B$5:$B$1504,Lists!$A$2:$A$31,0))*ISNUMBER(Transactions!$D$5:$D$1504)*(Transactions!$B$5:$B$1504=Lists!$A$23)*(Transactions!$A$5:$A$1504&gt;=DATE(Calc!$C$4,7,1))*(Transactions!$A$5:$A$1504&lt;DATE(Calc!$C$4,8,1)),Transactions!$D$5:$D$1504)</f>
        <v>0</v>
      </c>
      <c r="J27" s="23">
        <f>SUMPRODUCT(ISNUMBER(Transactions!$A$5:$A$1504)*ISNUMBER(MATCH(Transactions!$B$5:$B$1504,Lists!$A$2:$A$31,0))*ISNUMBER(Transactions!$D$5:$D$1504)*(Transactions!$B$5:$B$1504=Lists!$A$23)*(Transactions!$A$5:$A$1504&gt;=DATE(Calc!$C$4,8,1))*(Transactions!$A$5:$A$1504&lt;DATE(Calc!$C$4,9,1)),Transactions!$D$5:$D$1504)</f>
        <v>0</v>
      </c>
      <c r="K27" s="23">
        <f>SUMPRODUCT(ISNUMBER(Transactions!$A$5:$A$1504)*ISNUMBER(MATCH(Transactions!$B$5:$B$1504,Lists!$A$2:$A$31,0))*ISNUMBER(Transactions!$D$5:$D$1504)*(Transactions!$B$5:$B$1504=Lists!$A$23)*(Transactions!$A$5:$A$1504&gt;=DATE(Calc!$C$4,9,1))*(Transactions!$A$5:$A$1504&lt;DATE(Calc!$C$4,10,1)),Transactions!$D$5:$D$1504)</f>
        <v>0</v>
      </c>
      <c r="L27" s="23">
        <f>SUMPRODUCT(ISNUMBER(Transactions!$A$5:$A$1504)*ISNUMBER(MATCH(Transactions!$B$5:$B$1504,Lists!$A$2:$A$31,0))*ISNUMBER(Transactions!$D$5:$D$1504)*(Transactions!$B$5:$B$1504=Lists!$A$23)*(Transactions!$A$5:$A$1504&gt;=DATE(Calc!$C$4,10,1))*(Transactions!$A$5:$A$1504&lt;DATE(Calc!$C$4,11,1)),Transactions!$D$5:$D$1504)</f>
        <v>0</v>
      </c>
      <c r="M27" s="23">
        <f>SUMPRODUCT(ISNUMBER(Transactions!$A$5:$A$1504)*ISNUMBER(MATCH(Transactions!$B$5:$B$1504,Lists!$A$2:$A$31,0))*ISNUMBER(Transactions!$D$5:$D$1504)*(Transactions!$B$5:$B$1504=Lists!$A$23)*(Transactions!$A$5:$A$1504&gt;=DATE(Calc!$C$4,11,1))*(Transactions!$A$5:$A$1504&lt;DATE(Calc!$C$4,12,1)),Transactions!$D$5:$D$1504)</f>
        <v>0</v>
      </c>
      <c r="N27" s="23">
        <f>SUMPRODUCT(ISNUMBER(Transactions!$A$5:$A$1504)*ISNUMBER(MATCH(Transactions!$B$5:$B$1504,Lists!$A$2:$A$31,0))*ISNUMBER(Transactions!$D$5:$D$1504)*(Transactions!$B$5:$B$1504=Lists!$A$23)*(Transactions!$A$5:$A$1504&gt;=DATE(Calc!$C$4,12,1))*(Transactions!$A$5:$A$1504&lt;DATE(Calc!$C$4,13,1)),Transactions!$D$5:$D$1504)</f>
        <v>0</v>
      </c>
      <c r="O27" s="24">
        <f t="shared" si="0"/>
        <v>0</v>
      </c>
      <c r="P27" s="24">
        <f>IF(Calc!$C$5=0,0,O27/Calc!$C$5)</f>
        <v>0</v>
      </c>
    </row>
    <row r="28" spans="1:16" x14ac:dyDescent="0.35">
      <c r="A28" s="22" t="str">
        <f>IF(Budget!A29="","",Budget!A29)</f>
        <v>Student loan</v>
      </c>
      <c r="B28" s="22" t="str">
        <f>IF(LEFT(Lists!$A$24,1)="[","",Budget!B29)</f>
        <v>Debt</v>
      </c>
      <c r="C28" s="23">
        <f>SUMPRODUCT(ISNUMBER(Transactions!$A$5:$A$1504)*ISNUMBER(MATCH(Transactions!$B$5:$B$1504,Lists!$A$2:$A$31,0))*ISNUMBER(Transactions!$D$5:$D$1504)*(Transactions!$B$5:$B$1504=Lists!$A$24)*(Transactions!$A$5:$A$1504&gt;=DATE(Calc!$C$4,1,1))*(Transactions!$A$5:$A$1504&lt;DATE(Calc!$C$4,2,1)),Transactions!$D$5:$D$1504)</f>
        <v>0</v>
      </c>
      <c r="D28" s="23">
        <f>SUMPRODUCT(ISNUMBER(Transactions!$A$5:$A$1504)*ISNUMBER(MATCH(Transactions!$B$5:$B$1504,Lists!$A$2:$A$31,0))*ISNUMBER(Transactions!$D$5:$D$1504)*(Transactions!$B$5:$B$1504=Lists!$A$24)*(Transactions!$A$5:$A$1504&gt;=DATE(Calc!$C$4,2,1))*(Transactions!$A$5:$A$1504&lt;DATE(Calc!$C$4,3,1)),Transactions!$D$5:$D$1504)</f>
        <v>0</v>
      </c>
      <c r="E28" s="23">
        <f>SUMPRODUCT(ISNUMBER(Transactions!$A$5:$A$1504)*ISNUMBER(MATCH(Transactions!$B$5:$B$1504,Lists!$A$2:$A$31,0))*ISNUMBER(Transactions!$D$5:$D$1504)*(Transactions!$B$5:$B$1504=Lists!$A$24)*(Transactions!$A$5:$A$1504&gt;=DATE(Calc!$C$4,3,1))*(Transactions!$A$5:$A$1504&lt;DATE(Calc!$C$4,4,1)),Transactions!$D$5:$D$1504)</f>
        <v>0</v>
      </c>
      <c r="F28" s="23">
        <f>SUMPRODUCT(ISNUMBER(Transactions!$A$5:$A$1504)*ISNUMBER(MATCH(Transactions!$B$5:$B$1504,Lists!$A$2:$A$31,0))*ISNUMBER(Transactions!$D$5:$D$1504)*(Transactions!$B$5:$B$1504=Lists!$A$24)*(Transactions!$A$5:$A$1504&gt;=DATE(Calc!$C$4,4,1))*(Transactions!$A$5:$A$1504&lt;DATE(Calc!$C$4,5,1)),Transactions!$D$5:$D$1504)</f>
        <v>0</v>
      </c>
      <c r="G28" s="23">
        <f>SUMPRODUCT(ISNUMBER(Transactions!$A$5:$A$1504)*ISNUMBER(MATCH(Transactions!$B$5:$B$1504,Lists!$A$2:$A$31,0))*ISNUMBER(Transactions!$D$5:$D$1504)*(Transactions!$B$5:$B$1504=Lists!$A$24)*(Transactions!$A$5:$A$1504&gt;=DATE(Calc!$C$4,5,1))*(Transactions!$A$5:$A$1504&lt;DATE(Calc!$C$4,6,1)),Transactions!$D$5:$D$1504)</f>
        <v>0</v>
      </c>
      <c r="H28" s="23">
        <f>SUMPRODUCT(ISNUMBER(Transactions!$A$5:$A$1504)*ISNUMBER(MATCH(Transactions!$B$5:$B$1504,Lists!$A$2:$A$31,0))*ISNUMBER(Transactions!$D$5:$D$1504)*(Transactions!$B$5:$B$1504=Lists!$A$24)*(Transactions!$A$5:$A$1504&gt;=DATE(Calc!$C$4,6,1))*(Transactions!$A$5:$A$1504&lt;DATE(Calc!$C$4,7,1)),Transactions!$D$5:$D$1504)</f>
        <v>0</v>
      </c>
      <c r="I28" s="23">
        <f>SUMPRODUCT(ISNUMBER(Transactions!$A$5:$A$1504)*ISNUMBER(MATCH(Transactions!$B$5:$B$1504,Lists!$A$2:$A$31,0))*ISNUMBER(Transactions!$D$5:$D$1504)*(Transactions!$B$5:$B$1504=Lists!$A$24)*(Transactions!$A$5:$A$1504&gt;=DATE(Calc!$C$4,7,1))*(Transactions!$A$5:$A$1504&lt;DATE(Calc!$C$4,8,1)),Transactions!$D$5:$D$1504)</f>
        <v>0</v>
      </c>
      <c r="J28" s="23">
        <f>SUMPRODUCT(ISNUMBER(Transactions!$A$5:$A$1504)*ISNUMBER(MATCH(Transactions!$B$5:$B$1504,Lists!$A$2:$A$31,0))*ISNUMBER(Transactions!$D$5:$D$1504)*(Transactions!$B$5:$B$1504=Lists!$A$24)*(Transactions!$A$5:$A$1504&gt;=DATE(Calc!$C$4,8,1))*(Transactions!$A$5:$A$1504&lt;DATE(Calc!$C$4,9,1)),Transactions!$D$5:$D$1504)</f>
        <v>0</v>
      </c>
      <c r="K28" s="23">
        <f>SUMPRODUCT(ISNUMBER(Transactions!$A$5:$A$1504)*ISNUMBER(MATCH(Transactions!$B$5:$B$1504,Lists!$A$2:$A$31,0))*ISNUMBER(Transactions!$D$5:$D$1504)*(Transactions!$B$5:$B$1504=Lists!$A$24)*(Transactions!$A$5:$A$1504&gt;=DATE(Calc!$C$4,9,1))*(Transactions!$A$5:$A$1504&lt;DATE(Calc!$C$4,10,1)),Transactions!$D$5:$D$1504)</f>
        <v>0</v>
      </c>
      <c r="L28" s="23">
        <f>SUMPRODUCT(ISNUMBER(Transactions!$A$5:$A$1504)*ISNUMBER(MATCH(Transactions!$B$5:$B$1504,Lists!$A$2:$A$31,0))*ISNUMBER(Transactions!$D$5:$D$1504)*(Transactions!$B$5:$B$1504=Lists!$A$24)*(Transactions!$A$5:$A$1504&gt;=DATE(Calc!$C$4,10,1))*(Transactions!$A$5:$A$1504&lt;DATE(Calc!$C$4,11,1)),Transactions!$D$5:$D$1504)</f>
        <v>0</v>
      </c>
      <c r="M28" s="23">
        <f>SUMPRODUCT(ISNUMBER(Transactions!$A$5:$A$1504)*ISNUMBER(MATCH(Transactions!$B$5:$B$1504,Lists!$A$2:$A$31,0))*ISNUMBER(Transactions!$D$5:$D$1504)*(Transactions!$B$5:$B$1504=Lists!$A$24)*(Transactions!$A$5:$A$1504&gt;=DATE(Calc!$C$4,11,1))*(Transactions!$A$5:$A$1504&lt;DATE(Calc!$C$4,12,1)),Transactions!$D$5:$D$1504)</f>
        <v>0</v>
      </c>
      <c r="N28" s="23">
        <f>SUMPRODUCT(ISNUMBER(Transactions!$A$5:$A$1504)*ISNUMBER(MATCH(Transactions!$B$5:$B$1504,Lists!$A$2:$A$31,0))*ISNUMBER(Transactions!$D$5:$D$1504)*(Transactions!$B$5:$B$1504=Lists!$A$24)*(Transactions!$A$5:$A$1504&gt;=DATE(Calc!$C$4,12,1))*(Transactions!$A$5:$A$1504&lt;DATE(Calc!$C$4,13,1)),Transactions!$D$5:$D$1504)</f>
        <v>0</v>
      </c>
      <c r="O28" s="24">
        <f t="shared" si="0"/>
        <v>0</v>
      </c>
      <c r="P28" s="24">
        <f>IF(Calc!$C$5=0,0,O28/Calc!$C$5)</f>
        <v>0</v>
      </c>
    </row>
    <row r="29" spans="1:16" x14ac:dyDescent="0.35">
      <c r="A29" s="22" t="str">
        <f>IF(Budget!A30="","",Budget!A30)</f>
        <v>Car loan</v>
      </c>
      <c r="B29" s="22" t="str">
        <f>IF(LEFT(Lists!$A$25,1)="[","",Budget!B30)</f>
        <v>Debt</v>
      </c>
      <c r="C29" s="23">
        <f>SUMPRODUCT(ISNUMBER(Transactions!$A$5:$A$1504)*ISNUMBER(MATCH(Transactions!$B$5:$B$1504,Lists!$A$2:$A$31,0))*ISNUMBER(Transactions!$D$5:$D$1504)*(Transactions!$B$5:$B$1504=Lists!$A$25)*(Transactions!$A$5:$A$1504&gt;=DATE(Calc!$C$4,1,1))*(Transactions!$A$5:$A$1504&lt;DATE(Calc!$C$4,2,1)),Transactions!$D$5:$D$1504)</f>
        <v>0</v>
      </c>
      <c r="D29" s="23">
        <f>SUMPRODUCT(ISNUMBER(Transactions!$A$5:$A$1504)*ISNUMBER(MATCH(Transactions!$B$5:$B$1504,Lists!$A$2:$A$31,0))*ISNUMBER(Transactions!$D$5:$D$1504)*(Transactions!$B$5:$B$1504=Lists!$A$25)*(Transactions!$A$5:$A$1504&gt;=DATE(Calc!$C$4,2,1))*(Transactions!$A$5:$A$1504&lt;DATE(Calc!$C$4,3,1)),Transactions!$D$5:$D$1504)</f>
        <v>0</v>
      </c>
      <c r="E29" s="23">
        <f>SUMPRODUCT(ISNUMBER(Transactions!$A$5:$A$1504)*ISNUMBER(MATCH(Transactions!$B$5:$B$1504,Lists!$A$2:$A$31,0))*ISNUMBER(Transactions!$D$5:$D$1504)*(Transactions!$B$5:$B$1504=Lists!$A$25)*(Transactions!$A$5:$A$1504&gt;=DATE(Calc!$C$4,3,1))*(Transactions!$A$5:$A$1504&lt;DATE(Calc!$C$4,4,1)),Transactions!$D$5:$D$1504)</f>
        <v>0</v>
      </c>
      <c r="F29" s="23">
        <f>SUMPRODUCT(ISNUMBER(Transactions!$A$5:$A$1504)*ISNUMBER(MATCH(Transactions!$B$5:$B$1504,Lists!$A$2:$A$31,0))*ISNUMBER(Transactions!$D$5:$D$1504)*(Transactions!$B$5:$B$1504=Lists!$A$25)*(Transactions!$A$5:$A$1504&gt;=DATE(Calc!$C$4,4,1))*(Transactions!$A$5:$A$1504&lt;DATE(Calc!$C$4,5,1)),Transactions!$D$5:$D$1504)</f>
        <v>0</v>
      </c>
      <c r="G29" s="23">
        <f>SUMPRODUCT(ISNUMBER(Transactions!$A$5:$A$1504)*ISNUMBER(MATCH(Transactions!$B$5:$B$1504,Lists!$A$2:$A$31,0))*ISNUMBER(Transactions!$D$5:$D$1504)*(Transactions!$B$5:$B$1504=Lists!$A$25)*(Transactions!$A$5:$A$1504&gt;=DATE(Calc!$C$4,5,1))*(Transactions!$A$5:$A$1504&lt;DATE(Calc!$C$4,6,1)),Transactions!$D$5:$D$1504)</f>
        <v>0</v>
      </c>
      <c r="H29" s="23">
        <f>SUMPRODUCT(ISNUMBER(Transactions!$A$5:$A$1504)*ISNUMBER(MATCH(Transactions!$B$5:$B$1504,Lists!$A$2:$A$31,0))*ISNUMBER(Transactions!$D$5:$D$1504)*(Transactions!$B$5:$B$1504=Lists!$A$25)*(Transactions!$A$5:$A$1504&gt;=DATE(Calc!$C$4,6,1))*(Transactions!$A$5:$A$1504&lt;DATE(Calc!$C$4,7,1)),Transactions!$D$5:$D$1504)</f>
        <v>0</v>
      </c>
      <c r="I29" s="23">
        <f>SUMPRODUCT(ISNUMBER(Transactions!$A$5:$A$1504)*ISNUMBER(MATCH(Transactions!$B$5:$B$1504,Lists!$A$2:$A$31,0))*ISNUMBER(Transactions!$D$5:$D$1504)*(Transactions!$B$5:$B$1504=Lists!$A$25)*(Transactions!$A$5:$A$1504&gt;=DATE(Calc!$C$4,7,1))*(Transactions!$A$5:$A$1504&lt;DATE(Calc!$C$4,8,1)),Transactions!$D$5:$D$1504)</f>
        <v>0</v>
      </c>
      <c r="J29" s="23">
        <f>SUMPRODUCT(ISNUMBER(Transactions!$A$5:$A$1504)*ISNUMBER(MATCH(Transactions!$B$5:$B$1504,Lists!$A$2:$A$31,0))*ISNUMBER(Transactions!$D$5:$D$1504)*(Transactions!$B$5:$B$1504=Lists!$A$25)*(Transactions!$A$5:$A$1504&gt;=DATE(Calc!$C$4,8,1))*(Transactions!$A$5:$A$1504&lt;DATE(Calc!$C$4,9,1)),Transactions!$D$5:$D$1504)</f>
        <v>0</v>
      </c>
      <c r="K29" s="23">
        <f>SUMPRODUCT(ISNUMBER(Transactions!$A$5:$A$1504)*ISNUMBER(MATCH(Transactions!$B$5:$B$1504,Lists!$A$2:$A$31,0))*ISNUMBER(Transactions!$D$5:$D$1504)*(Transactions!$B$5:$B$1504=Lists!$A$25)*(Transactions!$A$5:$A$1504&gt;=DATE(Calc!$C$4,9,1))*(Transactions!$A$5:$A$1504&lt;DATE(Calc!$C$4,10,1)),Transactions!$D$5:$D$1504)</f>
        <v>0</v>
      </c>
      <c r="L29" s="23">
        <f>SUMPRODUCT(ISNUMBER(Transactions!$A$5:$A$1504)*ISNUMBER(MATCH(Transactions!$B$5:$B$1504,Lists!$A$2:$A$31,0))*ISNUMBER(Transactions!$D$5:$D$1504)*(Transactions!$B$5:$B$1504=Lists!$A$25)*(Transactions!$A$5:$A$1504&gt;=DATE(Calc!$C$4,10,1))*(Transactions!$A$5:$A$1504&lt;DATE(Calc!$C$4,11,1)),Transactions!$D$5:$D$1504)</f>
        <v>0</v>
      </c>
      <c r="M29" s="23">
        <f>SUMPRODUCT(ISNUMBER(Transactions!$A$5:$A$1504)*ISNUMBER(MATCH(Transactions!$B$5:$B$1504,Lists!$A$2:$A$31,0))*ISNUMBER(Transactions!$D$5:$D$1504)*(Transactions!$B$5:$B$1504=Lists!$A$25)*(Transactions!$A$5:$A$1504&gt;=DATE(Calc!$C$4,11,1))*(Transactions!$A$5:$A$1504&lt;DATE(Calc!$C$4,12,1)),Transactions!$D$5:$D$1504)</f>
        <v>0</v>
      </c>
      <c r="N29" s="23">
        <f>SUMPRODUCT(ISNUMBER(Transactions!$A$5:$A$1504)*ISNUMBER(MATCH(Transactions!$B$5:$B$1504,Lists!$A$2:$A$31,0))*ISNUMBER(Transactions!$D$5:$D$1504)*(Transactions!$B$5:$B$1504=Lists!$A$25)*(Transactions!$A$5:$A$1504&gt;=DATE(Calc!$C$4,12,1))*(Transactions!$A$5:$A$1504&lt;DATE(Calc!$C$4,13,1)),Transactions!$D$5:$D$1504)</f>
        <v>0</v>
      </c>
      <c r="O29" s="24">
        <f t="shared" si="0"/>
        <v>0</v>
      </c>
      <c r="P29" s="24">
        <f>IF(Calc!$C$5=0,0,O29/Calc!$C$5)</f>
        <v>0</v>
      </c>
    </row>
    <row r="30" spans="1:16" x14ac:dyDescent="0.35">
      <c r="A30" s="22" t="str">
        <f>IF(Budget!A31="","",Budget!A31)</f>
        <v>Emergency fund</v>
      </c>
      <c r="B30" s="22" t="str">
        <f>IF(LEFT(Lists!$A$26,1)="[","",Budget!B31)</f>
        <v>Savings</v>
      </c>
      <c r="C30" s="23">
        <f>SUMPRODUCT(ISNUMBER(Transactions!$A$5:$A$1504)*ISNUMBER(MATCH(Transactions!$B$5:$B$1504,Lists!$A$2:$A$31,0))*ISNUMBER(Transactions!$D$5:$D$1504)*(Transactions!$B$5:$B$1504=Lists!$A$26)*(Transactions!$A$5:$A$1504&gt;=DATE(Calc!$C$4,1,1))*(Transactions!$A$5:$A$1504&lt;DATE(Calc!$C$4,2,1)),Transactions!$D$5:$D$1504)</f>
        <v>300</v>
      </c>
      <c r="D30" s="23">
        <f>SUMPRODUCT(ISNUMBER(Transactions!$A$5:$A$1504)*ISNUMBER(MATCH(Transactions!$B$5:$B$1504,Lists!$A$2:$A$31,0))*ISNUMBER(Transactions!$D$5:$D$1504)*(Transactions!$B$5:$B$1504=Lists!$A$26)*(Transactions!$A$5:$A$1504&gt;=DATE(Calc!$C$4,2,1))*(Transactions!$A$5:$A$1504&lt;DATE(Calc!$C$4,3,1)),Transactions!$D$5:$D$1504)</f>
        <v>0</v>
      </c>
      <c r="E30" s="23">
        <f>SUMPRODUCT(ISNUMBER(Transactions!$A$5:$A$1504)*ISNUMBER(MATCH(Transactions!$B$5:$B$1504,Lists!$A$2:$A$31,0))*ISNUMBER(Transactions!$D$5:$D$1504)*(Transactions!$B$5:$B$1504=Lists!$A$26)*(Transactions!$A$5:$A$1504&gt;=DATE(Calc!$C$4,3,1))*(Transactions!$A$5:$A$1504&lt;DATE(Calc!$C$4,4,1)),Transactions!$D$5:$D$1504)</f>
        <v>0</v>
      </c>
      <c r="F30" s="23">
        <f>SUMPRODUCT(ISNUMBER(Transactions!$A$5:$A$1504)*ISNUMBER(MATCH(Transactions!$B$5:$B$1504,Lists!$A$2:$A$31,0))*ISNUMBER(Transactions!$D$5:$D$1504)*(Transactions!$B$5:$B$1504=Lists!$A$26)*(Transactions!$A$5:$A$1504&gt;=DATE(Calc!$C$4,4,1))*(Transactions!$A$5:$A$1504&lt;DATE(Calc!$C$4,5,1)),Transactions!$D$5:$D$1504)</f>
        <v>0</v>
      </c>
      <c r="G30" s="23">
        <f>SUMPRODUCT(ISNUMBER(Transactions!$A$5:$A$1504)*ISNUMBER(MATCH(Transactions!$B$5:$B$1504,Lists!$A$2:$A$31,0))*ISNUMBER(Transactions!$D$5:$D$1504)*(Transactions!$B$5:$B$1504=Lists!$A$26)*(Transactions!$A$5:$A$1504&gt;=DATE(Calc!$C$4,5,1))*(Transactions!$A$5:$A$1504&lt;DATE(Calc!$C$4,6,1)),Transactions!$D$5:$D$1504)</f>
        <v>0</v>
      </c>
      <c r="H30" s="23">
        <f>SUMPRODUCT(ISNUMBER(Transactions!$A$5:$A$1504)*ISNUMBER(MATCH(Transactions!$B$5:$B$1504,Lists!$A$2:$A$31,0))*ISNUMBER(Transactions!$D$5:$D$1504)*(Transactions!$B$5:$B$1504=Lists!$A$26)*(Transactions!$A$5:$A$1504&gt;=DATE(Calc!$C$4,6,1))*(Transactions!$A$5:$A$1504&lt;DATE(Calc!$C$4,7,1)),Transactions!$D$5:$D$1504)</f>
        <v>0</v>
      </c>
      <c r="I30" s="23">
        <f>SUMPRODUCT(ISNUMBER(Transactions!$A$5:$A$1504)*ISNUMBER(MATCH(Transactions!$B$5:$B$1504,Lists!$A$2:$A$31,0))*ISNUMBER(Transactions!$D$5:$D$1504)*(Transactions!$B$5:$B$1504=Lists!$A$26)*(Transactions!$A$5:$A$1504&gt;=DATE(Calc!$C$4,7,1))*(Transactions!$A$5:$A$1504&lt;DATE(Calc!$C$4,8,1)),Transactions!$D$5:$D$1504)</f>
        <v>0</v>
      </c>
      <c r="J30" s="23">
        <f>SUMPRODUCT(ISNUMBER(Transactions!$A$5:$A$1504)*ISNUMBER(MATCH(Transactions!$B$5:$B$1504,Lists!$A$2:$A$31,0))*ISNUMBER(Transactions!$D$5:$D$1504)*(Transactions!$B$5:$B$1504=Lists!$A$26)*(Transactions!$A$5:$A$1504&gt;=DATE(Calc!$C$4,8,1))*(Transactions!$A$5:$A$1504&lt;DATE(Calc!$C$4,9,1)),Transactions!$D$5:$D$1504)</f>
        <v>0</v>
      </c>
      <c r="K30" s="23">
        <f>SUMPRODUCT(ISNUMBER(Transactions!$A$5:$A$1504)*ISNUMBER(MATCH(Transactions!$B$5:$B$1504,Lists!$A$2:$A$31,0))*ISNUMBER(Transactions!$D$5:$D$1504)*(Transactions!$B$5:$B$1504=Lists!$A$26)*(Transactions!$A$5:$A$1504&gt;=DATE(Calc!$C$4,9,1))*(Transactions!$A$5:$A$1504&lt;DATE(Calc!$C$4,10,1)),Transactions!$D$5:$D$1504)</f>
        <v>0</v>
      </c>
      <c r="L30" s="23">
        <f>SUMPRODUCT(ISNUMBER(Transactions!$A$5:$A$1504)*ISNUMBER(MATCH(Transactions!$B$5:$B$1504,Lists!$A$2:$A$31,0))*ISNUMBER(Transactions!$D$5:$D$1504)*(Transactions!$B$5:$B$1504=Lists!$A$26)*(Transactions!$A$5:$A$1504&gt;=DATE(Calc!$C$4,10,1))*(Transactions!$A$5:$A$1504&lt;DATE(Calc!$C$4,11,1)),Transactions!$D$5:$D$1504)</f>
        <v>0</v>
      </c>
      <c r="M30" s="23">
        <f>SUMPRODUCT(ISNUMBER(Transactions!$A$5:$A$1504)*ISNUMBER(MATCH(Transactions!$B$5:$B$1504,Lists!$A$2:$A$31,0))*ISNUMBER(Transactions!$D$5:$D$1504)*(Transactions!$B$5:$B$1504=Lists!$A$26)*(Transactions!$A$5:$A$1504&gt;=DATE(Calc!$C$4,11,1))*(Transactions!$A$5:$A$1504&lt;DATE(Calc!$C$4,12,1)),Transactions!$D$5:$D$1504)</f>
        <v>0</v>
      </c>
      <c r="N30" s="23">
        <f>SUMPRODUCT(ISNUMBER(Transactions!$A$5:$A$1504)*ISNUMBER(MATCH(Transactions!$B$5:$B$1504,Lists!$A$2:$A$31,0))*ISNUMBER(Transactions!$D$5:$D$1504)*(Transactions!$B$5:$B$1504=Lists!$A$26)*(Transactions!$A$5:$A$1504&gt;=DATE(Calc!$C$4,12,1))*(Transactions!$A$5:$A$1504&lt;DATE(Calc!$C$4,13,1)),Transactions!$D$5:$D$1504)</f>
        <v>0</v>
      </c>
      <c r="O30" s="24">
        <f t="shared" si="0"/>
        <v>300</v>
      </c>
      <c r="P30" s="24">
        <f>IF(Calc!$C$5=0,0,O30/Calc!$C$5)</f>
        <v>300</v>
      </c>
    </row>
    <row r="31" spans="1:16" x14ac:dyDescent="0.35">
      <c r="A31" s="22" t="str">
        <f>IF(Budget!A32="","",Budget!A32)</f>
        <v>Retirement</v>
      </c>
      <c r="B31" s="22" t="str">
        <f>IF(LEFT(Lists!$A$27,1)="[","",Budget!B32)</f>
        <v>Savings</v>
      </c>
      <c r="C31" s="23">
        <f>SUMPRODUCT(ISNUMBER(Transactions!$A$5:$A$1504)*ISNUMBER(MATCH(Transactions!$B$5:$B$1504,Lists!$A$2:$A$31,0))*ISNUMBER(Transactions!$D$5:$D$1504)*(Transactions!$B$5:$B$1504=Lists!$A$27)*(Transactions!$A$5:$A$1504&gt;=DATE(Calc!$C$4,1,1))*(Transactions!$A$5:$A$1504&lt;DATE(Calc!$C$4,2,1)),Transactions!$D$5:$D$1504)</f>
        <v>0</v>
      </c>
      <c r="D31" s="23">
        <f>SUMPRODUCT(ISNUMBER(Transactions!$A$5:$A$1504)*ISNUMBER(MATCH(Transactions!$B$5:$B$1504,Lists!$A$2:$A$31,0))*ISNUMBER(Transactions!$D$5:$D$1504)*(Transactions!$B$5:$B$1504=Lists!$A$27)*(Transactions!$A$5:$A$1504&gt;=DATE(Calc!$C$4,2,1))*(Transactions!$A$5:$A$1504&lt;DATE(Calc!$C$4,3,1)),Transactions!$D$5:$D$1504)</f>
        <v>0</v>
      </c>
      <c r="E31" s="23">
        <f>SUMPRODUCT(ISNUMBER(Transactions!$A$5:$A$1504)*ISNUMBER(MATCH(Transactions!$B$5:$B$1504,Lists!$A$2:$A$31,0))*ISNUMBER(Transactions!$D$5:$D$1504)*(Transactions!$B$5:$B$1504=Lists!$A$27)*(Transactions!$A$5:$A$1504&gt;=DATE(Calc!$C$4,3,1))*(Transactions!$A$5:$A$1504&lt;DATE(Calc!$C$4,4,1)),Transactions!$D$5:$D$1504)</f>
        <v>0</v>
      </c>
      <c r="F31" s="23">
        <f>SUMPRODUCT(ISNUMBER(Transactions!$A$5:$A$1504)*ISNUMBER(MATCH(Transactions!$B$5:$B$1504,Lists!$A$2:$A$31,0))*ISNUMBER(Transactions!$D$5:$D$1504)*(Transactions!$B$5:$B$1504=Lists!$A$27)*(Transactions!$A$5:$A$1504&gt;=DATE(Calc!$C$4,4,1))*(Transactions!$A$5:$A$1504&lt;DATE(Calc!$C$4,5,1)),Transactions!$D$5:$D$1504)</f>
        <v>0</v>
      </c>
      <c r="G31" s="23">
        <f>SUMPRODUCT(ISNUMBER(Transactions!$A$5:$A$1504)*ISNUMBER(MATCH(Transactions!$B$5:$B$1504,Lists!$A$2:$A$31,0))*ISNUMBER(Transactions!$D$5:$D$1504)*(Transactions!$B$5:$B$1504=Lists!$A$27)*(Transactions!$A$5:$A$1504&gt;=DATE(Calc!$C$4,5,1))*(Transactions!$A$5:$A$1504&lt;DATE(Calc!$C$4,6,1)),Transactions!$D$5:$D$1504)</f>
        <v>0</v>
      </c>
      <c r="H31" s="23">
        <f>SUMPRODUCT(ISNUMBER(Transactions!$A$5:$A$1504)*ISNUMBER(MATCH(Transactions!$B$5:$B$1504,Lists!$A$2:$A$31,0))*ISNUMBER(Transactions!$D$5:$D$1504)*(Transactions!$B$5:$B$1504=Lists!$A$27)*(Transactions!$A$5:$A$1504&gt;=DATE(Calc!$C$4,6,1))*(Transactions!$A$5:$A$1504&lt;DATE(Calc!$C$4,7,1)),Transactions!$D$5:$D$1504)</f>
        <v>0</v>
      </c>
      <c r="I31" s="23">
        <f>SUMPRODUCT(ISNUMBER(Transactions!$A$5:$A$1504)*ISNUMBER(MATCH(Transactions!$B$5:$B$1504,Lists!$A$2:$A$31,0))*ISNUMBER(Transactions!$D$5:$D$1504)*(Transactions!$B$5:$B$1504=Lists!$A$27)*(Transactions!$A$5:$A$1504&gt;=DATE(Calc!$C$4,7,1))*(Transactions!$A$5:$A$1504&lt;DATE(Calc!$C$4,8,1)),Transactions!$D$5:$D$1504)</f>
        <v>0</v>
      </c>
      <c r="J31" s="23">
        <f>SUMPRODUCT(ISNUMBER(Transactions!$A$5:$A$1504)*ISNUMBER(MATCH(Transactions!$B$5:$B$1504,Lists!$A$2:$A$31,0))*ISNUMBER(Transactions!$D$5:$D$1504)*(Transactions!$B$5:$B$1504=Lists!$A$27)*(Transactions!$A$5:$A$1504&gt;=DATE(Calc!$C$4,8,1))*(Transactions!$A$5:$A$1504&lt;DATE(Calc!$C$4,9,1)),Transactions!$D$5:$D$1504)</f>
        <v>0</v>
      </c>
      <c r="K31" s="23">
        <f>SUMPRODUCT(ISNUMBER(Transactions!$A$5:$A$1504)*ISNUMBER(MATCH(Transactions!$B$5:$B$1504,Lists!$A$2:$A$31,0))*ISNUMBER(Transactions!$D$5:$D$1504)*(Transactions!$B$5:$B$1504=Lists!$A$27)*(Transactions!$A$5:$A$1504&gt;=DATE(Calc!$C$4,9,1))*(Transactions!$A$5:$A$1504&lt;DATE(Calc!$C$4,10,1)),Transactions!$D$5:$D$1504)</f>
        <v>0</v>
      </c>
      <c r="L31" s="23">
        <f>SUMPRODUCT(ISNUMBER(Transactions!$A$5:$A$1504)*ISNUMBER(MATCH(Transactions!$B$5:$B$1504,Lists!$A$2:$A$31,0))*ISNUMBER(Transactions!$D$5:$D$1504)*(Transactions!$B$5:$B$1504=Lists!$A$27)*(Transactions!$A$5:$A$1504&gt;=DATE(Calc!$C$4,10,1))*(Transactions!$A$5:$A$1504&lt;DATE(Calc!$C$4,11,1)),Transactions!$D$5:$D$1504)</f>
        <v>0</v>
      </c>
      <c r="M31" s="23">
        <f>SUMPRODUCT(ISNUMBER(Transactions!$A$5:$A$1504)*ISNUMBER(MATCH(Transactions!$B$5:$B$1504,Lists!$A$2:$A$31,0))*ISNUMBER(Transactions!$D$5:$D$1504)*(Transactions!$B$5:$B$1504=Lists!$A$27)*(Transactions!$A$5:$A$1504&gt;=DATE(Calc!$C$4,11,1))*(Transactions!$A$5:$A$1504&lt;DATE(Calc!$C$4,12,1)),Transactions!$D$5:$D$1504)</f>
        <v>0</v>
      </c>
      <c r="N31" s="23">
        <f>SUMPRODUCT(ISNUMBER(Transactions!$A$5:$A$1504)*ISNUMBER(MATCH(Transactions!$B$5:$B$1504,Lists!$A$2:$A$31,0))*ISNUMBER(Transactions!$D$5:$D$1504)*(Transactions!$B$5:$B$1504=Lists!$A$27)*(Transactions!$A$5:$A$1504&gt;=DATE(Calc!$C$4,12,1))*(Transactions!$A$5:$A$1504&lt;DATE(Calc!$C$4,13,1)),Transactions!$D$5:$D$1504)</f>
        <v>0</v>
      </c>
      <c r="O31" s="24">
        <f t="shared" si="0"/>
        <v>0</v>
      </c>
      <c r="P31" s="24">
        <f>IF(Calc!$C$5=0,0,O31/Calc!$C$5)</f>
        <v>0</v>
      </c>
    </row>
    <row r="32" spans="1:16" x14ac:dyDescent="0.35">
      <c r="A32" s="22" t="str">
        <f>IF(Budget!A33="","",Budget!A33)</f>
        <v>Sinking funds</v>
      </c>
      <c r="B32" s="22" t="str">
        <f>IF(LEFT(Lists!$A$28,1)="[","",Budget!B33)</f>
        <v>Savings</v>
      </c>
      <c r="C32" s="23">
        <f>SUMPRODUCT(ISNUMBER(Transactions!$A$5:$A$1504)*ISNUMBER(MATCH(Transactions!$B$5:$B$1504,Lists!$A$2:$A$31,0))*ISNUMBER(Transactions!$D$5:$D$1504)*(Transactions!$B$5:$B$1504=Lists!$A$28)*(Transactions!$A$5:$A$1504&gt;=DATE(Calc!$C$4,1,1))*(Transactions!$A$5:$A$1504&lt;DATE(Calc!$C$4,2,1)),Transactions!$D$5:$D$1504)</f>
        <v>0</v>
      </c>
      <c r="D32" s="23">
        <f>SUMPRODUCT(ISNUMBER(Transactions!$A$5:$A$1504)*ISNUMBER(MATCH(Transactions!$B$5:$B$1504,Lists!$A$2:$A$31,0))*ISNUMBER(Transactions!$D$5:$D$1504)*(Transactions!$B$5:$B$1504=Lists!$A$28)*(Transactions!$A$5:$A$1504&gt;=DATE(Calc!$C$4,2,1))*(Transactions!$A$5:$A$1504&lt;DATE(Calc!$C$4,3,1)),Transactions!$D$5:$D$1504)</f>
        <v>0</v>
      </c>
      <c r="E32" s="23">
        <f>SUMPRODUCT(ISNUMBER(Transactions!$A$5:$A$1504)*ISNUMBER(MATCH(Transactions!$B$5:$B$1504,Lists!$A$2:$A$31,0))*ISNUMBER(Transactions!$D$5:$D$1504)*(Transactions!$B$5:$B$1504=Lists!$A$28)*(Transactions!$A$5:$A$1504&gt;=DATE(Calc!$C$4,3,1))*(Transactions!$A$5:$A$1504&lt;DATE(Calc!$C$4,4,1)),Transactions!$D$5:$D$1504)</f>
        <v>0</v>
      </c>
      <c r="F32" s="23">
        <f>SUMPRODUCT(ISNUMBER(Transactions!$A$5:$A$1504)*ISNUMBER(MATCH(Transactions!$B$5:$B$1504,Lists!$A$2:$A$31,0))*ISNUMBER(Transactions!$D$5:$D$1504)*(Transactions!$B$5:$B$1504=Lists!$A$28)*(Transactions!$A$5:$A$1504&gt;=DATE(Calc!$C$4,4,1))*(Transactions!$A$5:$A$1504&lt;DATE(Calc!$C$4,5,1)),Transactions!$D$5:$D$1504)</f>
        <v>0</v>
      </c>
      <c r="G32" s="23">
        <f>SUMPRODUCT(ISNUMBER(Transactions!$A$5:$A$1504)*ISNUMBER(MATCH(Transactions!$B$5:$B$1504,Lists!$A$2:$A$31,0))*ISNUMBER(Transactions!$D$5:$D$1504)*(Transactions!$B$5:$B$1504=Lists!$A$28)*(Transactions!$A$5:$A$1504&gt;=DATE(Calc!$C$4,5,1))*(Transactions!$A$5:$A$1504&lt;DATE(Calc!$C$4,6,1)),Transactions!$D$5:$D$1504)</f>
        <v>0</v>
      </c>
      <c r="H32" s="23">
        <f>SUMPRODUCT(ISNUMBER(Transactions!$A$5:$A$1504)*ISNUMBER(MATCH(Transactions!$B$5:$B$1504,Lists!$A$2:$A$31,0))*ISNUMBER(Transactions!$D$5:$D$1504)*(Transactions!$B$5:$B$1504=Lists!$A$28)*(Transactions!$A$5:$A$1504&gt;=DATE(Calc!$C$4,6,1))*(Transactions!$A$5:$A$1504&lt;DATE(Calc!$C$4,7,1)),Transactions!$D$5:$D$1504)</f>
        <v>0</v>
      </c>
      <c r="I32" s="23">
        <f>SUMPRODUCT(ISNUMBER(Transactions!$A$5:$A$1504)*ISNUMBER(MATCH(Transactions!$B$5:$B$1504,Lists!$A$2:$A$31,0))*ISNUMBER(Transactions!$D$5:$D$1504)*(Transactions!$B$5:$B$1504=Lists!$A$28)*(Transactions!$A$5:$A$1504&gt;=DATE(Calc!$C$4,7,1))*(Transactions!$A$5:$A$1504&lt;DATE(Calc!$C$4,8,1)),Transactions!$D$5:$D$1504)</f>
        <v>0</v>
      </c>
      <c r="J32" s="23">
        <f>SUMPRODUCT(ISNUMBER(Transactions!$A$5:$A$1504)*ISNUMBER(MATCH(Transactions!$B$5:$B$1504,Lists!$A$2:$A$31,0))*ISNUMBER(Transactions!$D$5:$D$1504)*(Transactions!$B$5:$B$1504=Lists!$A$28)*(Transactions!$A$5:$A$1504&gt;=DATE(Calc!$C$4,8,1))*(Transactions!$A$5:$A$1504&lt;DATE(Calc!$C$4,9,1)),Transactions!$D$5:$D$1504)</f>
        <v>0</v>
      </c>
      <c r="K32" s="23">
        <f>SUMPRODUCT(ISNUMBER(Transactions!$A$5:$A$1504)*ISNUMBER(MATCH(Transactions!$B$5:$B$1504,Lists!$A$2:$A$31,0))*ISNUMBER(Transactions!$D$5:$D$1504)*(Transactions!$B$5:$B$1504=Lists!$A$28)*(Transactions!$A$5:$A$1504&gt;=DATE(Calc!$C$4,9,1))*(Transactions!$A$5:$A$1504&lt;DATE(Calc!$C$4,10,1)),Transactions!$D$5:$D$1504)</f>
        <v>0</v>
      </c>
      <c r="L32" s="23">
        <f>SUMPRODUCT(ISNUMBER(Transactions!$A$5:$A$1504)*ISNUMBER(MATCH(Transactions!$B$5:$B$1504,Lists!$A$2:$A$31,0))*ISNUMBER(Transactions!$D$5:$D$1504)*(Transactions!$B$5:$B$1504=Lists!$A$28)*(Transactions!$A$5:$A$1504&gt;=DATE(Calc!$C$4,10,1))*(Transactions!$A$5:$A$1504&lt;DATE(Calc!$C$4,11,1)),Transactions!$D$5:$D$1504)</f>
        <v>0</v>
      </c>
      <c r="M32" s="23">
        <f>SUMPRODUCT(ISNUMBER(Transactions!$A$5:$A$1504)*ISNUMBER(MATCH(Transactions!$B$5:$B$1504,Lists!$A$2:$A$31,0))*ISNUMBER(Transactions!$D$5:$D$1504)*(Transactions!$B$5:$B$1504=Lists!$A$28)*(Transactions!$A$5:$A$1504&gt;=DATE(Calc!$C$4,11,1))*(Transactions!$A$5:$A$1504&lt;DATE(Calc!$C$4,12,1)),Transactions!$D$5:$D$1504)</f>
        <v>0</v>
      </c>
      <c r="N32" s="23">
        <f>SUMPRODUCT(ISNUMBER(Transactions!$A$5:$A$1504)*ISNUMBER(MATCH(Transactions!$B$5:$B$1504,Lists!$A$2:$A$31,0))*ISNUMBER(Transactions!$D$5:$D$1504)*(Transactions!$B$5:$B$1504=Lists!$A$28)*(Transactions!$A$5:$A$1504&gt;=DATE(Calc!$C$4,12,1))*(Transactions!$A$5:$A$1504&lt;DATE(Calc!$C$4,13,1)),Transactions!$D$5:$D$1504)</f>
        <v>0</v>
      </c>
      <c r="O32" s="24">
        <f t="shared" si="0"/>
        <v>0</v>
      </c>
      <c r="P32" s="24">
        <f>IF(Calc!$C$5=0,0,O32/Calc!$C$5)</f>
        <v>0</v>
      </c>
    </row>
    <row r="33" spans="1:16" x14ac:dyDescent="0.35">
      <c r="A33" s="22" t="str">
        <f>IF(Budget!A34="","",Budget!A34)</f>
        <v/>
      </c>
      <c r="B33" s="22" t="str">
        <f>IF(LEFT(Lists!$A$29,1)="[","",Budget!B34)</f>
        <v/>
      </c>
      <c r="C33" s="23">
        <f>SUMPRODUCT(ISNUMBER(Transactions!$A$5:$A$1504)*ISNUMBER(MATCH(Transactions!$B$5:$B$1504,Lists!$A$2:$A$31,0))*ISNUMBER(Transactions!$D$5:$D$1504)*(Transactions!$B$5:$B$1504=Lists!$A$29)*(Transactions!$A$5:$A$1504&gt;=DATE(Calc!$C$4,1,1))*(Transactions!$A$5:$A$1504&lt;DATE(Calc!$C$4,2,1)),Transactions!$D$5:$D$1504)</f>
        <v>0</v>
      </c>
      <c r="D33" s="23">
        <f>SUMPRODUCT(ISNUMBER(Transactions!$A$5:$A$1504)*ISNUMBER(MATCH(Transactions!$B$5:$B$1504,Lists!$A$2:$A$31,0))*ISNUMBER(Transactions!$D$5:$D$1504)*(Transactions!$B$5:$B$1504=Lists!$A$29)*(Transactions!$A$5:$A$1504&gt;=DATE(Calc!$C$4,2,1))*(Transactions!$A$5:$A$1504&lt;DATE(Calc!$C$4,3,1)),Transactions!$D$5:$D$1504)</f>
        <v>0</v>
      </c>
      <c r="E33" s="23">
        <f>SUMPRODUCT(ISNUMBER(Transactions!$A$5:$A$1504)*ISNUMBER(MATCH(Transactions!$B$5:$B$1504,Lists!$A$2:$A$31,0))*ISNUMBER(Transactions!$D$5:$D$1504)*(Transactions!$B$5:$B$1504=Lists!$A$29)*(Transactions!$A$5:$A$1504&gt;=DATE(Calc!$C$4,3,1))*(Transactions!$A$5:$A$1504&lt;DATE(Calc!$C$4,4,1)),Transactions!$D$5:$D$1504)</f>
        <v>0</v>
      </c>
      <c r="F33" s="23">
        <f>SUMPRODUCT(ISNUMBER(Transactions!$A$5:$A$1504)*ISNUMBER(MATCH(Transactions!$B$5:$B$1504,Lists!$A$2:$A$31,0))*ISNUMBER(Transactions!$D$5:$D$1504)*(Transactions!$B$5:$B$1504=Lists!$A$29)*(Transactions!$A$5:$A$1504&gt;=DATE(Calc!$C$4,4,1))*(Transactions!$A$5:$A$1504&lt;DATE(Calc!$C$4,5,1)),Transactions!$D$5:$D$1504)</f>
        <v>0</v>
      </c>
      <c r="G33" s="23">
        <f>SUMPRODUCT(ISNUMBER(Transactions!$A$5:$A$1504)*ISNUMBER(MATCH(Transactions!$B$5:$B$1504,Lists!$A$2:$A$31,0))*ISNUMBER(Transactions!$D$5:$D$1504)*(Transactions!$B$5:$B$1504=Lists!$A$29)*(Transactions!$A$5:$A$1504&gt;=DATE(Calc!$C$4,5,1))*(Transactions!$A$5:$A$1504&lt;DATE(Calc!$C$4,6,1)),Transactions!$D$5:$D$1504)</f>
        <v>0</v>
      </c>
      <c r="H33" s="23">
        <f>SUMPRODUCT(ISNUMBER(Transactions!$A$5:$A$1504)*ISNUMBER(MATCH(Transactions!$B$5:$B$1504,Lists!$A$2:$A$31,0))*ISNUMBER(Transactions!$D$5:$D$1504)*(Transactions!$B$5:$B$1504=Lists!$A$29)*(Transactions!$A$5:$A$1504&gt;=DATE(Calc!$C$4,6,1))*(Transactions!$A$5:$A$1504&lt;DATE(Calc!$C$4,7,1)),Transactions!$D$5:$D$1504)</f>
        <v>0</v>
      </c>
      <c r="I33" s="23">
        <f>SUMPRODUCT(ISNUMBER(Transactions!$A$5:$A$1504)*ISNUMBER(MATCH(Transactions!$B$5:$B$1504,Lists!$A$2:$A$31,0))*ISNUMBER(Transactions!$D$5:$D$1504)*(Transactions!$B$5:$B$1504=Lists!$A$29)*(Transactions!$A$5:$A$1504&gt;=DATE(Calc!$C$4,7,1))*(Transactions!$A$5:$A$1504&lt;DATE(Calc!$C$4,8,1)),Transactions!$D$5:$D$1504)</f>
        <v>0</v>
      </c>
      <c r="J33" s="23">
        <f>SUMPRODUCT(ISNUMBER(Transactions!$A$5:$A$1504)*ISNUMBER(MATCH(Transactions!$B$5:$B$1504,Lists!$A$2:$A$31,0))*ISNUMBER(Transactions!$D$5:$D$1504)*(Transactions!$B$5:$B$1504=Lists!$A$29)*(Transactions!$A$5:$A$1504&gt;=DATE(Calc!$C$4,8,1))*(Transactions!$A$5:$A$1504&lt;DATE(Calc!$C$4,9,1)),Transactions!$D$5:$D$1504)</f>
        <v>0</v>
      </c>
      <c r="K33" s="23">
        <f>SUMPRODUCT(ISNUMBER(Transactions!$A$5:$A$1504)*ISNUMBER(MATCH(Transactions!$B$5:$B$1504,Lists!$A$2:$A$31,0))*ISNUMBER(Transactions!$D$5:$D$1504)*(Transactions!$B$5:$B$1504=Lists!$A$29)*(Transactions!$A$5:$A$1504&gt;=DATE(Calc!$C$4,9,1))*(Transactions!$A$5:$A$1504&lt;DATE(Calc!$C$4,10,1)),Transactions!$D$5:$D$1504)</f>
        <v>0</v>
      </c>
      <c r="L33" s="23">
        <f>SUMPRODUCT(ISNUMBER(Transactions!$A$5:$A$1504)*ISNUMBER(MATCH(Transactions!$B$5:$B$1504,Lists!$A$2:$A$31,0))*ISNUMBER(Transactions!$D$5:$D$1504)*(Transactions!$B$5:$B$1504=Lists!$A$29)*(Transactions!$A$5:$A$1504&gt;=DATE(Calc!$C$4,10,1))*(Transactions!$A$5:$A$1504&lt;DATE(Calc!$C$4,11,1)),Transactions!$D$5:$D$1504)</f>
        <v>0</v>
      </c>
      <c r="M33" s="23">
        <f>SUMPRODUCT(ISNUMBER(Transactions!$A$5:$A$1504)*ISNUMBER(MATCH(Transactions!$B$5:$B$1504,Lists!$A$2:$A$31,0))*ISNUMBER(Transactions!$D$5:$D$1504)*(Transactions!$B$5:$B$1504=Lists!$A$29)*(Transactions!$A$5:$A$1504&gt;=DATE(Calc!$C$4,11,1))*(Transactions!$A$5:$A$1504&lt;DATE(Calc!$C$4,12,1)),Transactions!$D$5:$D$1504)</f>
        <v>0</v>
      </c>
      <c r="N33" s="23">
        <f>SUMPRODUCT(ISNUMBER(Transactions!$A$5:$A$1504)*ISNUMBER(MATCH(Transactions!$B$5:$B$1504,Lists!$A$2:$A$31,0))*ISNUMBER(Transactions!$D$5:$D$1504)*(Transactions!$B$5:$B$1504=Lists!$A$29)*(Transactions!$A$5:$A$1504&gt;=DATE(Calc!$C$4,12,1))*(Transactions!$A$5:$A$1504&lt;DATE(Calc!$C$4,13,1)),Transactions!$D$5:$D$1504)</f>
        <v>0</v>
      </c>
      <c r="O33" s="24">
        <f t="shared" si="0"/>
        <v>0</v>
      </c>
      <c r="P33" s="24">
        <f>IF(Calc!$C$5=0,0,O33/Calc!$C$5)</f>
        <v>0</v>
      </c>
    </row>
    <row r="34" spans="1:16" x14ac:dyDescent="0.35">
      <c r="A34" s="22" t="str">
        <f>IF(Budget!A35="","",Budget!A35)</f>
        <v/>
      </c>
      <c r="B34" s="22" t="str">
        <f>IF(LEFT(Lists!$A$30,1)="[","",Budget!B35)</f>
        <v/>
      </c>
      <c r="C34" s="23">
        <f>SUMPRODUCT(ISNUMBER(Transactions!$A$5:$A$1504)*ISNUMBER(MATCH(Transactions!$B$5:$B$1504,Lists!$A$2:$A$31,0))*ISNUMBER(Transactions!$D$5:$D$1504)*(Transactions!$B$5:$B$1504=Lists!$A$30)*(Transactions!$A$5:$A$1504&gt;=DATE(Calc!$C$4,1,1))*(Transactions!$A$5:$A$1504&lt;DATE(Calc!$C$4,2,1)),Transactions!$D$5:$D$1504)</f>
        <v>0</v>
      </c>
      <c r="D34" s="23">
        <f>SUMPRODUCT(ISNUMBER(Transactions!$A$5:$A$1504)*ISNUMBER(MATCH(Transactions!$B$5:$B$1504,Lists!$A$2:$A$31,0))*ISNUMBER(Transactions!$D$5:$D$1504)*(Transactions!$B$5:$B$1504=Lists!$A$30)*(Transactions!$A$5:$A$1504&gt;=DATE(Calc!$C$4,2,1))*(Transactions!$A$5:$A$1504&lt;DATE(Calc!$C$4,3,1)),Transactions!$D$5:$D$1504)</f>
        <v>0</v>
      </c>
      <c r="E34" s="23">
        <f>SUMPRODUCT(ISNUMBER(Transactions!$A$5:$A$1504)*ISNUMBER(MATCH(Transactions!$B$5:$B$1504,Lists!$A$2:$A$31,0))*ISNUMBER(Transactions!$D$5:$D$1504)*(Transactions!$B$5:$B$1504=Lists!$A$30)*(Transactions!$A$5:$A$1504&gt;=DATE(Calc!$C$4,3,1))*(Transactions!$A$5:$A$1504&lt;DATE(Calc!$C$4,4,1)),Transactions!$D$5:$D$1504)</f>
        <v>0</v>
      </c>
      <c r="F34" s="23">
        <f>SUMPRODUCT(ISNUMBER(Transactions!$A$5:$A$1504)*ISNUMBER(MATCH(Transactions!$B$5:$B$1504,Lists!$A$2:$A$31,0))*ISNUMBER(Transactions!$D$5:$D$1504)*(Transactions!$B$5:$B$1504=Lists!$A$30)*(Transactions!$A$5:$A$1504&gt;=DATE(Calc!$C$4,4,1))*(Transactions!$A$5:$A$1504&lt;DATE(Calc!$C$4,5,1)),Transactions!$D$5:$D$1504)</f>
        <v>0</v>
      </c>
      <c r="G34" s="23">
        <f>SUMPRODUCT(ISNUMBER(Transactions!$A$5:$A$1504)*ISNUMBER(MATCH(Transactions!$B$5:$B$1504,Lists!$A$2:$A$31,0))*ISNUMBER(Transactions!$D$5:$D$1504)*(Transactions!$B$5:$B$1504=Lists!$A$30)*(Transactions!$A$5:$A$1504&gt;=DATE(Calc!$C$4,5,1))*(Transactions!$A$5:$A$1504&lt;DATE(Calc!$C$4,6,1)),Transactions!$D$5:$D$1504)</f>
        <v>0</v>
      </c>
      <c r="H34" s="23">
        <f>SUMPRODUCT(ISNUMBER(Transactions!$A$5:$A$1504)*ISNUMBER(MATCH(Transactions!$B$5:$B$1504,Lists!$A$2:$A$31,0))*ISNUMBER(Transactions!$D$5:$D$1504)*(Transactions!$B$5:$B$1504=Lists!$A$30)*(Transactions!$A$5:$A$1504&gt;=DATE(Calc!$C$4,6,1))*(Transactions!$A$5:$A$1504&lt;DATE(Calc!$C$4,7,1)),Transactions!$D$5:$D$1504)</f>
        <v>0</v>
      </c>
      <c r="I34" s="23">
        <f>SUMPRODUCT(ISNUMBER(Transactions!$A$5:$A$1504)*ISNUMBER(MATCH(Transactions!$B$5:$B$1504,Lists!$A$2:$A$31,0))*ISNUMBER(Transactions!$D$5:$D$1504)*(Transactions!$B$5:$B$1504=Lists!$A$30)*(Transactions!$A$5:$A$1504&gt;=DATE(Calc!$C$4,7,1))*(Transactions!$A$5:$A$1504&lt;DATE(Calc!$C$4,8,1)),Transactions!$D$5:$D$1504)</f>
        <v>0</v>
      </c>
      <c r="J34" s="23">
        <f>SUMPRODUCT(ISNUMBER(Transactions!$A$5:$A$1504)*ISNUMBER(MATCH(Transactions!$B$5:$B$1504,Lists!$A$2:$A$31,0))*ISNUMBER(Transactions!$D$5:$D$1504)*(Transactions!$B$5:$B$1504=Lists!$A$30)*(Transactions!$A$5:$A$1504&gt;=DATE(Calc!$C$4,8,1))*(Transactions!$A$5:$A$1504&lt;DATE(Calc!$C$4,9,1)),Transactions!$D$5:$D$1504)</f>
        <v>0</v>
      </c>
      <c r="K34" s="23">
        <f>SUMPRODUCT(ISNUMBER(Transactions!$A$5:$A$1504)*ISNUMBER(MATCH(Transactions!$B$5:$B$1504,Lists!$A$2:$A$31,0))*ISNUMBER(Transactions!$D$5:$D$1504)*(Transactions!$B$5:$B$1504=Lists!$A$30)*(Transactions!$A$5:$A$1504&gt;=DATE(Calc!$C$4,9,1))*(Transactions!$A$5:$A$1504&lt;DATE(Calc!$C$4,10,1)),Transactions!$D$5:$D$1504)</f>
        <v>0</v>
      </c>
      <c r="L34" s="23">
        <f>SUMPRODUCT(ISNUMBER(Transactions!$A$5:$A$1504)*ISNUMBER(MATCH(Transactions!$B$5:$B$1504,Lists!$A$2:$A$31,0))*ISNUMBER(Transactions!$D$5:$D$1504)*(Transactions!$B$5:$B$1504=Lists!$A$30)*(Transactions!$A$5:$A$1504&gt;=DATE(Calc!$C$4,10,1))*(Transactions!$A$5:$A$1504&lt;DATE(Calc!$C$4,11,1)),Transactions!$D$5:$D$1504)</f>
        <v>0</v>
      </c>
      <c r="M34" s="23">
        <f>SUMPRODUCT(ISNUMBER(Transactions!$A$5:$A$1504)*ISNUMBER(MATCH(Transactions!$B$5:$B$1504,Lists!$A$2:$A$31,0))*ISNUMBER(Transactions!$D$5:$D$1504)*(Transactions!$B$5:$B$1504=Lists!$A$30)*(Transactions!$A$5:$A$1504&gt;=DATE(Calc!$C$4,11,1))*(Transactions!$A$5:$A$1504&lt;DATE(Calc!$C$4,12,1)),Transactions!$D$5:$D$1504)</f>
        <v>0</v>
      </c>
      <c r="N34" s="23">
        <f>SUMPRODUCT(ISNUMBER(Transactions!$A$5:$A$1504)*ISNUMBER(MATCH(Transactions!$B$5:$B$1504,Lists!$A$2:$A$31,0))*ISNUMBER(Transactions!$D$5:$D$1504)*(Transactions!$B$5:$B$1504=Lists!$A$30)*(Transactions!$A$5:$A$1504&gt;=DATE(Calc!$C$4,12,1))*(Transactions!$A$5:$A$1504&lt;DATE(Calc!$C$4,13,1)),Transactions!$D$5:$D$1504)</f>
        <v>0</v>
      </c>
      <c r="O34" s="24">
        <f t="shared" si="0"/>
        <v>0</v>
      </c>
      <c r="P34" s="24">
        <f>IF(Calc!$C$5=0,0,O34/Calc!$C$5)</f>
        <v>0</v>
      </c>
    </row>
    <row r="35" spans="1:16" x14ac:dyDescent="0.35">
      <c r="A35" s="22" t="str">
        <f>IF(Budget!A36="","",Budget!A36)</f>
        <v/>
      </c>
      <c r="B35" s="22" t="str">
        <f>IF(LEFT(Lists!$A$31,1)="[","",Budget!B36)</f>
        <v/>
      </c>
      <c r="C35" s="23">
        <f>SUMPRODUCT(ISNUMBER(Transactions!$A$5:$A$1504)*ISNUMBER(MATCH(Transactions!$B$5:$B$1504,Lists!$A$2:$A$31,0))*ISNUMBER(Transactions!$D$5:$D$1504)*(Transactions!$B$5:$B$1504=Lists!$A$31)*(Transactions!$A$5:$A$1504&gt;=DATE(Calc!$C$4,1,1))*(Transactions!$A$5:$A$1504&lt;DATE(Calc!$C$4,2,1)),Transactions!$D$5:$D$1504)</f>
        <v>0</v>
      </c>
      <c r="D35" s="23">
        <f>SUMPRODUCT(ISNUMBER(Transactions!$A$5:$A$1504)*ISNUMBER(MATCH(Transactions!$B$5:$B$1504,Lists!$A$2:$A$31,0))*ISNUMBER(Transactions!$D$5:$D$1504)*(Transactions!$B$5:$B$1504=Lists!$A$31)*(Transactions!$A$5:$A$1504&gt;=DATE(Calc!$C$4,2,1))*(Transactions!$A$5:$A$1504&lt;DATE(Calc!$C$4,3,1)),Transactions!$D$5:$D$1504)</f>
        <v>0</v>
      </c>
      <c r="E35" s="23">
        <f>SUMPRODUCT(ISNUMBER(Transactions!$A$5:$A$1504)*ISNUMBER(MATCH(Transactions!$B$5:$B$1504,Lists!$A$2:$A$31,0))*ISNUMBER(Transactions!$D$5:$D$1504)*(Transactions!$B$5:$B$1504=Lists!$A$31)*(Transactions!$A$5:$A$1504&gt;=DATE(Calc!$C$4,3,1))*(Transactions!$A$5:$A$1504&lt;DATE(Calc!$C$4,4,1)),Transactions!$D$5:$D$1504)</f>
        <v>0</v>
      </c>
      <c r="F35" s="23">
        <f>SUMPRODUCT(ISNUMBER(Transactions!$A$5:$A$1504)*ISNUMBER(MATCH(Transactions!$B$5:$B$1504,Lists!$A$2:$A$31,0))*ISNUMBER(Transactions!$D$5:$D$1504)*(Transactions!$B$5:$B$1504=Lists!$A$31)*(Transactions!$A$5:$A$1504&gt;=DATE(Calc!$C$4,4,1))*(Transactions!$A$5:$A$1504&lt;DATE(Calc!$C$4,5,1)),Transactions!$D$5:$D$1504)</f>
        <v>0</v>
      </c>
      <c r="G35" s="23">
        <f>SUMPRODUCT(ISNUMBER(Transactions!$A$5:$A$1504)*ISNUMBER(MATCH(Transactions!$B$5:$B$1504,Lists!$A$2:$A$31,0))*ISNUMBER(Transactions!$D$5:$D$1504)*(Transactions!$B$5:$B$1504=Lists!$A$31)*(Transactions!$A$5:$A$1504&gt;=DATE(Calc!$C$4,5,1))*(Transactions!$A$5:$A$1504&lt;DATE(Calc!$C$4,6,1)),Transactions!$D$5:$D$1504)</f>
        <v>0</v>
      </c>
      <c r="H35" s="23">
        <f>SUMPRODUCT(ISNUMBER(Transactions!$A$5:$A$1504)*ISNUMBER(MATCH(Transactions!$B$5:$B$1504,Lists!$A$2:$A$31,0))*ISNUMBER(Transactions!$D$5:$D$1504)*(Transactions!$B$5:$B$1504=Lists!$A$31)*(Transactions!$A$5:$A$1504&gt;=DATE(Calc!$C$4,6,1))*(Transactions!$A$5:$A$1504&lt;DATE(Calc!$C$4,7,1)),Transactions!$D$5:$D$1504)</f>
        <v>0</v>
      </c>
      <c r="I35" s="23">
        <f>SUMPRODUCT(ISNUMBER(Transactions!$A$5:$A$1504)*ISNUMBER(MATCH(Transactions!$B$5:$B$1504,Lists!$A$2:$A$31,0))*ISNUMBER(Transactions!$D$5:$D$1504)*(Transactions!$B$5:$B$1504=Lists!$A$31)*(Transactions!$A$5:$A$1504&gt;=DATE(Calc!$C$4,7,1))*(Transactions!$A$5:$A$1504&lt;DATE(Calc!$C$4,8,1)),Transactions!$D$5:$D$1504)</f>
        <v>0</v>
      </c>
      <c r="J35" s="23">
        <f>SUMPRODUCT(ISNUMBER(Transactions!$A$5:$A$1504)*ISNUMBER(MATCH(Transactions!$B$5:$B$1504,Lists!$A$2:$A$31,0))*ISNUMBER(Transactions!$D$5:$D$1504)*(Transactions!$B$5:$B$1504=Lists!$A$31)*(Transactions!$A$5:$A$1504&gt;=DATE(Calc!$C$4,8,1))*(Transactions!$A$5:$A$1504&lt;DATE(Calc!$C$4,9,1)),Transactions!$D$5:$D$1504)</f>
        <v>0</v>
      </c>
      <c r="K35" s="23">
        <f>SUMPRODUCT(ISNUMBER(Transactions!$A$5:$A$1504)*ISNUMBER(MATCH(Transactions!$B$5:$B$1504,Lists!$A$2:$A$31,0))*ISNUMBER(Transactions!$D$5:$D$1504)*(Transactions!$B$5:$B$1504=Lists!$A$31)*(Transactions!$A$5:$A$1504&gt;=DATE(Calc!$C$4,9,1))*(Transactions!$A$5:$A$1504&lt;DATE(Calc!$C$4,10,1)),Transactions!$D$5:$D$1504)</f>
        <v>0</v>
      </c>
      <c r="L35" s="23">
        <f>SUMPRODUCT(ISNUMBER(Transactions!$A$5:$A$1504)*ISNUMBER(MATCH(Transactions!$B$5:$B$1504,Lists!$A$2:$A$31,0))*ISNUMBER(Transactions!$D$5:$D$1504)*(Transactions!$B$5:$B$1504=Lists!$A$31)*(Transactions!$A$5:$A$1504&gt;=DATE(Calc!$C$4,10,1))*(Transactions!$A$5:$A$1504&lt;DATE(Calc!$C$4,11,1)),Transactions!$D$5:$D$1504)</f>
        <v>0</v>
      </c>
      <c r="M35" s="23">
        <f>SUMPRODUCT(ISNUMBER(Transactions!$A$5:$A$1504)*ISNUMBER(MATCH(Transactions!$B$5:$B$1504,Lists!$A$2:$A$31,0))*ISNUMBER(Transactions!$D$5:$D$1504)*(Transactions!$B$5:$B$1504=Lists!$A$31)*(Transactions!$A$5:$A$1504&gt;=DATE(Calc!$C$4,11,1))*(Transactions!$A$5:$A$1504&lt;DATE(Calc!$C$4,12,1)),Transactions!$D$5:$D$1504)</f>
        <v>0</v>
      </c>
      <c r="N35" s="23">
        <f>SUMPRODUCT(ISNUMBER(Transactions!$A$5:$A$1504)*ISNUMBER(MATCH(Transactions!$B$5:$B$1504,Lists!$A$2:$A$31,0))*ISNUMBER(Transactions!$D$5:$D$1504)*(Transactions!$B$5:$B$1504=Lists!$A$31)*(Transactions!$A$5:$A$1504&gt;=DATE(Calc!$C$4,12,1))*(Transactions!$A$5:$A$1504&lt;DATE(Calc!$C$4,13,1)),Transactions!$D$5:$D$1504)</f>
        <v>0</v>
      </c>
      <c r="O35" s="24">
        <f t="shared" si="0"/>
        <v>0</v>
      </c>
      <c r="P35" s="24">
        <f>IF(Calc!$C$5=0,0,O35/Calc!$C$5)</f>
        <v>0</v>
      </c>
    </row>
    <row r="37" spans="1:16" x14ac:dyDescent="0.35">
      <c r="A37" s="13" t="s">
        <v>125</v>
      </c>
      <c r="B37" s="13"/>
      <c r="C37" s="13" t="s">
        <v>47</v>
      </c>
      <c r="D37" s="13" t="s">
        <v>48</v>
      </c>
      <c r="E37" s="13" t="s">
        <v>49</v>
      </c>
      <c r="F37" s="13" t="s">
        <v>50</v>
      </c>
      <c r="G37" s="13" t="s">
        <v>52</v>
      </c>
      <c r="H37" s="13" t="s">
        <v>53</v>
      </c>
      <c r="I37" s="13" t="s">
        <v>54</v>
      </c>
      <c r="J37" s="13" t="s">
        <v>55</v>
      </c>
      <c r="K37" s="13" t="s">
        <v>56</v>
      </c>
      <c r="L37" s="13" t="s">
        <v>57</v>
      </c>
      <c r="M37" s="13" t="s">
        <v>58</v>
      </c>
      <c r="N37" s="13" t="s">
        <v>59</v>
      </c>
      <c r="O37" s="13" t="s">
        <v>123</v>
      </c>
      <c r="P37" s="13" t="s">
        <v>124</v>
      </c>
    </row>
    <row r="38" spans="1:16" x14ac:dyDescent="0.35">
      <c r="A38" s="11" t="s">
        <v>45</v>
      </c>
      <c r="C38" s="23">
        <f t="shared" ref="C38:O38" si="1">SUMPRODUCT(($B$6:$B$35="Income")*(C6:C35))</f>
        <v>4600</v>
      </c>
      <c r="D38" s="23">
        <f t="shared" si="1"/>
        <v>0</v>
      </c>
      <c r="E38" s="23">
        <f t="shared" si="1"/>
        <v>0</v>
      </c>
      <c r="F38" s="23">
        <f t="shared" si="1"/>
        <v>0</v>
      </c>
      <c r="G38" s="23">
        <f t="shared" si="1"/>
        <v>0</v>
      </c>
      <c r="H38" s="23">
        <f t="shared" si="1"/>
        <v>0</v>
      </c>
      <c r="I38" s="23">
        <f t="shared" si="1"/>
        <v>0</v>
      </c>
      <c r="J38" s="23">
        <f t="shared" si="1"/>
        <v>0</v>
      </c>
      <c r="K38" s="23">
        <f t="shared" si="1"/>
        <v>0</v>
      </c>
      <c r="L38" s="23">
        <f t="shared" si="1"/>
        <v>0</v>
      </c>
      <c r="M38" s="23">
        <f t="shared" si="1"/>
        <v>0</v>
      </c>
      <c r="N38" s="23">
        <f t="shared" si="1"/>
        <v>0</v>
      </c>
      <c r="O38" s="23">
        <f t="shared" si="1"/>
        <v>4600</v>
      </c>
      <c r="P38" s="25">
        <f>IF(Calc!$C$5=0,0,O38/Calc!$C$5)</f>
        <v>4600</v>
      </c>
    </row>
    <row r="39" spans="1:16" x14ac:dyDescent="0.35">
      <c r="A39" s="11" t="s">
        <v>62</v>
      </c>
      <c r="C39" s="23">
        <f t="shared" ref="C39:O39" si="2">SUMPRODUCT(($B$6:$B$35="Bills")*(C6:C35))</f>
        <v>1450</v>
      </c>
      <c r="D39" s="23">
        <f t="shared" si="2"/>
        <v>0</v>
      </c>
      <c r="E39" s="23">
        <f t="shared" si="2"/>
        <v>0</v>
      </c>
      <c r="F39" s="23">
        <f t="shared" si="2"/>
        <v>0</v>
      </c>
      <c r="G39" s="23">
        <f t="shared" si="2"/>
        <v>0</v>
      </c>
      <c r="H39" s="23">
        <f t="shared" si="2"/>
        <v>0</v>
      </c>
      <c r="I39" s="23">
        <f t="shared" si="2"/>
        <v>0</v>
      </c>
      <c r="J39" s="23">
        <f t="shared" si="2"/>
        <v>0</v>
      </c>
      <c r="K39" s="23">
        <f t="shared" si="2"/>
        <v>0</v>
      </c>
      <c r="L39" s="23">
        <f t="shared" si="2"/>
        <v>0</v>
      </c>
      <c r="M39" s="23">
        <f t="shared" si="2"/>
        <v>0</v>
      </c>
      <c r="N39" s="23">
        <f t="shared" si="2"/>
        <v>0</v>
      </c>
      <c r="O39" s="23">
        <f t="shared" si="2"/>
        <v>1450</v>
      </c>
      <c r="P39" s="25">
        <f>IF(Calc!$C$5=0,0,O39/Calc!$C$5)</f>
        <v>1450</v>
      </c>
    </row>
    <row r="40" spans="1:16" x14ac:dyDescent="0.35">
      <c r="A40" s="11" t="s">
        <v>63</v>
      </c>
      <c r="C40" s="23">
        <f t="shared" ref="C40:O40" si="3">SUMPRODUCT(($B$6:$B$35="Living")*(C6:C35))</f>
        <v>112.4</v>
      </c>
      <c r="D40" s="23">
        <f t="shared" si="3"/>
        <v>0</v>
      </c>
      <c r="E40" s="23">
        <f t="shared" si="3"/>
        <v>0</v>
      </c>
      <c r="F40" s="23">
        <f t="shared" si="3"/>
        <v>0</v>
      </c>
      <c r="G40" s="23">
        <f t="shared" si="3"/>
        <v>0</v>
      </c>
      <c r="H40" s="23">
        <f t="shared" si="3"/>
        <v>0</v>
      </c>
      <c r="I40" s="23">
        <f t="shared" si="3"/>
        <v>0</v>
      </c>
      <c r="J40" s="23">
        <f t="shared" si="3"/>
        <v>0</v>
      </c>
      <c r="K40" s="23">
        <f t="shared" si="3"/>
        <v>0</v>
      </c>
      <c r="L40" s="23">
        <f t="shared" si="3"/>
        <v>0</v>
      </c>
      <c r="M40" s="23">
        <f t="shared" si="3"/>
        <v>0</v>
      </c>
      <c r="N40" s="23">
        <f t="shared" si="3"/>
        <v>0</v>
      </c>
      <c r="O40" s="23">
        <f t="shared" si="3"/>
        <v>112.4</v>
      </c>
      <c r="P40" s="25">
        <f>IF(Calc!$C$5=0,0,O40/Calc!$C$5)</f>
        <v>112.4</v>
      </c>
    </row>
    <row r="41" spans="1:16" x14ac:dyDescent="0.35">
      <c r="A41" s="11" t="s">
        <v>64</v>
      </c>
      <c r="C41" s="23">
        <f t="shared" ref="C41:O41" si="4">SUMPRODUCT(($B$6:$B$35="Debt")*(C6:C35))</f>
        <v>0</v>
      </c>
      <c r="D41" s="23">
        <f t="shared" si="4"/>
        <v>0</v>
      </c>
      <c r="E41" s="23">
        <f t="shared" si="4"/>
        <v>0</v>
      </c>
      <c r="F41" s="23">
        <f t="shared" si="4"/>
        <v>0</v>
      </c>
      <c r="G41" s="23">
        <f t="shared" si="4"/>
        <v>0</v>
      </c>
      <c r="H41" s="23">
        <f t="shared" si="4"/>
        <v>0</v>
      </c>
      <c r="I41" s="23">
        <f t="shared" si="4"/>
        <v>0</v>
      </c>
      <c r="J41" s="23">
        <f t="shared" si="4"/>
        <v>0</v>
      </c>
      <c r="K41" s="23">
        <f t="shared" si="4"/>
        <v>0</v>
      </c>
      <c r="L41" s="23">
        <f t="shared" si="4"/>
        <v>0</v>
      </c>
      <c r="M41" s="23">
        <f t="shared" si="4"/>
        <v>0</v>
      </c>
      <c r="N41" s="23">
        <f t="shared" si="4"/>
        <v>0</v>
      </c>
      <c r="O41" s="23">
        <f t="shared" si="4"/>
        <v>0</v>
      </c>
      <c r="P41" s="25">
        <f>IF(Calc!$C$5=0,0,O41/Calc!$C$5)</f>
        <v>0</v>
      </c>
    </row>
    <row r="42" spans="1:16" x14ac:dyDescent="0.35">
      <c r="A42" s="11" t="s">
        <v>126</v>
      </c>
      <c r="C42" s="26">
        <f t="shared" ref="C42:O42" si="5">C39+C40+C41</f>
        <v>1562.4</v>
      </c>
      <c r="D42" s="26">
        <f t="shared" si="5"/>
        <v>0</v>
      </c>
      <c r="E42" s="26">
        <f t="shared" si="5"/>
        <v>0</v>
      </c>
      <c r="F42" s="26">
        <f t="shared" si="5"/>
        <v>0</v>
      </c>
      <c r="G42" s="26">
        <f t="shared" si="5"/>
        <v>0</v>
      </c>
      <c r="H42" s="26">
        <f t="shared" si="5"/>
        <v>0</v>
      </c>
      <c r="I42" s="26">
        <f t="shared" si="5"/>
        <v>0</v>
      </c>
      <c r="J42" s="26">
        <f t="shared" si="5"/>
        <v>0</v>
      </c>
      <c r="K42" s="26">
        <f t="shared" si="5"/>
        <v>0</v>
      </c>
      <c r="L42" s="26">
        <f t="shared" si="5"/>
        <v>0</v>
      </c>
      <c r="M42" s="26">
        <f t="shared" si="5"/>
        <v>0</v>
      </c>
      <c r="N42" s="26">
        <f t="shared" si="5"/>
        <v>0</v>
      </c>
      <c r="O42" s="26">
        <f t="shared" si="5"/>
        <v>1562.4</v>
      </c>
      <c r="P42" s="25">
        <f>IF(Calc!$C$5=0,0,O42/Calc!$C$5)</f>
        <v>1562.4</v>
      </c>
    </row>
    <row r="43" spans="1:16" x14ac:dyDescent="0.35">
      <c r="A43" s="11" t="s">
        <v>46</v>
      </c>
      <c r="C43" s="23">
        <f t="shared" ref="C43:O43" si="6">SUMPRODUCT(($B$6:$B$35="Savings")*(C6:C35))</f>
        <v>300</v>
      </c>
      <c r="D43" s="23">
        <f t="shared" si="6"/>
        <v>0</v>
      </c>
      <c r="E43" s="23">
        <f t="shared" si="6"/>
        <v>0</v>
      </c>
      <c r="F43" s="23">
        <f t="shared" si="6"/>
        <v>0</v>
      </c>
      <c r="G43" s="23">
        <f t="shared" si="6"/>
        <v>0</v>
      </c>
      <c r="H43" s="23">
        <f t="shared" si="6"/>
        <v>0</v>
      </c>
      <c r="I43" s="23">
        <f t="shared" si="6"/>
        <v>0</v>
      </c>
      <c r="J43" s="23">
        <f t="shared" si="6"/>
        <v>0</v>
      </c>
      <c r="K43" s="23">
        <f t="shared" si="6"/>
        <v>0</v>
      </c>
      <c r="L43" s="23">
        <f t="shared" si="6"/>
        <v>0</v>
      </c>
      <c r="M43" s="23">
        <f t="shared" si="6"/>
        <v>0</v>
      </c>
      <c r="N43" s="23">
        <f t="shared" si="6"/>
        <v>0</v>
      </c>
      <c r="O43" s="23">
        <f t="shared" si="6"/>
        <v>300</v>
      </c>
      <c r="P43" s="25">
        <f>IF(Calc!$C$5=0,0,O43/Calc!$C$5)</f>
        <v>300</v>
      </c>
    </row>
    <row r="44" spans="1:16" x14ac:dyDescent="0.35">
      <c r="A44" s="11" t="s">
        <v>65</v>
      </c>
      <c r="C44" s="26">
        <f t="shared" ref="C44:O44" si="7">C38-C42-C43</f>
        <v>2737.6</v>
      </c>
      <c r="D44" s="26">
        <f t="shared" si="7"/>
        <v>0</v>
      </c>
      <c r="E44" s="26">
        <f t="shared" si="7"/>
        <v>0</v>
      </c>
      <c r="F44" s="26">
        <f t="shared" si="7"/>
        <v>0</v>
      </c>
      <c r="G44" s="26">
        <f t="shared" si="7"/>
        <v>0</v>
      </c>
      <c r="H44" s="26">
        <f t="shared" si="7"/>
        <v>0</v>
      </c>
      <c r="I44" s="26">
        <f t="shared" si="7"/>
        <v>0</v>
      </c>
      <c r="J44" s="26">
        <f t="shared" si="7"/>
        <v>0</v>
      </c>
      <c r="K44" s="26">
        <f t="shared" si="7"/>
        <v>0</v>
      </c>
      <c r="L44" s="26">
        <f t="shared" si="7"/>
        <v>0</v>
      </c>
      <c r="M44" s="26">
        <f t="shared" si="7"/>
        <v>0</v>
      </c>
      <c r="N44" s="26">
        <f t="shared" si="7"/>
        <v>0</v>
      </c>
      <c r="O44" s="26">
        <f t="shared" si="7"/>
        <v>2737.6</v>
      </c>
      <c r="P44" s="25">
        <f>IF(Calc!$C$5=0,0,O44/Calc!$C$5)</f>
        <v>2737.6</v>
      </c>
    </row>
    <row r="46" spans="1:16" x14ac:dyDescent="0.35">
      <c r="A46" s="7" t="s">
        <v>127</v>
      </c>
    </row>
  </sheetData>
  <conditionalFormatting sqref="C44:P44">
    <cfRule type="expression" dxfId="12" priority="1">
      <formula>C44&lt;0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6B5E"/>
  </sheetPr>
  <dimension ref="A1:P47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1" customWidth="1"/>
    <col min="3" max="3" width="8" customWidth="1"/>
    <col min="4" max="15" width="6" customWidth="1"/>
    <col min="16" max="16" width="16" customWidth="1"/>
  </cols>
  <sheetData>
    <row r="1" spans="1:16" ht="23" x14ac:dyDescent="0.5">
      <c r="A1" s="1" t="s">
        <v>62</v>
      </c>
    </row>
    <row r="2" spans="1:16" x14ac:dyDescent="0.35">
      <c r="A2" s="2" t="s">
        <v>128</v>
      </c>
      <c r="N2" s="10" t="s">
        <v>129</v>
      </c>
      <c r="P2" s="27">
        <f>SUMPRODUCT((((Bills!$A$6:$A$45&lt;&gt;"")+(Bills!$B$6:$B$45&lt;&gt;"")+(Bills!$C$6:$C$45&lt;&gt;""))&gt;0)*(((Bills!$A$6:$A$45&lt;&gt;"")*ISNUMBER(Bills!$B$6:$B$45)*(Bills!$B$6:$B$45&gt;=0)*(((Bills!$C$6:$C$45="")+ISNUMBER(Bills!$C$6:$C$45)*(Bills!$C$6:$C$45&gt;=1)*(Bills!$C$6:$C$45&lt;=31))&gt;0))=0))+SUMPRODUCT((Bills!$D$6:$O$45&lt;&gt;"")*(Bills!$D$6:$O$45&lt;&gt;"Yes"))</f>
        <v>0</v>
      </c>
    </row>
    <row r="3" spans="1:16" x14ac:dyDescent="0.35">
      <c r="A3" s="10" t="s">
        <v>130</v>
      </c>
    </row>
    <row r="5" spans="1:16" ht="30" customHeight="1" x14ac:dyDescent="0.35">
      <c r="A5" s="13" t="s">
        <v>131</v>
      </c>
      <c r="B5" s="13" t="s">
        <v>61</v>
      </c>
      <c r="C5" s="13" t="s">
        <v>132</v>
      </c>
      <c r="D5" s="13" t="s">
        <v>47</v>
      </c>
      <c r="E5" s="13" t="s">
        <v>48</v>
      </c>
      <c r="F5" s="13" t="s">
        <v>49</v>
      </c>
      <c r="G5" s="13" t="s">
        <v>50</v>
      </c>
      <c r="H5" s="13" t="s">
        <v>52</v>
      </c>
      <c r="I5" s="13" t="s">
        <v>53</v>
      </c>
      <c r="J5" s="13" t="s">
        <v>54</v>
      </c>
      <c r="K5" s="13" t="s">
        <v>55</v>
      </c>
      <c r="L5" s="13" t="s">
        <v>56</v>
      </c>
      <c r="M5" s="13" t="s">
        <v>57</v>
      </c>
      <c r="N5" s="13" t="s">
        <v>58</v>
      </c>
      <c r="O5" s="13" t="s">
        <v>59</v>
      </c>
      <c r="P5" s="13" t="s">
        <v>133</v>
      </c>
    </row>
    <row r="6" spans="1:16" x14ac:dyDescent="0.35">
      <c r="A6" s="14" t="s">
        <v>134</v>
      </c>
      <c r="B6" s="15">
        <v>1450</v>
      </c>
      <c r="C6" s="14">
        <v>1</v>
      </c>
      <c r="D6" s="14" t="s">
        <v>135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28" t="str">
        <f ca="1">IF(A6="","",IF(OR(Calc!$C$3=0,Calc!$C$4=0),"",IF(INDEX(D6:O6,Calc!$C$3)="Yes","Paid",IF(NOT(AND(ISNUMBER(C6),N(C6)&gt;=1,N(C6)&lt;=31)),"No due day",IF(DATE(Calc!$C$4,Calc!$C$3,MIN(INT(C6),DAY(DATE(Calc!$C$4,Calc!$C$3+1,0))))&lt;TODAY(),"OVERDUE",IF(DATE(Calc!$C$4,Calc!$C$3,MIN(INT(C6),DAY(DATE(Calc!$C$4,Calc!$C$3+1,0))))-TODAY()&lt;=7,"Due in "&amp;(DATE(Calc!$C$4,Calc!$C$3,MIN(INT(C6),DAY(DATE(Calc!$C$4,Calc!$C$3+1,0))))-TODAY())&amp;" days","Due "&amp;TEXT(DATE(Calc!$C$4,Calc!$C$3,MIN(INT(C6),DAY(DATE(Calc!$C$4,Calc!$C$3+1,0)))),"mmm d")))))))</f>
        <v>Paid</v>
      </c>
    </row>
    <row r="7" spans="1:16" x14ac:dyDescent="0.35">
      <c r="A7" s="14" t="s">
        <v>136</v>
      </c>
      <c r="B7" s="15">
        <v>65</v>
      </c>
      <c r="C7" s="14">
        <v>15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28" t="str">
        <f ca="1">IF(A7="","",IF(OR(Calc!$C$3=0,Calc!$C$4=0),"",IF(INDEX(D7:O7,Calc!$C$3)="Yes","Paid",IF(NOT(AND(ISNUMBER(C7),N(C7)&gt;=1,N(C7)&lt;=31)),"No due day",IF(DATE(Calc!$C$4,Calc!$C$3,MIN(INT(C7),DAY(DATE(Calc!$C$4,Calc!$C$3+1,0))))&lt;TODAY(),"OVERDUE",IF(DATE(Calc!$C$4,Calc!$C$3,MIN(INT(C7),DAY(DATE(Calc!$C$4,Calc!$C$3+1,0))))-TODAY()&lt;=7,"Due in "&amp;(DATE(Calc!$C$4,Calc!$C$3,MIN(INT(C7),DAY(DATE(Calc!$C$4,Calc!$C$3+1,0))))-TODAY())&amp;" days","Due "&amp;TEXT(DATE(Calc!$C$4,Calc!$C$3,MIN(INT(C7),DAY(DATE(Calc!$C$4,Calc!$C$3+1,0)))),"mmm d")))))))</f>
        <v>OVERDUE</v>
      </c>
    </row>
    <row r="8" spans="1:16" x14ac:dyDescent="0.35">
      <c r="A8" s="14"/>
      <c r="B8" s="1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28" t="str">
        <f ca="1">IF(A8="","",IF(OR(Calc!$C$3=0,Calc!$C$4=0),"",IF(INDEX(D8:O8,Calc!$C$3)="Yes","Paid",IF(NOT(AND(ISNUMBER(C8),N(C8)&gt;=1,N(C8)&lt;=31)),"No due day",IF(DATE(Calc!$C$4,Calc!$C$3,MIN(INT(C8),DAY(DATE(Calc!$C$4,Calc!$C$3+1,0))))&lt;TODAY(),"OVERDUE",IF(DATE(Calc!$C$4,Calc!$C$3,MIN(INT(C8),DAY(DATE(Calc!$C$4,Calc!$C$3+1,0))))-TODAY()&lt;=7,"Due in "&amp;(DATE(Calc!$C$4,Calc!$C$3,MIN(INT(C8),DAY(DATE(Calc!$C$4,Calc!$C$3+1,0))))-TODAY())&amp;" days","Due "&amp;TEXT(DATE(Calc!$C$4,Calc!$C$3,MIN(INT(C8),DAY(DATE(Calc!$C$4,Calc!$C$3+1,0)))),"mmm d")))))))</f>
        <v/>
      </c>
    </row>
    <row r="9" spans="1:16" x14ac:dyDescent="0.35">
      <c r="A9" s="14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8" t="str">
        <f ca="1">IF(A9="","",IF(OR(Calc!$C$3=0,Calc!$C$4=0),"",IF(INDEX(D9:O9,Calc!$C$3)="Yes","Paid",IF(NOT(AND(ISNUMBER(C9),N(C9)&gt;=1,N(C9)&lt;=31)),"No due day",IF(DATE(Calc!$C$4,Calc!$C$3,MIN(INT(C9),DAY(DATE(Calc!$C$4,Calc!$C$3+1,0))))&lt;TODAY(),"OVERDUE",IF(DATE(Calc!$C$4,Calc!$C$3,MIN(INT(C9),DAY(DATE(Calc!$C$4,Calc!$C$3+1,0))))-TODAY()&lt;=7,"Due in "&amp;(DATE(Calc!$C$4,Calc!$C$3,MIN(INT(C9),DAY(DATE(Calc!$C$4,Calc!$C$3+1,0))))-TODAY())&amp;" days","Due "&amp;TEXT(DATE(Calc!$C$4,Calc!$C$3,MIN(INT(C9),DAY(DATE(Calc!$C$4,Calc!$C$3+1,0)))),"mmm d")))))))</f>
        <v/>
      </c>
    </row>
    <row r="10" spans="1:16" x14ac:dyDescent="0.35">
      <c r="A10" s="14"/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8" t="str">
        <f ca="1">IF(A10="","",IF(OR(Calc!$C$3=0,Calc!$C$4=0),"",IF(INDEX(D10:O10,Calc!$C$3)="Yes","Paid",IF(NOT(AND(ISNUMBER(C10),N(C10)&gt;=1,N(C10)&lt;=31)),"No due day",IF(DATE(Calc!$C$4,Calc!$C$3,MIN(INT(C10),DAY(DATE(Calc!$C$4,Calc!$C$3+1,0))))&lt;TODAY(),"OVERDUE",IF(DATE(Calc!$C$4,Calc!$C$3,MIN(INT(C10),DAY(DATE(Calc!$C$4,Calc!$C$3+1,0))))-TODAY()&lt;=7,"Due in "&amp;(DATE(Calc!$C$4,Calc!$C$3,MIN(INT(C10),DAY(DATE(Calc!$C$4,Calc!$C$3+1,0))))-TODAY())&amp;" days","Due "&amp;TEXT(DATE(Calc!$C$4,Calc!$C$3,MIN(INT(C10),DAY(DATE(Calc!$C$4,Calc!$C$3+1,0)))),"mmm d")))))))</f>
        <v/>
      </c>
    </row>
    <row r="11" spans="1:16" x14ac:dyDescent="0.35">
      <c r="A11" s="14"/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8" t="str">
        <f ca="1">IF(A11="","",IF(OR(Calc!$C$3=0,Calc!$C$4=0),"",IF(INDEX(D11:O11,Calc!$C$3)="Yes","Paid",IF(NOT(AND(ISNUMBER(C11),N(C11)&gt;=1,N(C11)&lt;=31)),"No due day",IF(DATE(Calc!$C$4,Calc!$C$3,MIN(INT(C11),DAY(DATE(Calc!$C$4,Calc!$C$3+1,0))))&lt;TODAY(),"OVERDUE",IF(DATE(Calc!$C$4,Calc!$C$3,MIN(INT(C11),DAY(DATE(Calc!$C$4,Calc!$C$3+1,0))))-TODAY()&lt;=7,"Due in "&amp;(DATE(Calc!$C$4,Calc!$C$3,MIN(INT(C11),DAY(DATE(Calc!$C$4,Calc!$C$3+1,0))))-TODAY())&amp;" days","Due "&amp;TEXT(DATE(Calc!$C$4,Calc!$C$3,MIN(INT(C11),DAY(DATE(Calc!$C$4,Calc!$C$3+1,0)))),"mmm d")))))))</f>
        <v/>
      </c>
    </row>
    <row r="12" spans="1:16" x14ac:dyDescent="0.35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8" t="str">
        <f ca="1">IF(A12="","",IF(OR(Calc!$C$3=0,Calc!$C$4=0),"",IF(INDEX(D12:O12,Calc!$C$3)="Yes","Paid",IF(NOT(AND(ISNUMBER(C12),N(C12)&gt;=1,N(C12)&lt;=31)),"No due day",IF(DATE(Calc!$C$4,Calc!$C$3,MIN(INT(C12),DAY(DATE(Calc!$C$4,Calc!$C$3+1,0))))&lt;TODAY(),"OVERDUE",IF(DATE(Calc!$C$4,Calc!$C$3,MIN(INT(C12),DAY(DATE(Calc!$C$4,Calc!$C$3+1,0))))-TODAY()&lt;=7,"Due in "&amp;(DATE(Calc!$C$4,Calc!$C$3,MIN(INT(C12),DAY(DATE(Calc!$C$4,Calc!$C$3+1,0))))-TODAY())&amp;" days","Due "&amp;TEXT(DATE(Calc!$C$4,Calc!$C$3,MIN(INT(C12),DAY(DATE(Calc!$C$4,Calc!$C$3+1,0)))),"mmm d")))))))</f>
        <v/>
      </c>
    </row>
    <row r="13" spans="1:16" x14ac:dyDescent="0.35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8" t="str">
        <f ca="1">IF(A13="","",IF(OR(Calc!$C$3=0,Calc!$C$4=0),"",IF(INDEX(D13:O13,Calc!$C$3)="Yes","Paid",IF(NOT(AND(ISNUMBER(C13),N(C13)&gt;=1,N(C13)&lt;=31)),"No due day",IF(DATE(Calc!$C$4,Calc!$C$3,MIN(INT(C13),DAY(DATE(Calc!$C$4,Calc!$C$3+1,0))))&lt;TODAY(),"OVERDUE",IF(DATE(Calc!$C$4,Calc!$C$3,MIN(INT(C13),DAY(DATE(Calc!$C$4,Calc!$C$3+1,0))))-TODAY()&lt;=7,"Due in "&amp;(DATE(Calc!$C$4,Calc!$C$3,MIN(INT(C13),DAY(DATE(Calc!$C$4,Calc!$C$3+1,0))))-TODAY())&amp;" days","Due "&amp;TEXT(DATE(Calc!$C$4,Calc!$C$3,MIN(INT(C13),DAY(DATE(Calc!$C$4,Calc!$C$3+1,0)))),"mmm d")))))))</f>
        <v/>
      </c>
    </row>
    <row r="14" spans="1:16" x14ac:dyDescent="0.35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8" t="str">
        <f ca="1">IF(A14="","",IF(OR(Calc!$C$3=0,Calc!$C$4=0),"",IF(INDEX(D14:O14,Calc!$C$3)="Yes","Paid",IF(NOT(AND(ISNUMBER(C14),N(C14)&gt;=1,N(C14)&lt;=31)),"No due day",IF(DATE(Calc!$C$4,Calc!$C$3,MIN(INT(C14),DAY(DATE(Calc!$C$4,Calc!$C$3+1,0))))&lt;TODAY(),"OVERDUE",IF(DATE(Calc!$C$4,Calc!$C$3,MIN(INT(C14),DAY(DATE(Calc!$C$4,Calc!$C$3+1,0))))-TODAY()&lt;=7,"Due in "&amp;(DATE(Calc!$C$4,Calc!$C$3,MIN(INT(C14),DAY(DATE(Calc!$C$4,Calc!$C$3+1,0))))-TODAY())&amp;" days","Due "&amp;TEXT(DATE(Calc!$C$4,Calc!$C$3,MIN(INT(C14),DAY(DATE(Calc!$C$4,Calc!$C$3+1,0)))),"mmm d")))))))</f>
        <v/>
      </c>
    </row>
    <row r="15" spans="1:16" x14ac:dyDescent="0.35">
      <c r="A15" s="14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28" t="str">
        <f ca="1">IF(A15="","",IF(OR(Calc!$C$3=0,Calc!$C$4=0),"",IF(INDEX(D15:O15,Calc!$C$3)="Yes","Paid",IF(NOT(AND(ISNUMBER(C15),N(C15)&gt;=1,N(C15)&lt;=31)),"No due day",IF(DATE(Calc!$C$4,Calc!$C$3,MIN(INT(C15),DAY(DATE(Calc!$C$4,Calc!$C$3+1,0))))&lt;TODAY(),"OVERDUE",IF(DATE(Calc!$C$4,Calc!$C$3,MIN(INT(C15),DAY(DATE(Calc!$C$4,Calc!$C$3+1,0))))-TODAY()&lt;=7,"Due in "&amp;(DATE(Calc!$C$4,Calc!$C$3,MIN(INT(C15),DAY(DATE(Calc!$C$4,Calc!$C$3+1,0))))-TODAY())&amp;" days","Due "&amp;TEXT(DATE(Calc!$C$4,Calc!$C$3,MIN(INT(C15),DAY(DATE(Calc!$C$4,Calc!$C$3+1,0)))),"mmm d")))))))</f>
        <v/>
      </c>
    </row>
    <row r="16" spans="1:16" x14ac:dyDescent="0.35">
      <c r="A16" s="14"/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8" t="str">
        <f ca="1">IF(A16="","",IF(OR(Calc!$C$3=0,Calc!$C$4=0),"",IF(INDEX(D16:O16,Calc!$C$3)="Yes","Paid",IF(NOT(AND(ISNUMBER(C16),N(C16)&gt;=1,N(C16)&lt;=31)),"No due day",IF(DATE(Calc!$C$4,Calc!$C$3,MIN(INT(C16),DAY(DATE(Calc!$C$4,Calc!$C$3+1,0))))&lt;TODAY(),"OVERDUE",IF(DATE(Calc!$C$4,Calc!$C$3,MIN(INT(C16),DAY(DATE(Calc!$C$4,Calc!$C$3+1,0))))-TODAY()&lt;=7,"Due in "&amp;(DATE(Calc!$C$4,Calc!$C$3,MIN(INT(C16),DAY(DATE(Calc!$C$4,Calc!$C$3+1,0))))-TODAY())&amp;" days","Due "&amp;TEXT(DATE(Calc!$C$4,Calc!$C$3,MIN(INT(C16),DAY(DATE(Calc!$C$4,Calc!$C$3+1,0)))),"mmm d")))))))</f>
        <v/>
      </c>
    </row>
    <row r="17" spans="1:16" x14ac:dyDescent="0.35">
      <c r="A17" s="14"/>
      <c r="B17" s="1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8" t="str">
        <f ca="1">IF(A17="","",IF(OR(Calc!$C$3=0,Calc!$C$4=0),"",IF(INDEX(D17:O17,Calc!$C$3)="Yes","Paid",IF(NOT(AND(ISNUMBER(C17),N(C17)&gt;=1,N(C17)&lt;=31)),"No due day",IF(DATE(Calc!$C$4,Calc!$C$3,MIN(INT(C17),DAY(DATE(Calc!$C$4,Calc!$C$3+1,0))))&lt;TODAY(),"OVERDUE",IF(DATE(Calc!$C$4,Calc!$C$3,MIN(INT(C17),DAY(DATE(Calc!$C$4,Calc!$C$3+1,0))))-TODAY()&lt;=7,"Due in "&amp;(DATE(Calc!$C$4,Calc!$C$3,MIN(INT(C17),DAY(DATE(Calc!$C$4,Calc!$C$3+1,0))))-TODAY())&amp;" days","Due "&amp;TEXT(DATE(Calc!$C$4,Calc!$C$3,MIN(INT(C17),DAY(DATE(Calc!$C$4,Calc!$C$3+1,0)))),"mmm d")))))))</f>
        <v/>
      </c>
    </row>
    <row r="18" spans="1:16" x14ac:dyDescent="0.35">
      <c r="A18" s="14"/>
      <c r="B18" s="1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8" t="str">
        <f ca="1">IF(A18="","",IF(OR(Calc!$C$3=0,Calc!$C$4=0),"",IF(INDEX(D18:O18,Calc!$C$3)="Yes","Paid",IF(NOT(AND(ISNUMBER(C18),N(C18)&gt;=1,N(C18)&lt;=31)),"No due day",IF(DATE(Calc!$C$4,Calc!$C$3,MIN(INT(C18),DAY(DATE(Calc!$C$4,Calc!$C$3+1,0))))&lt;TODAY(),"OVERDUE",IF(DATE(Calc!$C$4,Calc!$C$3,MIN(INT(C18),DAY(DATE(Calc!$C$4,Calc!$C$3+1,0))))-TODAY()&lt;=7,"Due in "&amp;(DATE(Calc!$C$4,Calc!$C$3,MIN(INT(C18),DAY(DATE(Calc!$C$4,Calc!$C$3+1,0))))-TODAY())&amp;" days","Due "&amp;TEXT(DATE(Calc!$C$4,Calc!$C$3,MIN(INT(C18),DAY(DATE(Calc!$C$4,Calc!$C$3+1,0)))),"mmm d")))))))</f>
        <v/>
      </c>
    </row>
    <row r="19" spans="1:16" x14ac:dyDescent="0.35">
      <c r="A19" s="14"/>
      <c r="B19" s="1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28" t="str">
        <f ca="1">IF(A19="","",IF(OR(Calc!$C$3=0,Calc!$C$4=0),"",IF(INDEX(D19:O19,Calc!$C$3)="Yes","Paid",IF(NOT(AND(ISNUMBER(C19),N(C19)&gt;=1,N(C19)&lt;=31)),"No due day",IF(DATE(Calc!$C$4,Calc!$C$3,MIN(INT(C19),DAY(DATE(Calc!$C$4,Calc!$C$3+1,0))))&lt;TODAY(),"OVERDUE",IF(DATE(Calc!$C$4,Calc!$C$3,MIN(INT(C19),DAY(DATE(Calc!$C$4,Calc!$C$3+1,0))))-TODAY()&lt;=7,"Due in "&amp;(DATE(Calc!$C$4,Calc!$C$3,MIN(INT(C19),DAY(DATE(Calc!$C$4,Calc!$C$3+1,0))))-TODAY())&amp;" days","Due "&amp;TEXT(DATE(Calc!$C$4,Calc!$C$3,MIN(INT(C19),DAY(DATE(Calc!$C$4,Calc!$C$3+1,0)))),"mmm d")))))))</f>
        <v/>
      </c>
    </row>
    <row r="20" spans="1:16" x14ac:dyDescent="0.35">
      <c r="A20" s="14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28" t="str">
        <f ca="1">IF(A20="","",IF(OR(Calc!$C$3=0,Calc!$C$4=0),"",IF(INDEX(D20:O20,Calc!$C$3)="Yes","Paid",IF(NOT(AND(ISNUMBER(C20),N(C20)&gt;=1,N(C20)&lt;=31)),"No due day",IF(DATE(Calc!$C$4,Calc!$C$3,MIN(INT(C20),DAY(DATE(Calc!$C$4,Calc!$C$3+1,0))))&lt;TODAY(),"OVERDUE",IF(DATE(Calc!$C$4,Calc!$C$3,MIN(INT(C20),DAY(DATE(Calc!$C$4,Calc!$C$3+1,0))))-TODAY()&lt;=7,"Due in "&amp;(DATE(Calc!$C$4,Calc!$C$3,MIN(INT(C20),DAY(DATE(Calc!$C$4,Calc!$C$3+1,0))))-TODAY())&amp;" days","Due "&amp;TEXT(DATE(Calc!$C$4,Calc!$C$3,MIN(INT(C20),DAY(DATE(Calc!$C$4,Calc!$C$3+1,0)))),"mmm d")))))))</f>
        <v/>
      </c>
    </row>
    <row r="21" spans="1:16" x14ac:dyDescent="0.35">
      <c r="A21" s="14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8" t="str">
        <f ca="1">IF(A21="","",IF(OR(Calc!$C$3=0,Calc!$C$4=0),"",IF(INDEX(D21:O21,Calc!$C$3)="Yes","Paid",IF(NOT(AND(ISNUMBER(C21),N(C21)&gt;=1,N(C21)&lt;=31)),"No due day",IF(DATE(Calc!$C$4,Calc!$C$3,MIN(INT(C21),DAY(DATE(Calc!$C$4,Calc!$C$3+1,0))))&lt;TODAY(),"OVERDUE",IF(DATE(Calc!$C$4,Calc!$C$3,MIN(INT(C21),DAY(DATE(Calc!$C$4,Calc!$C$3+1,0))))-TODAY()&lt;=7,"Due in "&amp;(DATE(Calc!$C$4,Calc!$C$3,MIN(INT(C21),DAY(DATE(Calc!$C$4,Calc!$C$3+1,0))))-TODAY())&amp;" days","Due "&amp;TEXT(DATE(Calc!$C$4,Calc!$C$3,MIN(INT(C21),DAY(DATE(Calc!$C$4,Calc!$C$3+1,0)))),"mmm d")))))))</f>
        <v/>
      </c>
    </row>
    <row r="22" spans="1:16" x14ac:dyDescent="0.35">
      <c r="A22" s="14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8" t="str">
        <f ca="1">IF(A22="","",IF(OR(Calc!$C$3=0,Calc!$C$4=0),"",IF(INDEX(D22:O22,Calc!$C$3)="Yes","Paid",IF(NOT(AND(ISNUMBER(C22),N(C22)&gt;=1,N(C22)&lt;=31)),"No due day",IF(DATE(Calc!$C$4,Calc!$C$3,MIN(INT(C22),DAY(DATE(Calc!$C$4,Calc!$C$3+1,0))))&lt;TODAY(),"OVERDUE",IF(DATE(Calc!$C$4,Calc!$C$3,MIN(INT(C22),DAY(DATE(Calc!$C$4,Calc!$C$3+1,0))))-TODAY()&lt;=7,"Due in "&amp;(DATE(Calc!$C$4,Calc!$C$3,MIN(INT(C22),DAY(DATE(Calc!$C$4,Calc!$C$3+1,0))))-TODAY())&amp;" days","Due "&amp;TEXT(DATE(Calc!$C$4,Calc!$C$3,MIN(INT(C22),DAY(DATE(Calc!$C$4,Calc!$C$3+1,0)))),"mmm d")))))))</f>
        <v/>
      </c>
    </row>
    <row r="23" spans="1:16" x14ac:dyDescent="0.35">
      <c r="A23" s="14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28" t="str">
        <f ca="1">IF(A23="","",IF(OR(Calc!$C$3=0,Calc!$C$4=0),"",IF(INDEX(D23:O23,Calc!$C$3)="Yes","Paid",IF(NOT(AND(ISNUMBER(C23),N(C23)&gt;=1,N(C23)&lt;=31)),"No due day",IF(DATE(Calc!$C$4,Calc!$C$3,MIN(INT(C23),DAY(DATE(Calc!$C$4,Calc!$C$3+1,0))))&lt;TODAY(),"OVERDUE",IF(DATE(Calc!$C$4,Calc!$C$3,MIN(INT(C23),DAY(DATE(Calc!$C$4,Calc!$C$3+1,0))))-TODAY()&lt;=7,"Due in "&amp;(DATE(Calc!$C$4,Calc!$C$3,MIN(INT(C23),DAY(DATE(Calc!$C$4,Calc!$C$3+1,0))))-TODAY())&amp;" days","Due "&amp;TEXT(DATE(Calc!$C$4,Calc!$C$3,MIN(INT(C23),DAY(DATE(Calc!$C$4,Calc!$C$3+1,0)))),"mmm d")))))))</f>
        <v/>
      </c>
    </row>
    <row r="24" spans="1:16" x14ac:dyDescent="0.35">
      <c r="A24" s="14"/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28" t="str">
        <f ca="1">IF(A24="","",IF(OR(Calc!$C$3=0,Calc!$C$4=0),"",IF(INDEX(D24:O24,Calc!$C$3)="Yes","Paid",IF(NOT(AND(ISNUMBER(C24),N(C24)&gt;=1,N(C24)&lt;=31)),"No due day",IF(DATE(Calc!$C$4,Calc!$C$3,MIN(INT(C24),DAY(DATE(Calc!$C$4,Calc!$C$3+1,0))))&lt;TODAY(),"OVERDUE",IF(DATE(Calc!$C$4,Calc!$C$3,MIN(INT(C24),DAY(DATE(Calc!$C$4,Calc!$C$3+1,0))))-TODAY()&lt;=7,"Due in "&amp;(DATE(Calc!$C$4,Calc!$C$3,MIN(INT(C24),DAY(DATE(Calc!$C$4,Calc!$C$3+1,0))))-TODAY())&amp;" days","Due "&amp;TEXT(DATE(Calc!$C$4,Calc!$C$3,MIN(INT(C24),DAY(DATE(Calc!$C$4,Calc!$C$3+1,0)))),"mmm d")))))))</f>
        <v/>
      </c>
    </row>
    <row r="25" spans="1:16" x14ac:dyDescent="0.35">
      <c r="A25" s="14"/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28" t="str">
        <f ca="1">IF(A25="","",IF(OR(Calc!$C$3=0,Calc!$C$4=0),"",IF(INDEX(D25:O25,Calc!$C$3)="Yes","Paid",IF(NOT(AND(ISNUMBER(C25),N(C25)&gt;=1,N(C25)&lt;=31)),"No due day",IF(DATE(Calc!$C$4,Calc!$C$3,MIN(INT(C25),DAY(DATE(Calc!$C$4,Calc!$C$3+1,0))))&lt;TODAY(),"OVERDUE",IF(DATE(Calc!$C$4,Calc!$C$3,MIN(INT(C25),DAY(DATE(Calc!$C$4,Calc!$C$3+1,0))))-TODAY()&lt;=7,"Due in "&amp;(DATE(Calc!$C$4,Calc!$C$3,MIN(INT(C25),DAY(DATE(Calc!$C$4,Calc!$C$3+1,0))))-TODAY())&amp;" days","Due "&amp;TEXT(DATE(Calc!$C$4,Calc!$C$3,MIN(INT(C25),DAY(DATE(Calc!$C$4,Calc!$C$3+1,0)))),"mmm d")))))))</f>
        <v/>
      </c>
    </row>
    <row r="26" spans="1:16" x14ac:dyDescent="0.35">
      <c r="A26" s="14"/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28" t="str">
        <f ca="1">IF(A26="","",IF(OR(Calc!$C$3=0,Calc!$C$4=0),"",IF(INDEX(D26:O26,Calc!$C$3)="Yes","Paid",IF(NOT(AND(ISNUMBER(C26),N(C26)&gt;=1,N(C26)&lt;=31)),"No due day",IF(DATE(Calc!$C$4,Calc!$C$3,MIN(INT(C26),DAY(DATE(Calc!$C$4,Calc!$C$3+1,0))))&lt;TODAY(),"OVERDUE",IF(DATE(Calc!$C$4,Calc!$C$3,MIN(INT(C26),DAY(DATE(Calc!$C$4,Calc!$C$3+1,0))))-TODAY()&lt;=7,"Due in "&amp;(DATE(Calc!$C$4,Calc!$C$3,MIN(INT(C26),DAY(DATE(Calc!$C$4,Calc!$C$3+1,0))))-TODAY())&amp;" days","Due "&amp;TEXT(DATE(Calc!$C$4,Calc!$C$3,MIN(INT(C26),DAY(DATE(Calc!$C$4,Calc!$C$3+1,0)))),"mmm d")))))))</f>
        <v/>
      </c>
    </row>
    <row r="27" spans="1:16" x14ac:dyDescent="0.35">
      <c r="A27" s="14"/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28" t="str">
        <f ca="1">IF(A27="","",IF(OR(Calc!$C$3=0,Calc!$C$4=0),"",IF(INDEX(D27:O27,Calc!$C$3)="Yes","Paid",IF(NOT(AND(ISNUMBER(C27),N(C27)&gt;=1,N(C27)&lt;=31)),"No due day",IF(DATE(Calc!$C$4,Calc!$C$3,MIN(INT(C27),DAY(DATE(Calc!$C$4,Calc!$C$3+1,0))))&lt;TODAY(),"OVERDUE",IF(DATE(Calc!$C$4,Calc!$C$3,MIN(INT(C27),DAY(DATE(Calc!$C$4,Calc!$C$3+1,0))))-TODAY()&lt;=7,"Due in "&amp;(DATE(Calc!$C$4,Calc!$C$3,MIN(INT(C27),DAY(DATE(Calc!$C$4,Calc!$C$3+1,0))))-TODAY())&amp;" days","Due "&amp;TEXT(DATE(Calc!$C$4,Calc!$C$3,MIN(INT(C27),DAY(DATE(Calc!$C$4,Calc!$C$3+1,0)))),"mmm d")))))))</f>
        <v/>
      </c>
    </row>
    <row r="28" spans="1:16" x14ac:dyDescent="0.35">
      <c r="A28" s="14"/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28" t="str">
        <f ca="1">IF(A28="","",IF(OR(Calc!$C$3=0,Calc!$C$4=0),"",IF(INDEX(D28:O28,Calc!$C$3)="Yes","Paid",IF(NOT(AND(ISNUMBER(C28),N(C28)&gt;=1,N(C28)&lt;=31)),"No due day",IF(DATE(Calc!$C$4,Calc!$C$3,MIN(INT(C28),DAY(DATE(Calc!$C$4,Calc!$C$3+1,0))))&lt;TODAY(),"OVERDUE",IF(DATE(Calc!$C$4,Calc!$C$3,MIN(INT(C28),DAY(DATE(Calc!$C$4,Calc!$C$3+1,0))))-TODAY()&lt;=7,"Due in "&amp;(DATE(Calc!$C$4,Calc!$C$3,MIN(INT(C28),DAY(DATE(Calc!$C$4,Calc!$C$3+1,0))))-TODAY())&amp;" days","Due "&amp;TEXT(DATE(Calc!$C$4,Calc!$C$3,MIN(INT(C28),DAY(DATE(Calc!$C$4,Calc!$C$3+1,0)))),"mmm d")))))))</f>
        <v/>
      </c>
    </row>
    <row r="29" spans="1:16" x14ac:dyDescent="0.35">
      <c r="A29" s="14"/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28" t="str">
        <f ca="1">IF(A29="","",IF(OR(Calc!$C$3=0,Calc!$C$4=0),"",IF(INDEX(D29:O29,Calc!$C$3)="Yes","Paid",IF(NOT(AND(ISNUMBER(C29),N(C29)&gt;=1,N(C29)&lt;=31)),"No due day",IF(DATE(Calc!$C$4,Calc!$C$3,MIN(INT(C29),DAY(DATE(Calc!$C$4,Calc!$C$3+1,0))))&lt;TODAY(),"OVERDUE",IF(DATE(Calc!$C$4,Calc!$C$3,MIN(INT(C29),DAY(DATE(Calc!$C$4,Calc!$C$3+1,0))))-TODAY()&lt;=7,"Due in "&amp;(DATE(Calc!$C$4,Calc!$C$3,MIN(INT(C29),DAY(DATE(Calc!$C$4,Calc!$C$3+1,0))))-TODAY())&amp;" days","Due "&amp;TEXT(DATE(Calc!$C$4,Calc!$C$3,MIN(INT(C29),DAY(DATE(Calc!$C$4,Calc!$C$3+1,0)))),"mmm d")))))))</f>
        <v/>
      </c>
    </row>
    <row r="30" spans="1:16" x14ac:dyDescent="0.35">
      <c r="A30" s="14"/>
      <c r="B30" s="1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28" t="str">
        <f ca="1">IF(A30="","",IF(OR(Calc!$C$3=0,Calc!$C$4=0),"",IF(INDEX(D30:O30,Calc!$C$3)="Yes","Paid",IF(NOT(AND(ISNUMBER(C30),N(C30)&gt;=1,N(C30)&lt;=31)),"No due day",IF(DATE(Calc!$C$4,Calc!$C$3,MIN(INT(C30),DAY(DATE(Calc!$C$4,Calc!$C$3+1,0))))&lt;TODAY(),"OVERDUE",IF(DATE(Calc!$C$4,Calc!$C$3,MIN(INT(C30),DAY(DATE(Calc!$C$4,Calc!$C$3+1,0))))-TODAY()&lt;=7,"Due in "&amp;(DATE(Calc!$C$4,Calc!$C$3,MIN(INT(C30),DAY(DATE(Calc!$C$4,Calc!$C$3+1,0))))-TODAY())&amp;" days","Due "&amp;TEXT(DATE(Calc!$C$4,Calc!$C$3,MIN(INT(C30),DAY(DATE(Calc!$C$4,Calc!$C$3+1,0)))),"mmm d")))))))</f>
        <v/>
      </c>
    </row>
    <row r="31" spans="1:16" x14ac:dyDescent="0.35">
      <c r="A31" s="14"/>
      <c r="B31" s="1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28" t="str">
        <f ca="1">IF(A31="","",IF(OR(Calc!$C$3=0,Calc!$C$4=0),"",IF(INDEX(D31:O31,Calc!$C$3)="Yes","Paid",IF(NOT(AND(ISNUMBER(C31),N(C31)&gt;=1,N(C31)&lt;=31)),"No due day",IF(DATE(Calc!$C$4,Calc!$C$3,MIN(INT(C31),DAY(DATE(Calc!$C$4,Calc!$C$3+1,0))))&lt;TODAY(),"OVERDUE",IF(DATE(Calc!$C$4,Calc!$C$3,MIN(INT(C31),DAY(DATE(Calc!$C$4,Calc!$C$3+1,0))))-TODAY()&lt;=7,"Due in "&amp;(DATE(Calc!$C$4,Calc!$C$3,MIN(INT(C31),DAY(DATE(Calc!$C$4,Calc!$C$3+1,0))))-TODAY())&amp;" days","Due "&amp;TEXT(DATE(Calc!$C$4,Calc!$C$3,MIN(INT(C31),DAY(DATE(Calc!$C$4,Calc!$C$3+1,0)))),"mmm d")))))))</f>
        <v/>
      </c>
    </row>
    <row r="32" spans="1:16" x14ac:dyDescent="0.35">
      <c r="A32" s="14"/>
      <c r="B32" s="1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28" t="str">
        <f ca="1">IF(A32="","",IF(OR(Calc!$C$3=0,Calc!$C$4=0),"",IF(INDEX(D32:O32,Calc!$C$3)="Yes","Paid",IF(NOT(AND(ISNUMBER(C32),N(C32)&gt;=1,N(C32)&lt;=31)),"No due day",IF(DATE(Calc!$C$4,Calc!$C$3,MIN(INT(C32),DAY(DATE(Calc!$C$4,Calc!$C$3+1,0))))&lt;TODAY(),"OVERDUE",IF(DATE(Calc!$C$4,Calc!$C$3,MIN(INT(C32),DAY(DATE(Calc!$C$4,Calc!$C$3+1,0))))-TODAY()&lt;=7,"Due in "&amp;(DATE(Calc!$C$4,Calc!$C$3,MIN(INT(C32),DAY(DATE(Calc!$C$4,Calc!$C$3+1,0))))-TODAY())&amp;" days","Due "&amp;TEXT(DATE(Calc!$C$4,Calc!$C$3,MIN(INT(C32),DAY(DATE(Calc!$C$4,Calc!$C$3+1,0)))),"mmm d")))))))</f>
        <v/>
      </c>
    </row>
    <row r="33" spans="1:16" x14ac:dyDescent="0.35">
      <c r="A33" s="14"/>
      <c r="B33" s="1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28" t="str">
        <f ca="1">IF(A33="","",IF(OR(Calc!$C$3=0,Calc!$C$4=0),"",IF(INDEX(D33:O33,Calc!$C$3)="Yes","Paid",IF(NOT(AND(ISNUMBER(C33),N(C33)&gt;=1,N(C33)&lt;=31)),"No due day",IF(DATE(Calc!$C$4,Calc!$C$3,MIN(INT(C33),DAY(DATE(Calc!$C$4,Calc!$C$3+1,0))))&lt;TODAY(),"OVERDUE",IF(DATE(Calc!$C$4,Calc!$C$3,MIN(INT(C33),DAY(DATE(Calc!$C$4,Calc!$C$3+1,0))))-TODAY()&lt;=7,"Due in "&amp;(DATE(Calc!$C$4,Calc!$C$3,MIN(INT(C33),DAY(DATE(Calc!$C$4,Calc!$C$3+1,0))))-TODAY())&amp;" days","Due "&amp;TEXT(DATE(Calc!$C$4,Calc!$C$3,MIN(INT(C33),DAY(DATE(Calc!$C$4,Calc!$C$3+1,0)))),"mmm d")))))))</f>
        <v/>
      </c>
    </row>
    <row r="34" spans="1:16" x14ac:dyDescent="0.35">
      <c r="A34" s="14"/>
      <c r="B34" s="1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28" t="str">
        <f ca="1">IF(A34="","",IF(OR(Calc!$C$3=0,Calc!$C$4=0),"",IF(INDEX(D34:O34,Calc!$C$3)="Yes","Paid",IF(NOT(AND(ISNUMBER(C34),N(C34)&gt;=1,N(C34)&lt;=31)),"No due day",IF(DATE(Calc!$C$4,Calc!$C$3,MIN(INT(C34),DAY(DATE(Calc!$C$4,Calc!$C$3+1,0))))&lt;TODAY(),"OVERDUE",IF(DATE(Calc!$C$4,Calc!$C$3,MIN(INT(C34),DAY(DATE(Calc!$C$4,Calc!$C$3+1,0))))-TODAY()&lt;=7,"Due in "&amp;(DATE(Calc!$C$4,Calc!$C$3,MIN(INT(C34),DAY(DATE(Calc!$C$4,Calc!$C$3+1,0))))-TODAY())&amp;" days","Due "&amp;TEXT(DATE(Calc!$C$4,Calc!$C$3,MIN(INT(C34),DAY(DATE(Calc!$C$4,Calc!$C$3+1,0)))),"mmm d")))))))</f>
        <v/>
      </c>
    </row>
    <row r="35" spans="1:16" x14ac:dyDescent="0.35">
      <c r="A35" s="14"/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8" t="str">
        <f ca="1">IF(A35="","",IF(OR(Calc!$C$3=0,Calc!$C$4=0),"",IF(INDEX(D35:O35,Calc!$C$3)="Yes","Paid",IF(NOT(AND(ISNUMBER(C35),N(C35)&gt;=1,N(C35)&lt;=31)),"No due day",IF(DATE(Calc!$C$4,Calc!$C$3,MIN(INT(C35),DAY(DATE(Calc!$C$4,Calc!$C$3+1,0))))&lt;TODAY(),"OVERDUE",IF(DATE(Calc!$C$4,Calc!$C$3,MIN(INT(C35),DAY(DATE(Calc!$C$4,Calc!$C$3+1,0))))-TODAY()&lt;=7,"Due in "&amp;(DATE(Calc!$C$4,Calc!$C$3,MIN(INT(C35),DAY(DATE(Calc!$C$4,Calc!$C$3+1,0))))-TODAY())&amp;" days","Due "&amp;TEXT(DATE(Calc!$C$4,Calc!$C$3,MIN(INT(C35),DAY(DATE(Calc!$C$4,Calc!$C$3+1,0)))),"mmm d")))))))</f>
        <v/>
      </c>
    </row>
    <row r="36" spans="1:16" x14ac:dyDescent="0.35">
      <c r="A36" s="14"/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8" t="str">
        <f ca="1">IF(A36="","",IF(OR(Calc!$C$3=0,Calc!$C$4=0),"",IF(INDEX(D36:O36,Calc!$C$3)="Yes","Paid",IF(NOT(AND(ISNUMBER(C36),N(C36)&gt;=1,N(C36)&lt;=31)),"No due day",IF(DATE(Calc!$C$4,Calc!$C$3,MIN(INT(C36),DAY(DATE(Calc!$C$4,Calc!$C$3+1,0))))&lt;TODAY(),"OVERDUE",IF(DATE(Calc!$C$4,Calc!$C$3,MIN(INT(C36),DAY(DATE(Calc!$C$4,Calc!$C$3+1,0))))-TODAY()&lt;=7,"Due in "&amp;(DATE(Calc!$C$4,Calc!$C$3,MIN(INT(C36),DAY(DATE(Calc!$C$4,Calc!$C$3+1,0))))-TODAY())&amp;" days","Due "&amp;TEXT(DATE(Calc!$C$4,Calc!$C$3,MIN(INT(C36),DAY(DATE(Calc!$C$4,Calc!$C$3+1,0)))),"mmm d")))))))</f>
        <v/>
      </c>
    </row>
    <row r="37" spans="1:16" x14ac:dyDescent="0.35">
      <c r="A37" s="14"/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28" t="str">
        <f ca="1">IF(A37="","",IF(OR(Calc!$C$3=0,Calc!$C$4=0),"",IF(INDEX(D37:O37,Calc!$C$3)="Yes","Paid",IF(NOT(AND(ISNUMBER(C37),N(C37)&gt;=1,N(C37)&lt;=31)),"No due day",IF(DATE(Calc!$C$4,Calc!$C$3,MIN(INT(C37),DAY(DATE(Calc!$C$4,Calc!$C$3+1,0))))&lt;TODAY(),"OVERDUE",IF(DATE(Calc!$C$4,Calc!$C$3,MIN(INT(C37),DAY(DATE(Calc!$C$4,Calc!$C$3+1,0))))-TODAY()&lt;=7,"Due in "&amp;(DATE(Calc!$C$4,Calc!$C$3,MIN(INT(C37),DAY(DATE(Calc!$C$4,Calc!$C$3+1,0))))-TODAY())&amp;" days","Due "&amp;TEXT(DATE(Calc!$C$4,Calc!$C$3,MIN(INT(C37),DAY(DATE(Calc!$C$4,Calc!$C$3+1,0)))),"mmm d")))))))</f>
        <v/>
      </c>
    </row>
    <row r="38" spans="1:16" x14ac:dyDescent="0.35">
      <c r="A38" s="14"/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28" t="str">
        <f ca="1">IF(A38="","",IF(OR(Calc!$C$3=0,Calc!$C$4=0),"",IF(INDEX(D38:O38,Calc!$C$3)="Yes","Paid",IF(NOT(AND(ISNUMBER(C38),N(C38)&gt;=1,N(C38)&lt;=31)),"No due day",IF(DATE(Calc!$C$4,Calc!$C$3,MIN(INT(C38),DAY(DATE(Calc!$C$4,Calc!$C$3+1,0))))&lt;TODAY(),"OVERDUE",IF(DATE(Calc!$C$4,Calc!$C$3,MIN(INT(C38),DAY(DATE(Calc!$C$4,Calc!$C$3+1,0))))-TODAY()&lt;=7,"Due in "&amp;(DATE(Calc!$C$4,Calc!$C$3,MIN(INT(C38),DAY(DATE(Calc!$C$4,Calc!$C$3+1,0))))-TODAY())&amp;" days","Due "&amp;TEXT(DATE(Calc!$C$4,Calc!$C$3,MIN(INT(C38),DAY(DATE(Calc!$C$4,Calc!$C$3+1,0)))),"mmm d")))))))</f>
        <v/>
      </c>
    </row>
    <row r="39" spans="1:16" x14ac:dyDescent="0.35">
      <c r="A39" s="14"/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28" t="str">
        <f ca="1">IF(A39="","",IF(OR(Calc!$C$3=0,Calc!$C$4=0),"",IF(INDEX(D39:O39,Calc!$C$3)="Yes","Paid",IF(NOT(AND(ISNUMBER(C39),N(C39)&gt;=1,N(C39)&lt;=31)),"No due day",IF(DATE(Calc!$C$4,Calc!$C$3,MIN(INT(C39),DAY(DATE(Calc!$C$4,Calc!$C$3+1,0))))&lt;TODAY(),"OVERDUE",IF(DATE(Calc!$C$4,Calc!$C$3,MIN(INT(C39),DAY(DATE(Calc!$C$4,Calc!$C$3+1,0))))-TODAY()&lt;=7,"Due in "&amp;(DATE(Calc!$C$4,Calc!$C$3,MIN(INT(C39),DAY(DATE(Calc!$C$4,Calc!$C$3+1,0))))-TODAY())&amp;" days","Due "&amp;TEXT(DATE(Calc!$C$4,Calc!$C$3,MIN(INT(C39),DAY(DATE(Calc!$C$4,Calc!$C$3+1,0)))),"mmm d")))))))</f>
        <v/>
      </c>
    </row>
    <row r="40" spans="1:16" x14ac:dyDescent="0.35">
      <c r="A40" s="14"/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28" t="str">
        <f ca="1">IF(A40="","",IF(OR(Calc!$C$3=0,Calc!$C$4=0),"",IF(INDEX(D40:O40,Calc!$C$3)="Yes","Paid",IF(NOT(AND(ISNUMBER(C40),N(C40)&gt;=1,N(C40)&lt;=31)),"No due day",IF(DATE(Calc!$C$4,Calc!$C$3,MIN(INT(C40),DAY(DATE(Calc!$C$4,Calc!$C$3+1,0))))&lt;TODAY(),"OVERDUE",IF(DATE(Calc!$C$4,Calc!$C$3,MIN(INT(C40),DAY(DATE(Calc!$C$4,Calc!$C$3+1,0))))-TODAY()&lt;=7,"Due in "&amp;(DATE(Calc!$C$4,Calc!$C$3,MIN(INT(C40),DAY(DATE(Calc!$C$4,Calc!$C$3+1,0))))-TODAY())&amp;" days","Due "&amp;TEXT(DATE(Calc!$C$4,Calc!$C$3,MIN(INT(C40),DAY(DATE(Calc!$C$4,Calc!$C$3+1,0)))),"mmm d")))))))</f>
        <v/>
      </c>
    </row>
    <row r="41" spans="1:16" x14ac:dyDescent="0.35">
      <c r="A41" s="14"/>
      <c r="B41" s="1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28" t="str">
        <f ca="1">IF(A41="","",IF(OR(Calc!$C$3=0,Calc!$C$4=0),"",IF(INDEX(D41:O41,Calc!$C$3)="Yes","Paid",IF(NOT(AND(ISNUMBER(C41),N(C41)&gt;=1,N(C41)&lt;=31)),"No due day",IF(DATE(Calc!$C$4,Calc!$C$3,MIN(INT(C41),DAY(DATE(Calc!$C$4,Calc!$C$3+1,0))))&lt;TODAY(),"OVERDUE",IF(DATE(Calc!$C$4,Calc!$C$3,MIN(INT(C41),DAY(DATE(Calc!$C$4,Calc!$C$3+1,0))))-TODAY()&lt;=7,"Due in "&amp;(DATE(Calc!$C$4,Calc!$C$3,MIN(INT(C41),DAY(DATE(Calc!$C$4,Calc!$C$3+1,0))))-TODAY())&amp;" days","Due "&amp;TEXT(DATE(Calc!$C$4,Calc!$C$3,MIN(INT(C41),DAY(DATE(Calc!$C$4,Calc!$C$3+1,0)))),"mmm d")))))))</f>
        <v/>
      </c>
    </row>
    <row r="42" spans="1:16" x14ac:dyDescent="0.35">
      <c r="A42" s="14"/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28" t="str">
        <f ca="1">IF(A42="","",IF(OR(Calc!$C$3=0,Calc!$C$4=0),"",IF(INDEX(D42:O42,Calc!$C$3)="Yes","Paid",IF(NOT(AND(ISNUMBER(C42),N(C42)&gt;=1,N(C42)&lt;=31)),"No due day",IF(DATE(Calc!$C$4,Calc!$C$3,MIN(INT(C42),DAY(DATE(Calc!$C$4,Calc!$C$3+1,0))))&lt;TODAY(),"OVERDUE",IF(DATE(Calc!$C$4,Calc!$C$3,MIN(INT(C42),DAY(DATE(Calc!$C$4,Calc!$C$3+1,0))))-TODAY()&lt;=7,"Due in "&amp;(DATE(Calc!$C$4,Calc!$C$3,MIN(INT(C42),DAY(DATE(Calc!$C$4,Calc!$C$3+1,0))))-TODAY())&amp;" days","Due "&amp;TEXT(DATE(Calc!$C$4,Calc!$C$3,MIN(INT(C42),DAY(DATE(Calc!$C$4,Calc!$C$3+1,0)))),"mmm d")))))))</f>
        <v/>
      </c>
    </row>
    <row r="43" spans="1:16" x14ac:dyDescent="0.35">
      <c r="A43" s="14"/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28" t="str">
        <f ca="1">IF(A43="","",IF(OR(Calc!$C$3=0,Calc!$C$4=0),"",IF(INDEX(D43:O43,Calc!$C$3)="Yes","Paid",IF(NOT(AND(ISNUMBER(C43),N(C43)&gt;=1,N(C43)&lt;=31)),"No due day",IF(DATE(Calc!$C$4,Calc!$C$3,MIN(INT(C43),DAY(DATE(Calc!$C$4,Calc!$C$3+1,0))))&lt;TODAY(),"OVERDUE",IF(DATE(Calc!$C$4,Calc!$C$3,MIN(INT(C43),DAY(DATE(Calc!$C$4,Calc!$C$3+1,0))))-TODAY()&lt;=7,"Due in "&amp;(DATE(Calc!$C$4,Calc!$C$3,MIN(INT(C43),DAY(DATE(Calc!$C$4,Calc!$C$3+1,0))))-TODAY())&amp;" days","Due "&amp;TEXT(DATE(Calc!$C$4,Calc!$C$3,MIN(INT(C43),DAY(DATE(Calc!$C$4,Calc!$C$3+1,0)))),"mmm d")))))))</f>
        <v/>
      </c>
    </row>
    <row r="44" spans="1:16" x14ac:dyDescent="0.35">
      <c r="A44" s="14"/>
      <c r="B44" s="1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28" t="str">
        <f ca="1">IF(A44="","",IF(OR(Calc!$C$3=0,Calc!$C$4=0),"",IF(INDEX(D44:O44,Calc!$C$3)="Yes","Paid",IF(NOT(AND(ISNUMBER(C44),N(C44)&gt;=1,N(C44)&lt;=31)),"No due day",IF(DATE(Calc!$C$4,Calc!$C$3,MIN(INT(C44),DAY(DATE(Calc!$C$4,Calc!$C$3+1,0))))&lt;TODAY(),"OVERDUE",IF(DATE(Calc!$C$4,Calc!$C$3,MIN(INT(C44),DAY(DATE(Calc!$C$4,Calc!$C$3+1,0))))-TODAY()&lt;=7,"Due in "&amp;(DATE(Calc!$C$4,Calc!$C$3,MIN(INT(C44),DAY(DATE(Calc!$C$4,Calc!$C$3+1,0))))-TODAY())&amp;" days","Due "&amp;TEXT(DATE(Calc!$C$4,Calc!$C$3,MIN(INT(C44),DAY(DATE(Calc!$C$4,Calc!$C$3+1,0)))),"mmm d")))))))</f>
        <v/>
      </c>
    </row>
    <row r="45" spans="1:16" x14ac:dyDescent="0.35">
      <c r="A45" s="14"/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28" t="str">
        <f ca="1">IF(A45="","",IF(OR(Calc!$C$3=0,Calc!$C$4=0),"",IF(INDEX(D45:O45,Calc!$C$3)="Yes","Paid",IF(NOT(AND(ISNUMBER(C45),N(C45)&gt;=1,N(C45)&lt;=31)),"No due day",IF(DATE(Calc!$C$4,Calc!$C$3,MIN(INT(C45),DAY(DATE(Calc!$C$4,Calc!$C$3+1,0))))&lt;TODAY(),"OVERDUE",IF(DATE(Calc!$C$4,Calc!$C$3,MIN(INT(C45),DAY(DATE(Calc!$C$4,Calc!$C$3+1,0))))-TODAY()&lt;=7,"Due in "&amp;(DATE(Calc!$C$4,Calc!$C$3,MIN(INT(C45),DAY(DATE(Calc!$C$4,Calc!$C$3+1,0))))-TODAY())&amp;" days","Due "&amp;TEXT(DATE(Calc!$C$4,Calc!$C$3,MIN(INT(C45),DAY(DATE(Calc!$C$4,Calc!$C$3+1,0)))),"mmm d")))))))</f>
        <v/>
      </c>
    </row>
    <row r="47" spans="1:16" x14ac:dyDescent="0.35">
      <c r="A47" s="7" t="s">
        <v>137</v>
      </c>
    </row>
  </sheetData>
  <conditionalFormatting sqref="A6:A45">
    <cfRule type="expression" dxfId="11" priority="1">
      <formula>AND(A6="",OR(B6&lt;&gt;"",C6&lt;&gt;""))</formula>
    </cfRule>
  </conditionalFormatting>
  <conditionalFormatting sqref="A6:C45">
    <cfRule type="expression" dxfId="10" priority="5">
      <formula>$P6="OVERDUE"</formula>
    </cfRule>
  </conditionalFormatting>
  <conditionalFormatting sqref="B6:B45">
    <cfRule type="expression" dxfId="9" priority="2">
      <formula>AND(OR(A6&lt;&gt;"",B6&lt;&gt;""),OR(NOT(ISNUMBER(B6)),N(B6)&lt;0))</formula>
    </cfRule>
  </conditionalFormatting>
  <conditionalFormatting sqref="C6:C45">
    <cfRule type="expression" dxfId="8" priority="3">
      <formula>AND(C6&lt;&gt;"",OR(NOT(ISNUMBER(C6)),N(C6)&lt;1,N(C6)&gt;31))</formula>
    </cfRule>
  </conditionalFormatting>
  <conditionalFormatting sqref="D6:O45">
    <cfRule type="expression" dxfId="7" priority="4">
      <formula>AND(D6&lt;&gt;"",D6&lt;&gt;"Yes")</formula>
    </cfRule>
  </conditionalFormatting>
  <conditionalFormatting sqref="P6:P45">
    <cfRule type="expression" dxfId="6" priority="6">
      <formula>P6="OVERDUE"</formula>
    </cfRule>
    <cfRule type="expression" dxfId="5" priority="7">
      <formula>P6="Paid"</formula>
    </cfRule>
  </conditionalFormatting>
  <dataValidations count="3">
    <dataValidation type="decimal" allowBlank="1" showErrorMessage="1" errorTitle="Amount" error="Enter a number only (no $ sign or text)." sqref="B6:B45" xr:uid="{00000000-0002-0000-0500-000000000000}">
      <formula1>0</formula1>
      <formula2>100000000</formula2>
    </dataValidation>
    <dataValidation type="whole" allowBlank="1" showErrorMessage="1" errorTitle="Due day" error="Enter the day of the month, 1 to 31." sqref="C6:C45" xr:uid="{00000000-0002-0000-0500-000001000000}">
      <formula1>1</formula1>
      <formula2>31</formula2>
    </dataValidation>
    <dataValidation type="list" allowBlank="1" showErrorMessage="1" error="Choose Yes when paid, or leave blank." sqref="D6:O45" xr:uid="{00000000-0002-0000-0500-000002000000}">
      <formula1>"Yes"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6B5E"/>
  </sheetPr>
  <dimension ref="A1:K2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3" width="13" customWidth="1"/>
    <col min="4" max="4" width="20" customWidth="1"/>
    <col min="5" max="5" width="14" customWidth="1"/>
    <col min="6" max="7" width="13" customWidth="1"/>
    <col min="8" max="8" width="9" customWidth="1"/>
    <col min="9" max="9" width="12" customWidth="1"/>
    <col min="10" max="10" width="9" customWidth="1"/>
    <col min="11" max="11" width="14" customWidth="1"/>
  </cols>
  <sheetData>
    <row r="1" spans="1:11" ht="23" x14ac:dyDescent="0.5">
      <c r="A1" s="1" t="s">
        <v>138</v>
      </c>
    </row>
    <row r="2" spans="1:11" x14ac:dyDescent="0.35">
      <c r="A2" s="2" t="s">
        <v>139</v>
      </c>
      <c r="I2" s="10" t="s">
        <v>69</v>
      </c>
      <c r="J2" s="10">
        <f>SUMPRODUCT(((('Savings Goals'!$A$6:$A$20&lt;&gt;"")+('Savings Goals'!$B$6:$B$20&lt;&gt;"")+('Savings Goals'!$C$6:$C$20&lt;&gt;"")+('Savings Goals'!$D$6:$D$20&lt;&gt;"")+('Savings Goals'!$I$6:$I$20&lt;&gt;""))&gt;0)*((('Savings Goals'!$A$6:$A$20&lt;&gt;"")*ISNUMBER('Savings Goals'!$B$6:$B$20)*('Savings Goals'!$B$6:$B$20&gt;0)*((('Savings Goals'!$C$6:$C$20="")+ISNUMBER('Savings Goals'!$C$6:$C$20))&gt;0)*('Savings Goals'!$C$6:$C$20&gt;=0)*((('Savings Goals'!$D$6:$D$20="")+ISNUMBER(MATCH('Savings Goals'!$D$6:$D$20,Lists!$A$2:$A$31,0)))&gt;0)*((('Savings Goals'!$I$6:$I$20="")+ISNUMBER('Savings Goals'!$I$6:$I$20))&gt;0))=0))</f>
        <v>0</v>
      </c>
    </row>
    <row r="3" spans="1:11" x14ac:dyDescent="0.35">
      <c r="A3" s="10" t="s">
        <v>140</v>
      </c>
    </row>
    <row r="5" spans="1:11" ht="32" customHeight="1" x14ac:dyDescent="0.35">
      <c r="A5" s="13" t="s">
        <v>66</v>
      </c>
      <c r="B5" s="13" t="s">
        <v>141</v>
      </c>
      <c r="C5" s="13" t="s">
        <v>142</v>
      </c>
      <c r="D5" s="13" t="s">
        <v>143</v>
      </c>
      <c r="E5" s="13" t="s">
        <v>144</v>
      </c>
      <c r="F5" s="13" t="s">
        <v>145</v>
      </c>
      <c r="G5" s="13" t="s">
        <v>67</v>
      </c>
      <c r="H5" s="13" t="s">
        <v>146</v>
      </c>
      <c r="I5" s="13" t="s">
        <v>147</v>
      </c>
      <c r="J5" s="13" t="s">
        <v>148</v>
      </c>
      <c r="K5" s="13" t="s">
        <v>149</v>
      </c>
    </row>
    <row r="6" spans="1:11" x14ac:dyDescent="0.35">
      <c r="A6" s="14" t="s">
        <v>150</v>
      </c>
      <c r="B6" s="15">
        <v>5000</v>
      </c>
      <c r="C6" s="15">
        <v>1200</v>
      </c>
      <c r="D6" s="14" t="s">
        <v>105</v>
      </c>
      <c r="E6" s="16">
        <f>IF(A6="","",IF(D6="",0,IF(ISNUMBER(MATCH(D6,Lists!$A$2:$A$31,0)),SUMPRODUCT(ISNUMBER(Transactions!$A$5:$A$1504)*ISNUMBER(MATCH(Transactions!$B$5:$B$1504,Lists!$A$2:$A$31,0))*ISNUMBER(Transactions!$D$5:$D$1504)*(Transactions!$B$5:$B$1504=D6),Transactions!$D$5:$D$1504),0)))</f>
        <v>300</v>
      </c>
      <c r="F6" s="16">
        <f t="shared" ref="F6:F20" si="0">IF(A6="","",N(C6)+N(E6))</f>
        <v>1500</v>
      </c>
      <c r="G6" s="16">
        <f t="shared" ref="G6:G20" si="1">IF(A6="","",MAX(0,N(B6)-F6))</f>
        <v>3500</v>
      </c>
      <c r="H6" s="29">
        <f t="shared" ref="H6:H20" si="2">IF(OR(A6="",N(B6)&lt;=0),"",MIN(1,F6/N(B6)))</f>
        <v>0.3</v>
      </c>
      <c r="I6" s="21">
        <v>46752</v>
      </c>
      <c r="J6" s="28">
        <f t="shared" ref="J6:J20" ca="1" si="3">IF(OR(A6="",NOT(ISNUMBER(I6))),"",MAX(0,(YEAR(I6)-YEAR(TODAY()))*12+MONTH(I6)-MONTH(TODAY())))</f>
        <v>14</v>
      </c>
      <c r="K6" s="16">
        <f t="shared" ref="K6:K20" ca="1" si="4">IF(A6="","",IF(N(G6)=0,0,IF(J6="","",IF(J6=0,G6,G6/J6))))</f>
        <v>250</v>
      </c>
    </row>
    <row r="7" spans="1:11" x14ac:dyDescent="0.35">
      <c r="A7" s="14"/>
      <c r="B7" s="15"/>
      <c r="C7" s="15"/>
      <c r="D7" s="14"/>
      <c r="E7" s="16" t="str">
        <f>IF(A7="","",IF(D7="",0,IF(ISNUMBER(MATCH(D7,Lists!$A$2:$A$31,0)),SUMPRODUCT(ISNUMBER(Transactions!$A$5:$A$1504)*ISNUMBER(MATCH(Transactions!$B$5:$B$1504,Lists!$A$2:$A$31,0))*ISNUMBER(Transactions!$D$5:$D$1504)*(Transactions!$B$5:$B$1504=D7),Transactions!$D$5:$D$1504),0)))</f>
        <v/>
      </c>
      <c r="F7" s="16" t="str">
        <f t="shared" si="0"/>
        <v/>
      </c>
      <c r="G7" s="16" t="str">
        <f t="shared" si="1"/>
        <v/>
      </c>
      <c r="H7" s="29" t="str">
        <f t="shared" si="2"/>
        <v/>
      </c>
      <c r="I7" s="21"/>
      <c r="J7" s="28" t="str">
        <f t="shared" ca="1" si="3"/>
        <v/>
      </c>
      <c r="K7" s="16" t="str">
        <f t="shared" si="4"/>
        <v/>
      </c>
    </row>
    <row r="8" spans="1:11" x14ac:dyDescent="0.35">
      <c r="A8" s="14"/>
      <c r="B8" s="15"/>
      <c r="C8" s="15"/>
      <c r="D8" s="14"/>
      <c r="E8" s="16" t="str">
        <f>IF(A8="","",IF(D8="",0,IF(ISNUMBER(MATCH(D8,Lists!$A$2:$A$31,0)),SUMPRODUCT(ISNUMBER(Transactions!$A$5:$A$1504)*ISNUMBER(MATCH(Transactions!$B$5:$B$1504,Lists!$A$2:$A$31,0))*ISNUMBER(Transactions!$D$5:$D$1504)*(Transactions!$B$5:$B$1504=D8),Transactions!$D$5:$D$1504),0)))</f>
        <v/>
      </c>
      <c r="F8" s="16" t="str">
        <f t="shared" si="0"/>
        <v/>
      </c>
      <c r="G8" s="16" t="str">
        <f t="shared" si="1"/>
        <v/>
      </c>
      <c r="H8" s="29" t="str">
        <f t="shared" si="2"/>
        <v/>
      </c>
      <c r="I8" s="21"/>
      <c r="J8" s="28" t="str">
        <f t="shared" ca="1" si="3"/>
        <v/>
      </c>
      <c r="K8" s="16" t="str">
        <f t="shared" si="4"/>
        <v/>
      </c>
    </row>
    <row r="9" spans="1:11" x14ac:dyDescent="0.35">
      <c r="A9" s="14"/>
      <c r="B9" s="15"/>
      <c r="C9" s="15"/>
      <c r="D9" s="14"/>
      <c r="E9" s="16" t="str">
        <f>IF(A9="","",IF(D9="",0,IF(ISNUMBER(MATCH(D9,Lists!$A$2:$A$31,0)),SUMPRODUCT(ISNUMBER(Transactions!$A$5:$A$1504)*ISNUMBER(MATCH(Transactions!$B$5:$B$1504,Lists!$A$2:$A$31,0))*ISNUMBER(Transactions!$D$5:$D$1504)*(Transactions!$B$5:$B$1504=D9),Transactions!$D$5:$D$1504),0)))</f>
        <v/>
      </c>
      <c r="F9" s="16" t="str">
        <f t="shared" si="0"/>
        <v/>
      </c>
      <c r="G9" s="16" t="str">
        <f t="shared" si="1"/>
        <v/>
      </c>
      <c r="H9" s="29" t="str">
        <f t="shared" si="2"/>
        <v/>
      </c>
      <c r="I9" s="21"/>
      <c r="J9" s="28" t="str">
        <f t="shared" ca="1" si="3"/>
        <v/>
      </c>
      <c r="K9" s="16" t="str">
        <f t="shared" si="4"/>
        <v/>
      </c>
    </row>
    <row r="10" spans="1:11" x14ac:dyDescent="0.35">
      <c r="A10" s="14"/>
      <c r="B10" s="15"/>
      <c r="C10" s="15"/>
      <c r="D10" s="14"/>
      <c r="E10" s="16" t="str">
        <f>IF(A10="","",IF(D10="",0,IF(ISNUMBER(MATCH(D10,Lists!$A$2:$A$31,0)),SUMPRODUCT(ISNUMBER(Transactions!$A$5:$A$1504)*ISNUMBER(MATCH(Transactions!$B$5:$B$1504,Lists!$A$2:$A$31,0))*ISNUMBER(Transactions!$D$5:$D$1504)*(Transactions!$B$5:$B$1504=D10),Transactions!$D$5:$D$1504),0)))</f>
        <v/>
      </c>
      <c r="F10" s="16" t="str">
        <f t="shared" si="0"/>
        <v/>
      </c>
      <c r="G10" s="16" t="str">
        <f t="shared" si="1"/>
        <v/>
      </c>
      <c r="H10" s="29" t="str">
        <f t="shared" si="2"/>
        <v/>
      </c>
      <c r="I10" s="21"/>
      <c r="J10" s="28" t="str">
        <f t="shared" ca="1" si="3"/>
        <v/>
      </c>
      <c r="K10" s="16" t="str">
        <f t="shared" si="4"/>
        <v/>
      </c>
    </row>
    <row r="11" spans="1:11" x14ac:dyDescent="0.35">
      <c r="A11" s="14"/>
      <c r="B11" s="15"/>
      <c r="C11" s="15"/>
      <c r="D11" s="14"/>
      <c r="E11" s="16" t="str">
        <f>IF(A11="","",IF(D11="",0,IF(ISNUMBER(MATCH(D11,Lists!$A$2:$A$31,0)),SUMPRODUCT(ISNUMBER(Transactions!$A$5:$A$1504)*ISNUMBER(MATCH(Transactions!$B$5:$B$1504,Lists!$A$2:$A$31,0))*ISNUMBER(Transactions!$D$5:$D$1504)*(Transactions!$B$5:$B$1504=D11),Transactions!$D$5:$D$1504),0)))</f>
        <v/>
      </c>
      <c r="F11" s="16" t="str">
        <f t="shared" si="0"/>
        <v/>
      </c>
      <c r="G11" s="16" t="str">
        <f t="shared" si="1"/>
        <v/>
      </c>
      <c r="H11" s="29" t="str">
        <f t="shared" si="2"/>
        <v/>
      </c>
      <c r="I11" s="21"/>
      <c r="J11" s="28" t="str">
        <f t="shared" ca="1" si="3"/>
        <v/>
      </c>
      <c r="K11" s="16" t="str">
        <f t="shared" si="4"/>
        <v/>
      </c>
    </row>
    <row r="12" spans="1:11" x14ac:dyDescent="0.35">
      <c r="A12" s="14"/>
      <c r="B12" s="15"/>
      <c r="C12" s="15"/>
      <c r="D12" s="14"/>
      <c r="E12" s="16" t="str">
        <f>IF(A12="","",IF(D12="",0,IF(ISNUMBER(MATCH(D12,Lists!$A$2:$A$31,0)),SUMPRODUCT(ISNUMBER(Transactions!$A$5:$A$1504)*ISNUMBER(MATCH(Transactions!$B$5:$B$1504,Lists!$A$2:$A$31,0))*ISNUMBER(Transactions!$D$5:$D$1504)*(Transactions!$B$5:$B$1504=D12),Transactions!$D$5:$D$1504),0)))</f>
        <v/>
      </c>
      <c r="F12" s="16" t="str">
        <f t="shared" si="0"/>
        <v/>
      </c>
      <c r="G12" s="16" t="str">
        <f t="shared" si="1"/>
        <v/>
      </c>
      <c r="H12" s="29" t="str">
        <f t="shared" si="2"/>
        <v/>
      </c>
      <c r="I12" s="21"/>
      <c r="J12" s="28" t="str">
        <f t="shared" ca="1" si="3"/>
        <v/>
      </c>
      <c r="K12" s="16" t="str">
        <f t="shared" si="4"/>
        <v/>
      </c>
    </row>
    <row r="13" spans="1:11" x14ac:dyDescent="0.35">
      <c r="A13" s="14"/>
      <c r="B13" s="15"/>
      <c r="C13" s="15"/>
      <c r="D13" s="14"/>
      <c r="E13" s="16" t="str">
        <f>IF(A13="","",IF(D13="",0,IF(ISNUMBER(MATCH(D13,Lists!$A$2:$A$31,0)),SUMPRODUCT(ISNUMBER(Transactions!$A$5:$A$1504)*ISNUMBER(MATCH(Transactions!$B$5:$B$1504,Lists!$A$2:$A$31,0))*ISNUMBER(Transactions!$D$5:$D$1504)*(Transactions!$B$5:$B$1504=D13),Transactions!$D$5:$D$1504),0)))</f>
        <v/>
      </c>
      <c r="F13" s="16" t="str">
        <f t="shared" si="0"/>
        <v/>
      </c>
      <c r="G13" s="16" t="str">
        <f t="shared" si="1"/>
        <v/>
      </c>
      <c r="H13" s="29" t="str">
        <f t="shared" si="2"/>
        <v/>
      </c>
      <c r="I13" s="21"/>
      <c r="J13" s="28" t="str">
        <f t="shared" ca="1" si="3"/>
        <v/>
      </c>
      <c r="K13" s="16" t="str">
        <f t="shared" si="4"/>
        <v/>
      </c>
    </row>
    <row r="14" spans="1:11" x14ac:dyDescent="0.35">
      <c r="A14" s="14"/>
      <c r="B14" s="15"/>
      <c r="C14" s="15"/>
      <c r="D14" s="14"/>
      <c r="E14" s="16" t="str">
        <f>IF(A14="","",IF(D14="",0,IF(ISNUMBER(MATCH(D14,Lists!$A$2:$A$31,0)),SUMPRODUCT(ISNUMBER(Transactions!$A$5:$A$1504)*ISNUMBER(MATCH(Transactions!$B$5:$B$1504,Lists!$A$2:$A$31,0))*ISNUMBER(Transactions!$D$5:$D$1504)*(Transactions!$B$5:$B$1504=D14),Transactions!$D$5:$D$1504),0)))</f>
        <v/>
      </c>
      <c r="F14" s="16" t="str">
        <f t="shared" si="0"/>
        <v/>
      </c>
      <c r="G14" s="16" t="str">
        <f t="shared" si="1"/>
        <v/>
      </c>
      <c r="H14" s="29" t="str">
        <f t="shared" si="2"/>
        <v/>
      </c>
      <c r="I14" s="21"/>
      <c r="J14" s="28" t="str">
        <f t="shared" ca="1" si="3"/>
        <v/>
      </c>
      <c r="K14" s="16" t="str">
        <f t="shared" si="4"/>
        <v/>
      </c>
    </row>
    <row r="15" spans="1:11" x14ac:dyDescent="0.35">
      <c r="A15" s="14"/>
      <c r="B15" s="15"/>
      <c r="C15" s="15"/>
      <c r="D15" s="14"/>
      <c r="E15" s="16" t="str">
        <f>IF(A15="","",IF(D15="",0,IF(ISNUMBER(MATCH(D15,Lists!$A$2:$A$31,0)),SUMPRODUCT(ISNUMBER(Transactions!$A$5:$A$1504)*ISNUMBER(MATCH(Transactions!$B$5:$B$1504,Lists!$A$2:$A$31,0))*ISNUMBER(Transactions!$D$5:$D$1504)*(Transactions!$B$5:$B$1504=D15),Transactions!$D$5:$D$1504),0)))</f>
        <v/>
      </c>
      <c r="F15" s="16" t="str">
        <f t="shared" si="0"/>
        <v/>
      </c>
      <c r="G15" s="16" t="str">
        <f t="shared" si="1"/>
        <v/>
      </c>
      <c r="H15" s="29" t="str">
        <f t="shared" si="2"/>
        <v/>
      </c>
      <c r="I15" s="21"/>
      <c r="J15" s="28" t="str">
        <f t="shared" ca="1" si="3"/>
        <v/>
      </c>
      <c r="K15" s="16" t="str">
        <f t="shared" si="4"/>
        <v/>
      </c>
    </row>
    <row r="16" spans="1:11" x14ac:dyDescent="0.35">
      <c r="A16" s="14"/>
      <c r="B16" s="15"/>
      <c r="C16" s="15"/>
      <c r="D16" s="14"/>
      <c r="E16" s="16" t="str">
        <f>IF(A16="","",IF(D16="",0,IF(ISNUMBER(MATCH(D16,Lists!$A$2:$A$31,0)),SUMPRODUCT(ISNUMBER(Transactions!$A$5:$A$1504)*ISNUMBER(MATCH(Transactions!$B$5:$B$1504,Lists!$A$2:$A$31,0))*ISNUMBER(Transactions!$D$5:$D$1504)*(Transactions!$B$5:$B$1504=D16),Transactions!$D$5:$D$1504),0)))</f>
        <v/>
      </c>
      <c r="F16" s="16" t="str">
        <f t="shared" si="0"/>
        <v/>
      </c>
      <c r="G16" s="16" t="str">
        <f t="shared" si="1"/>
        <v/>
      </c>
      <c r="H16" s="29" t="str">
        <f t="shared" si="2"/>
        <v/>
      </c>
      <c r="I16" s="21"/>
      <c r="J16" s="28" t="str">
        <f t="shared" ca="1" si="3"/>
        <v/>
      </c>
      <c r="K16" s="16" t="str">
        <f t="shared" si="4"/>
        <v/>
      </c>
    </row>
    <row r="17" spans="1:11" x14ac:dyDescent="0.35">
      <c r="A17" s="14"/>
      <c r="B17" s="15"/>
      <c r="C17" s="15"/>
      <c r="D17" s="14"/>
      <c r="E17" s="16" t="str">
        <f>IF(A17="","",IF(D17="",0,IF(ISNUMBER(MATCH(D17,Lists!$A$2:$A$31,0)),SUMPRODUCT(ISNUMBER(Transactions!$A$5:$A$1504)*ISNUMBER(MATCH(Transactions!$B$5:$B$1504,Lists!$A$2:$A$31,0))*ISNUMBER(Transactions!$D$5:$D$1504)*(Transactions!$B$5:$B$1504=D17),Transactions!$D$5:$D$1504),0)))</f>
        <v/>
      </c>
      <c r="F17" s="16" t="str">
        <f t="shared" si="0"/>
        <v/>
      </c>
      <c r="G17" s="16" t="str">
        <f t="shared" si="1"/>
        <v/>
      </c>
      <c r="H17" s="29" t="str">
        <f t="shared" si="2"/>
        <v/>
      </c>
      <c r="I17" s="21"/>
      <c r="J17" s="28" t="str">
        <f t="shared" ca="1" si="3"/>
        <v/>
      </c>
      <c r="K17" s="16" t="str">
        <f t="shared" si="4"/>
        <v/>
      </c>
    </row>
    <row r="18" spans="1:11" x14ac:dyDescent="0.35">
      <c r="A18" s="14"/>
      <c r="B18" s="15"/>
      <c r="C18" s="15"/>
      <c r="D18" s="14"/>
      <c r="E18" s="16" t="str">
        <f>IF(A18="","",IF(D18="",0,IF(ISNUMBER(MATCH(D18,Lists!$A$2:$A$31,0)),SUMPRODUCT(ISNUMBER(Transactions!$A$5:$A$1504)*ISNUMBER(MATCH(Transactions!$B$5:$B$1504,Lists!$A$2:$A$31,0))*ISNUMBER(Transactions!$D$5:$D$1504)*(Transactions!$B$5:$B$1504=D18),Transactions!$D$5:$D$1504),0)))</f>
        <v/>
      </c>
      <c r="F18" s="16" t="str">
        <f t="shared" si="0"/>
        <v/>
      </c>
      <c r="G18" s="16" t="str">
        <f t="shared" si="1"/>
        <v/>
      </c>
      <c r="H18" s="29" t="str">
        <f t="shared" si="2"/>
        <v/>
      </c>
      <c r="I18" s="21"/>
      <c r="J18" s="28" t="str">
        <f t="shared" ca="1" si="3"/>
        <v/>
      </c>
      <c r="K18" s="16" t="str">
        <f t="shared" si="4"/>
        <v/>
      </c>
    </row>
    <row r="19" spans="1:11" x14ac:dyDescent="0.35">
      <c r="A19" s="14"/>
      <c r="B19" s="15"/>
      <c r="C19" s="15"/>
      <c r="D19" s="14"/>
      <c r="E19" s="16" t="str">
        <f>IF(A19="","",IF(D19="",0,IF(ISNUMBER(MATCH(D19,Lists!$A$2:$A$31,0)),SUMPRODUCT(ISNUMBER(Transactions!$A$5:$A$1504)*ISNUMBER(MATCH(Transactions!$B$5:$B$1504,Lists!$A$2:$A$31,0))*ISNUMBER(Transactions!$D$5:$D$1504)*(Transactions!$B$5:$B$1504=D19),Transactions!$D$5:$D$1504),0)))</f>
        <v/>
      </c>
      <c r="F19" s="16" t="str">
        <f t="shared" si="0"/>
        <v/>
      </c>
      <c r="G19" s="16" t="str">
        <f t="shared" si="1"/>
        <v/>
      </c>
      <c r="H19" s="29" t="str">
        <f t="shared" si="2"/>
        <v/>
      </c>
      <c r="I19" s="21"/>
      <c r="J19" s="28" t="str">
        <f t="shared" ca="1" si="3"/>
        <v/>
      </c>
      <c r="K19" s="16" t="str">
        <f t="shared" si="4"/>
        <v/>
      </c>
    </row>
    <row r="20" spans="1:11" x14ac:dyDescent="0.35">
      <c r="A20" s="14"/>
      <c r="B20" s="15"/>
      <c r="C20" s="15"/>
      <c r="D20" s="14"/>
      <c r="E20" s="16" t="str">
        <f>IF(A20="","",IF(D20="",0,IF(ISNUMBER(MATCH(D20,Lists!$A$2:$A$31,0)),SUMPRODUCT(ISNUMBER(Transactions!$A$5:$A$1504)*ISNUMBER(MATCH(Transactions!$B$5:$B$1504,Lists!$A$2:$A$31,0))*ISNUMBER(Transactions!$D$5:$D$1504)*(Transactions!$B$5:$B$1504=D20),Transactions!$D$5:$D$1504),0)))</f>
        <v/>
      </c>
      <c r="F20" s="16" t="str">
        <f t="shared" si="0"/>
        <v/>
      </c>
      <c r="G20" s="16" t="str">
        <f t="shared" si="1"/>
        <v/>
      </c>
      <c r="H20" s="29" t="str">
        <f t="shared" si="2"/>
        <v/>
      </c>
      <c r="I20" s="21"/>
      <c r="J20" s="28" t="str">
        <f t="shared" ca="1" si="3"/>
        <v/>
      </c>
      <c r="K20" s="16" t="str">
        <f t="shared" si="4"/>
        <v/>
      </c>
    </row>
    <row r="22" spans="1:11" x14ac:dyDescent="0.35">
      <c r="A22" s="7" t="s">
        <v>151</v>
      </c>
    </row>
  </sheetData>
  <conditionalFormatting sqref="A6:A20">
    <cfRule type="expression" dxfId="4" priority="1">
      <formula>AND(A6="",OR(B6&lt;&gt;"",C6&lt;&gt;"",D6&lt;&gt;"",I6&lt;&gt;""))</formula>
    </cfRule>
  </conditionalFormatting>
  <conditionalFormatting sqref="B6:B20">
    <cfRule type="expression" dxfId="3" priority="2">
      <formula>AND(A6&lt;&gt;"",OR(NOT(ISNUMBER(B6)),N(B6)&lt;=0))</formula>
    </cfRule>
  </conditionalFormatting>
  <conditionalFormatting sqref="C6:C20">
    <cfRule type="expression" dxfId="2" priority="3">
      <formula>AND(C6&lt;&gt;"",OR(NOT(ISNUMBER(C6)),N(C6)&lt;0))</formula>
    </cfRule>
  </conditionalFormatting>
  <conditionalFormatting sqref="I6:I20">
    <cfRule type="expression" dxfId="0" priority="5">
      <formula>AND(I6&lt;&gt;"",NOT(ISNUMBER(I6)))</formula>
    </cfRule>
  </conditionalFormatting>
  <dataValidations count="2">
    <dataValidation type="decimal" allowBlank="1" showErrorMessage="1" errorTitle="Amount" error="Enter a number only (no $ sign or text)." sqref="B6:C20" xr:uid="{00000000-0002-0000-0600-000000000000}">
      <formula1>0</formula1>
      <formula2>100000000</formula2>
    </dataValidation>
    <dataValidation type="date" operator="greaterThan" allowBlank="1" showErrorMessage="1" errorTitle="Date" error="Enter a real date, e.g. 12/31/2027." sqref="I6:I20" xr:uid="{00000000-0002-0000-0600-000002000000}">
      <formula1>1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600-000004000000}">
            <xm:f>AND(D6&lt;&gt;"",COUNTIF(Lists!$A$2:$A$31,D6)=0)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D6:D20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category from the Budget tab list, or leave blank." xr:uid="{00000000-0002-0000-0600-000001000000}">
          <x14:formula1>
            <xm:f>Lists!$B$2:$B$31</xm:f>
          </x14:formula1>
          <xm:sqref>D6:D20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6B5E"/>
  </sheetPr>
  <dimension ref="A1:E31"/>
  <sheetViews>
    <sheetView workbookViewId="0"/>
  </sheetViews>
  <sheetFormatPr defaultRowHeight="14.5" x14ac:dyDescent="0.35"/>
  <sheetData>
    <row r="1" spans="1:5" x14ac:dyDescent="0.35">
      <c r="A1" t="s">
        <v>152</v>
      </c>
      <c r="B1" t="s">
        <v>153</v>
      </c>
      <c r="C1" t="s">
        <v>154</v>
      </c>
      <c r="D1" t="s">
        <v>155</v>
      </c>
      <c r="E1" t="s">
        <v>135</v>
      </c>
    </row>
    <row r="2" spans="1:5" x14ac:dyDescent="0.35">
      <c r="A2" t="str">
        <f>IF(OR(Budget!A7="",ISNA(MATCH(Budget!B7,Lists!$C$2:$C$6,0))),"[empty slot 1]",Budget!A7)</f>
        <v>Paycheck</v>
      </c>
      <c r="B2" t="str">
        <f>IF(OR(Budget!A7="",ISNA(MATCH(Budget!B7,Lists!$C$2:$C$6,0))),"",Budget!A7)</f>
        <v>Paycheck</v>
      </c>
      <c r="C2" t="s">
        <v>45</v>
      </c>
      <c r="D2" t="s">
        <v>27</v>
      </c>
      <c r="E2" t="s">
        <v>135</v>
      </c>
    </row>
    <row r="3" spans="1:5" x14ac:dyDescent="0.35">
      <c r="A3" t="str">
        <f>IF(OR(Budget!A8="",ISNA(MATCH(Budget!B8,Lists!$C$2:$C$6,0))),"[empty slot 2]",Budget!A8)</f>
        <v>Side income</v>
      </c>
      <c r="B3" t="str">
        <f>IF(OR(Budget!A8="",ISNA(MATCH(Budget!B8,Lists!$C$2:$C$6,0))),"",Budget!A8)</f>
        <v>Side income</v>
      </c>
      <c r="C3" t="s">
        <v>62</v>
      </c>
      <c r="D3" t="s">
        <v>156</v>
      </c>
    </row>
    <row r="4" spans="1:5" x14ac:dyDescent="0.35">
      <c r="A4" t="str">
        <f>IF(OR(Budget!A9="",ISNA(MATCH(Budget!B9,Lists!$C$2:$C$6,0))),"[empty slot 3]",Budget!A9)</f>
        <v>Other income</v>
      </c>
      <c r="B4" t="str">
        <f>IF(OR(Budget!A9="",ISNA(MATCH(Budget!B9,Lists!$C$2:$C$6,0))),"",Budget!A9)</f>
        <v>Other income</v>
      </c>
      <c r="C4" t="s">
        <v>63</v>
      </c>
      <c r="D4" t="s">
        <v>157</v>
      </c>
    </row>
    <row r="5" spans="1:5" x14ac:dyDescent="0.35">
      <c r="A5" t="str">
        <f>IF(OR(Budget!A10="",ISNA(MATCH(Budget!B10,Lists!$C$2:$C$6,0))),"[empty slot 4]",Budget!A10)</f>
        <v>Rent / mortgage</v>
      </c>
      <c r="B5" t="str">
        <f>IF(OR(Budget!A10="",ISNA(MATCH(Budget!B10,Lists!$C$2:$C$6,0))),"",Budget!A10)</f>
        <v>Rent / mortgage</v>
      </c>
      <c r="C5" t="s">
        <v>64</v>
      </c>
      <c r="D5" t="s">
        <v>158</v>
      </c>
    </row>
    <row r="6" spans="1:5" x14ac:dyDescent="0.35">
      <c r="A6" t="str">
        <f>IF(OR(Budget!A11="",ISNA(MATCH(Budget!B11,Lists!$C$2:$C$6,0))),"[empty slot 5]",Budget!A11)</f>
        <v>Utilities</v>
      </c>
      <c r="B6" t="str">
        <f>IF(OR(Budget!A11="",ISNA(MATCH(Budget!B11,Lists!$C$2:$C$6,0))),"",Budget!A11)</f>
        <v>Utilities</v>
      </c>
      <c r="C6" t="s">
        <v>106</v>
      </c>
      <c r="D6" t="s">
        <v>52</v>
      </c>
    </row>
    <row r="7" spans="1:5" x14ac:dyDescent="0.35">
      <c r="A7" t="str">
        <f>IF(OR(Budget!A12="",ISNA(MATCH(Budget!B12,Lists!$C$2:$C$6,0))),"[empty slot 6]",Budget!A12)</f>
        <v>Phone &amp; internet</v>
      </c>
      <c r="B7" t="str">
        <f>IF(OR(Budget!A12="",ISNA(MATCH(Budget!B12,Lists!$C$2:$C$6,0))),"",Budget!A12)</f>
        <v>Phone &amp; internet</v>
      </c>
      <c r="D7" t="s">
        <v>159</v>
      </c>
    </row>
    <row r="8" spans="1:5" x14ac:dyDescent="0.35">
      <c r="A8" t="str">
        <f>IF(OR(Budget!A13="",ISNA(MATCH(Budget!B13,Lists!$C$2:$C$6,0))),"[empty slot 7]",Budget!A13)</f>
        <v>Insurance</v>
      </c>
      <c r="B8" t="str">
        <f>IF(OR(Budget!A13="",ISNA(MATCH(Budget!B13,Lists!$C$2:$C$6,0))),"",Budget!A13)</f>
        <v>Insurance</v>
      </c>
      <c r="D8" t="s">
        <v>160</v>
      </c>
    </row>
    <row r="9" spans="1:5" x14ac:dyDescent="0.35">
      <c r="A9" t="str">
        <f>IF(OR(Budget!A14="",ISNA(MATCH(Budget!B14,Lists!$C$2:$C$6,0))),"[empty slot 8]",Budget!A14)</f>
        <v>Subscriptions</v>
      </c>
      <c r="B9" t="str">
        <f>IF(OR(Budget!A14="",ISNA(MATCH(Budget!B14,Lists!$C$2:$C$6,0))),"",Budget!A14)</f>
        <v>Subscriptions</v>
      </c>
      <c r="D9" t="s">
        <v>161</v>
      </c>
    </row>
    <row r="10" spans="1:5" x14ac:dyDescent="0.35">
      <c r="A10" t="str">
        <f>IF(OR(Budget!A15="",ISNA(MATCH(Budget!B15,Lists!$C$2:$C$6,0))),"[empty slot 9]",Budget!A15)</f>
        <v>Groceries</v>
      </c>
      <c r="B10" t="str">
        <f>IF(OR(Budget!A15="",ISNA(MATCH(Budget!B15,Lists!$C$2:$C$6,0))),"",Budget!A15)</f>
        <v>Groceries</v>
      </c>
      <c r="D10" t="s">
        <v>162</v>
      </c>
    </row>
    <row r="11" spans="1:5" x14ac:dyDescent="0.35">
      <c r="A11" t="str">
        <f>IF(OR(Budget!A16="",ISNA(MATCH(Budget!B16,Lists!$C$2:$C$6,0))),"[empty slot 10]",Budget!A16)</f>
        <v>Dining out</v>
      </c>
      <c r="B11" t="str">
        <f>IF(OR(Budget!A16="",ISNA(MATCH(Budget!B16,Lists!$C$2:$C$6,0))),"",Budget!A16)</f>
        <v>Dining out</v>
      </c>
      <c r="D11" t="s">
        <v>163</v>
      </c>
    </row>
    <row r="12" spans="1:5" x14ac:dyDescent="0.35">
      <c r="A12" t="str">
        <f>IF(OR(Budget!A17="",ISNA(MATCH(Budget!B17,Lists!$C$2:$C$6,0))),"[empty slot 11]",Budget!A17)</f>
        <v>Transportation &amp; gas</v>
      </c>
      <c r="B12" t="str">
        <f>IF(OR(Budget!A17="",ISNA(MATCH(Budget!B17,Lists!$C$2:$C$6,0))),"",Budget!A17)</f>
        <v>Transportation &amp; gas</v>
      </c>
      <c r="D12" t="s">
        <v>164</v>
      </c>
    </row>
    <row r="13" spans="1:5" x14ac:dyDescent="0.35">
      <c r="A13" t="str">
        <f>IF(OR(Budget!A18="",ISNA(MATCH(Budget!B18,Lists!$C$2:$C$6,0))),"[empty slot 12]",Budget!A18)</f>
        <v>Health</v>
      </c>
      <c r="B13" t="str">
        <f>IF(OR(Budget!A18="",ISNA(MATCH(Budget!B18,Lists!$C$2:$C$6,0))),"",Budget!A18)</f>
        <v>Health</v>
      </c>
      <c r="D13" t="s">
        <v>165</v>
      </c>
    </row>
    <row r="14" spans="1:5" x14ac:dyDescent="0.35">
      <c r="A14" t="str">
        <f>IF(OR(Budget!A19="",ISNA(MATCH(Budget!B19,Lists!$C$2:$C$6,0))),"[empty slot 13]",Budget!A19)</f>
        <v>Personal care</v>
      </c>
      <c r="B14" t="str">
        <f>IF(OR(Budget!A19="",ISNA(MATCH(Budget!B19,Lists!$C$2:$C$6,0))),"",Budget!A19)</f>
        <v>Personal care</v>
      </c>
    </row>
    <row r="15" spans="1:5" x14ac:dyDescent="0.35">
      <c r="A15" t="str">
        <f>IF(OR(Budget!A20="",ISNA(MATCH(Budget!B20,Lists!$C$2:$C$6,0))),"[empty slot 14]",Budget!A20)</f>
        <v>Shopping</v>
      </c>
      <c r="B15" t="str">
        <f>IF(OR(Budget!A20="",ISNA(MATCH(Budget!B20,Lists!$C$2:$C$6,0))),"",Budget!A20)</f>
        <v>Shopping</v>
      </c>
    </row>
    <row r="16" spans="1:5" x14ac:dyDescent="0.35">
      <c r="A16" t="str">
        <f>IF(OR(Budget!A21="",ISNA(MATCH(Budget!B21,Lists!$C$2:$C$6,0))),"[empty slot 15]",Budget!A21)</f>
        <v>Entertainment</v>
      </c>
      <c r="B16" t="str">
        <f>IF(OR(Budget!A21="",ISNA(MATCH(Budget!B21,Lists!$C$2:$C$6,0))),"",Budget!A21)</f>
        <v>Entertainment</v>
      </c>
    </row>
    <row r="17" spans="1:2" x14ac:dyDescent="0.35">
      <c r="A17" t="str">
        <f>IF(OR(Budget!A22="",ISNA(MATCH(Budget!B22,Lists!$C$2:$C$6,0))),"[empty slot 16]",Budget!A22)</f>
        <v>Kids</v>
      </c>
      <c r="B17" t="str">
        <f>IF(OR(Budget!A22="",ISNA(MATCH(Budget!B22,Lists!$C$2:$C$6,0))),"",Budget!A22)</f>
        <v>Kids</v>
      </c>
    </row>
    <row r="18" spans="1:2" x14ac:dyDescent="0.35">
      <c r="A18" t="str">
        <f>IF(OR(Budget!A23="",ISNA(MATCH(Budget!B23,Lists!$C$2:$C$6,0))),"[empty slot 17]",Budget!A23)</f>
        <v>Pets</v>
      </c>
      <c r="B18" t="str">
        <f>IF(OR(Budget!A23="",ISNA(MATCH(Budget!B23,Lists!$C$2:$C$6,0))),"",Budget!A23)</f>
        <v>Pets</v>
      </c>
    </row>
    <row r="19" spans="1:2" x14ac:dyDescent="0.35">
      <c r="A19" t="str">
        <f>IF(OR(Budget!A24="",ISNA(MATCH(Budget!B24,Lists!$C$2:$C$6,0))),"[empty slot 18]",Budget!A24)</f>
        <v>Gifts</v>
      </c>
      <c r="B19" t="str">
        <f>IF(OR(Budget!A24="",ISNA(MATCH(Budget!B24,Lists!$C$2:$C$6,0))),"",Budget!A24)</f>
        <v>Gifts</v>
      </c>
    </row>
    <row r="20" spans="1:2" x14ac:dyDescent="0.35">
      <c r="A20" t="str">
        <f>IF(OR(Budget!A25="",ISNA(MATCH(Budget!B25,Lists!$C$2:$C$6,0))),"[empty slot 19]",Budget!A25)</f>
        <v>Travel</v>
      </c>
      <c r="B20" t="str">
        <f>IF(OR(Budget!A25="",ISNA(MATCH(Budget!B25,Lists!$C$2:$C$6,0))),"",Budget!A25)</f>
        <v>Travel</v>
      </c>
    </row>
    <row r="21" spans="1:2" x14ac:dyDescent="0.35">
      <c r="A21" t="str">
        <f>IF(OR(Budget!A26="",ISNA(MATCH(Budget!B26,Lists!$C$2:$C$6,0))),"[empty slot 20]",Budget!A26)</f>
        <v>Household</v>
      </c>
      <c r="B21" t="str">
        <f>IF(OR(Budget!A26="",ISNA(MATCH(Budget!B26,Lists!$C$2:$C$6,0))),"",Budget!A26)</f>
        <v>Household</v>
      </c>
    </row>
    <row r="22" spans="1:2" x14ac:dyDescent="0.35">
      <c r="A22" t="str">
        <f>IF(OR(Budget!A27="",ISNA(MATCH(Budget!B27,Lists!$C$2:$C$6,0))),"[empty slot 21]",Budget!A27)</f>
        <v>Miscellaneous</v>
      </c>
      <c r="B22" t="str">
        <f>IF(OR(Budget!A27="",ISNA(MATCH(Budget!B27,Lists!$C$2:$C$6,0))),"",Budget!A27)</f>
        <v>Miscellaneous</v>
      </c>
    </row>
    <row r="23" spans="1:2" x14ac:dyDescent="0.35">
      <c r="A23" t="str">
        <f>IF(OR(Budget!A28="",ISNA(MATCH(Budget!B28,Lists!$C$2:$C$6,0))),"[empty slot 22]",Budget!A28)</f>
        <v>Credit card</v>
      </c>
      <c r="B23" t="str">
        <f>IF(OR(Budget!A28="",ISNA(MATCH(Budget!B28,Lists!$C$2:$C$6,0))),"",Budget!A28)</f>
        <v>Credit card</v>
      </c>
    </row>
    <row r="24" spans="1:2" x14ac:dyDescent="0.35">
      <c r="A24" t="str">
        <f>IF(OR(Budget!A29="",ISNA(MATCH(Budget!B29,Lists!$C$2:$C$6,0))),"[empty slot 23]",Budget!A29)</f>
        <v>Student loan</v>
      </c>
      <c r="B24" t="str">
        <f>IF(OR(Budget!A29="",ISNA(MATCH(Budget!B29,Lists!$C$2:$C$6,0))),"",Budget!A29)</f>
        <v>Student loan</v>
      </c>
    </row>
    <row r="25" spans="1:2" x14ac:dyDescent="0.35">
      <c r="A25" t="str">
        <f>IF(OR(Budget!A30="",ISNA(MATCH(Budget!B30,Lists!$C$2:$C$6,0))),"[empty slot 24]",Budget!A30)</f>
        <v>Car loan</v>
      </c>
      <c r="B25" t="str">
        <f>IF(OR(Budget!A30="",ISNA(MATCH(Budget!B30,Lists!$C$2:$C$6,0))),"",Budget!A30)</f>
        <v>Car loan</v>
      </c>
    </row>
    <row r="26" spans="1:2" x14ac:dyDescent="0.35">
      <c r="A26" t="str">
        <f>IF(OR(Budget!A31="",ISNA(MATCH(Budget!B31,Lists!$C$2:$C$6,0))),"[empty slot 25]",Budget!A31)</f>
        <v>Emergency fund</v>
      </c>
      <c r="B26" t="str">
        <f>IF(OR(Budget!A31="",ISNA(MATCH(Budget!B31,Lists!$C$2:$C$6,0))),"",Budget!A31)</f>
        <v>Emergency fund</v>
      </c>
    </row>
    <row r="27" spans="1:2" x14ac:dyDescent="0.35">
      <c r="A27" t="str">
        <f>IF(OR(Budget!A32="",ISNA(MATCH(Budget!B32,Lists!$C$2:$C$6,0))),"[empty slot 26]",Budget!A32)</f>
        <v>Retirement</v>
      </c>
      <c r="B27" t="str">
        <f>IF(OR(Budget!A32="",ISNA(MATCH(Budget!B32,Lists!$C$2:$C$6,0))),"",Budget!A32)</f>
        <v>Retirement</v>
      </c>
    </row>
    <row r="28" spans="1:2" x14ac:dyDescent="0.35">
      <c r="A28" t="str">
        <f>IF(OR(Budget!A33="",ISNA(MATCH(Budget!B33,Lists!$C$2:$C$6,0))),"[empty slot 27]",Budget!A33)</f>
        <v>Sinking funds</v>
      </c>
      <c r="B28" t="str">
        <f>IF(OR(Budget!A33="",ISNA(MATCH(Budget!B33,Lists!$C$2:$C$6,0))),"",Budget!A33)</f>
        <v>Sinking funds</v>
      </c>
    </row>
    <row r="29" spans="1:2" x14ac:dyDescent="0.35">
      <c r="A29" t="str">
        <f>IF(OR(Budget!A34="",ISNA(MATCH(Budget!B34,Lists!$C$2:$C$6,0))),"[empty slot 28]",Budget!A34)</f>
        <v>[empty slot 28]</v>
      </c>
      <c r="B29" t="str">
        <f>IF(OR(Budget!A34="",ISNA(MATCH(Budget!B34,Lists!$C$2:$C$6,0))),"",Budget!A34)</f>
        <v/>
      </c>
    </row>
    <row r="30" spans="1:2" x14ac:dyDescent="0.35">
      <c r="A30" t="str">
        <f>IF(OR(Budget!A35="",ISNA(MATCH(Budget!B35,Lists!$C$2:$C$6,0))),"[empty slot 29]",Budget!A35)</f>
        <v>[empty slot 29]</v>
      </c>
      <c r="B30" t="str">
        <f>IF(OR(Budget!A35="",ISNA(MATCH(Budget!B35,Lists!$C$2:$C$6,0))),"",Budget!A35)</f>
        <v/>
      </c>
    </row>
    <row r="31" spans="1:2" x14ac:dyDescent="0.35">
      <c r="A31" t="str">
        <f>IF(OR(Budget!A36="",ISNA(MATCH(Budget!B36,Lists!$C$2:$C$6,0))),"[empty slot 30]",Budget!A36)</f>
        <v>[empty slot 30]</v>
      </c>
      <c r="B31" t="str">
        <f>IF(OR(Budget!A36="",ISNA(MATCH(Budget!B36,Lists!$C$2:$C$6,0))),"",Budget!A36)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6B5E"/>
  </sheetPr>
  <dimension ref="B3:F113"/>
  <sheetViews>
    <sheetView workbookViewId="0"/>
  </sheetViews>
  <sheetFormatPr defaultRowHeight="14.5" x14ac:dyDescent="0.35"/>
  <sheetData>
    <row r="3" spans="2:3" x14ac:dyDescent="0.35">
      <c r="B3" t="s">
        <v>166</v>
      </c>
      <c r="C3">
        <f>IFERROR(MATCH(Dashboard!E3,Lists!$D$2:$D$13,0),0)</f>
        <v>1</v>
      </c>
    </row>
    <row r="4" spans="2:3" x14ac:dyDescent="0.35">
      <c r="B4" t="s">
        <v>167</v>
      </c>
      <c r="C4">
        <f>IF(AND(ISNUMBER(Dashboard!C3),N(Dashboard!C3)&gt;=1900,N(Dashboard!C3)&lt;=2200),INT(Dashboard!C3),0)</f>
        <v>2026</v>
      </c>
    </row>
    <row r="5" spans="2:3" x14ac:dyDescent="0.35">
      <c r="B5" t="s">
        <v>168</v>
      </c>
      <c r="C5">
        <f>SUMPRODUCT(((('Monthly Overview'!C38:N38&lt;&gt;0)+('Monthly Overview'!C42:N42&lt;&gt;0)+('Monthly Overview'!C43:N43&lt;&gt;0))&gt;0)*1)</f>
        <v>1</v>
      </c>
    </row>
    <row r="6" spans="2:3" x14ac:dyDescent="0.35">
      <c r="B6" t="s">
        <v>169</v>
      </c>
      <c r="C6">
        <f>IF($C$3=0,0,INDEX('Monthly Overview'!C38:N38,$C$3))</f>
        <v>4600</v>
      </c>
    </row>
    <row r="7" spans="2:3" x14ac:dyDescent="0.35">
      <c r="B7" t="s">
        <v>62</v>
      </c>
      <c r="C7">
        <f>IF($C$3=0,0,INDEX('Monthly Overview'!C39:N39,$C$3))</f>
        <v>1450</v>
      </c>
    </row>
    <row r="8" spans="2:3" x14ac:dyDescent="0.35">
      <c r="B8" t="s">
        <v>63</v>
      </c>
      <c r="C8">
        <f>IF($C$3=0,0,INDEX('Monthly Overview'!C40:N40,$C$3))</f>
        <v>112.4</v>
      </c>
    </row>
    <row r="9" spans="2:3" x14ac:dyDescent="0.35">
      <c r="B9" t="s">
        <v>64</v>
      </c>
      <c r="C9">
        <f>IF($C$3=0,0,INDEX('Monthly Overview'!C41:N41,$C$3))</f>
        <v>0</v>
      </c>
    </row>
    <row r="10" spans="2:3" x14ac:dyDescent="0.35">
      <c r="B10" t="s">
        <v>31</v>
      </c>
      <c r="C10">
        <f>IF($C$3=0,0,INDEX('Monthly Overview'!C42:N42,$C$3))</f>
        <v>1562.4</v>
      </c>
    </row>
    <row r="11" spans="2:3" x14ac:dyDescent="0.35">
      <c r="B11" t="s">
        <v>46</v>
      </c>
      <c r="C11">
        <f>IF($C$3=0,0,INDEX('Monthly Overview'!C43:N43,$C$3))</f>
        <v>300</v>
      </c>
    </row>
    <row r="12" spans="2:3" x14ac:dyDescent="0.35">
      <c r="B12" t="s">
        <v>65</v>
      </c>
      <c r="C12">
        <f>IF($C$3=0,0,INDEX('Monthly Overview'!C44:N44,$C$3))</f>
        <v>2737.6</v>
      </c>
    </row>
    <row r="14" spans="2:3" x14ac:dyDescent="0.35">
      <c r="B14" t="s">
        <v>170</v>
      </c>
      <c r="C14">
        <f>'Monthly Overview'!O38</f>
        <v>4600</v>
      </c>
    </row>
    <row r="15" spans="2:3" x14ac:dyDescent="0.35">
      <c r="B15" t="s">
        <v>171</v>
      </c>
      <c r="C15">
        <f>'Monthly Overview'!O42</f>
        <v>1562.4</v>
      </c>
    </row>
    <row r="16" spans="2:3" x14ac:dyDescent="0.35">
      <c r="B16" t="s">
        <v>172</v>
      </c>
      <c r="C16">
        <f>'Monthly Overview'!O43</f>
        <v>300</v>
      </c>
    </row>
    <row r="17" spans="2:3" x14ac:dyDescent="0.35">
      <c r="B17" t="s">
        <v>173</v>
      </c>
      <c r="C17">
        <f>'Monthly Overview'!O44</f>
        <v>2737.6</v>
      </c>
    </row>
    <row r="19" spans="2:3" x14ac:dyDescent="0.35">
      <c r="B19" t="s">
        <v>174</v>
      </c>
      <c r="C19">
        <f>SUMPRODUCT(((Budget!$A$7:$A$36&lt;&gt;"")*ISNUMBER(MATCH(Budget!$B$7:$B$36,Lists!$C$2:$C$6,0))*(((Budget!$C$7:$C$36="")+ISNUMBER(Budget!$C$7:$C$36))&gt;0)*(Budget!$C$7:$C$36&gt;=0))*(((Budget!$B$7:$B$36="Bills")+(Budget!$B$7:$B$36="Living")+(Budget!$B$7:$B$36="Debt"))&gt;0),Budget!$C$7:$C$36)</f>
        <v>3875</v>
      </c>
    </row>
    <row r="20" spans="2:3" x14ac:dyDescent="0.35">
      <c r="B20" t="s">
        <v>175</v>
      </c>
      <c r="C20">
        <f>C19-C10</f>
        <v>2312.6</v>
      </c>
    </row>
    <row r="22" spans="2:3" x14ac:dyDescent="0.35">
      <c r="B22" t="s">
        <v>176</v>
      </c>
      <c r="C22">
        <f>IF($C$3=0,0,SUMPRODUCT(((Bills!$A$6:$A$45&lt;&gt;"")*ISNUMBER(Bills!$B$6:$B$45)*(Bills!$B$6:$B$45&gt;=0)*(((Bills!$C$6:$C$45="")+ISNUMBER(Bills!$C$6:$C$45)*(Bills!$C$6:$C$45&gt;=1)*(Bills!$C$6:$C$45&lt;=31))&gt;0))*(INDEX(Bills!$D$6:$O$45,0,$C$3)&lt;&gt;"Yes"),Bills!$B$6:$B$45))</f>
        <v>65</v>
      </c>
    </row>
    <row r="23" spans="2:3" x14ac:dyDescent="0.35">
      <c r="B23" t="s">
        <v>177</v>
      </c>
      <c r="C23">
        <f>IF($C$3=0,0,SUMPRODUCT(((Bills!$A$6:$A$45&lt;&gt;"")*ISNUMBER(Bills!$B$6:$B$45)*(Bills!$B$6:$B$45&gt;=0)*(((Bills!$C$6:$C$45="")+ISNUMBER(Bills!$C$6:$C$45)*(Bills!$C$6:$C$45&gt;=1)*(Bills!$C$6:$C$45&lt;=31))&gt;0))*(INDEX(Bills!$D$6:$O$45,0,$C$3)&lt;&gt;"Yes")))</f>
        <v>1</v>
      </c>
    </row>
    <row r="24" spans="2:3" x14ac:dyDescent="0.35">
      <c r="B24" t="s">
        <v>178</v>
      </c>
      <c r="C24">
        <f>SUMPRODUCT((Bills!$A$6:$A$45&lt;&gt;"")*ISNUMBER(Bills!$B$6:$B$45)*(Bills!$B$6:$B$45&gt;=0)*(((Bills!$C$6:$C$45="")+ISNUMBER(Bills!$C$6:$C$45)*(Bills!$C$6:$C$45&gt;=1)*(Bills!$C$6:$C$45&lt;=31))&gt;0))</f>
        <v>2</v>
      </c>
    </row>
    <row r="25" spans="2:3" x14ac:dyDescent="0.35">
      <c r="B25" t="s">
        <v>179</v>
      </c>
      <c r="C25">
        <f>SUMPRODUCT(('Savings Goals'!$A$6:$A$20&lt;&gt;"")*ISNUMBER('Savings Goals'!$B$6:$B$20)*('Savings Goals'!$B$6:$B$20&gt;0)*((('Savings Goals'!$C$6:$C$20="")+ISNUMBER('Savings Goals'!$C$6:$C$20))&gt;0)*('Savings Goals'!$C$6:$C$20&gt;=0)*((('Savings Goals'!$D$6:$D$20="")+ISNUMBER(MATCH('Savings Goals'!$D$6:$D$20,Lists!$A$2:$A$31,0)))&gt;0)*((('Savings Goals'!$I$6:$I$20="")+ISNUMBER('Savings Goals'!$I$6:$I$20))&gt;0),'Savings Goals'!$B$6:$B$20)</f>
        <v>5000</v>
      </c>
    </row>
    <row r="26" spans="2:3" x14ac:dyDescent="0.35">
      <c r="B26" t="s">
        <v>180</v>
      </c>
      <c r="C26">
        <f>SUMPRODUCT(('Savings Goals'!$A$6:$A$20&lt;&gt;"")*ISNUMBER('Savings Goals'!$B$6:$B$20)*('Savings Goals'!$B$6:$B$20&gt;0)*((('Savings Goals'!$C$6:$C$20="")+ISNUMBER('Savings Goals'!$C$6:$C$20))&gt;0)*('Savings Goals'!$C$6:$C$20&gt;=0)*((('Savings Goals'!$D$6:$D$20="")+ISNUMBER(MATCH('Savings Goals'!$D$6:$D$20,Lists!$A$2:$A$31,0)))&gt;0)*((('Savings Goals'!$I$6:$I$20="")+ISNUMBER('Savings Goals'!$I$6:$I$20))&gt;0),'Savings Goals'!$F$6:$F$20)</f>
        <v>1500</v>
      </c>
    </row>
    <row r="27" spans="2:3" x14ac:dyDescent="0.35">
      <c r="B27" t="s">
        <v>181</v>
      </c>
      <c r="C27">
        <f>IF(C25&gt;0,MIN(1,C26/C25),0)</f>
        <v>0.3</v>
      </c>
    </row>
    <row r="28" spans="2:3" x14ac:dyDescent="0.35">
      <c r="B28" t="s">
        <v>182</v>
      </c>
      <c r="C28">
        <f>IF(OR($C$3=0,$C$4=0),0,SUMPRODUCT(ISNUMBER(Transactions!$A$5:$A$1504)*ISNUMBER(MATCH(Transactions!$B$5:$B$1504,Lists!$A$2:$A$31,0))*ISNUMBER(Transactions!$D$5:$D$1504)*(Transactions!$A$5:$A$1504&gt;=DATE($C$4,$C$3,1))*(Transactions!$A$5:$A$1504&lt;DATE($C$4,$C$3+1,1))))</f>
        <v>5</v>
      </c>
    </row>
    <row r="39" spans="2:6" x14ac:dyDescent="0.35">
      <c r="B39" t="s">
        <v>29</v>
      </c>
      <c r="C39" t="s">
        <v>74</v>
      </c>
      <c r="D39" t="s">
        <v>183</v>
      </c>
      <c r="E39" t="s">
        <v>30</v>
      </c>
      <c r="F39" t="s">
        <v>184</v>
      </c>
    </row>
    <row r="40" spans="2:6" x14ac:dyDescent="0.35">
      <c r="B40" t="str">
        <f>'Monthly Overview'!A6</f>
        <v>Paycheck</v>
      </c>
      <c r="C40" t="str">
        <f>'Monthly Overview'!B6</f>
        <v>Income</v>
      </c>
      <c r="D40">
        <f>IF($C$3=0,0,INDEX('Monthly Overview'!C6:N6,$C$3))</f>
        <v>4600</v>
      </c>
      <c r="E40">
        <f>IF(C40="",0,MAX(0,N(Budget!C7)))</f>
        <v>4600</v>
      </c>
      <c r="F40">
        <f>IF(AND(OR(C40="Bills",C40="Living",C40="Debt"),OR(D40&lt;&gt;0,E40&gt;0)),D40+E40/10000000+(30-0)/1000000000,-1-0/1000)</f>
        <v>-1</v>
      </c>
    </row>
    <row r="41" spans="2:6" x14ac:dyDescent="0.35">
      <c r="B41" t="str">
        <f>'Monthly Overview'!A7</f>
        <v>Side income</v>
      </c>
      <c r="C41" t="str">
        <f>'Monthly Overview'!B7</f>
        <v>Income</v>
      </c>
      <c r="D41">
        <f>IF($C$3=0,0,INDEX('Monthly Overview'!C7:N7,$C$3))</f>
        <v>0</v>
      </c>
      <c r="E41">
        <f>IF(C41="",0,MAX(0,N(Budget!C8)))</f>
        <v>400</v>
      </c>
      <c r="F41">
        <f>IF(AND(OR(C41="Bills",C41="Living",C41="Debt"),OR(D41&lt;&gt;0,E41&gt;0)),D41+E41/10000000+(30-1)/1000000000,-1-1/1000)</f>
        <v>-1.0009999999999999</v>
      </c>
    </row>
    <row r="42" spans="2:6" x14ac:dyDescent="0.35">
      <c r="B42" t="str">
        <f>'Monthly Overview'!A8</f>
        <v>Other income</v>
      </c>
      <c r="C42" t="str">
        <f>'Monthly Overview'!B8</f>
        <v>Income</v>
      </c>
      <c r="D42">
        <f>IF($C$3=0,0,INDEX('Monthly Overview'!C8:N8,$C$3))</f>
        <v>0</v>
      </c>
      <c r="E42">
        <f>IF(C42="",0,MAX(0,N(Budget!C9)))</f>
        <v>0</v>
      </c>
      <c r="F42">
        <f>IF(AND(OR(C42="Bills",C42="Living",C42="Debt"),OR(D42&lt;&gt;0,E42&gt;0)),D42+E42/10000000+(30-2)/1000000000,-1-2/1000)</f>
        <v>-1.002</v>
      </c>
    </row>
    <row r="43" spans="2:6" x14ac:dyDescent="0.35">
      <c r="B43" t="str">
        <f>'Monthly Overview'!A9</f>
        <v>Rent / mortgage</v>
      </c>
      <c r="C43" t="str">
        <f>'Monthly Overview'!B9</f>
        <v>Bills</v>
      </c>
      <c r="D43">
        <f>IF($C$3=0,0,INDEX('Monthly Overview'!C9:N9,$C$3))</f>
        <v>1450</v>
      </c>
      <c r="E43">
        <f>IF(C43="",0,MAX(0,N(Budget!C10)))</f>
        <v>1450</v>
      </c>
      <c r="F43">
        <f>IF(AND(OR(C43="Bills",C43="Living",C43="Debt"),OR(D43&lt;&gt;0,E43&gt;0)),D43+E43/10000000+(30-3)/1000000000,-1-3/1000)</f>
        <v>1450.0001450269999</v>
      </c>
    </row>
    <row r="44" spans="2:6" x14ac:dyDescent="0.35">
      <c r="B44" t="str">
        <f>'Monthly Overview'!A10</f>
        <v>Utilities</v>
      </c>
      <c r="C44" t="str">
        <f>'Monthly Overview'!B10</f>
        <v>Bills</v>
      </c>
      <c r="D44">
        <f>IF($C$3=0,0,INDEX('Monthly Overview'!C10:N10,$C$3))</f>
        <v>0</v>
      </c>
      <c r="E44">
        <f>IF(C44="",0,MAX(0,N(Budget!C11)))</f>
        <v>160</v>
      </c>
      <c r="F44">
        <f>IF(AND(OR(C44="Bills",C44="Living",C44="Debt"),OR(D44&lt;&gt;0,E44&gt;0)),D44+E44/10000000+(30-4)/1000000000,-1-4/1000)</f>
        <v>1.6025999999999999E-5</v>
      </c>
    </row>
    <row r="45" spans="2:6" x14ac:dyDescent="0.35">
      <c r="B45" t="str">
        <f>'Monthly Overview'!A11</f>
        <v>Phone &amp; internet</v>
      </c>
      <c r="C45" t="str">
        <f>'Monthly Overview'!B11</f>
        <v>Bills</v>
      </c>
      <c r="D45">
        <f>IF($C$3=0,0,INDEX('Monthly Overview'!C11:N11,$C$3))</f>
        <v>0</v>
      </c>
      <c r="E45">
        <f>IF(C45="",0,MAX(0,N(Budget!C12)))</f>
        <v>110</v>
      </c>
      <c r="F45">
        <f>IF(AND(OR(C45="Bills",C45="Living",C45="Debt"),OR(D45&lt;&gt;0,E45&gt;0)),D45+E45/10000000+(30-5)/1000000000,-1-5/1000)</f>
        <v>1.1025E-5</v>
      </c>
    </row>
    <row r="46" spans="2:6" x14ac:dyDescent="0.35">
      <c r="B46" t="str">
        <f>'Monthly Overview'!A12</f>
        <v>Insurance</v>
      </c>
      <c r="C46" t="str">
        <f>'Monthly Overview'!B12</f>
        <v>Bills</v>
      </c>
      <c r="D46">
        <f>IF($C$3=0,0,INDEX('Monthly Overview'!C12:N12,$C$3))</f>
        <v>0</v>
      </c>
      <c r="E46">
        <f>IF(C46="",0,MAX(0,N(Budget!C13)))</f>
        <v>140</v>
      </c>
      <c r="F46">
        <f>IF(AND(OR(C46="Bills",C46="Living",C46="Debt"),OR(D46&lt;&gt;0,E46&gt;0)),D46+E46/10000000+(30-6)/1000000000,-1-6/1000)</f>
        <v>1.4024E-5</v>
      </c>
    </row>
    <row r="47" spans="2:6" x14ac:dyDescent="0.35">
      <c r="B47" t="str">
        <f>'Monthly Overview'!A13</f>
        <v>Subscriptions</v>
      </c>
      <c r="C47" t="str">
        <f>'Monthly Overview'!B13</f>
        <v>Bills</v>
      </c>
      <c r="D47">
        <f>IF($C$3=0,0,INDEX('Monthly Overview'!C13:N13,$C$3))</f>
        <v>0</v>
      </c>
      <c r="E47">
        <f>IF(C47="",0,MAX(0,N(Budget!C14)))</f>
        <v>45</v>
      </c>
      <c r="F47">
        <f>IF(AND(OR(C47="Bills",C47="Living",C47="Debt"),OR(D47&lt;&gt;0,E47&gt;0)),D47+E47/10000000+(30-7)/1000000000,-1-7/1000)</f>
        <v>4.5229999999999997E-6</v>
      </c>
    </row>
    <row r="48" spans="2:6" x14ac:dyDescent="0.35">
      <c r="B48" t="str">
        <f>'Monthly Overview'!A14</f>
        <v>Groceries</v>
      </c>
      <c r="C48" t="str">
        <f>'Monthly Overview'!B14</f>
        <v>Living</v>
      </c>
      <c r="D48">
        <f>IF($C$3=0,0,INDEX('Monthly Overview'!C14:N14,$C$3))</f>
        <v>112.4</v>
      </c>
      <c r="E48">
        <f>IF(C48="",0,MAX(0,N(Budget!C15)))</f>
        <v>520</v>
      </c>
      <c r="F48">
        <f>IF(AND(OR(C48="Bills",C48="Living",C48="Debt"),OR(D48&lt;&gt;0,E48&gt;0)),D48+E48/10000000+(30-8)/1000000000,-1-8/1000)</f>
        <v>112.400052022</v>
      </c>
    </row>
    <row r="49" spans="2:6" x14ac:dyDescent="0.35">
      <c r="B49" t="str">
        <f>'Monthly Overview'!A15</f>
        <v>Dining out</v>
      </c>
      <c r="C49" t="str">
        <f>'Monthly Overview'!B15</f>
        <v>Living</v>
      </c>
      <c r="D49">
        <f>IF($C$3=0,0,INDEX('Monthly Overview'!C15:N15,$C$3))</f>
        <v>0</v>
      </c>
      <c r="E49">
        <f>IF(C49="",0,MAX(0,N(Budget!C16)))</f>
        <v>180</v>
      </c>
      <c r="F49">
        <f>IF(AND(OR(C49="Bills",C49="Living",C49="Debt"),OR(D49&lt;&gt;0,E49&gt;0)),D49+E49/10000000+(30-9)/1000000000,-1-9/1000)</f>
        <v>1.8020999999999999E-5</v>
      </c>
    </row>
    <row r="50" spans="2:6" x14ac:dyDescent="0.35">
      <c r="B50" t="str">
        <f>'Monthly Overview'!A16</f>
        <v>Transportation &amp; gas</v>
      </c>
      <c r="C50" t="str">
        <f>'Monthly Overview'!B16</f>
        <v>Living</v>
      </c>
      <c r="D50">
        <f>IF($C$3=0,0,INDEX('Monthly Overview'!C16:N16,$C$3))</f>
        <v>0</v>
      </c>
      <c r="E50">
        <f>IF(C50="",0,MAX(0,N(Budget!C17)))</f>
        <v>200</v>
      </c>
      <c r="F50">
        <f>IF(AND(OR(C50="Bills",C50="Living",C50="Debt"),OR(D50&lt;&gt;0,E50&gt;0)),D50+E50/10000000+(30-10)/1000000000,-1-10/1000)</f>
        <v>2.0020000000000001E-5</v>
      </c>
    </row>
    <row r="51" spans="2:6" x14ac:dyDescent="0.35">
      <c r="B51" t="str">
        <f>'Monthly Overview'!A17</f>
        <v>Health</v>
      </c>
      <c r="C51" t="str">
        <f>'Monthly Overview'!B17</f>
        <v>Living</v>
      </c>
      <c r="D51">
        <f>IF($C$3=0,0,INDEX('Monthly Overview'!C17:N17,$C$3))</f>
        <v>0</v>
      </c>
      <c r="E51">
        <f>IF(C51="",0,MAX(0,N(Budget!C18)))</f>
        <v>60</v>
      </c>
      <c r="F51">
        <f>IF(AND(OR(C51="Bills",C51="Living",C51="Debt"),OR(D51&lt;&gt;0,E51&gt;0)),D51+E51/10000000+(30-11)/1000000000,-1-11/1000)</f>
        <v>6.0190000000000003E-6</v>
      </c>
    </row>
    <row r="52" spans="2:6" x14ac:dyDescent="0.35">
      <c r="B52" t="str">
        <f>'Monthly Overview'!A18</f>
        <v>Personal care</v>
      </c>
      <c r="C52" t="str">
        <f>'Monthly Overview'!B18</f>
        <v>Living</v>
      </c>
      <c r="D52">
        <f>IF($C$3=0,0,INDEX('Monthly Overview'!C18:N18,$C$3))</f>
        <v>0</v>
      </c>
      <c r="E52">
        <f>IF(C52="",0,MAX(0,N(Budget!C19)))</f>
        <v>50</v>
      </c>
      <c r="F52">
        <f>IF(AND(OR(C52="Bills",C52="Living",C52="Debt"),OR(D52&lt;&gt;0,E52&gt;0)),D52+E52/10000000+(30-12)/1000000000,-1-12/1000)</f>
        <v>5.0180000000000001E-6</v>
      </c>
    </row>
    <row r="53" spans="2:6" x14ac:dyDescent="0.35">
      <c r="B53" t="str">
        <f>'Monthly Overview'!A19</f>
        <v>Shopping</v>
      </c>
      <c r="C53" t="str">
        <f>'Monthly Overview'!B19</f>
        <v>Living</v>
      </c>
      <c r="D53">
        <f>IF($C$3=0,0,INDEX('Monthly Overview'!C19:N19,$C$3))</f>
        <v>0</v>
      </c>
      <c r="E53">
        <f>IF(C53="",0,MAX(0,N(Budget!C20)))</f>
        <v>120</v>
      </c>
      <c r="F53">
        <f>IF(AND(OR(C53="Bills",C53="Living",C53="Debt"),OR(D53&lt;&gt;0,E53&gt;0)),D53+E53/10000000+(30-13)/1000000000,-1-13/1000)</f>
        <v>1.2017E-5</v>
      </c>
    </row>
    <row r="54" spans="2:6" x14ac:dyDescent="0.35">
      <c r="B54" t="str">
        <f>'Monthly Overview'!A20</f>
        <v>Entertainment</v>
      </c>
      <c r="C54" t="str">
        <f>'Monthly Overview'!B20</f>
        <v>Living</v>
      </c>
      <c r="D54">
        <f>IF($C$3=0,0,INDEX('Monthly Overview'!C20:N20,$C$3))</f>
        <v>0</v>
      </c>
      <c r="E54">
        <f>IF(C54="",0,MAX(0,N(Budget!C21)))</f>
        <v>80</v>
      </c>
      <c r="F54">
        <f>IF(AND(OR(C54="Bills",C54="Living",C54="Debt"),OR(D54&lt;&gt;0,E54&gt;0)),D54+E54/10000000+(30-14)/1000000000,-1-14/1000)</f>
        <v>8.0159999999999991E-6</v>
      </c>
    </row>
    <row r="55" spans="2:6" x14ac:dyDescent="0.35">
      <c r="B55" t="str">
        <f>'Monthly Overview'!A21</f>
        <v>Kids</v>
      </c>
      <c r="C55" t="str">
        <f>'Monthly Overview'!B21</f>
        <v>Living</v>
      </c>
      <c r="D55">
        <f>IF($C$3=0,0,INDEX('Monthly Overview'!C21:N21,$C$3))</f>
        <v>0</v>
      </c>
      <c r="E55">
        <f>IF(C55="",0,MAX(0,N(Budget!C22)))</f>
        <v>0</v>
      </c>
      <c r="F55">
        <f>IF(AND(OR(C55="Bills",C55="Living",C55="Debt"),OR(D55&lt;&gt;0,E55&gt;0)),D55+E55/10000000+(30-15)/1000000000,-1-15/1000)</f>
        <v>-1.0149999999999999</v>
      </c>
    </row>
    <row r="56" spans="2:6" x14ac:dyDescent="0.35">
      <c r="B56" t="str">
        <f>'Monthly Overview'!A22</f>
        <v>Pets</v>
      </c>
      <c r="C56" t="str">
        <f>'Monthly Overview'!B22</f>
        <v>Living</v>
      </c>
      <c r="D56">
        <f>IF($C$3=0,0,INDEX('Monthly Overview'!C22:N22,$C$3))</f>
        <v>0</v>
      </c>
      <c r="E56">
        <f>IF(C56="",0,MAX(0,N(Budget!C23)))</f>
        <v>40</v>
      </c>
      <c r="F56">
        <f>IF(AND(OR(C56="Bills",C56="Living",C56="Debt"),OR(D56&lt;&gt;0,E56&gt;0)),D56+E56/10000000+(30-16)/1000000000,-1-16/1000)</f>
        <v>4.014E-6</v>
      </c>
    </row>
    <row r="57" spans="2:6" x14ac:dyDescent="0.35">
      <c r="B57" t="str">
        <f>'Monthly Overview'!A23</f>
        <v>Gifts</v>
      </c>
      <c r="C57" t="str">
        <f>'Monthly Overview'!B23</f>
        <v>Living</v>
      </c>
      <c r="D57">
        <f>IF($C$3=0,0,INDEX('Monthly Overview'!C23:N23,$C$3))</f>
        <v>0</v>
      </c>
      <c r="E57">
        <f>IF(C57="",0,MAX(0,N(Budget!C24)))</f>
        <v>40</v>
      </c>
      <c r="F57">
        <f>IF(AND(OR(C57="Bills",C57="Living",C57="Debt"),OR(D57&lt;&gt;0,E57&gt;0)),D57+E57/10000000+(30-17)/1000000000,-1-17/1000)</f>
        <v>4.0129999999999995E-6</v>
      </c>
    </row>
    <row r="58" spans="2:6" x14ac:dyDescent="0.35">
      <c r="B58" t="str">
        <f>'Monthly Overview'!A24</f>
        <v>Travel</v>
      </c>
      <c r="C58" t="str">
        <f>'Monthly Overview'!B24</f>
        <v>Living</v>
      </c>
      <c r="D58">
        <f>IF($C$3=0,0,INDEX('Monthly Overview'!C24:N24,$C$3))</f>
        <v>0</v>
      </c>
      <c r="E58">
        <f>IF(C58="",0,MAX(0,N(Budget!C25)))</f>
        <v>100</v>
      </c>
      <c r="F58">
        <f>IF(AND(OR(C58="Bills",C58="Living",C58="Debt"),OR(D58&lt;&gt;0,E58&gt;0)),D58+E58/10000000+(30-18)/1000000000,-1-18/1000)</f>
        <v>1.0012E-5</v>
      </c>
    </row>
    <row r="59" spans="2:6" x14ac:dyDescent="0.35">
      <c r="B59" t="str">
        <f>'Monthly Overview'!A25</f>
        <v>Household</v>
      </c>
      <c r="C59" t="str">
        <f>'Monthly Overview'!B25</f>
        <v>Living</v>
      </c>
      <c r="D59">
        <f>IF($C$3=0,0,INDEX('Monthly Overview'!C25:N25,$C$3))</f>
        <v>0</v>
      </c>
      <c r="E59">
        <f>IF(C59="",0,MAX(0,N(Budget!C26)))</f>
        <v>60</v>
      </c>
      <c r="F59">
        <f>IF(AND(OR(C59="Bills",C59="Living",C59="Debt"),OR(D59&lt;&gt;0,E59&gt;0)),D59+E59/10000000+(30-19)/1000000000,-1-19/1000)</f>
        <v>6.0110000000000006E-6</v>
      </c>
    </row>
    <row r="60" spans="2:6" x14ac:dyDescent="0.35">
      <c r="B60" t="str">
        <f>'Monthly Overview'!A26</f>
        <v>Miscellaneous</v>
      </c>
      <c r="C60" t="str">
        <f>'Monthly Overview'!B26</f>
        <v>Living</v>
      </c>
      <c r="D60">
        <f>IF($C$3=0,0,INDEX('Monthly Overview'!C26:N26,$C$3))</f>
        <v>0</v>
      </c>
      <c r="E60">
        <f>IF(C60="",0,MAX(0,N(Budget!C27)))</f>
        <v>50</v>
      </c>
      <c r="F60">
        <f>IF(AND(OR(C60="Bills",C60="Living",C60="Debt"),OR(D60&lt;&gt;0,E60&gt;0)),D60+E60/10000000+(30-20)/1000000000,-1-20/1000)</f>
        <v>5.0100000000000003E-6</v>
      </c>
    </row>
    <row r="61" spans="2:6" x14ac:dyDescent="0.35">
      <c r="B61" t="str">
        <f>'Monthly Overview'!A27</f>
        <v>Credit card</v>
      </c>
      <c r="C61" t="str">
        <f>'Monthly Overview'!B27</f>
        <v>Debt</v>
      </c>
      <c r="D61">
        <f>IF($C$3=0,0,INDEX('Monthly Overview'!C27:N27,$C$3))</f>
        <v>0</v>
      </c>
      <c r="E61">
        <f>IF(C61="",0,MAX(0,N(Budget!C28)))</f>
        <v>150</v>
      </c>
      <c r="F61">
        <f>IF(AND(OR(C61="Bills",C61="Living",C61="Debt"),OR(D61&lt;&gt;0,E61&gt;0)),D61+E61/10000000+(30-21)/1000000000,-1-21/1000)</f>
        <v>1.5009E-5</v>
      </c>
    </row>
    <row r="62" spans="2:6" x14ac:dyDescent="0.35">
      <c r="B62" t="str">
        <f>'Monthly Overview'!A28</f>
        <v>Student loan</v>
      </c>
      <c r="C62" t="str">
        <f>'Monthly Overview'!B28</f>
        <v>Debt</v>
      </c>
      <c r="D62">
        <f>IF($C$3=0,0,INDEX('Monthly Overview'!C28:N28,$C$3))</f>
        <v>0</v>
      </c>
      <c r="E62">
        <f>IF(C62="",0,MAX(0,N(Budget!C29)))</f>
        <v>0</v>
      </c>
      <c r="F62">
        <f>IF(AND(OR(C62="Bills",C62="Living",C62="Debt"),OR(D62&lt;&gt;0,E62&gt;0)),D62+E62/10000000+(30-22)/1000000000,-1-22/1000)</f>
        <v>-1.022</v>
      </c>
    </row>
    <row r="63" spans="2:6" x14ac:dyDescent="0.35">
      <c r="B63" t="str">
        <f>'Monthly Overview'!A29</f>
        <v>Car loan</v>
      </c>
      <c r="C63" t="str">
        <f>'Monthly Overview'!B29</f>
        <v>Debt</v>
      </c>
      <c r="D63">
        <f>IF($C$3=0,0,INDEX('Monthly Overview'!C29:N29,$C$3))</f>
        <v>0</v>
      </c>
      <c r="E63">
        <f>IF(C63="",0,MAX(0,N(Budget!C30)))</f>
        <v>320</v>
      </c>
      <c r="F63">
        <f>IF(AND(OR(C63="Bills",C63="Living",C63="Debt"),OR(D63&lt;&gt;0,E63&gt;0)),D63+E63/10000000+(30-23)/1000000000,-1-23/1000)</f>
        <v>3.2007E-5</v>
      </c>
    </row>
    <row r="64" spans="2:6" x14ac:dyDescent="0.35">
      <c r="B64" t="str">
        <f>'Monthly Overview'!A30</f>
        <v>Emergency fund</v>
      </c>
      <c r="C64" t="str">
        <f>'Monthly Overview'!B30</f>
        <v>Savings</v>
      </c>
      <c r="D64">
        <f>IF($C$3=0,0,INDEX('Monthly Overview'!C30:N30,$C$3))</f>
        <v>300</v>
      </c>
      <c r="E64">
        <f>IF(C64="",0,MAX(0,N(Budget!C31)))</f>
        <v>300</v>
      </c>
      <c r="F64">
        <f>IF(AND(OR(C64="Bills",C64="Living",C64="Debt"),OR(D64&lt;&gt;0,E64&gt;0)),D64+E64/10000000+(30-24)/1000000000,-1-24/1000)</f>
        <v>-1.024</v>
      </c>
    </row>
    <row r="65" spans="2:6" x14ac:dyDescent="0.35">
      <c r="B65" t="str">
        <f>'Monthly Overview'!A31</f>
        <v>Retirement</v>
      </c>
      <c r="C65" t="str">
        <f>'Monthly Overview'!B31</f>
        <v>Savings</v>
      </c>
      <c r="D65">
        <f>IF($C$3=0,0,INDEX('Monthly Overview'!C31:N31,$C$3))</f>
        <v>0</v>
      </c>
      <c r="E65">
        <f>IF(C65="",0,MAX(0,N(Budget!C32)))</f>
        <v>250</v>
      </c>
      <c r="F65">
        <f>IF(AND(OR(C65="Bills",C65="Living",C65="Debt"),OR(D65&lt;&gt;0,E65&gt;0)),D65+E65/10000000+(30-25)/1000000000,-1-25/1000)</f>
        <v>-1.0249999999999999</v>
      </c>
    </row>
    <row r="66" spans="2:6" x14ac:dyDescent="0.35">
      <c r="B66" t="str">
        <f>'Monthly Overview'!A32</f>
        <v>Sinking funds</v>
      </c>
      <c r="C66" t="str">
        <f>'Monthly Overview'!B32</f>
        <v>Savings</v>
      </c>
      <c r="D66">
        <f>IF($C$3=0,0,INDEX('Monthly Overview'!C32:N32,$C$3))</f>
        <v>0</v>
      </c>
      <c r="E66">
        <f>IF(C66="",0,MAX(0,N(Budget!C33)))</f>
        <v>100</v>
      </c>
      <c r="F66">
        <f>IF(AND(OR(C66="Bills",C66="Living",C66="Debt"),OR(D66&lt;&gt;0,E66&gt;0)),D66+E66/10000000+(30-26)/1000000000,-1-26/1000)</f>
        <v>-1.026</v>
      </c>
    </row>
    <row r="67" spans="2:6" x14ac:dyDescent="0.35">
      <c r="B67" t="str">
        <f>'Monthly Overview'!A33</f>
        <v/>
      </c>
      <c r="C67" t="str">
        <f>'Monthly Overview'!B33</f>
        <v/>
      </c>
      <c r="D67">
        <f>IF($C$3=0,0,INDEX('Monthly Overview'!C33:N33,$C$3))</f>
        <v>0</v>
      </c>
      <c r="E67">
        <f>IF(C67="",0,MAX(0,N(Budget!C34)))</f>
        <v>0</v>
      </c>
      <c r="F67">
        <f>IF(AND(OR(C67="Bills",C67="Living",C67="Debt"),OR(D67&lt;&gt;0,E67&gt;0)),D67+E67/10000000+(30-27)/1000000000,-1-27/1000)</f>
        <v>-1.0269999999999999</v>
      </c>
    </row>
    <row r="68" spans="2:6" x14ac:dyDescent="0.35">
      <c r="B68" t="str">
        <f>'Monthly Overview'!A34</f>
        <v/>
      </c>
      <c r="C68" t="str">
        <f>'Monthly Overview'!B34</f>
        <v/>
      </c>
      <c r="D68">
        <f>IF($C$3=0,0,INDEX('Monthly Overview'!C34:N34,$C$3))</f>
        <v>0</v>
      </c>
      <c r="E68">
        <f>IF(C68="",0,MAX(0,N(Budget!C35)))</f>
        <v>0</v>
      </c>
      <c r="F68">
        <f>IF(AND(OR(C68="Bills",C68="Living",C68="Debt"),OR(D68&lt;&gt;0,E68&gt;0)),D68+E68/10000000+(30-28)/1000000000,-1-28/1000)</f>
        <v>-1.028</v>
      </c>
    </row>
    <row r="69" spans="2:6" x14ac:dyDescent="0.35">
      <c r="B69" t="str">
        <f>'Monthly Overview'!A35</f>
        <v/>
      </c>
      <c r="C69" t="str">
        <f>'Monthly Overview'!B35</f>
        <v/>
      </c>
      <c r="D69">
        <f>IF($C$3=0,0,INDEX('Monthly Overview'!C35:N35,$C$3))</f>
        <v>0</v>
      </c>
      <c r="E69">
        <f>IF(C69="",0,MAX(0,N(Budget!C36)))</f>
        <v>0</v>
      </c>
      <c r="F69">
        <f>IF(AND(OR(C69="Bills",C69="Living",C69="Debt"),OR(D69&lt;&gt;0,E69&gt;0)),D69+E69/10000000+(30-29)/1000000000,-1-29/1000)</f>
        <v>-1.0289999999999999</v>
      </c>
    </row>
    <row r="74" spans="2:6" x14ac:dyDescent="0.35">
      <c r="B74" t="s">
        <v>185</v>
      </c>
      <c r="C74" t="s">
        <v>186</v>
      </c>
      <c r="D74" t="s">
        <v>187</v>
      </c>
      <c r="E74" t="s">
        <v>30</v>
      </c>
      <c r="F74" t="s">
        <v>188</v>
      </c>
    </row>
    <row r="75" spans="2:6" x14ac:dyDescent="0.35">
      <c r="B75" t="str">
        <f t="shared" ref="B75:B84" si="0">IF(C75&lt;0,"",INDEX($B$40:$B$69,D75))</f>
        <v>Rent / mortgage</v>
      </c>
      <c r="C75">
        <f>LARGE($F$40:$F$69,1)</f>
        <v>1450.0001450269999</v>
      </c>
      <c r="D75">
        <f t="shared" ref="D75:D84" si="1">MATCH(C75,$F$40:$F$69,0)</f>
        <v>4</v>
      </c>
      <c r="E75">
        <f t="shared" ref="E75:E84" si="2">IF(B75="",0,INDEX($E$40:$E$69,D75))</f>
        <v>1450</v>
      </c>
      <c r="F75">
        <f t="shared" ref="F75:F84" si="3">IF(B75="",0,INDEX($D$40:$D$69,D75))</f>
        <v>1450</v>
      </c>
    </row>
    <row r="76" spans="2:6" x14ac:dyDescent="0.35">
      <c r="B76" t="str">
        <f t="shared" si="0"/>
        <v>Groceries</v>
      </c>
      <c r="C76">
        <f>LARGE($F$40:$F$69,2)</f>
        <v>112.400052022</v>
      </c>
      <c r="D76">
        <f t="shared" si="1"/>
        <v>9</v>
      </c>
      <c r="E76">
        <f t="shared" si="2"/>
        <v>520</v>
      </c>
      <c r="F76">
        <f t="shared" si="3"/>
        <v>112.4</v>
      </c>
    </row>
    <row r="77" spans="2:6" x14ac:dyDescent="0.35">
      <c r="B77" t="str">
        <f t="shared" si="0"/>
        <v>Car loan</v>
      </c>
      <c r="C77">
        <f>LARGE($F$40:$F$69,3)</f>
        <v>3.2007E-5</v>
      </c>
      <c r="D77">
        <f t="shared" si="1"/>
        <v>24</v>
      </c>
      <c r="E77">
        <f t="shared" si="2"/>
        <v>320</v>
      </c>
      <c r="F77">
        <f t="shared" si="3"/>
        <v>0</v>
      </c>
    </row>
    <row r="78" spans="2:6" x14ac:dyDescent="0.35">
      <c r="B78" t="str">
        <f t="shared" si="0"/>
        <v>Transportation &amp; gas</v>
      </c>
      <c r="C78">
        <f>LARGE($F$40:$F$69,4)</f>
        <v>2.0020000000000001E-5</v>
      </c>
      <c r="D78">
        <f t="shared" si="1"/>
        <v>11</v>
      </c>
      <c r="E78">
        <f t="shared" si="2"/>
        <v>200</v>
      </c>
      <c r="F78">
        <f t="shared" si="3"/>
        <v>0</v>
      </c>
    </row>
    <row r="79" spans="2:6" x14ac:dyDescent="0.35">
      <c r="B79" t="str">
        <f t="shared" si="0"/>
        <v>Dining out</v>
      </c>
      <c r="C79">
        <f>LARGE($F$40:$F$69,5)</f>
        <v>1.8020999999999999E-5</v>
      </c>
      <c r="D79">
        <f t="shared" si="1"/>
        <v>10</v>
      </c>
      <c r="E79">
        <f t="shared" si="2"/>
        <v>180</v>
      </c>
      <c r="F79">
        <f t="shared" si="3"/>
        <v>0</v>
      </c>
    </row>
    <row r="80" spans="2:6" x14ac:dyDescent="0.35">
      <c r="B80" t="str">
        <f t="shared" si="0"/>
        <v>Utilities</v>
      </c>
      <c r="C80">
        <f>LARGE($F$40:$F$69,6)</f>
        <v>1.6025999999999999E-5</v>
      </c>
      <c r="D80">
        <f t="shared" si="1"/>
        <v>5</v>
      </c>
      <c r="E80">
        <f t="shared" si="2"/>
        <v>160</v>
      </c>
      <c r="F80">
        <f t="shared" si="3"/>
        <v>0</v>
      </c>
    </row>
    <row r="81" spans="2:6" x14ac:dyDescent="0.35">
      <c r="B81" t="str">
        <f t="shared" si="0"/>
        <v>Credit card</v>
      </c>
      <c r="C81">
        <f>LARGE($F$40:$F$69,7)</f>
        <v>1.5009E-5</v>
      </c>
      <c r="D81">
        <f t="shared" si="1"/>
        <v>22</v>
      </c>
      <c r="E81">
        <f t="shared" si="2"/>
        <v>150</v>
      </c>
      <c r="F81">
        <f t="shared" si="3"/>
        <v>0</v>
      </c>
    </row>
    <row r="82" spans="2:6" x14ac:dyDescent="0.35">
      <c r="B82" t="str">
        <f t="shared" si="0"/>
        <v>Insurance</v>
      </c>
      <c r="C82">
        <f>LARGE($F$40:$F$69,8)</f>
        <v>1.4024E-5</v>
      </c>
      <c r="D82">
        <f t="shared" si="1"/>
        <v>7</v>
      </c>
      <c r="E82">
        <f t="shared" si="2"/>
        <v>140</v>
      </c>
      <c r="F82">
        <f t="shared" si="3"/>
        <v>0</v>
      </c>
    </row>
    <row r="83" spans="2:6" x14ac:dyDescent="0.35">
      <c r="B83" t="str">
        <f t="shared" si="0"/>
        <v>Shopping</v>
      </c>
      <c r="C83">
        <f>LARGE($F$40:$F$69,9)</f>
        <v>1.2017E-5</v>
      </c>
      <c r="D83">
        <f t="shared" si="1"/>
        <v>14</v>
      </c>
      <c r="E83">
        <f t="shared" si="2"/>
        <v>120</v>
      </c>
      <c r="F83">
        <f t="shared" si="3"/>
        <v>0</v>
      </c>
    </row>
    <row r="84" spans="2:6" x14ac:dyDescent="0.35">
      <c r="B84" t="str">
        <f t="shared" si="0"/>
        <v>Phone &amp; internet</v>
      </c>
      <c r="C84">
        <f>LARGE($F$40:$F$69,10)</f>
        <v>1.1025E-5</v>
      </c>
      <c r="D84">
        <f t="shared" si="1"/>
        <v>6</v>
      </c>
      <c r="E84">
        <f t="shared" si="2"/>
        <v>110</v>
      </c>
      <c r="F84">
        <f t="shared" si="3"/>
        <v>0</v>
      </c>
    </row>
    <row r="86" spans="2:6" x14ac:dyDescent="0.35">
      <c r="B86" t="s">
        <v>189</v>
      </c>
      <c r="C86" t="str">
        <f>IF(OR(B75="",F75&lt;=0),"None yet",B75)</f>
        <v>Rent / mortgage</v>
      </c>
    </row>
    <row r="89" spans="2:6" x14ac:dyDescent="0.35">
      <c r="B89" t="s">
        <v>66</v>
      </c>
      <c r="C89" t="s">
        <v>46</v>
      </c>
      <c r="D89" t="s">
        <v>190</v>
      </c>
      <c r="E89" t="s">
        <v>186</v>
      </c>
    </row>
    <row r="90" spans="2:6" x14ac:dyDescent="0.35">
      <c r="B90" t="str">
        <f>IF(AND('Savings Goals'!A6&lt;&gt;"",ISNUMBER('Savings Goals'!B6),N('Savings Goals'!B6)&gt;0,OR('Savings Goals'!C6="",AND(ISNUMBER('Savings Goals'!C6),N('Savings Goals'!C6)&gt;=0)),OR('Savings Goals'!D6="",ISNUMBER(MATCH('Savings Goals'!D6,Lists!$A$2:$A$31,0))),OR('Savings Goals'!I6="",ISNUMBER('Savings Goals'!I6))),'Savings Goals'!A6,"")</f>
        <v>EXAMPLE: Emergency fund</v>
      </c>
      <c r="C90">
        <f>IF(B90="",0,MIN(N('Savings Goals'!F6),N('Savings Goals'!B6)))</f>
        <v>1500</v>
      </c>
      <c r="D90">
        <f>IF(B90="",0,N('Savings Goals'!G6))</f>
        <v>3500</v>
      </c>
      <c r="E90">
        <f>IF(B90="",-1-0/1000,C90+D90+(15-0)/1000000)</f>
        <v>5000.0000149999996</v>
      </c>
    </row>
    <row r="91" spans="2:6" x14ac:dyDescent="0.35">
      <c r="B91" t="str">
        <f>IF(AND('Savings Goals'!A7&lt;&gt;"",ISNUMBER('Savings Goals'!B7),N('Savings Goals'!B7)&gt;0,OR('Savings Goals'!C7="",AND(ISNUMBER('Savings Goals'!C7),N('Savings Goals'!C7)&gt;=0)),OR('Savings Goals'!D7="",ISNUMBER(MATCH('Savings Goals'!D7,Lists!$A$2:$A$31,0))),OR('Savings Goals'!I7="",ISNUMBER('Savings Goals'!I7))),'Savings Goals'!A7,"")</f>
        <v/>
      </c>
      <c r="C91">
        <f>IF(B91="",0,MIN(N('Savings Goals'!F7),N('Savings Goals'!B7)))</f>
        <v>0</v>
      </c>
      <c r="D91">
        <f>IF(B91="",0,N('Savings Goals'!G7))</f>
        <v>0</v>
      </c>
      <c r="E91">
        <f>IF(B91="",-1-1/1000,C91+D91+(15-1)/1000000)</f>
        <v>-1.0009999999999999</v>
      </c>
    </row>
    <row r="92" spans="2:6" x14ac:dyDescent="0.35">
      <c r="B92" t="str">
        <f>IF(AND('Savings Goals'!A8&lt;&gt;"",ISNUMBER('Savings Goals'!B8),N('Savings Goals'!B8)&gt;0,OR('Savings Goals'!C8="",AND(ISNUMBER('Savings Goals'!C8),N('Savings Goals'!C8)&gt;=0)),OR('Savings Goals'!D8="",ISNUMBER(MATCH('Savings Goals'!D8,Lists!$A$2:$A$31,0))),OR('Savings Goals'!I8="",ISNUMBER('Savings Goals'!I8))),'Savings Goals'!A8,"")</f>
        <v/>
      </c>
      <c r="C92">
        <f>IF(B92="",0,MIN(N('Savings Goals'!F8),N('Savings Goals'!B8)))</f>
        <v>0</v>
      </c>
      <c r="D92">
        <f>IF(B92="",0,N('Savings Goals'!G8))</f>
        <v>0</v>
      </c>
      <c r="E92">
        <f>IF(B92="",-1-2/1000,C92+D92+(15-2)/1000000)</f>
        <v>-1.002</v>
      </c>
    </row>
    <row r="93" spans="2:6" x14ac:dyDescent="0.35">
      <c r="B93" t="str">
        <f>IF(AND('Savings Goals'!A9&lt;&gt;"",ISNUMBER('Savings Goals'!B9),N('Savings Goals'!B9)&gt;0,OR('Savings Goals'!C9="",AND(ISNUMBER('Savings Goals'!C9),N('Savings Goals'!C9)&gt;=0)),OR('Savings Goals'!D9="",ISNUMBER(MATCH('Savings Goals'!D9,Lists!$A$2:$A$31,0))),OR('Savings Goals'!I9="",ISNUMBER('Savings Goals'!I9))),'Savings Goals'!A9,"")</f>
        <v/>
      </c>
      <c r="C93">
        <f>IF(B93="",0,MIN(N('Savings Goals'!F9),N('Savings Goals'!B9)))</f>
        <v>0</v>
      </c>
      <c r="D93">
        <f>IF(B93="",0,N('Savings Goals'!G9))</f>
        <v>0</v>
      </c>
      <c r="E93">
        <f>IF(B93="",-1-3/1000,C93+D93+(15-3)/1000000)</f>
        <v>-1.0029999999999999</v>
      </c>
    </row>
    <row r="94" spans="2:6" x14ac:dyDescent="0.35">
      <c r="B94" t="str">
        <f>IF(AND('Savings Goals'!A10&lt;&gt;"",ISNUMBER('Savings Goals'!B10),N('Savings Goals'!B10)&gt;0,OR('Savings Goals'!C10="",AND(ISNUMBER('Savings Goals'!C10),N('Savings Goals'!C10)&gt;=0)),OR('Savings Goals'!D10="",ISNUMBER(MATCH('Savings Goals'!D10,Lists!$A$2:$A$31,0))),OR('Savings Goals'!I10="",ISNUMBER('Savings Goals'!I10))),'Savings Goals'!A10,"")</f>
        <v/>
      </c>
      <c r="C94">
        <f>IF(B94="",0,MIN(N('Savings Goals'!F10),N('Savings Goals'!B10)))</f>
        <v>0</v>
      </c>
      <c r="D94">
        <f>IF(B94="",0,N('Savings Goals'!G10))</f>
        <v>0</v>
      </c>
      <c r="E94">
        <f>IF(B94="",-1-4/1000,C94+D94+(15-4)/1000000)</f>
        <v>-1.004</v>
      </c>
    </row>
    <row r="95" spans="2:6" x14ac:dyDescent="0.35">
      <c r="B95" t="str">
        <f>IF(AND('Savings Goals'!A11&lt;&gt;"",ISNUMBER('Savings Goals'!B11),N('Savings Goals'!B11)&gt;0,OR('Savings Goals'!C11="",AND(ISNUMBER('Savings Goals'!C11),N('Savings Goals'!C11)&gt;=0)),OR('Savings Goals'!D11="",ISNUMBER(MATCH('Savings Goals'!D11,Lists!$A$2:$A$31,0))),OR('Savings Goals'!I11="",ISNUMBER('Savings Goals'!I11))),'Savings Goals'!A11,"")</f>
        <v/>
      </c>
      <c r="C95">
        <f>IF(B95="",0,MIN(N('Savings Goals'!F11),N('Savings Goals'!B11)))</f>
        <v>0</v>
      </c>
      <c r="D95">
        <f>IF(B95="",0,N('Savings Goals'!G11))</f>
        <v>0</v>
      </c>
      <c r="E95">
        <f>IF(B95="",-1-5/1000,C95+D95+(15-5)/1000000)</f>
        <v>-1.0049999999999999</v>
      </c>
    </row>
    <row r="96" spans="2:6" x14ac:dyDescent="0.35">
      <c r="B96" t="str">
        <f>IF(AND('Savings Goals'!A12&lt;&gt;"",ISNUMBER('Savings Goals'!B12),N('Savings Goals'!B12)&gt;0,OR('Savings Goals'!C12="",AND(ISNUMBER('Savings Goals'!C12),N('Savings Goals'!C12)&gt;=0)),OR('Savings Goals'!D12="",ISNUMBER(MATCH('Savings Goals'!D12,Lists!$A$2:$A$31,0))),OR('Savings Goals'!I12="",ISNUMBER('Savings Goals'!I12))),'Savings Goals'!A12,"")</f>
        <v/>
      </c>
      <c r="C96">
        <f>IF(B96="",0,MIN(N('Savings Goals'!F12),N('Savings Goals'!B12)))</f>
        <v>0</v>
      </c>
      <c r="D96">
        <f>IF(B96="",0,N('Savings Goals'!G12))</f>
        <v>0</v>
      </c>
      <c r="E96">
        <f>IF(B96="",-1-6/1000,C96+D96+(15-6)/1000000)</f>
        <v>-1.006</v>
      </c>
    </row>
    <row r="97" spans="2:6" x14ac:dyDescent="0.35">
      <c r="B97" t="str">
        <f>IF(AND('Savings Goals'!A13&lt;&gt;"",ISNUMBER('Savings Goals'!B13),N('Savings Goals'!B13)&gt;0,OR('Savings Goals'!C13="",AND(ISNUMBER('Savings Goals'!C13),N('Savings Goals'!C13)&gt;=0)),OR('Savings Goals'!D13="",ISNUMBER(MATCH('Savings Goals'!D13,Lists!$A$2:$A$31,0))),OR('Savings Goals'!I13="",ISNUMBER('Savings Goals'!I13))),'Savings Goals'!A13,"")</f>
        <v/>
      </c>
      <c r="C97">
        <f>IF(B97="",0,MIN(N('Savings Goals'!F13),N('Savings Goals'!B13)))</f>
        <v>0</v>
      </c>
      <c r="D97">
        <f>IF(B97="",0,N('Savings Goals'!G13))</f>
        <v>0</v>
      </c>
      <c r="E97">
        <f>IF(B97="",-1-7/1000,C97+D97+(15-7)/1000000)</f>
        <v>-1.0069999999999999</v>
      </c>
    </row>
    <row r="98" spans="2:6" x14ac:dyDescent="0.35">
      <c r="B98" t="str">
        <f>IF(AND('Savings Goals'!A14&lt;&gt;"",ISNUMBER('Savings Goals'!B14),N('Savings Goals'!B14)&gt;0,OR('Savings Goals'!C14="",AND(ISNUMBER('Savings Goals'!C14),N('Savings Goals'!C14)&gt;=0)),OR('Savings Goals'!D14="",ISNUMBER(MATCH('Savings Goals'!D14,Lists!$A$2:$A$31,0))),OR('Savings Goals'!I14="",ISNUMBER('Savings Goals'!I14))),'Savings Goals'!A14,"")</f>
        <v/>
      </c>
      <c r="C98">
        <f>IF(B98="",0,MIN(N('Savings Goals'!F14),N('Savings Goals'!B14)))</f>
        <v>0</v>
      </c>
      <c r="D98">
        <f>IF(B98="",0,N('Savings Goals'!G14))</f>
        <v>0</v>
      </c>
      <c r="E98">
        <f>IF(B98="",-1-8/1000,C98+D98+(15-8)/1000000)</f>
        <v>-1.008</v>
      </c>
    </row>
    <row r="99" spans="2:6" x14ac:dyDescent="0.35">
      <c r="B99" t="str">
        <f>IF(AND('Savings Goals'!A15&lt;&gt;"",ISNUMBER('Savings Goals'!B15),N('Savings Goals'!B15)&gt;0,OR('Savings Goals'!C15="",AND(ISNUMBER('Savings Goals'!C15),N('Savings Goals'!C15)&gt;=0)),OR('Savings Goals'!D15="",ISNUMBER(MATCH('Savings Goals'!D15,Lists!$A$2:$A$31,0))),OR('Savings Goals'!I15="",ISNUMBER('Savings Goals'!I15))),'Savings Goals'!A15,"")</f>
        <v/>
      </c>
      <c r="C99">
        <f>IF(B99="",0,MIN(N('Savings Goals'!F15),N('Savings Goals'!B15)))</f>
        <v>0</v>
      </c>
      <c r="D99">
        <f>IF(B99="",0,N('Savings Goals'!G15))</f>
        <v>0</v>
      </c>
      <c r="E99">
        <f>IF(B99="",-1-9/1000,C99+D99+(15-9)/1000000)</f>
        <v>-1.0089999999999999</v>
      </c>
    </row>
    <row r="100" spans="2:6" x14ac:dyDescent="0.35">
      <c r="B100" t="str">
        <f>IF(AND('Savings Goals'!A16&lt;&gt;"",ISNUMBER('Savings Goals'!B16),N('Savings Goals'!B16)&gt;0,OR('Savings Goals'!C16="",AND(ISNUMBER('Savings Goals'!C16),N('Savings Goals'!C16)&gt;=0)),OR('Savings Goals'!D16="",ISNUMBER(MATCH('Savings Goals'!D16,Lists!$A$2:$A$31,0))),OR('Savings Goals'!I16="",ISNUMBER('Savings Goals'!I16))),'Savings Goals'!A16,"")</f>
        <v/>
      </c>
      <c r="C100">
        <f>IF(B100="",0,MIN(N('Savings Goals'!F16),N('Savings Goals'!B16)))</f>
        <v>0</v>
      </c>
      <c r="D100">
        <f>IF(B100="",0,N('Savings Goals'!G16))</f>
        <v>0</v>
      </c>
      <c r="E100">
        <f>IF(B100="",-1-10/1000,C100+D100+(15-10)/1000000)</f>
        <v>-1.01</v>
      </c>
    </row>
    <row r="101" spans="2:6" x14ac:dyDescent="0.35">
      <c r="B101" t="str">
        <f>IF(AND('Savings Goals'!A17&lt;&gt;"",ISNUMBER('Savings Goals'!B17),N('Savings Goals'!B17)&gt;0,OR('Savings Goals'!C17="",AND(ISNUMBER('Savings Goals'!C17),N('Savings Goals'!C17)&gt;=0)),OR('Savings Goals'!D17="",ISNUMBER(MATCH('Savings Goals'!D17,Lists!$A$2:$A$31,0))),OR('Savings Goals'!I17="",ISNUMBER('Savings Goals'!I17))),'Savings Goals'!A17,"")</f>
        <v/>
      </c>
      <c r="C101">
        <f>IF(B101="",0,MIN(N('Savings Goals'!F17),N('Savings Goals'!B17)))</f>
        <v>0</v>
      </c>
      <c r="D101">
        <f>IF(B101="",0,N('Savings Goals'!G17))</f>
        <v>0</v>
      </c>
      <c r="E101">
        <f>IF(B101="",-1-11/1000,C101+D101+(15-11)/1000000)</f>
        <v>-1.0109999999999999</v>
      </c>
    </row>
    <row r="102" spans="2:6" x14ac:dyDescent="0.35">
      <c r="B102" t="str">
        <f>IF(AND('Savings Goals'!A18&lt;&gt;"",ISNUMBER('Savings Goals'!B18),N('Savings Goals'!B18)&gt;0,OR('Savings Goals'!C18="",AND(ISNUMBER('Savings Goals'!C18),N('Savings Goals'!C18)&gt;=0)),OR('Savings Goals'!D18="",ISNUMBER(MATCH('Savings Goals'!D18,Lists!$A$2:$A$31,0))),OR('Savings Goals'!I18="",ISNUMBER('Savings Goals'!I18))),'Savings Goals'!A18,"")</f>
        <v/>
      </c>
      <c r="C102">
        <f>IF(B102="",0,MIN(N('Savings Goals'!F18),N('Savings Goals'!B18)))</f>
        <v>0</v>
      </c>
      <c r="D102">
        <f>IF(B102="",0,N('Savings Goals'!G18))</f>
        <v>0</v>
      </c>
      <c r="E102">
        <f>IF(B102="",-1-12/1000,C102+D102+(15-12)/1000000)</f>
        <v>-1.012</v>
      </c>
    </row>
    <row r="103" spans="2:6" x14ac:dyDescent="0.35">
      <c r="B103" t="str">
        <f>IF(AND('Savings Goals'!A19&lt;&gt;"",ISNUMBER('Savings Goals'!B19),N('Savings Goals'!B19)&gt;0,OR('Savings Goals'!C19="",AND(ISNUMBER('Savings Goals'!C19),N('Savings Goals'!C19)&gt;=0)),OR('Savings Goals'!D19="",ISNUMBER(MATCH('Savings Goals'!D19,Lists!$A$2:$A$31,0))),OR('Savings Goals'!I19="",ISNUMBER('Savings Goals'!I19))),'Savings Goals'!A19,"")</f>
        <v/>
      </c>
      <c r="C103">
        <f>IF(B103="",0,MIN(N('Savings Goals'!F19),N('Savings Goals'!B19)))</f>
        <v>0</v>
      </c>
      <c r="D103">
        <f>IF(B103="",0,N('Savings Goals'!G19))</f>
        <v>0</v>
      </c>
      <c r="E103">
        <f>IF(B103="",-1-13/1000,C103+D103+(15-13)/1000000)</f>
        <v>-1.0129999999999999</v>
      </c>
    </row>
    <row r="104" spans="2:6" x14ac:dyDescent="0.35">
      <c r="B104" t="str">
        <f>IF(AND('Savings Goals'!A20&lt;&gt;"",ISNUMBER('Savings Goals'!B20),N('Savings Goals'!B20)&gt;0,OR('Savings Goals'!C20="",AND(ISNUMBER('Savings Goals'!C20),N('Savings Goals'!C20)&gt;=0)),OR('Savings Goals'!D20="",ISNUMBER(MATCH('Savings Goals'!D20,Lists!$A$2:$A$31,0))),OR('Savings Goals'!I20="",ISNUMBER('Savings Goals'!I20))),'Savings Goals'!A20,"")</f>
        <v/>
      </c>
      <c r="C104">
        <f>IF(B104="",0,MIN(N('Savings Goals'!F20),N('Savings Goals'!B20)))</f>
        <v>0</v>
      </c>
      <c r="D104">
        <f>IF(B104="",0,N('Savings Goals'!G20))</f>
        <v>0</v>
      </c>
      <c r="E104">
        <f>IF(B104="",-1-14/1000,C104+D104+(15-14)/1000000)</f>
        <v>-1.014</v>
      </c>
    </row>
    <row r="107" spans="2:6" x14ac:dyDescent="0.35">
      <c r="B107" t="s">
        <v>191</v>
      </c>
    </row>
    <row r="108" spans="2:6" x14ac:dyDescent="0.35">
      <c r="B108" t="str">
        <f t="shared" ref="B108:B113" si="4">IF(C108&lt;0,"",INDEX($B$90:$B$104,D108))</f>
        <v>EXAMPLE: Emergency fund</v>
      </c>
      <c r="C108">
        <f>LARGE($E$90:$E$104,1)</f>
        <v>5000.0000149999996</v>
      </c>
      <c r="D108">
        <f t="shared" ref="D108:D113" si="5">MATCH(C108,$E$90:$E$104,0)</f>
        <v>1</v>
      </c>
      <c r="E108">
        <f t="shared" ref="E108:E113" si="6">IF(B108="",0,INDEX($C$90:$C$104,D108))</f>
        <v>1500</v>
      </c>
      <c r="F108">
        <f t="shared" ref="F108:F113" si="7">IF(B108="",0,INDEX($D$90:$D$104,D108))</f>
        <v>3500</v>
      </c>
    </row>
    <row r="109" spans="2:6" x14ac:dyDescent="0.35">
      <c r="B109" t="str">
        <f t="shared" si="4"/>
        <v/>
      </c>
      <c r="C109">
        <f>LARGE($E$90:$E$104,2)</f>
        <v>-1.0009999999999999</v>
      </c>
      <c r="D109">
        <f t="shared" si="5"/>
        <v>2</v>
      </c>
      <c r="E109">
        <f t="shared" si="6"/>
        <v>0</v>
      </c>
      <c r="F109">
        <f t="shared" si="7"/>
        <v>0</v>
      </c>
    </row>
    <row r="110" spans="2:6" x14ac:dyDescent="0.35">
      <c r="B110" t="str">
        <f t="shared" si="4"/>
        <v/>
      </c>
      <c r="C110">
        <f>LARGE($E$90:$E$104,3)</f>
        <v>-1.002</v>
      </c>
      <c r="D110">
        <f t="shared" si="5"/>
        <v>3</v>
      </c>
      <c r="E110">
        <f t="shared" si="6"/>
        <v>0</v>
      </c>
      <c r="F110">
        <f t="shared" si="7"/>
        <v>0</v>
      </c>
    </row>
    <row r="111" spans="2:6" x14ac:dyDescent="0.35">
      <c r="B111" t="str">
        <f t="shared" si="4"/>
        <v/>
      </c>
      <c r="C111">
        <f>LARGE($E$90:$E$104,4)</f>
        <v>-1.0029999999999999</v>
      </c>
      <c r="D111">
        <f t="shared" si="5"/>
        <v>4</v>
      </c>
      <c r="E111">
        <f t="shared" si="6"/>
        <v>0</v>
      </c>
      <c r="F111">
        <f t="shared" si="7"/>
        <v>0</v>
      </c>
    </row>
    <row r="112" spans="2:6" x14ac:dyDescent="0.35">
      <c r="B112" t="str">
        <f t="shared" si="4"/>
        <v/>
      </c>
      <c r="C112">
        <f>LARGE($E$90:$E$104,5)</f>
        <v>-1.004</v>
      </c>
      <c r="D112">
        <f t="shared" si="5"/>
        <v>5</v>
      </c>
      <c r="E112">
        <f t="shared" si="6"/>
        <v>0</v>
      </c>
      <c r="F112">
        <f t="shared" si="7"/>
        <v>0</v>
      </c>
    </row>
    <row r="113" spans="2:6" x14ac:dyDescent="0.35">
      <c r="B113" t="str">
        <f t="shared" si="4"/>
        <v/>
      </c>
      <c r="C113">
        <f>LARGE($E$90:$E$104,6)</f>
        <v>-1.0049999999999999</v>
      </c>
      <c r="D113">
        <f t="shared" si="5"/>
        <v>6</v>
      </c>
      <c r="E113">
        <f t="shared" si="6"/>
        <v>0</v>
      </c>
      <c r="F113">
        <f t="shared" si="7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Dashboard</vt:lpstr>
      <vt:lpstr>Budget</vt:lpstr>
      <vt:lpstr>Transactions</vt:lpstr>
      <vt:lpstr>Monthly Overview</vt:lpstr>
      <vt:lpstr>Bills</vt:lpstr>
      <vt:lpstr>Savings Goals</vt:lpstr>
      <vt:lpstr>Lists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2026-10-24T21:16:05Z</dcterms:created>
  <dcterms:modified xsi:type="dcterms:W3CDTF">2026-10-24T21:18:50Z</dcterms:modified>
</cp:coreProperties>
</file>