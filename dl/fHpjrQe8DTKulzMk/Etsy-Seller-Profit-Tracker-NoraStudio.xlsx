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My Drive\Joker\projects\products\02-etsy-profit-tracker\"/>
    </mc:Choice>
  </mc:AlternateContent>
  <xr:revisionPtr revIDLastSave="0" documentId="13_ncr:1_{F8FE11AA-319E-4CD0-9572-E9E3A3B30A78}" xr6:coauthVersionLast="47" xr6:coauthVersionMax="47" xr10:uidLastSave="{00000000-0000-0000-0000-000000000000}"/>
  <bookViews>
    <workbookView xWindow="34290" yWindow="-210" windowWidth="34620" windowHeight="13900" xr2:uid="{00000000-000D-0000-FFFF-FFFF00000000}"/>
  </bookViews>
  <sheets>
    <sheet name="Start Here" sheetId="1" r:id="rId1"/>
    <sheet name="Dashboard" sheetId="2" r:id="rId2"/>
    <sheet name="Orders" sheetId="3" r:id="rId3"/>
    <sheet name="Products" sheetId="4" r:id="rId4"/>
    <sheet name="Shop Expenses" sheetId="5" r:id="rId5"/>
    <sheet name="Monthly P&amp;L" sheetId="6" r:id="rId6"/>
    <sheet name="Price Calculator" sheetId="7" r:id="rId7"/>
    <sheet name="Fee Settings" sheetId="8" r:id="rId8"/>
    <sheet name="Lists" sheetId="9" state="hidden" r:id="rId9"/>
    <sheet name="Calc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4" i="10" l="1" a="1"/>
  <c r="R44" i="10"/>
  <c r="Q44" i="10"/>
  <c r="P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S44" i="10" s="1"/>
  <c r="B44" i="10"/>
  <c r="R43" i="10" a="1"/>
  <c r="R43" i="10"/>
  <c r="Q43" i="10"/>
  <c r="P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S43" i="10" s="1"/>
  <c r="B43" i="10"/>
  <c r="R42" i="10" a="1"/>
  <c r="R42" i="10" s="1"/>
  <c r="Q42" i="10"/>
  <c r="P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S42" i="10" s="1"/>
  <c r="B42" i="10"/>
  <c r="R41" i="10" a="1"/>
  <c r="R41" i="10"/>
  <c r="Q41" i="10"/>
  <c r="P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S41" i="10" s="1"/>
  <c r="B41" i="10"/>
  <c r="R40" i="10" a="1"/>
  <c r="R40" i="10" s="1"/>
  <c r="Q40" i="10"/>
  <c r="P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S40" i="10" s="1"/>
  <c r="B40" i="10"/>
  <c r="R39" i="10" a="1"/>
  <c r="R39" i="10" s="1"/>
  <c r="Q39" i="10"/>
  <c r="P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S39" i="10" s="1"/>
  <c r="B39" i="10"/>
  <c r="R38" i="10" a="1"/>
  <c r="R38" i="10" s="1"/>
  <c r="Q38" i="10"/>
  <c r="P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S38" i="10" s="1"/>
  <c r="B38" i="10"/>
  <c r="R37" i="10" a="1"/>
  <c r="R37" i="10" s="1"/>
  <c r="Q37" i="10"/>
  <c r="P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S37" i="10" s="1"/>
  <c r="B37" i="10"/>
  <c r="R36" i="10" a="1"/>
  <c r="R36" i="10" s="1"/>
  <c r="Q36" i="10"/>
  <c r="P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S36" i="10" s="1"/>
  <c r="B36" i="10"/>
  <c r="R35" i="10" a="1"/>
  <c r="R35" i="10" s="1"/>
  <c r="Q35" i="10"/>
  <c r="P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S35" i="10" s="1"/>
  <c r="B35" i="10"/>
  <c r="R34" i="10" a="1"/>
  <c r="R34" i="10" s="1"/>
  <c r="Q34" i="10"/>
  <c r="P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S34" i="10" s="1"/>
  <c r="B34" i="10"/>
  <c r="R33" i="10" a="1"/>
  <c r="R33" i="10" s="1"/>
  <c r="Q33" i="10"/>
  <c r="P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S33" i="10" s="1"/>
  <c r="B33" i="10"/>
  <c r="R32" i="10" a="1"/>
  <c r="R32" i="10" s="1"/>
  <c r="Q32" i="10"/>
  <c r="P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S32" i="10" s="1"/>
  <c r="B32" i="10"/>
  <c r="R31" i="10" a="1"/>
  <c r="R31" i="10" s="1"/>
  <c r="Q31" i="10"/>
  <c r="P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S31" i="10" s="1"/>
  <c r="B31" i="10"/>
  <c r="R30" i="10" a="1"/>
  <c r="R30" i="10" s="1"/>
  <c r="Q30" i="10"/>
  <c r="P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S30" i="10" s="1"/>
  <c r="B30" i="10"/>
  <c r="R29" i="10" a="1"/>
  <c r="R29" i="10" s="1"/>
  <c r="Q29" i="10"/>
  <c r="P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S29" i="10" s="1"/>
  <c r="B29" i="10"/>
  <c r="R28" i="10" a="1"/>
  <c r="R28" i="10" s="1"/>
  <c r="Q28" i="10"/>
  <c r="P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S28" i="10" s="1"/>
  <c r="B28" i="10"/>
  <c r="R27" i="10" a="1"/>
  <c r="R27" i="10" s="1"/>
  <c r="Q27" i="10"/>
  <c r="P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S27" i="10" s="1"/>
  <c r="B27" i="10"/>
  <c r="R26" i="10" a="1"/>
  <c r="R26" i="10" s="1"/>
  <c r="Q26" i="10"/>
  <c r="P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R25" i="10" a="1"/>
  <c r="R25" i="10" s="1"/>
  <c r="Q25" i="10"/>
  <c r="P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R24" i="10" a="1"/>
  <c r="R24" i="10" s="1"/>
  <c r="Q24" i="10"/>
  <c r="P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S24" i="10" s="1"/>
  <c r="B24" i="10"/>
  <c r="R23" i="10" a="1"/>
  <c r="R23" i="10" s="1"/>
  <c r="Q23" i="10"/>
  <c r="P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S23" i="10" s="1"/>
  <c r="B23" i="10"/>
  <c r="R22" i="10" a="1"/>
  <c r="R22" i="10" s="1"/>
  <c r="Q22" i="10"/>
  <c r="P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S22" i="10" s="1"/>
  <c r="B22" i="10"/>
  <c r="R21" i="10" a="1"/>
  <c r="R21" i="10"/>
  <c r="Q21" i="10"/>
  <c r="P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S21" i="10" s="1"/>
  <c r="B21" i="10"/>
  <c r="B20" i="10"/>
  <c r="P14" i="10"/>
  <c r="I17" i="6" s="1"/>
  <c r="P13" i="10"/>
  <c r="I16" i="6" s="1"/>
  <c r="P12" i="10"/>
  <c r="I15" i="6" s="1"/>
  <c r="P11" i="10"/>
  <c r="I14" i="6" s="1"/>
  <c r="P10" i="10"/>
  <c r="I13" i="6" s="1"/>
  <c r="P9" i="10"/>
  <c r="I12" i="6" s="1"/>
  <c r="P8" i="10"/>
  <c r="I11" i="6" s="1"/>
  <c r="P7" i="10"/>
  <c r="I10" i="6" s="1"/>
  <c r="P6" i="10"/>
  <c r="I9" i="6" s="1"/>
  <c r="P5" i="10"/>
  <c r="I8" i="6" s="1"/>
  <c r="P4" i="10"/>
  <c r="I7" i="6" s="1"/>
  <c r="P3" i="10"/>
  <c r="F3" i="10"/>
  <c r="E3" i="10"/>
  <c r="D3" i="10"/>
  <c r="C3" i="10"/>
  <c r="B26" i="9"/>
  <c r="A26" i="9"/>
  <c r="B25" i="9"/>
  <c r="A25" i="9"/>
  <c r="B24" i="9"/>
  <c r="A24" i="9"/>
  <c r="B23" i="9"/>
  <c r="A23" i="9"/>
  <c r="B22" i="9"/>
  <c r="A22" i="9"/>
  <c r="B21" i="9"/>
  <c r="A21" i="9"/>
  <c r="B20" i="9"/>
  <c r="A20" i="9"/>
  <c r="B19" i="9"/>
  <c r="A19" i="9"/>
  <c r="B18" i="9"/>
  <c r="A18" i="9"/>
  <c r="B17" i="9"/>
  <c r="A17" i="9"/>
  <c r="B16" i="9"/>
  <c r="A16" i="9"/>
  <c r="B15" i="9"/>
  <c r="A15" i="9"/>
  <c r="B14" i="9"/>
  <c r="A14" i="9"/>
  <c r="B13" i="9"/>
  <c r="A13" i="9"/>
  <c r="B12" i="9"/>
  <c r="A12" i="9"/>
  <c r="B11" i="9"/>
  <c r="A11" i="9"/>
  <c r="B10" i="9"/>
  <c r="A10" i="9"/>
  <c r="B9" i="9"/>
  <c r="A9" i="9"/>
  <c r="B8" i="9"/>
  <c r="A8" i="9"/>
  <c r="B7" i="9"/>
  <c r="A7" i="9"/>
  <c r="B6" i="9"/>
  <c r="A6" i="9"/>
  <c r="B5" i="9"/>
  <c r="A5" i="9"/>
  <c r="B4" i="9"/>
  <c r="A4" i="9"/>
  <c r="B3" i="9"/>
  <c r="A3" i="9"/>
  <c r="B2" i="9"/>
  <c r="A2" i="9"/>
  <c r="F15" i="7"/>
  <c r="F7" i="7"/>
  <c r="F8" i="7" s="1"/>
  <c r="F6" i="7"/>
  <c r="F5" i="7"/>
  <c r="C3" i="6"/>
  <c r="G2" i="5"/>
  <c r="G29" i="4"/>
  <c r="F29" i="4"/>
  <c r="E29" i="4"/>
  <c r="H29" i="4" s="1"/>
  <c r="G28" i="4"/>
  <c r="F28" i="4"/>
  <c r="E28" i="4"/>
  <c r="H28" i="4" s="1"/>
  <c r="G27" i="4"/>
  <c r="F27" i="4"/>
  <c r="E27" i="4"/>
  <c r="H27" i="4" s="1"/>
  <c r="G26" i="4"/>
  <c r="F26" i="4"/>
  <c r="E26" i="4"/>
  <c r="H26" i="4" s="1"/>
  <c r="G25" i="4"/>
  <c r="F25" i="4"/>
  <c r="E25" i="4"/>
  <c r="H25" i="4" s="1"/>
  <c r="G24" i="4"/>
  <c r="F24" i="4"/>
  <c r="E24" i="4"/>
  <c r="H24" i="4" s="1"/>
  <c r="G23" i="4"/>
  <c r="F23" i="4"/>
  <c r="E23" i="4"/>
  <c r="H23" i="4" s="1"/>
  <c r="G22" i="4"/>
  <c r="F22" i="4"/>
  <c r="E22" i="4"/>
  <c r="H22" i="4" s="1"/>
  <c r="G21" i="4"/>
  <c r="F21" i="4"/>
  <c r="E21" i="4"/>
  <c r="H21" i="4" s="1"/>
  <c r="G20" i="4"/>
  <c r="F20" i="4"/>
  <c r="E20" i="4"/>
  <c r="H20" i="4" s="1"/>
  <c r="G19" i="4"/>
  <c r="F19" i="4"/>
  <c r="E19" i="4"/>
  <c r="H19" i="4" s="1"/>
  <c r="G18" i="4"/>
  <c r="F18" i="4"/>
  <c r="E18" i="4"/>
  <c r="H18" i="4" s="1"/>
  <c r="G17" i="4"/>
  <c r="F17" i="4"/>
  <c r="E17" i="4"/>
  <c r="H17" i="4" s="1"/>
  <c r="G16" i="4"/>
  <c r="F16" i="4"/>
  <c r="E16" i="4"/>
  <c r="H16" i="4" s="1"/>
  <c r="G15" i="4"/>
  <c r="F15" i="4"/>
  <c r="E15" i="4"/>
  <c r="H15" i="4" s="1"/>
  <c r="G14" i="4"/>
  <c r="F14" i="4"/>
  <c r="E14" i="4"/>
  <c r="H14" i="4" s="1"/>
  <c r="G13" i="4"/>
  <c r="F13" i="4"/>
  <c r="E13" i="4"/>
  <c r="H13" i="4" s="1"/>
  <c r="G12" i="4"/>
  <c r="F12" i="4"/>
  <c r="E12" i="4"/>
  <c r="H12" i="4" s="1"/>
  <c r="G11" i="4"/>
  <c r="F11" i="4"/>
  <c r="E11" i="4"/>
  <c r="H11" i="4" s="1"/>
  <c r="G10" i="4"/>
  <c r="F10" i="4"/>
  <c r="E10" i="4"/>
  <c r="H10" i="4" s="1"/>
  <c r="G9" i="4"/>
  <c r="F9" i="4"/>
  <c r="E9" i="4"/>
  <c r="H9" i="4" s="1"/>
  <c r="G8" i="4"/>
  <c r="F8" i="4"/>
  <c r="E8" i="4"/>
  <c r="H8" i="4" s="1"/>
  <c r="G7" i="4"/>
  <c r="F7" i="4"/>
  <c r="E7" i="4"/>
  <c r="H7" i="4" s="1"/>
  <c r="G6" i="4"/>
  <c r="F6" i="4"/>
  <c r="E6" i="4"/>
  <c r="H6" i="4" s="1"/>
  <c r="M2004" i="3"/>
  <c r="L2004" i="3"/>
  <c r="K2004" i="3"/>
  <c r="M2003" i="3"/>
  <c r="L2003" i="3"/>
  <c r="K2003" i="3"/>
  <c r="M2002" i="3"/>
  <c r="L2002" i="3"/>
  <c r="K2002" i="3"/>
  <c r="M2001" i="3"/>
  <c r="L2001" i="3"/>
  <c r="K2001" i="3"/>
  <c r="M2000" i="3"/>
  <c r="L2000" i="3"/>
  <c r="K2000" i="3"/>
  <c r="M1999" i="3"/>
  <c r="L1999" i="3"/>
  <c r="K1999" i="3"/>
  <c r="M1998" i="3"/>
  <c r="L1998" i="3"/>
  <c r="K1998" i="3"/>
  <c r="M1997" i="3"/>
  <c r="L1997" i="3"/>
  <c r="K1997" i="3"/>
  <c r="M1996" i="3"/>
  <c r="L1996" i="3"/>
  <c r="K1996" i="3"/>
  <c r="M1995" i="3"/>
  <c r="L1995" i="3"/>
  <c r="K1995" i="3"/>
  <c r="M1994" i="3"/>
  <c r="L1994" i="3"/>
  <c r="K1994" i="3"/>
  <c r="M1993" i="3"/>
  <c r="L1993" i="3"/>
  <c r="K1993" i="3"/>
  <c r="M1992" i="3"/>
  <c r="L1992" i="3"/>
  <c r="K1992" i="3"/>
  <c r="M1991" i="3"/>
  <c r="L1991" i="3"/>
  <c r="K1991" i="3"/>
  <c r="M1990" i="3"/>
  <c r="L1990" i="3"/>
  <c r="K1990" i="3"/>
  <c r="M1989" i="3"/>
  <c r="L1989" i="3"/>
  <c r="K1989" i="3"/>
  <c r="M1988" i="3"/>
  <c r="L1988" i="3"/>
  <c r="K1988" i="3"/>
  <c r="M1987" i="3"/>
  <c r="L1987" i="3"/>
  <c r="K1987" i="3"/>
  <c r="M1986" i="3"/>
  <c r="L1986" i="3"/>
  <c r="K1986" i="3"/>
  <c r="M1985" i="3"/>
  <c r="L1985" i="3"/>
  <c r="K1985" i="3"/>
  <c r="M1984" i="3"/>
  <c r="L1984" i="3"/>
  <c r="K1984" i="3"/>
  <c r="M1983" i="3"/>
  <c r="L1983" i="3"/>
  <c r="K1983" i="3"/>
  <c r="M1982" i="3"/>
  <c r="L1982" i="3"/>
  <c r="K1982" i="3"/>
  <c r="M1981" i="3"/>
  <c r="L1981" i="3"/>
  <c r="K1981" i="3"/>
  <c r="M1980" i="3"/>
  <c r="L1980" i="3"/>
  <c r="K1980" i="3"/>
  <c r="M1979" i="3"/>
  <c r="L1979" i="3"/>
  <c r="K1979" i="3"/>
  <c r="M1978" i="3"/>
  <c r="L1978" i="3"/>
  <c r="K1978" i="3"/>
  <c r="M1977" i="3"/>
  <c r="L1977" i="3"/>
  <c r="K1977" i="3"/>
  <c r="M1976" i="3"/>
  <c r="L1976" i="3"/>
  <c r="K1976" i="3"/>
  <c r="M1975" i="3"/>
  <c r="L1975" i="3"/>
  <c r="K1975" i="3"/>
  <c r="M1974" i="3"/>
  <c r="L1974" i="3"/>
  <c r="K1974" i="3"/>
  <c r="M1973" i="3"/>
  <c r="L1973" i="3"/>
  <c r="K1973" i="3"/>
  <c r="M1972" i="3"/>
  <c r="L1972" i="3"/>
  <c r="K1972" i="3"/>
  <c r="M1971" i="3"/>
  <c r="L1971" i="3"/>
  <c r="K1971" i="3"/>
  <c r="M1970" i="3"/>
  <c r="L1970" i="3"/>
  <c r="K1970" i="3"/>
  <c r="M1969" i="3"/>
  <c r="L1969" i="3"/>
  <c r="K1969" i="3"/>
  <c r="M1968" i="3"/>
  <c r="L1968" i="3"/>
  <c r="K1968" i="3"/>
  <c r="M1967" i="3"/>
  <c r="L1967" i="3"/>
  <c r="K1967" i="3"/>
  <c r="M1966" i="3"/>
  <c r="L1966" i="3"/>
  <c r="K1966" i="3"/>
  <c r="M1965" i="3"/>
  <c r="L1965" i="3"/>
  <c r="K1965" i="3"/>
  <c r="M1964" i="3"/>
  <c r="L1964" i="3"/>
  <c r="K1964" i="3"/>
  <c r="M1963" i="3"/>
  <c r="L1963" i="3"/>
  <c r="K1963" i="3"/>
  <c r="M1962" i="3"/>
  <c r="L1962" i="3"/>
  <c r="K1962" i="3"/>
  <c r="M1961" i="3"/>
  <c r="L1961" i="3"/>
  <c r="K1961" i="3"/>
  <c r="M1960" i="3"/>
  <c r="L1960" i="3"/>
  <c r="K1960" i="3"/>
  <c r="M1959" i="3"/>
  <c r="L1959" i="3"/>
  <c r="K1959" i="3"/>
  <c r="M1958" i="3"/>
  <c r="L1958" i="3"/>
  <c r="K1958" i="3"/>
  <c r="M1957" i="3"/>
  <c r="L1957" i="3"/>
  <c r="K1957" i="3"/>
  <c r="M1956" i="3"/>
  <c r="L1956" i="3"/>
  <c r="K1956" i="3"/>
  <c r="M1955" i="3"/>
  <c r="L1955" i="3"/>
  <c r="K1955" i="3"/>
  <c r="M1954" i="3"/>
  <c r="L1954" i="3"/>
  <c r="K1954" i="3"/>
  <c r="M1953" i="3"/>
  <c r="L1953" i="3"/>
  <c r="K1953" i="3"/>
  <c r="M1952" i="3"/>
  <c r="L1952" i="3"/>
  <c r="K1952" i="3"/>
  <c r="M1951" i="3"/>
  <c r="L1951" i="3"/>
  <c r="K1951" i="3"/>
  <c r="M1950" i="3"/>
  <c r="L1950" i="3"/>
  <c r="K1950" i="3"/>
  <c r="M1949" i="3"/>
  <c r="L1949" i="3"/>
  <c r="K1949" i="3"/>
  <c r="M1948" i="3"/>
  <c r="L1948" i="3"/>
  <c r="K1948" i="3"/>
  <c r="M1947" i="3"/>
  <c r="L1947" i="3"/>
  <c r="K1947" i="3"/>
  <c r="M1946" i="3"/>
  <c r="L1946" i="3"/>
  <c r="K1946" i="3"/>
  <c r="M1945" i="3"/>
  <c r="L1945" i="3"/>
  <c r="K1945" i="3"/>
  <c r="M1944" i="3"/>
  <c r="L1944" i="3"/>
  <c r="K1944" i="3"/>
  <c r="M1943" i="3"/>
  <c r="L1943" i="3"/>
  <c r="K1943" i="3"/>
  <c r="M1942" i="3"/>
  <c r="L1942" i="3"/>
  <c r="K1942" i="3"/>
  <c r="M1941" i="3"/>
  <c r="L1941" i="3"/>
  <c r="K1941" i="3"/>
  <c r="M1940" i="3"/>
  <c r="L1940" i="3"/>
  <c r="K1940" i="3"/>
  <c r="M1939" i="3"/>
  <c r="L1939" i="3"/>
  <c r="K1939" i="3"/>
  <c r="M1938" i="3"/>
  <c r="L1938" i="3"/>
  <c r="K1938" i="3"/>
  <c r="M1937" i="3"/>
  <c r="L1937" i="3"/>
  <c r="K1937" i="3"/>
  <c r="M1936" i="3"/>
  <c r="L1936" i="3"/>
  <c r="K1936" i="3"/>
  <c r="M1935" i="3"/>
  <c r="L1935" i="3"/>
  <c r="K1935" i="3"/>
  <c r="M1934" i="3"/>
  <c r="L1934" i="3"/>
  <c r="K1934" i="3"/>
  <c r="M1933" i="3"/>
  <c r="L1933" i="3"/>
  <c r="K1933" i="3"/>
  <c r="M1932" i="3"/>
  <c r="L1932" i="3"/>
  <c r="K1932" i="3"/>
  <c r="M1931" i="3"/>
  <c r="L1931" i="3"/>
  <c r="K1931" i="3"/>
  <c r="M1930" i="3"/>
  <c r="L1930" i="3"/>
  <c r="K1930" i="3"/>
  <c r="M1929" i="3"/>
  <c r="L1929" i="3"/>
  <c r="K1929" i="3"/>
  <c r="M1928" i="3"/>
  <c r="L1928" i="3"/>
  <c r="K1928" i="3"/>
  <c r="M1927" i="3"/>
  <c r="L1927" i="3"/>
  <c r="K1927" i="3"/>
  <c r="M1926" i="3"/>
  <c r="L1926" i="3"/>
  <c r="K1926" i="3"/>
  <c r="M1925" i="3"/>
  <c r="L1925" i="3"/>
  <c r="K1925" i="3"/>
  <c r="M1924" i="3"/>
  <c r="L1924" i="3"/>
  <c r="K1924" i="3"/>
  <c r="M1923" i="3"/>
  <c r="L1923" i="3"/>
  <c r="K1923" i="3"/>
  <c r="M1922" i="3"/>
  <c r="L1922" i="3"/>
  <c r="K1922" i="3"/>
  <c r="M1921" i="3"/>
  <c r="L1921" i="3"/>
  <c r="K1921" i="3"/>
  <c r="M1920" i="3"/>
  <c r="L1920" i="3"/>
  <c r="K1920" i="3"/>
  <c r="M1919" i="3"/>
  <c r="L1919" i="3"/>
  <c r="K1919" i="3"/>
  <c r="M1918" i="3"/>
  <c r="L1918" i="3"/>
  <c r="K1918" i="3"/>
  <c r="M1917" i="3"/>
  <c r="L1917" i="3"/>
  <c r="K1917" i="3"/>
  <c r="M1916" i="3"/>
  <c r="L1916" i="3"/>
  <c r="K1916" i="3"/>
  <c r="M1915" i="3"/>
  <c r="L1915" i="3"/>
  <c r="K1915" i="3"/>
  <c r="M1914" i="3"/>
  <c r="L1914" i="3"/>
  <c r="K1914" i="3"/>
  <c r="M1913" i="3"/>
  <c r="L1913" i="3"/>
  <c r="K1913" i="3"/>
  <c r="M1912" i="3"/>
  <c r="L1912" i="3"/>
  <c r="K1912" i="3"/>
  <c r="M1911" i="3"/>
  <c r="L1911" i="3"/>
  <c r="K1911" i="3"/>
  <c r="M1910" i="3"/>
  <c r="L1910" i="3"/>
  <c r="K1910" i="3"/>
  <c r="M1909" i="3"/>
  <c r="L1909" i="3"/>
  <c r="K1909" i="3"/>
  <c r="M1908" i="3"/>
  <c r="L1908" i="3"/>
  <c r="K1908" i="3"/>
  <c r="M1907" i="3"/>
  <c r="L1907" i="3"/>
  <c r="K1907" i="3"/>
  <c r="M1906" i="3"/>
  <c r="L1906" i="3"/>
  <c r="K1906" i="3"/>
  <c r="M1905" i="3"/>
  <c r="L1905" i="3"/>
  <c r="K1905" i="3"/>
  <c r="M1904" i="3"/>
  <c r="L1904" i="3"/>
  <c r="K1904" i="3"/>
  <c r="M1903" i="3"/>
  <c r="L1903" i="3"/>
  <c r="K1903" i="3"/>
  <c r="M1902" i="3"/>
  <c r="L1902" i="3"/>
  <c r="K1902" i="3"/>
  <c r="M1901" i="3"/>
  <c r="L1901" i="3"/>
  <c r="K1901" i="3"/>
  <c r="M1900" i="3"/>
  <c r="L1900" i="3"/>
  <c r="K1900" i="3"/>
  <c r="M1899" i="3"/>
  <c r="L1899" i="3"/>
  <c r="K1899" i="3"/>
  <c r="M1898" i="3"/>
  <c r="L1898" i="3"/>
  <c r="K1898" i="3"/>
  <c r="M1897" i="3"/>
  <c r="L1897" i="3"/>
  <c r="K1897" i="3"/>
  <c r="M1896" i="3"/>
  <c r="L1896" i="3"/>
  <c r="K1896" i="3"/>
  <c r="M1895" i="3"/>
  <c r="L1895" i="3"/>
  <c r="K1895" i="3"/>
  <c r="M1894" i="3"/>
  <c r="L1894" i="3"/>
  <c r="K1894" i="3"/>
  <c r="M1893" i="3"/>
  <c r="L1893" i="3"/>
  <c r="K1893" i="3"/>
  <c r="M1892" i="3"/>
  <c r="L1892" i="3"/>
  <c r="K1892" i="3"/>
  <c r="M1891" i="3"/>
  <c r="L1891" i="3"/>
  <c r="K1891" i="3"/>
  <c r="M1890" i="3"/>
  <c r="L1890" i="3"/>
  <c r="K1890" i="3"/>
  <c r="M1889" i="3"/>
  <c r="L1889" i="3"/>
  <c r="K1889" i="3"/>
  <c r="M1888" i="3"/>
  <c r="L1888" i="3"/>
  <c r="K1888" i="3"/>
  <c r="M1887" i="3"/>
  <c r="L1887" i="3"/>
  <c r="K1887" i="3"/>
  <c r="M1886" i="3"/>
  <c r="L1886" i="3"/>
  <c r="K1886" i="3"/>
  <c r="M1885" i="3"/>
  <c r="L1885" i="3"/>
  <c r="K1885" i="3"/>
  <c r="M1884" i="3"/>
  <c r="L1884" i="3"/>
  <c r="K1884" i="3"/>
  <c r="M1883" i="3"/>
  <c r="L1883" i="3"/>
  <c r="K1883" i="3"/>
  <c r="M1882" i="3"/>
  <c r="L1882" i="3"/>
  <c r="K1882" i="3"/>
  <c r="M1881" i="3"/>
  <c r="L1881" i="3"/>
  <c r="K1881" i="3"/>
  <c r="M1880" i="3"/>
  <c r="L1880" i="3"/>
  <c r="K1880" i="3"/>
  <c r="M1879" i="3"/>
  <c r="L1879" i="3"/>
  <c r="K1879" i="3"/>
  <c r="M1878" i="3"/>
  <c r="L1878" i="3"/>
  <c r="K1878" i="3"/>
  <c r="M1877" i="3"/>
  <c r="L1877" i="3"/>
  <c r="K1877" i="3"/>
  <c r="M1876" i="3"/>
  <c r="L1876" i="3"/>
  <c r="K1876" i="3"/>
  <c r="M1875" i="3"/>
  <c r="L1875" i="3"/>
  <c r="K1875" i="3"/>
  <c r="M1874" i="3"/>
  <c r="L1874" i="3"/>
  <c r="K1874" i="3"/>
  <c r="M1873" i="3"/>
  <c r="L1873" i="3"/>
  <c r="K1873" i="3"/>
  <c r="M1872" i="3"/>
  <c r="L1872" i="3"/>
  <c r="K1872" i="3"/>
  <c r="M1871" i="3"/>
  <c r="L1871" i="3"/>
  <c r="K1871" i="3"/>
  <c r="M1870" i="3"/>
  <c r="L1870" i="3"/>
  <c r="K1870" i="3"/>
  <c r="M1869" i="3"/>
  <c r="L1869" i="3"/>
  <c r="K1869" i="3"/>
  <c r="M1868" i="3"/>
  <c r="L1868" i="3"/>
  <c r="K1868" i="3"/>
  <c r="M1867" i="3"/>
  <c r="L1867" i="3"/>
  <c r="K1867" i="3"/>
  <c r="M1866" i="3"/>
  <c r="L1866" i="3"/>
  <c r="K1866" i="3"/>
  <c r="M1865" i="3"/>
  <c r="L1865" i="3"/>
  <c r="K1865" i="3"/>
  <c r="M1864" i="3"/>
  <c r="L1864" i="3"/>
  <c r="K1864" i="3"/>
  <c r="M1863" i="3"/>
  <c r="L1863" i="3"/>
  <c r="K1863" i="3"/>
  <c r="M1862" i="3"/>
  <c r="L1862" i="3"/>
  <c r="K1862" i="3"/>
  <c r="M1861" i="3"/>
  <c r="L1861" i="3"/>
  <c r="K1861" i="3"/>
  <c r="M1860" i="3"/>
  <c r="L1860" i="3"/>
  <c r="K1860" i="3"/>
  <c r="M1859" i="3"/>
  <c r="L1859" i="3"/>
  <c r="K1859" i="3"/>
  <c r="M1858" i="3"/>
  <c r="L1858" i="3"/>
  <c r="K1858" i="3"/>
  <c r="M1857" i="3"/>
  <c r="L1857" i="3"/>
  <c r="K1857" i="3"/>
  <c r="M1856" i="3"/>
  <c r="L1856" i="3"/>
  <c r="K1856" i="3"/>
  <c r="M1855" i="3"/>
  <c r="L1855" i="3"/>
  <c r="K1855" i="3"/>
  <c r="M1854" i="3"/>
  <c r="L1854" i="3"/>
  <c r="K1854" i="3"/>
  <c r="M1853" i="3"/>
  <c r="L1853" i="3"/>
  <c r="K1853" i="3"/>
  <c r="M1852" i="3"/>
  <c r="L1852" i="3"/>
  <c r="K1852" i="3"/>
  <c r="M1851" i="3"/>
  <c r="L1851" i="3"/>
  <c r="K1851" i="3"/>
  <c r="M1850" i="3"/>
  <c r="L1850" i="3"/>
  <c r="K1850" i="3"/>
  <c r="M1849" i="3"/>
  <c r="L1849" i="3"/>
  <c r="K1849" i="3"/>
  <c r="M1848" i="3"/>
  <c r="L1848" i="3"/>
  <c r="K1848" i="3"/>
  <c r="M1847" i="3"/>
  <c r="L1847" i="3"/>
  <c r="K1847" i="3"/>
  <c r="M1846" i="3"/>
  <c r="L1846" i="3"/>
  <c r="K1846" i="3"/>
  <c r="M1845" i="3"/>
  <c r="L1845" i="3"/>
  <c r="K1845" i="3"/>
  <c r="M1844" i="3"/>
  <c r="L1844" i="3"/>
  <c r="K1844" i="3"/>
  <c r="M1843" i="3"/>
  <c r="L1843" i="3"/>
  <c r="K1843" i="3"/>
  <c r="M1842" i="3"/>
  <c r="L1842" i="3"/>
  <c r="K1842" i="3"/>
  <c r="M1841" i="3"/>
  <c r="L1841" i="3"/>
  <c r="K1841" i="3"/>
  <c r="M1840" i="3"/>
  <c r="L1840" i="3"/>
  <c r="K1840" i="3"/>
  <c r="M1839" i="3"/>
  <c r="L1839" i="3"/>
  <c r="K1839" i="3"/>
  <c r="M1838" i="3"/>
  <c r="L1838" i="3"/>
  <c r="K1838" i="3"/>
  <c r="M1837" i="3"/>
  <c r="L1837" i="3"/>
  <c r="K1837" i="3"/>
  <c r="M1836" i="3"/>
  <c r="L1836" i="3"/>
  <c r="K1836" i="3"/>
  <c r="M1835" i="3"/>
  <c r="L1835" i="3"/>
  <c r="K1835" i="3"/>
  <c r="M1834" i="3"/>
  <c r="L1834" i="3"/>
  <c r="K1834" i="3"/>
  <c r="M1833" i="3"/>
  <c r="L1833" i="3"/>
  <c r="K1833" i="3"/>
  <c r="M1832" i="3"/>
  <c r="L1832" i="3"/>
  <c r="K1832" i="3"/>
  <c r="M1831" i="3"/>
  <c r="L1831" i="3"/>
  <c r="K1831" i="3"/>
  <c r="M1830" i="3"/>
  <c r="L1830" i="3"/>
  <c r="K1830" i="3"/>
  <c r="M1829" i="3"/>
  <c r="L1829" i="3"/>
  <c r="K1829" i="3"/>
  <c r="M1828" i="3"/>
  <c r="L1828" i="3"/>
  <c r="K1828" i="3"/>
  <c r="M1827" i="3"/>
  <c r="L1827" i="3"/>
  <c r="K1827" i="3"/>
  <c r="M1826" i="3"/>
  <c r="L1826" i="3"/>
  <c r="K1826" i="3"/>
  <c r="M1825" i="3"/>
  <c r="L1825" i="3"/>
  <c r="K1825" i="3"/>
  <c r="M1824" i="3"/>
  <c r="L1824" i="3"/>
  <c r="K1824" i="3"/>
  <c r="M1823" i="3"/>
  <c r="L1823" i="3"/>
  <c r="K1823" i="3"/>
  <c r="M1822" i="3"/>
  <c r="L1822" i="3"/>
  <c r="K1822" i="3"/>
  <c r="M1821" i="3"/>
  <c r="L1821" i="3"/>
  <c r="K1821" i="3"/>
  <c r="M1820" i="3"/>
  <c r="L1820" i="3"/>
  <c r="K1820" i="3"/>
  <c r="M1819" i="3"/>
  <c r="L1819" i="3"/>
  <c r="K1819" i="3"/>
  <c r="M1818" i="3"/>
  <c r="L1818" i="3"/>
  <c r="K1818" i="3"/>
  <c r="M1817" i="3"/>
  <c r="L1817" i="3"/>
  <c r="K1817" i="3"/>
  <c r="M1816" i="3"/>
  <c r="L1816" i="3"/>
  <c r="K1816" i="3"/>
  <c r="M1815" i="3"/>
  <c r="L1815" i="3"/>
  <c r="K1815" i="3"/>
  <c r="M1814" i="3"/>
  <c r="L1814" i="3"/>
  <c r="K1814" i="3"/>
  <c r="M1813" i="3"/>
  <c r="L1813" i="3"/>
  <c r="K1813" i="3"/>
  <c r="M1812" i="3"/>
  <c r="L1812" i="3"/>
  <c r="K1812" i="3"/>
  <c r="M1811" i="3"/>
  <c r="L1811" i="3"/>
  <c r="K1811" i="3"/>
  <c r="M1810" i="3"/>
  <c r="L1810" i="3"/>
  <c r="K1810" i="3"/>
  <c r="M1809" i="3"/>
  <c r="L1809" i="3"/>
  <c r="K1809" i="3"/>
  <c r="M1808" i="3"/>
  <c r="L1808" i="3"/>
  <c r="K1808" i="3"/>
  <c r="M1807" i="3"/>
  <c r="L1807" i="3"/>
  <c r="K1807" i="3"/>
  <c r="M1806" i="3"/>
  <c r="L1806" i="3"/>
  <c r="K1806" i="3"/>
  <c r="M1805" i="3"/>
  <c r="L1805" i="3"/>
  <c r="K1805" i="3"/>
  <c r="M1804" i="3"/>
  <c r="L1804" i="3"/>
  <c r="K1804" i="3"/>
  <c r="M1803" i="3"/>
  <c r="L1803" i="3"/>
  <c r="K1803" i="3"/>
  <c r="M1802" i="3"/>
  <c r="L1802" i="3"/>
  <c r="K1802" i="3"/>
  <c r="M1801" i="3"/>
  <c r="L1801" i="3"/>
  <c r="K1801" i="3"/>
  <c r="M1800" i="3"/>
  <c r="L1800" i="3"/>
  <c r="K1800" i="3"/>
  <c r="M1799" i="3"/>
  <c r="L1799" i="3"/>
  <c r="K1799" i="3"/>
  <c r="M1798" i="3"/>
  <c r="L1798" i="3"/>
  <c r="K1798" i="3"/>
  <c r="M1797" i="3"/>
  <c r="L1797" i="3"/>
  <c r="K1797" i="3"/>
  <c r="M1796" i="3"/>
  <c r="L1796" i="3"/>
  <c r="K1796" i="3"/>
  <c r="M1795" i="3"/>
  <c r="L1795" i="3"/>
  <c r="K1795" i="3"/>
  <c r="M1794" i="3"/>
  <c r="L1794" i="3"/>
  <c r="K1794" i="3"/>
  <c r="M1793" i="3"/>
  <c r="L1793" i="3"/>
  <c r="K1793" i="3"/>
  <c r="M1792" i="3"/>
  <c r="L1792" i="3"/>
  <c r="K1792" i="3"/>
  <c r="M1791" i="3"/>
  <c r="L1791" i="3"/>
  <c r="K1791" i="3"/>
  <c r="M1790" i="3"/>
  <c r="L1790" i="3"/>
  <c r="K1790" i="3"/>
  <c r="M1789" i="3"/>
  <c r="L1789" i="3"/>
  <c r="K1789" i="3"/>
  <c r="M1788" i="3"/>
  <c r="L1788" i="3"/>
  <c r="K1788" i="3"/>
  <c r="M1787" i="3"/>
  <c r="L1787" i="3"/>
  <c r="K1787" i="3"/>
  <c r="M1786" i="3"/>
  <c r="L1786" i="3"/>
  <c r="K1786" i="3"/>
  <c r="M1785" i="3"/>
  <c r="L1785" i="3"/>
  <c r="K1785" i="3"/>
  <c r="M1784" i="3"/>
  <c r="L1784" i="3"/>
  <c r="K1784" i="3"/>
  <c r="M1783" i="3"/>
  <c r="L1783" i="3"/>
  <c r="K1783" i="3"/>
  <c r="M1782" i="3"/>
  <c r="L1782" i="3"/>
  <c r="K1782" i="3"/>
  <c r="M1781" i="3"/>
  <c r="L1781" i="3"/>
  <c r="K1781" i="3"/>
  <c r="M1780" i="3"/>
  <c r="L1780" i="3"/>
  <c r="K1780" i="3"/>
  <c r="M1779" i="3"/>
  <c r="L1779" i="3"/>
  <c r="K1779" i="3"/>
  <c r="M1778" i="3"/>
  <c r="L1778" i="3"/>
  <c r="K1778" i="3"/>
  <c r="M1777" i="3"/>
  <c r="L1777" i="3"/>
  <c r="K1777" i="3"/>
  <c r="M1776" i="3"/>
  <c r="L1776" i="3"/>
  <c r="K1776" i="3"/>
  <c r="M1775" i="3"/>
  <c r="L1775" i="3"/>
  <c r="K1775" i="3"/>
  <c r="M1774" i="3"/>
  <c r="L1774" i="3"/>
  <c r="K1774" i="3"/>
  <c r="M1773" i="3"/>
  <c r="L1773" i="3"/>
  <c r="K1773" i="3"/>
  <c r="M1772" i="3"/>
  <c r="L1772" i="3"/>
  <c r="K1772" i="3"/>
  <c r="M1771" i="3"/>
  <c r="L1771" i="3"/>
  <c r="K1771" i="3"/>
  <c r="M1770" i="3"/>
  <c r="L1770" i="3"/>
  <c r="K1770" i="3"/>
  <c r="M1769" i="3"/>
  <c r="L1769" i="3"/>
  <c r="K1769" i="3"/>
  <c r="M1768" i="3"/>
  <c r="L1768" i="3"/>
  <c r="K1768" i="3"/>
  <c r="M1767" i="3"/>
  <c r="L1767" i="3"/>
  <c r="K1767" i="3"/>
  <c r="M1766" i="3"/>
  <c r="L1766" i="3"/>
  <c r="K1766" i="3"/>
  <c r="M1765" i="3"/>
  <c r="L1765" i="3"/>
  <c r="K1765" i="3"/>
  <c r="M1764" i="3"/>
  <c r="L1764" i="3"/>
  <c r="K1764" i="3"/>
  <c r="M1763" i="3"/>
  <c r="L1763" i="3"/>
  <c r="K1763" i="3"/>
  <c r="M1762" i="3"/>
  <c r="L1762" i="3"/>
  <c r="K1762" i="3"/>
  <c r="M1761" i="3"/>
  <c r="L1761" i="3"/>
  <c r="K1761" i="3"/>
  <c r="M1760" i="3"/>
  <c r="L1760" i="3"/>
  <c r="K1760" i="3"/>
  <c r="M1759" i="3"/>
  <c r="L1759" i="3"/>
  <c r="K1759" i="3"/>
  <c r="M1758" i="3"/>
  <c r="L1758" i="3"/>
  <c r="K1758" i="3"/>
  <c r="M1757" i="3"/>
  <c r="L1757" i="3"/>
  <c r="K1757" i="3"/>
  <c r="M1756" i="3"/>
  <c r="L1756" i="3"/>
  <c r="K1756" i="3"/>
  <c r="M1755" i="3"/>
  <c r="L1755" i="3"/>
  <c r="K1755" i="3"/>
  <c r="M1754" i="3"/>
  <c r="L1754" i="3"/>
  <c r="K1754" i="3"/>
  <c r="M1753" i="3"/>
  <c r="L1753" i="3"/>
  <c r="K1753" i="3"/>
  <c r="M1752" i="3"/>
  <c r="L1752" i="3"/>
  <c r="K1752" i="3"/>
  <c r="M1751" i="3"/>
  <c r="L1751" i="3"/>
  <c r="K1751" i="3"/>
  <c r="M1750" i="3"/>
  <c r="L1750" i="3"/>
  <c r="K1750" i="3"/>
  <c r="M1749" i="3"/>
  <c r="L1749" i="3"/>
  <c r="K1749" i="3"/>
  <c r="M1748" i="3"/>
  <c r="L1748" i="3"/>
  <c r="K1748" i="3"/>
  <c r="M1747" i="3"/>
  <c r="L1747" i="3"/>
  <c r="K1747" i="3"/>
  <c r="M1746" i="3"/>
  <c r="L1746" i="3"/>
  <c r="K1746" i="3"/>
  <c r="M1745" i="3"/>
  <c r="L1745" i="3"/>
  <c r="K1745" i="3"/>
  <c r="M1744" i="3"/>
  <c r="L1744" i="3"/>
  <c r="K1744" i="3"/>
  <c r="M1743" i="3"/>
  <c r="L1743" i="3"/>
  <c r="K1743" i="3"/>
  <c r="M1742" i="3"/>
  <c r="L1742" i="3"/>
  <c r="K1742" i="3"/>
  <c r="M1741" i="3"/>
  <c r="L1741" i="3"/>
  <c r="K1741" i="3"/>
  <c r="M1740" i="3"/>
  <c r="L1740" i="3"/>
  <c r="K1740" i="3"/>
  <c r="M1739" i="3"/>
  <c r="L1739" i="3"/>
  <c r="K1739" i="3"/>
  <c r="M1738" i="3"/>
  <c r="L1738" i="3"/>
  <c r="K1738" i="3"/>
  <c r="M1737" i="3"/>
  <c r="L1737" i="3"/>
  <c r="K1737" i="3"/>
  <c r="M1736" i="3"/>
  <c r="L1736" i="3"/>
  <c r="K1736" i="3"/>
  <c r="M1735" i="3"/>
  <c r="L1735" i="3"/>
  <c r="K1735" i="3"/>
  <c r="M1734" i="3"/>
  <c r="L1734" i="3"/>
  <c r="K1734" i="3"/>
  <c r="M1733" i="3"/>
  <c r="L1733" i="3"/>
  <c r="K1733" i="3"/>
  <c r="M1732" i="3"/>
  <c r="L1732" i="3"/>
  <c r="K1732" i="3"/>
  <c r="M1731" i="3"/>
  <c r="L1731" i="3"/>
  <c r="K1731" i="3"/>
  <c r="M1730" i="3"/>
  <c r="L1730" i="3"/>
  <c r="K1730" i="3"/>
  <c r="M1729" i="3"/>
  <c r="L1729" i="3"/>
  <c r="K1729" i="3"/>
  <c r="M1728" i="3"/>
  <c r="L1728" i="3"/>
  <c r="K1728" i="3"/>
  <c r="M1727" i="3"/>
  <c r="L1727" i="3"/>
  <c r="K1727" i="3"/>
  <c r="M1726" i="3"/>
  <c r="L1726" i="3"/>
  <c r="K1726" i="3"/>
  <c r="M1725" i="3"/>
  <c r="L1725" i="3"/>
  <c r="K1725" i="3"/>
  <c r="M1724" i="3"/>
  <c r="L1724" i="3"/>
  <c r="K1724" i="3"/>
  <c r="M1723" i="3"/>
  <c r="L1723" i="3"/>
  <c r="K1723" i="3"/>
  <c r="M1722" i="3"/>
  <c r="L1722" i="3"/>
  <c r="K1722" i="3"/>
  <c r="M1721" i="3"/>
  <c r="L1721" i="3"/>
  <c r="K1721" i="3"/>
  <c r="M1720" i="3"/>
  <c r="L1720" i="3"/>
  <c r="K1720" i="3"/>
  <c r="M1719" i="3"/>
  <c r="L1719" i="3"/>
  <c r="K1719" i="3"/>
  <c r="M1718" i="3"/>
  <c r="L1718" i="3"/>
  <c r="K1718" i="3"/>
  <c r="M1717" i="3"/>
  <c r="L1717" i="3"/>
  <c r="K1717" i="3"/>
  <c r="M1716" i="3"/>
  <c r="L1716" i="3"/>
  <c r="K1716" i="3"/>
  <c r="M1715" i="3"/>
  <c r="L1715" i="3"/>
  <c r="K1715" i="3"/>
  <c r="M1714" i="3"/>
  <c r="L1714" i="3"/>
  <c r="K1714" i="3"/>
  <c r="M1713" i="3"/>
  <c r="L1713" i="3"/>
  <c r="K1713" i="3"/>
  <c r="M1712" i="3"/>
  <c r="L1712" i="3"/>
  <c r="K1712" i="3"/>
  <c r="M1711" i="3"/>
  <c r="L1711" i="3"/>
  <c r="K1711" i="3"/>
  <c r="M1710" i="3"/>
  <c r="L1710" i="3"/>
  <c r="K1710" i="3"/>
  <c r="M1709" i="3"/>
  <c r="L1709" i="3"/>
  <c r="K1709" i="3"/>
  <c r="M1708" i="3"/>
  <c r="L1708" i="3"/>
  <c r="K1708" i="3"/>
  <c r="M1707" i="3"/>
  <c r="L1707" i="3"/>
  <c r="K1707" i="3"/>
  <c r="M1706" i="3"/>
  <c r="L1706" i="3"/>
  <c r="K1706" i="3"/>
  <c r="M1705" i="3"/>
  <c r="L1705" i="3"/>
  <c r="K1705" i="3"/>
  <c r="M1704" i="3"/>
  <c r="L1704" i="3"/>
  <c r="K1704" i="3"/>
  <c r="M1703" i="3"/>
  <c r="L1703" i="3"/>
  <c r="K1703" i="3"/>
  <c r="M1702" i="3"/>
  <c r="L1702" i="3"/>
  <c r="K1702" i="3"/>
  <c r="M1701" i="3"/>
  <c r="L1701" i="3"/>
  <c r="K1701" i="3"/>
  <c r="M1700" i="3"/>
  <c r="L1700" i="3"/>
  <c r="K1700" i="3"/>
  <c r="M1699" i="3"/>
  <c r="L1699" i="3"/>
  <c r="K1699" i="3"/>
  <c r="M1698" i="3"/>
  <c r="L1698" i="3"/>
  <c r="K1698" i="3"/>
  <c r="M1697" i="3"/>
  <c r="L1697" i="3"/>
  <c r="K1697" i="3"/>
  <c r="M1696" i="3"/>
  <c r="L1696" i="3"/>
  <c r="K1696" i="3"/>
  <c r="M1695" i="3"/>
  <c r="L1695" i="3"/>
  <c r="K1695" i="3"/>
  <c r="M1694" i="3"/>
  <c r="L1694" i="3"/>
  <c r="K1694" i="3"/>
  <c r="M1693" i="3"/>
  <c r="L1693" i="3"/>
  <c r="K1693" i="3"/>
  <c r="M1692" i="3"/>
  <c r="L1692" i="3"/>
  <c r="K1692" i="3"/>
  <c r="M1691" i="3"/>
  <c r="L1691" i="3"/>
  <c r="K1691" i="3"/>
  <c r="M1690" i="3"/>
  <c r="L1690" i="3"/>
  <c r="K1690" i="3"/>
  <c r="M1689" i="3"/>
  <c r="L1689" i="3"/>
  <c r="K1689" i="3"/>
  <c r="M1688" i="3"/>
  <c r="L1688" i="3"/>
  <c r="K1688" i="3"/>
  <c r="M1687" i="3"/>
  <c r="L1687" i="3"/>
  <c r="K1687" i="3"/>
  <c r="M1686" i="3"/>
  <c r="L1686" i="3"/>
  <c r="K1686" i="3"/>
  <c r="M1685" i="3"/>
  <c r="L1685" i="3"/>
  <c r="K1685" i="3"/>
  <c r="M1684" i="3"/>
  <c r="L1684" i="3"/>
  <c r="K1684" i="3"/>
  <c r="M1683" i="3"/>
  <c r="L1683" i="3"/>
  <c r="K1683" i="3"/>
  <c r="M1682" i="3"/>
  <c r="L1682" i="3"/>
  <c r="K1682" i="3"/>
  <c r="M1681" i="3"/>
  <c r="L1681" i="3"/>
  <c r="K1681" i="3"/>
  <c r="M1680" i="3"/>
  <c r="L1680" i="3"/>
  <c r="K1680" i="3"/>
  <c r="M1679" i="3"/>
  <c r="L1679" i="3"/>
  <c r="K1679" i="3"/>
  <c r="M1678" i="3"/>
  <c r="L1678" i="3"/>
  <c r="K1678" i="3"/>
  <c r="M1677" i="3"/>
  <c r="L1677" i="3"/>
  <c r="K1677" i="3"/>
  <c r="M1676" i="3"/>
  <c r="L1676" i="3"/>
  <c r="K1676" i="3"/>
  <c r="M1675" i="3"/>
  <c r="L1675" i="3"/>
  <c r="K1675" i="3"/>
  <c r="M1674" i="3"/>
  <c r="L1674" i="3"/>
  <c r="K1674" i="3"/>
  <c r="M1673" i="3"/>
  <c r="L1673" i="3"/>
  <c r="K1673" i="3"/>
  <c r="M1672" i="3"/>
  <c r="L1672" i="3"/>
  <c r="K1672" i="3"/>
  <c r="M1671" i="3"/>
  <c r="L1671" i="3"/>
  <c r="K1671" i="3"/>
  <c r="M1670" i="3"/>
  <c r="L1670" i="3"/>
  <c r="K1670" i="3"/>
  <c r="M1669" i="3"/>
  <c r="L1669" i="3"/>
  <c r="K1669" i="3"/>
  <c r="M1668" i="3"/>
  <c r="L1668" i="3"/>
  <c r="K1668" i="3"/>
  <c r="M1667" i="3"/>
  <c r="L1667" i="3"/>
  <c r="K1667" i="3"/>
  <c r="M1666" i="3"/>
  <c r="L1666" i="3"/>
  <c r="K1666" i="3"/>
  <c r="M1665" i="3"/>
  <c r="L1665" i="3"/>
  <c r="K1665" i="3"/>
  <c r="M1664" i="3"/>
  <c r="L1664" i="3"/>
  <c r="K1664" i="3"/>
  <c r="M1663" i="3"/>
  <c r="L1663" i="3"/>
  <c r="K1663" i="3"/>
  <c r="M1662" i="3"/>
  <c r="L1662" i="3"/>
  <c r="K1662" i="3"/>
  <c r="M1661" i="3"/>
  <c r="L1661" i="3"/>
  <c r="K1661" i="3"/>
  <c r="M1660" i="3"/>
  <c r="L1660" i="3"/>
  <c r="K1660" i="3"/>
  <c r="M1659" i="3"/>
  <c r="L1659" i="3"/>
  <c r="K1659" i="3"/>
  <c r="M1658" i="3"/>
  <c r="L1658" i="3"/>
  <c r="K1658" i="3"/>
  <c r="M1657" i="3"/>
  <c r="L1657" i="3"/>
  <c r="K1657" i="3"/>
  <c r="M1656" i="3"/>
  <c r="L1656" i="3"/>
  <c r="K1656" i="3"/>
  <c r="M1655" i="3"/>
  <c r="L1655" i="3"/>
  <c r="K1655" i="3"/>
  <c r="M1654" i="3"/>
  <c r="L1654" i="3"/>
  <c r="K1654" i="3"/>
  <c r="M1653" i="3"/>
  <c r="L1653" i="3"/>
  <c r="K1653" i="3"/>
  <c r="M1652" i="3"/>
  <c r="L1652" i="3"/>
  <c r="K1652" i="3"/>
  <c r="M1651" i="3"/>
  <c r="L1651" i="3"/>
  <c r="K1651" i="3"/>
  <c r="M1650" i="3"/>
  <c r="L1650" i="3"/>
  <c r="K1650" i="3"/>
  <c r="M1649" i="3"/>
  <c r="L1649" i="3"/>
  <c r="K1649" i="3"/>
  <c r="M1648" i="3"/>
  <c r="L1648" i="3"/>
  <c r="K1648" i="3"/>
  <c r="M1647" i="3"/>
  <c r="L1647" i="3"/>
  <c r="K1647" i="3"/>
  <c r="M1646" i="3"/>
  <c r="L1646" i="3"/>
  <c r="K1646" i="3"/>
  <c r="M1645" i="3"/>
  <c r="L1645" i="3"/>
  <c r="K1645" i="3"/>
  <c r="M1644" i="3"/>
  <c r="L1644" i="3"/>
  <c r="K1644" i="3"/>
  <c r="M1643" i="3"/>
  <c r="L1643" i="3"/>
  <c r="K1643" i="3"/>
  <c r="M1642" i="3"/>
  <c r="L1642" i="3"/>
  <c r="K1642" i="3"/>
  <c r="M1641" i="3"/>
  <c r="L1641" i="3"/>
  <c r="K1641" i="3"/>
  <c r="M1640" i="3"/>
  <c r="L1640" i="3"/>
  <c r="K1640" i="3"/>
  <c r="M1639" i="3"/>
  <c r="L1639" i="3"/>
  <c r="K1639" i="3"/>
  <c r="M1638" i="3"/>
  <c r="L1638" i="3"/>
  <c r="K1638" i="3"/>
  <c r="M1637" i="3"/>
  <c r="L1637" i="3"/>
  <c r="K1637" i="3"/>
  <c r="M1636" i="3"/>
  <c r="L1636" i="3"/>
  <c r="K1636" i="3"/>
  <c r="M1635" i="3"/>
  <c r="L1635" i="3"/>
  <c r="K1635" i="3"/>
  <c r="M1634" i="3"/>
  <c r="L1634" i="3"/>
  <c r="K1634" i="3"/>
  <c r="M1633" i="3"/>
  <c r="L1633" i="3"/>
  <c r="K1633" i="3"/>
  <c r="M1632" i="3"/>
  <c r="L1632" i="3"/>
  <c r="K1632" i="3"/>
  <c r="M1631" i="3"/>
  <c r="L1631" i="3"/>
  <c r="K1631" i="3"/>
  <c r="M1630" i="3"/>
  <c r="L1630" i="3"/>
  <c r="K1630" i="3"/>
  <c r="M1629" i="3"/>
  <c r="L1629" i="3"/>
  <c r="K1629" i="3"/>
  <c r="M1628" i="3"/>
  <c r="L1628" i="3"/>
  <c r="K1628" i="3"/>
  <c r="M1627" i="3"/>
  <c r="L1627" i="3"/>
  <c r="K1627" i="3"/>
  <c r="M1626" i="3"/>
  <c r="L1626" i="3"/>
  <c r="K1626" i="3"/>
  <c r="M1625" i="3"/>
  <c r="L1625" i="3"/>
  <c r="K1625" i="3"/>
  <c r="M1624" i="3"/>
  <c r="L1624" i="3"/>
  <c r="K1624" i="3"/>
  <c r="M1623" i="3"/>
  <c r="L1623" i="3"/>
  <c r="K1623" i="3"/>
  <c r="M1622" i="3"/>
  <c r="L1622" i="3"/>
  <c r="K1622" i="3"/>
  <c r="M1621" i="3"/>
  <c r="L1621" i="3"/>
  <c r="K1621" i="3"/>
  <c r="M1620" i="3"/>
  <c r="L1620" i="3"/>
  <c r="K1620" i="3"/>
  <c r="M1619" i="3"/>
  <c r="L1619" i="3"/>
  <c r="K1619" i="3"/>
  <c r="M1618" i="3"/>
  <c r="L1618" i="3"/>
  <c r="K1618" i="3"/>
  <c r="M1617" i="3"/>
  <c r="L1617" i="3"/>
  <c r="K1617" i="3"/>
  <c r="M1616" i="3"/>
  <c r="L1616" i="3"/>
  <c r="K1616" i="3"/>
  <c r="M1615" i="3"/>
  <c r="L1615" i="3"/>
  <c r="K1615" i="3"/>
  <c r="M1614" i="3"/>
  <c r="L1614" i="3"/>
  <c r="K1614" i="3"/>
  <c r="M1613" i="3"/>
  <c r="L1613" i="3"/>
  <c r="K1613" i="3"/>
  <c r="M1612" i="3"/>
  <c r="L1612" i="3"/>
  <c r="K1612" i="3"/>
  <c r="M1611" i="3"/>
  <c r="L1611" i="3"/>
  <c r="K1611" i="3"/>
  <c r="M1610" i="3"/>
  <c r="L1610" i="3"/>
  <c r="K1610" i="3"/>
  <c r="M1609" i="3"/>
  <c r="L1609" i="3"/>
  <c r="K1609" i="3"/>
  <c r="M1608" i="3"/>
  <c r="L1608" i="3"/>
  <c r="K1608" i="3"/>
  <c r="M1607" i="3"/>
  <c r="L1607" i="3"/>
  <c r="K1607" i="3"/>
  <c r="M1606" i="3"/>
  <c r="L1606" i="3"/>
  <c r="K1606" i="3"/>
  <c r="M1605" i="3"/>
  <c r="L1605" i="3"/>
  <c r="K1605" i="3"/>
  <c r="M1604" i="3"/>
  <c r="L1604" i="3"/>
  <c r="K1604" i="3"/>
  <c r="M1603" i="3"/>
  <c r="L1603" i="3"/>
  <c r="K1603" i="3"/>
  <c r="M1602" i="3"/>
  <c r="L1602" i="3"/>
  <c r="K1602" i="3"/>
  <c r="M1601" i="3"/>
  <c r="L1601" i="3"/>
  <c r="K1601" i="3"/>
  <c r="M1600" i="3"/>
  <c r="L1600" i="3"/>
  <c r="K1600" i="3"/>
  <c r="M1599" i="3"/>
  <c r="L1599" i="3"/>
  <c r="K1599" i="3"/>
  <c r="M1598" i="3"/>
  <c r="L1598" i="3"/>
  <c r="K1598" i="3"/>
  <c r="M1597" i="3"/>
  <c r="L1597" i="3"/>
  <c r="K1597" i="3"/>
  <c r="M1596" i="3"/>
  <c r="L1596" i="3"/>
  <c r="K1596" i="3"/>
  <c r="M1595" i="3"/>
  <c r="L1595" i="3"/>
  <c r="K1595" i="3"/>
  <c r="M1594" i="3"/>
  <c r="L1594" i="3"/>
  <c r="K1594" i="3"/>
  <c r="M1593" i="3"/>
  <c r="L1593" i="3"/>
  <c r="K1593" i="3"/>
  <c r="M1592" i="3"/>
  <c r="L1592" i="3"/>
  <c r="K1592" i="3"/>
  <c r="M1591" i="3"/>
  <c r="L1591" i="3"/>
  <c r="K1591" i="3"/>
  <c r="M1590" i="3"/>
  <c r="L1590" i="3"/>
  <c r="K1590" i="3"/>
  <c r="M1589" i="3"/>
  <c r="L1589" i="3"/>
  <c r="K1589" i="3"/>
  <c r="M1588" i="3"/>
  <c r="L1588" i="3"/>
  <c r="K1588" i="3"/>
  <c r="M1587" i="3"/>
  <c r="L1587" i="3"/>
  <c r="K1587" i="3"/>
  <c r="M1586" i="3"/>
  <c r="L1586" i="3"/>
  <c r="K1586" i="3"/>
  <c r="M1585" i="3"/>
  <c r="L1585" i="3"/>
  <c r="K1585" i="3"/>
  <c r="M1584" i="3"/>
  <c r="L1584" i="3"/>
  <c r="K1584" i="3"/>
  <c r="M1583" i="3"/>
  <c r="L1583" i="3"/>
  <c r="K1583" i="3"/>
  <c r="M1582" i="3"/>
  <c r="L1582" i="3"/>
  <c r="K1582" i="3"/>
  <c r="M1581" i="3"/>
  <c r="L1581" i="3"/>
  <c r="K1581" i="3"/>
  <c r="M1580" i="3"/>
  <c r="L1580" i="3"/>
  <c r="K1580" i="3"/>
  <c r="M1579" i="3"/>
  <c r="L1579" i="3"/>
  <c r="K1579" i="3"/>
  <c r="M1578" i="3"/>
  <c r="L1578" i="3"/>
  <c r="K1578" i="3"/>
  <c r="M1577" i="3"/>
  <c r="L1577" i="3"/>
  <c r="K1577" i="3"/>
  <c r="M1576" i="3"/>
  <c r="L1576" i="3"/>
  <c r="K1576" i="3"/>
  <c r="M1575" i="3"/>
  <c r="L1575" i="3"/>
  <c r="K1575" i="3"/>
  <c r="M1574" i="3"/>
  <c r="L1574" i="3"/>
  <c r="K1574" i="3"/>
  <c r="M1573" i="3"/>
  <c r="L1573" i="3"/>
  <c r="K1573" i="3"/>
  <c r="M1572" i="3"/>
  <c r="L1572" i="3"/>
  <c r="K1572" i="3"/>
  <c r="M1571" i="3"/>
  <c r="L1571" i="3"/>
  <c r="K1571" i="3"/>
  <c r="M1570" i="3"/>
  <c r="L1570" i="3"/>
  <c r="K1570" i="3"/>
  <c r="M1569" i="3"/>
  <c r="L1569" i="3"/>
  <c r="K1569" i="3"/>
  <c r="M1568" i="3"/>
  <c r="L1568" i="3"/>
  <c r="K1568" i="3"/>
  <c r="M1567" i="3"/>
  <c r="L1567" i="3"/>
  <c r="K1567" i="3"/>
  <c r="M1566" i="3"/>
  <c r="L1566" i="3"/>
  <c r="K1566" i="3"/>
  <c r="M1565" i="3"/>
  <c r="L1565" i="3"/>
  <c r="K1565" i="3"/>
  <c r="M1564" i="3"/>
  <c r="L1564" i="3"/>
  <c r="K1564" i="3"/>
  <c r="M1563" i="3"/>
  <c r="L1563" i="3"/>
  <c r="K1563" i="3"/>
  <c r="M1562" i="3"/>
  <c r="L1562" i="3"/>
  <c r="K1562" i="3"/>
  <c r="M1561" i="3"/>
  <c r="L1561" i="3"/>
  <c r="K1561" i="3"/>
  <c r="M1560" i="3"/>
  <c r="L1560" i="3"/>
  <c r="K1560" i="3"/>
  <c r="M1559" i="3"/>
  <c r="L1559" i="3"/>
  <c r="K1559" i="3"/>
  <c r="M1558" i="3"/>
  <c r="L1558" i="3"/>
  <c r="K1558" i="3"/>
  <c r="M1557" i="3"/>
  <c r="L1557" i="3"/>
  <c r="K1557" i="3"/>
  <c r="M1556" i="3"/>
  <c r="L1556" i="3"/>
  <c r="K1556" i="3"/>
  <c r="M1555" i="3"/>
  <c r="L1555" i="3"/>
  <c r="K1555" i="3"/>
  <c r="M1554" i="3"/>
  <c r="L1554" i="3"/>
  <c r="K1554" i="3"/>
  <c r="M1553" i="3"/>
  <c r="L1553" i="3"/>
  <c r="K1553" i="3"/>
  <c r="M1552" i="3"/>
  <c r="L1552" i="3"/>
  <c r="K1552" i="3"/>
  <c r="M1551" i="3"/>
  <c r="L1551" i="3"/>
  <c r="K1551" i="3"/>
  <c r="M1550" i="3"/>
  <c r="L1550" i="3"/>
  <c r="K1550" i="3"/>
  <c r="M1549" i="3"/>
  <c r="L1549" i="3"/>
  <c r="K1549" i="3"/>
  <c r="M1548" i="3"/>
  <c r="L1548" i="3"/>
  <c r="K1548" i="3"/>
  <c r="M1547" i="3"/>
  <c r="L1547" i="3"/>
  <c r="K1547" i="3"/>
  <c r="M1546" i="3"/>
  <c r="L1546" i="3"/>
  <c r="K1546" i="3"/>
  <c r="M1545" i="3"/>
  <c r="L1545" i="3"/>
  <c r="K1545" i="3"/>
  <c r="M1544" i="3"/>
  <c r="L1544" i="3"/>
  <c r="K1544" i="3"/>
  <c r="M1543" i="3"/>
  <c r="L1543" i="3"/>
  <c r="K1543" i="3"/>
  <c r="M1542" i="3"/>
  <c r="L1542" i="3"/>
  <c r="K1542" i="3"/>
  <c r="M1541" i="3"/>
  <c r="L1541" i="3"/>
  <c r="K1541" i="3"/>
  <c r="M1540" i="3"/>
  <c r="L1540" i="3"/>
  <c r="K1540" i="3"/>
  <c r="M1539" i="3"/>
  <c r="L1539" i="3"/>
  <c r="K1539" i="3"/>
  <c r="M1538" i="3"/>
  <c r="L1538" i="3"/>
  <c r="K1538" i="3"/>
  <c r="M1537" i="3"/>
  <c r="L1537" i="3"/>
  <c r="K1537" i="3"/>
  <c r="M1536" i="3"/>
  <c r="L1536" i="3"/>
  <c r="K1536" i="3"/>
  <c r="M1535" i="3"/>
  <c r="L1535" i="3"/>
  <c r="K1535" i="3"/>
  <c r="M1534" i="3"/>
  <c r="L1534" i="3"/>
  <c r="K1534" i="3"/>
  <c r="M1533" i="3"/>
  <c r="L1533" i="3"/>
  <c r="K1533" i="3"/>
  <c r="M1532" i="3"/>
  <c r="L1532" i="3"/>
  <c r="K1532" i="3"/>
  <c r="M1531" i="3"/>
  <c r="L1531" i="3"/>
  <c r="K1531" i="3"/>
  <c r="M1530" i="3"/>
  <c r="L1530" i="3"/>
  <c r="K1530" i="3"/>
  <c r="M1529" i="3"/>
  <c r="L1529" i="3"/>
  <c r="K1529" i="3"/>
  <c r="M1528" i="3"/>
  <c r="L1528" i="3"/>
  <c r="K1528" i="3"/>
  <c r="M1527" i="3"/>
  <c r="L1527" i="3"/>
  <c r="K1527" i="3"/>
  <c r="M1526" i="3"/>
  <c r="L1526" i="3"/>
  <c r="K1526" i="3"/>
  <c r="M1525" i="3"/>
  <c r="L1525" i="3"/>
  <c r="K1525" i="3"/>
  <c r="M1524" i="3"/>
  <c r="L1524" i="3"/>
  <c r="K1524" i="3"/>
  <c r="M1523" i="3"/>
  <c r="L1523" i="3"/>
  <c r="K1523" i="3"/>
  <c r="M1522" i="3"/>
  <c r="L1522" i="3"/>
  <c r="K1522" i="3"/>
  <c r="M1521" i="3"/>
  <c r="L1521" i="3"/>
  <c r="K1521" i="3"/>
  <c r="M1520" i="3"/>
  <c r="L1520" i="3"/>
  <c r="K1520" i="3"/>
  <c r="M1519" i="3"/>
  <c r="L1519" i="3"/>
  <c r="K1519" i="3"/>
  <c r="M1518" i="3"/>
  <c r="L1518" i="3"/>
  <c r="K1518" i="3"/>
  <c r="M1517" i="3"/>
  <c r="L1517" i="3"/>
  <c r="K1517" i="3"/>
  <c r="M1516" i="3"/>
  <c r="L1516" i="3"/>
  <c r="K1516" i="3"/>
  <c r="M1515" i="3"/>
  <c r="L1515" i="3"/>
  <c r="K1515" i="3"/>
  <c r="M1514" i="3"/>
  <c r="L1514" i="3"/>
  <c r="K1514" i="3"/>
  <c r="M1513" i="3"/>
  <c r="L1513" i="3"/>
  <c r="K1513" i="3"/>
  <c r="M1512" i="3"/>
  <c r="L1512" i="3"/>
  <c r="K1512" i="3"/>
  <c r="M1511" i="3"/>
  <c r="L1511" i="3"/>
  <c r="K1511" i="3"/>
  <c r="M1510" i="3"/>
  <c r="L1510" i="3"/>
  <c r="K1510" i="3"/>
  <c r="M1509" i="3"/>
  <c r="L1509" i="3"/>
  <c r="K1509" i="3"/>
  <c r="M1508" i="3"/>
  <c r="L1508" i="3"/>
  <c r="K1508" i="3"/>
  <c r="M1507" i="3"/>
  <c r="L1507" i="3"/>
  <c r="K1507" i="3"/>
  <c r="M1506" i="3"/>
  <c r="L1506" i="3"/>
  <c r="K1506" i="3"/>
  <c r="M1505" i="3"/>
  <c r="L1505" i="3"/>
  <c r="K1505" i="3"/>
  <c r="M1504" i="3"/>
  <c r="L1504" i="3"/>
  <c r="K1504" i="3"/>
  <c r="M1503" i="3"/>
  <c r="L1503" i="3"/>
  <c r="K1503" i="3"/>
  <c r="M1502" i="3"/>
  <c r="L1502" i="3"/>
  <c r="K1502" i="3"/>
  <c r="M1501" i="3"/>
  <c r="L1501" i="3"/>
  <c r="K1501" i="3"/>
  <c r="M1500" i="3"/>
  <c r="L1500" i="3"/>
  <c r="K1500" i="3"/>
  <c r="M1499" i="3"/>
  <c r="L1499" i="3"/>
  <c r="K1499" i="3"/>
  <c r="M1498" i="3"/>
  <c r="L1498" i="3"/>
  <c r="K1498" i="3"/>
  <c r="M1497" i="3"/>
  <c r="L1497" i="3"/>
  <c r="K1497" i="3"/>
  <c r="M1496" i="3"/>
  <c r="L1496" i="3"/>
  <c r="K1496" i="3"/>
  <c r="M1495" i="3"/>
  <c r="L1495" i="3"/>
  <c r="K1495" i="3"/>
  <c r="M1494" i="3"/>
  <c r="L1494" i="3"/>
  <c r="K1494" i="3"/>
  <c r="M1493" i="3"/>
  <c r="L1493" i="3"/>
  <c r="K1493" i="3"/>
  <c r="M1492" i="3"/>
  <c r="L1492" i="3"/>
  <c r="K1492" i="3"/>
  <c r="M1491" i="3"/>
  <c r="L1491" i="3"/>
  <c r="K1491" i="3"/>
  <c r="M1490" i="3"/>
  <c r="L1490" i="3"/>
  <c r="K1490" i="3"/>
  <c r="M1489" i="3"/>
  <c r="L1489" i="3"/>
  <c r="K1489" i="3"/>
  <c r="M1488" i="3"/>
  <c r="L1488" i="3"/>
  <c r="K1488" i="3"/>
  <c r="M1487" i="3"/>
  <c r="L1487" i="3"/>
  <c r="K1487" i="3"/>
  <c r="M1486" i="3"/>
  <c r="L1486" i="3"/>
  <c r="K1486" i="3"/>
  <c r="M1485" i="3"/>
  <c r="L1485" i="3"/>
  <c r="K1485" i="3"/>
  <c r="M1484" i="3"/>
  <c r="L1484" i="3"/>
  <c r="K1484" i="3"/>
  <c r="M1483" i="3"/>
  <c r="L1483" i="3"/>
  <c r="K1483" i="3"/>
  <c r="M1482" i="3"/>
  <c r="L1482" i="3"/>
  <c r="K1482" i="3"/>
  <c r="M1481" i="3"/>
  <c r="L1481" i="3"/>
  <c r="K1481" i="3"/>
  <c r="M1480" i="3"/>
  <c r="L1480" i="3"/>
  <c r="K1480" i="3"/>
  <c r="M1479" i="3"/>
  <c r="L1479" i="3"/>
  <c r="K1479" i="3"/>
  <c r="M1478" i="3"/>
  <c r="L1478" i="3"/>
  <c r="K1478" i="3"/>
  <c r="M1477" i="3"/>
  <c r="L1477" i="3"/>
  <c r="K1477" i="3"/>
  <c r="M1476" i="3"/>
  <c r="L1476" i="3"/>
  <c r="K1476" i="3"/>
  <c r="M1475" i="3"/>
  <c r="L1475" i="3"/>
  <c r="K1475" i="3"/>
  <c r="M1474" i="3"/>
  <c r="L1474" i="3"/>
  <c r="K1474" i="3"/>
  <c r="M1473" i="3"/>
  <c r="L1473" i="3"/>
  <c r="K1473" i="3"/>
  <c r="M1472" i="3"/>
  <c r="L1472" i="3"/>
  <c r="K1472" i="3"/>
  <c r="M1471" i="3"/>
  <c r="L1471" i="3"/>
  <c r="K1471" i="3"/>
  <c r="M1470" i="3"/>
  <c r="L1470" i="3"/>
  <c r="K1470" i="3"/>
  <c r="M1469" i="3"/>
  <c r="L1469" i="3"/>
  <c r="K1469" i="3"/>
  <c r="M1468" i="3"/>
  <c r="L1468" i="3"/>
  <c r="K1468" i="3"/>
  <c r="M1467" i="3"/>
  <c r="L1467" i="3"/>
  <c r="K1467" i="3"/>
  <c r="M1466" i="3"/>
  <c r="L1466" i="3"/>
  <c r="K1466" i="3"/>
  <c r="M1465" i="3"/>
  <c r="L1465" i="3"/>
  <c r="K1465" i="3"/>
  <c r="M1464" i="3"/>
  <c r="L1464" i="3"/>
  <c r="K1464" i="3"/>
  <c r="M1463" i="3"/>
  <c r="L1463" i="3"/>
  <c r="K1463" i="3"/>
  <c r="M1462" i="3"/>
  <c r="L1462" i="3"/>
  <c r="K1462" i="3"/>
  <c r="M1461" i="3"/>
  <c r="L1461" i="3"/>
  <c r="K1461" i="3"/>
  <c r="M1460" i="3"/>
  <c r="L1460" i="3"/>
  <c r="K1460" i="3"/>
  <c r="M1459" i="3"/>
  <c r="L1459" i="3"/>
  <c r="K1459" i="3"/>
  <c r="M1458" i="3"/>
  <c r="L1458" i="3"/>
  <c r="K1458" i="3"/>
  <c r="M1457" i="3"/>
  <c r="L1457" i="3"/>
  <c r="K1457" i="3"/>
  <c r="M1456" i="3"/>
  <c r="L1456" i="3"/>
  <c r="K1456" i="3"/>
  <c r="M1455" i="3"/>
  <c r="L1455" i="3"/>
  <c r="K1455" i="3"/>
  <c r="M1454" i="3"/>
  <c r="L1454" i="3"/>
  <c r="K1454" i="3"/>
  <c r="M1453" i="3"/>
  <c r="L1453" i="3"/>
  <c r="K1453" i="3"/>
  <c r="M1452" i="3"/>
  <c r="L1452" i="3"/>
  <c r="K1452" i="3"/>
  <c r="M1451" i="3"/>
  <c r="L1451" i="3"/>
  <c r="K1451" i="3"/>
  <c r="M1450" i="3"/>
  <c r="L1450" i="3"/>
  <c r="K1450" i="3"/>
  <c r="M1449" i="3"/>
  <c r="L1449" i="3"/>
  <c r="K1449" i="3"/>
  <c r="M1448" i="3"/>
  <c r="L1448" i="3"/>
  <c r="K1448" i="3"/>
  <c r="M1447" i="3"/>
  <c r="L1447" i="3"/>
  <c r="K1447" i="3"/>
  <c r="M1446" i="3"/>
  <c r="L1446" i="3"/>
  <c r="K1446" i="3"/>
  <c r="M1445" i="3"/>
  <c r="L1445" i="3"/>
  <c r="K1445" i="3"/>
  <c r="M1444" i="3"/>
  <c r="L1444" i="3"/>
  <c r="K1444" i="3"/>
  <c r="M1443" i="3"/>
  <c r="L1443" i="3"/>
  <c r="K1443" i="3"/>
  <c r="M1442" i="3"/>
  <c r="L1442" i="3"/>
  <c r="K1442" i="3"/>
  <c r="M1441" i="3"/>
  <c r="L1441" i="3"/>
  <c r="K1441" i="3"/>
  <c r="M1440" i="3"/>
  <c r="L1440" i="3"/>
  <c r="K1440" i="3"/>
  <c r="M1439" i="3"/>
  <c r="L1439" i="3"/>
  <c r="K1439" i="3"/>
  <c r="M1438" i="3"/>
  <c r="L1438" i="3"/>
  <c r="K1438" i="3"/>
  <c r="M1437" i="3"/>
  <c r="L1437" i="3"/>
  <c r="K1437" i="3"/>
  <c r="M1436" i="3"/>
  <c r="L1436" i="3"/>
  <c r="K1436" i="3"/>
  <c r="M1435" i="3"/>
  <c r="L1435" i="3"/>
  <c r="K1435" i="3"/>
  <c r="M1434" i="3"/>
  <c r="L1434" i="3"/>
  <c r="K1434" i="3"/>
  <c r="M1433" i="3"/>
  <c r="L1433" i="3"/>
  <c r="K1433" i="3"/>
  <c r="M1432" i="3"/>
  <c r="L1432" i="3"/>
  <c r="K1432" i="3"/>
  <c r="M1431" i="3"/>
  <c r="L1431" i="3"/>
  <c r="K1431" i="3"/>
  <c r="M1430" i="3"/>
  <c r="L1430" i="3"/>
  <c r="K1430" i="3"/>
  <c r="M1429" i="3"/>
  <c r="L1429" i="3"/>
  <c r="K1429" i="3"/>
  <c r="M1428" i="3"/>
  <c r="L1428" i="3"/>
  <c r="K1428" i="3"/>
  <c r="M1427" i="3"/>
  <c r="L1427" i="3"/>
  <c r="K1427" i="3"/>
  <c r="M1426" i="3"/>
  <c r="L1426" i="3"/>
  <c r="K1426" i="3"/>
  <c r="M1425" i="3"/>
  <c r="L1425" i="3"/>
  <c r="K1425" i="3"/>
  <c r="M1424" i="3"/>
  <c r="L1424" i="3"/>
  <c r="K1424" i="3"/>
  <c r="M1423" i="3"/>
  <c r="L1423" i="3"/>
  <c r="K1423" i="3"/>
  <c r="M1422" i="3"/>
  <c r="L1422" i="3"/>
  <c r="K1422" i="3"/>
  <c r="M1421" i="3"/>
  <c r="L1421" i="3"/>
  <c r="K1421" i="3"/>
  <c r="M1420" i="3"/>
  <c r="L1420" i="3"/>
  <c r="K1420" i="3"/>
  <c r="M1419" i="3"/>
  <c r="L1419" i="3"/>
  <c r="K1419" i="3"/>
  <c r="M1418" i="3"/>
  <c r="L1418" i="3"/>
  <c r="K1418" i="3"/>
  <c r="M1417" i="3"/>
  <c r="L1417" i="3"/>
  <c r="K1417" i="3"/>
  <c r="M1416" i="3"/>
  <c r="L1416" i="3"/>
  <c r="K1416" i="3"/>
  <c r="M1415" i="3"/>
  <c r="L1415" i="3"/>
  <c r="K1415" i="3"/>
  <c r="M1414" i="3"/>
  <c r="L1414" i="3"/>
  <c r="K1414" i="3"/>
  <c r="M1413" i="3"/>
  <c r="L1413" i="3"/>
  <c r="K1413" i="3"/>
  <c r="M1412" i="3"/>
  <c r="L1412" i="3"/>
  <c r="K1412" i="3"/>
  <c r="M1411" i="3"/>
  <c r="L1411" i="3"/>
  <c r="K1411" i="3"/>
  <c r="M1410" i="3"/>
  <c r="L1410" i="3"/>
  <c r="K1410" i="3"/>
  <c r="M1409" i="3"/>
  <c r="L1409" i="3"/>
  <c r="K1409" i="3"/>
  <c r="M1408" i="3"/>
  <c r="L1408" i="3"/>
  <c r="K1408" i="3"/>
  <c r="M1407" i="3"/>
  <c r="L1407" i="3"/>
  <c r="K1407" i="3"/>
  <c r="M1406" i="3"/>
  <c r="L1406" i="3"/>
  <c r="K1406" i="3"/>
  <c r="M1405" i="3"/>
  <c r="L1405" i="3"/>
  <c r="K1405" i="3"/>
  <c r="M1404" i="3"/>
  <c r="L1404" i="3"/>
  <c r="K1404" i="3"/>
  <c r="M1403" i="3"/>
  <c r="L1403" i="3"/>
  <c r="K1403" i="3"/>
  <c r="M1402" i="3"/>
  <c r="L1402" i="3"/>
  <c r="K1402" i="3"/>
  <c r="M1401" i="3"/>
  <c r="L1401" i="3"/>
  <c r="K1401" i="3"/>
  <c r="M1400" i="3"/>
  <c r="L1400" i="3"/>
  <c r="K1400" i="3"/>
  <c r="M1399" i="3"/>
  <c r="L1399" i="3"/>
  <c r="K1399" i="3"/>
  <c r="M1398" i="3"/>
  <c r="L1398" i="3"/>
  <c r="K1398" i="3"/>
  <c r="M1397" i="3"/>
  <c r="L1397" i="3"/>
  <c r="K1397" i="3"/>
  <c r="M1396" i="3"/>
  <c r="L1396" i="3"/>
  <c r="K1396" i="3"/>
  <c r="M1395" i="3"/>
  <c r="L1395" i="3"/>
  <c r="K1395" i="3"/>
  <c r="M1394" i="3"/>
  <c r="L1394" i="3"/>
  <c r="K1394" i="3"/>
  <c r="M1393" i="3"/>
  <c r="L1393" i="3"/>
  <c r="K1393" i="3"/>
  <c r="M1392" i="3"/>
  <c r="L1392" i="3"/>
  <c r="K1392" i="3"/>
  <c r="M1391" i="3"/>
  <c r="L1391" i="3"/>
  <c r="K1391" i="3"/>
  <c r="M1390" i="3"/>
  <c r="L1390" i="3"/>
  <c r="K1390" i="3"/>
  <c r="M1389" i="3"/>
  <c r="L1389" i="3"/>
  <c r="K1389" i="3"/>
  <c r="M1388" i="3"/>
  <c r="L1388" i="3"/>
  <c r="K1388" i="3"/>
  <c r="M1387" i="3"/>
  <c r="L1387" i="3"/>
  <c r="K1387" i="3"/>
  <c r="M1386" i="3"/>
  <c r="L1386" i="3"/>
  <c r="K1386" i="3"/>
  <c r="M1385" i="3"/>
  <c r="L1385" i="3"/>
  <c r="K1385" i="3"/>
  <c r="M1384" i="3"/>
  <c r="L1384" i="3"/>
  <c r="K1384" i="3"/>
  <c r="M1383" i="3"/>
  <c r="L1383" i="3"/>
  <c r="K1383" i="3"/>
  <c r="M1382" i="3"/>
  <c r="L1382" i="3"/>
  <c r="K1382" i="3"/>
  <c r="M1381" i="3"/>
  <c r="L1381" i="3"/>
  <c r="K1381" i="3"/>
  <c r="M1380" i="3"/>
  <c r="L1380" i="3"/>
  <c r="K1380" i="3"/>
  <c r="M1379" i="3"/>
  <c r="L1379" i="3"/>
  <c r="K1379" i="3"/>
  <c r="M1378" i="3"/>
  <c r="L1378" i="3"/>
  <c r="K1378" i="3"/>
  <c r="M1377" i="3"/>
  <c r="L1377" i="3"/>
  <c r="K1377" i="3"/>
  <c r="M1376" i="3"/>
  <c r="L1376" i="3"/>
  <c r="K1376" i="3"/>
  <c r="M1375" i="3"/>
  <c r="L1375" i="3"/>
  <c r="K1375" i="3"/>
  <c r="M1374" i="3"/>
  <c r="L1374" i="3"/>
  <c r="K1374" i="3"/>
  <c r="M1373" i="3"/>
  <c r="L1373" i="3"/>
  <c r="K1373" i="3"/>
  <c r="M1372" i="3"/>
  <c r="L1372" i="3"/>
  <c r="K1372" i="3"/>
  <c r="M1371" i="3"/>
  <c r="L1371" i="3"/>
  <c r="K1371" i="3"/>
  <c r="M1370" i="3"/>
  <c r="L1370" i="3"/>
  <c r="K1370" i="3"/>
  <c r="M1369" i="3"/>
  <c r="L1369" i="3"/>
  <c r="K1369" i="3"/>
  <c r="M1368" i="3"/>
  <c r="L1368" i="3"/>
  <c r="K1368" i="3"/>
  <c r="M1367" i="3"/>
  <c r="L1367" i="3"/>
  <c r="K1367" i="3"/>
  <c r="M1366" i="3"/>
  <c r="L1366" i="3"/>
  <c r="K1366" i="3"/>
  <c r="M1365" i="3"/>
  <c r="L1365" i="3"/>
  <c r="K1365" i="3"/>
  <c r="M1364" i="3"/>
  <c r="L1364" i="3"/>
  <c r="K1364" i="3"/>
  <c r="M1363" i="3"/>
  <c r="L1363" i="3"/>
  <c r="K1363" i="3"/>
  <c r="M1362" i="3"/>
  <c r="L1362" i="3"/>
  <c r="K1362" i="3"/>
  <c r="M1361" i="3"/>
  <c r="L1361" i="3"/>
  <c r="K1361" i="3"/>
  <c r="M1360" i="3"/>
  <c r="L1360" i="3"/>
  <c r="K1360" i="3"/>
  <c r="M1359" i="3"/>
  <c r="L1359" i="3"/>
  <c r="K1359" i="3"/>
  <c r="M1358" i="3"/>
  <c r="L1358" i="3"/>
  <c r="K1358" i="3"/>
  <c r="M1357" i="3"/>
  <c r="L1357" i="3"/>
  <c r="K1357" i="3"/>
  <c r="M1356" i="3"/>
  <c r="L1356" i="3"/>
  <c r="K1356" i="3"/>
  <c r="M1355" i="3"/>
  <c r="L1355" i="3"/>
  <c r="K1355" i="3"/>
  <c r="M1354" i="3"/>
  <c r="L1354" i="3"/>
  <c r="K1354" i="3"/>
  <c r="M1353" i="3"/>
  <c r="L1353" i="3"/>
  <c r="K1353" i="3"/>
  <c r="M1352" i="3"/>
  <c r="L1352" i="3"/>
  <c r="K1352" i="3"/>
  <c r="M1351" i="3"/>
  <c r="L1351" i="3"/>
  <c r="K1351" i="3"/>
  <c r="M1350" i="3"/>
  <c r="L1350" i="3"/>
  <c r="K1350" i="3"/>
  <c r="M1349" i="3"/>
  <c r="L1349" i="3"/>
  <c r="K1349" i="3"/>
  <c r="M1348" i="3"/>
  <c r="L1348" i="3"/>
  <c r="K1348" i="3"/>
  <c r="M1347" i="3"/>
  <c r="L1347" i="3"/>
  <c r="K1347" i="3"/>
  <c r="M1346" i="3"/>
  <c r="L1346" i="3"/>
  <c r="K1346" i="3"/>
  <c r="M1345" i="3"/>
  <c r="L1345" i="3"/>
  <c r="K1345" i="3"/>
  <c r="M1344" i="3"/>
  <c r="L1344" i="3"/>
  <c r="K1344" i="3"/>
  <c r="M1343" i="3"/>
  <c r="L1343" i="3"/>
  <c r="K1343" i="3"/>
  <c r="M1342" i="3"/>
  <c r="L1342" i="3"/>
  <c r="K1342" i="3"/>
  <c r="M1341" i="3"/>
  <c r="L1341" i="3"/>
  <c r="K1341" i="3"/>
  <c r="M1340" i="3"/>
  <c r="L1340" i="3"/>
  <c r="K1340" i="3"/>
  <c r="M1339" i="3"/>
  <c r="L1339" i="3"/>
  <c r="K1339" i="3"/>
  <c r="M1338" i="3"/>
  <c r="L1338" i="3"/>
  <c r="K1338" i="3"/>
  <c r="M1337" i="3"/>
  <c r="L1337" i="3"/>
  <c r="K1337" i="3"/>
  <c r="M1336" i="3"/>
  <c r="L1336" i="3"/>
  <c r="K1336" i="3"/>
  <c r="M1335" i="3"/>
  <c r="L1335" i="3"/>
  <c r="K1335" i="3"/>
  <c r="M1334" i="3"/>
  <c r="L1334" i="3"/>
  <c r="K1334" i="3"/>
  <c r="M1333" i="3"/>
  <c r="L1333" i="3"/>
  <c r="K1333" i="3"/>
  <c r="M1332" i="3"/>
  <c r="L1332" i="3"/>
  <c r="K1332" i="3"/>
  <c r="M1331" i="3"/>
  <c r="L1331" i="3"/>
  <c r="K1331" i="3"/>
  <c r="M1330" i="3"/>
  <c r="L1330" i="3"/>
  <c r="K1330" i="3"/>
  <c r="M1329" i="3"/>
  <c r="L1329" i="3"/>
  <c r="K1329" i="3"/>
  <c r="M1328" i="3"/>
  <c r="L1328" i="3"/>
  <c r="K1328" i="3"/>
  <c r="M1327" i="3"/>
  <c r="L1327" i="3"/>
  <c r="K1327" i="3"/>
  <c r="M1326" i="3"/>
  <c r="L1326" i="3"/>
  <c r="K1326" i="3"/>
  <c r="M1325" i="3"/>
  <c r="L1325" i="3"/>
  <c r="K1325" i="3"/>
  <c r="M1324" i="3"/>
  <c r="L1324" i="3"/>
  <c r="K1324" i="3"/>
  <c r="M1323" i="3"/>
  <c r="L1323" i="3"/>
  <c r="K1323" i="3"/>
  <c r="M1322" i="3"/>
  <c r="L1322" i="3"/>
  <c r="K1322" i="3"/>
  <c r="M1321" i="3"/>
  <c r="L1321" i="3"/>
  <c r="K1321" i="3"/>
  <c r="M1320" i="3"/>
  <c r="L1320" i="3"/>
  <c r="K1320" i="3"/>
  <c r="M1319" i="3"/>
  <c r="L1319" i="3"/>
  <c r="K1319" i="3"/>
  <c r="M1318" i="3"/>
  <c r="L1318" i="3"/>
  <c r="K1318" i="3"/>
  <c r="M1317" i="3"/>
  <c r="L1317" i="3"/>
  <c r="K1317" i="3"/>
  <c r="M1316" i="3"/>
  <c r="L1316" i="3"/>
  <c r="K1316" i="3"/>
  <c r="M1315" i="3"/>
  <c r="L1315" i="3"/>
  <c r="K1315" i="3"/>
  <c r="M1314" i="3"/>
  <c r="L1314" i="3"/>
  <c r="K1314" i="3"/>
  <c r="M1313" i="3"/>
  <c r="L1313" i="3"/>
  <c r="K1313" i="3"/>
  <c r="M1312" i="3"/>
  <c r="L1312" i="3"/>
  <c r="K1312" i="3"/>
  <c r="M1311" i="3"/>
  <c r="L1311" i="3"/>
  <c r="K1311" i="3"/>
  <c r="M1310" i="3"/>
  <c r="L1310" i="3"/>
  <c r="K1310" i="3"/>
  <c r="M1309" i="3"/>
  <c r="L1309" i="3"/>
  <c r="K1309" i="3"/>
  <c r="M1308" i="3"/>
  <c r="L1308" i="3"/>
  <c r="K1308" i="3"/>
  <c r="M1307" i="3"/>
  <c r="L1307" i="3"/>
  <c r="K1307" i="3"/>
  <c r="M1306" i="3"/>
  <c r="L1306" i="3"/>
  <c r="K1306" i="3"/>
  <c r="M1305" i="3"/>
  <c r="L1305" i="3"/>
  <c r="K1305" i="3"/>
  <c r="M1304" i="3"/>
  <c r="L1304" i="3"/>
  <c r="K1304" i="3"/>
  <c r="M1303" i="3"/>
  <c r="L1303" i="3"/>
  <c r="K1303" i="3"/>
  <c r="M1302" i="3"/>
  <c r="L1302" i="3"/>
  <c r="K1302" i="3"/>
  <c r="M1301" i="3"/>
  <c r="L1301" i="3"/>
  <c r="K1301" i="3"/>
  <c r="M1300" i="3"/>
  <c r="L1300" i="3"/>
  <c r="K1300" i="3"/>
  <c r="M1299" i="3"/>
  <c r="L1299" i="3"/>
  <c r="K1299" i="3"/>
  <c r="M1298" i="3"/>
  <c r="L1298" i="3"/>
  <c r="K1298" i="3"/>
  <c r="M1297" i="3"/>
  <c r="L1297" i="3"/>
  <c r="K1297" i="3"/>
  <c r="M1296" i="3"/>
  <c r="L1296" i="3"/>
  <c r="K1296" i="3"/>
  <c r="M1295" i="3"/>
  <c r="L1295" i="3"/>
  <c r="K1295" i="3"/>
  <c r="M1294" i="3"/>
  <c r="L1294" i="3"/>
  <c r="K1294" i="3"/>
  <c r="M1293" i="3"/>
  <c r="L1293" i="3"/>
  <c r="K1293" i="3"/>
  <c r="M1292" i="3"/>
  <c r="L1292" i="3"/>
  <c r="K1292" i="3"/>
  <c r="M1291" i="3"/>
  <c r="L1291" i="3"/>
  <c r="K1291" i="3"/>
  <c r="M1290" i="3"/>
  <c r="L1290" i="3"/>
  <c r="K1290" i="3"/>
  <c r="M1289" i="3"/>
  <c r="L1289" i="3"/>
  <c r="K1289" i="3"/>
  <c r="M1288" i="3"/>
  <c r="L1288" i="3"/>
  <c r="K1288" i="3"/>
  <c r="M1287" i="3"/>
  <c r="L1287" i="3"/>
  <c r="K1287" i="3"/>
  <c r="M1286" i="3"/>
  <c r="L1286" i="3"/>
  <c r="K1286" i="3"/>
  <c r="M1285" i="3"/>
  <c r="L1285" i="3"/>
  <c r="K1285" i="3"/>
  <c r="M1284" i="3"/>
  <c r="L1284" i="3"/>
  <c r="K1284" i="3"/>
  <c r="M1283" i="3"/>
  <c r="L1283" i="3"/>
  <c r="K1283" i="3"/>
  <c r="M1282" i="3"/>
  <c r="L1282" i="3"/>
  <c r="K1282" i="3"/>
  <c r="M1281" i="3"/>
  <c r="L1281" i="3"/>
  <c r="K1281" i="3"/>
  <c r="M1280" i="3"/>
  <c r="L1280" i="3"/>
  <c r="K1280" i="3"/>
  <c r="M1279" i="3"/>
  <c r="L1279" i="3"/>
  <c r="K1279" i="3"/>
  <c r="M1278" i="3"/>
  <c r="L1278" i="3"/>
  <c r="K1278" i="3"/>
  <c r="M1277" i="3"/>
  <c r="L1277" i="3"/>
  <c r="K1277" i="3"/>
  <c r="M1276" i="3"/>
  <c r="L1276" i="3"/>
  <c r="K1276" i="3"/>
  <c r="M1275" i="3"/>
  <c r="L1275" i="3"/>
  <c r="K1275" i="3"/>
  <c r="M1274" i="3"/>
  <c r="L1274" i="3"/>
  <c r="K1274" i="3"/>
  <c r="M1273" i="3"/>
  <c r="L1273" i="3"/>
  <c r="K1273" i="3"/>
  <c r="M1272" i="3"/>
  <c r="L1272" i="3"/>
  <c r="K1272" i="3"/>
  <c r="M1271" i="3"/>
  <c r="L1271" i="3"/>
  <c r="K1271" i="3"/>
  <c r="M1270" i="3"/>
  <c r="L1270" i="3"/>
  <c r="K1270" i="3"/>
  <c r="M1269" i="3"/>
  <c r="L1269" i="3"/>
  <c r="K1269" i="3"/>
  <c r="M1268" i="3"/>
  <c r="L1268" i="3"/>
  <c r="K1268" i="3"/>
  <c r="M1267" i="3"/>
  <c r="L1267" i="3"/>
  <c r="K1267" i="3"/>
  <c r="M1266" i="3"/>
  <c r="L1266" i="3"/>
  <c r="K1266" i="3"/>
  <c r="M1265" i="3"/>
  <c r="L1265" i="3"/>
  <c r="K1265" i="3"/>
  <c r="M1264" i="3"/>
  <c r="L1264" i="3"/>
  <c r="K1264" i="3"/>
  <c r="M1263" i="3"/>
  <c r="L1263" i="3"/>
  <c r="K1263" i="3"/>
  <c r="M1262" i="3"/>
  <c r="L1262" i="3"/>
  <c r="K1262" i="3"/>
  <c r="M1261" i="3"/>
  <c r="L1261" i="3"/>
  <c r="K1261" i="3"/>
  <c r="M1260" i="3"/>
  <c r="L1260" i="3"/>
  <c r="K1260" i="3"/>
  <c r="M1259" i="3"/>
  <c r="L1259" i="3"/>
  <c r="K1259" i="3"/>
  <c r="M1258" i="3"/>
  <c r="L1258" i="3"/>
  <c r="K1258" i="3"/>
  <c r="M1257" i="3"/>
  <c r="L1257" i="3"/>
  <c r="K1257" i="3"/>
  <c r="M1256" i="3"/>
  <c r="L1256" i="3"/>
  <c r="K1256" i="3"/>
  <c r="M1255" i="3"/>
  <c r="L1255" i="3"/>
  <c r="K1255" i="3"/>
  <c r="M1254" i="3"/>
  <c r="L1254" i="3"/>
  <c r="K1254" i="3"/>
  <c r="M1253" i="3"/>
  <c r="L1253" i="3"/>
  <c r="K1253" i="3"/>
  <c r="M1252" i="3"/>
  <c r="L1252" i="3"/>
  <c r="K1252" i="3"/>
  <c r="M1251" i="3"/>
  <c r="L1251" i="3"/>
  <c r="K1251" i="3"/>
  <c r="M1250" i="3"/>
  <c r="L1250" i="3"/>
  <c r="K1250" i="3"/>
  <c r="M1249" i="3"/>
  <c r="L1249" i="3"/>
  <c r="K1249" i="3"/>
  <c r="M1248" i="3"/>
  <c r="L1248" i="3"/>
  <c r="K1248" i="3"/>
  <c r="M1247" i="3"/>
  <c r="L1247" i="3"/>
  <c r="K1247" i="3"/>
  <c r="M1246" i="3"/>
  <c r="L1246" i="3"/>
  <c r="K1246" i="3"/>
  <c r="M1245" i="3"/>
  <c r="L1245" i="3"/>
  <c r="K1245" i="3"/>
  <c r="M1244" i="3"/>
  <c r="L1244" i="3"/>
  <c r="K1244" i="3"/>
  <c r="M1243" i="3"/>
  <c r="L1243" i="3"/>
  <c r="K1243" i="3"/>
  <c r="M1242" i="3"/>
  <c r="L1242" i="3"/>
  <c r="K1242" i="3"/>
  <c r="M1241" i="3"/>
  <c r="L1241" i="3"/>
  <c r="K1241" i="3"/>
  <c r="M1240" i="3"/>
  <c r="L1240" i="3"/>
  <c r="K1240" i="3"/>
  <c r="M1239" i="3"/>
  <c r="L1239" i="3"/>
  <c r="K1239" i="3"/>
  <c r="M1238" i="3"/>
  <c r="L1238" i="3"/>
  <c r="K1238" i="3"/>
  <c r="M1237" i="3"/>
  <c r="L1237" i="3"/>
  <c r="K1237" i="3"/>
  <c r="M1236" i="3"/>
  <c r="L1236" i="3"/>
  <c r="K1236" i="3"/>
  <c r="M1235" i="3"/>
  <c r="L1235" i="3"/>
  <c r="K1235" i="3"/>
  <c r="M1234" i="3"/>
  <c r="L1234" i="3"/>
  <c r="K1234" i="3"/>
  <c r="M1233" i="3"/>
  <c r="L1233" i="3"/>
  <c r="K1233" i="3"/>
  <c r="M1232" i="3"/>
  <c r="L1232" i="3"/>
  <c r="K1232" i="3"/>
  <c r="M1231" i="3"/>
  <c r="L1231" i="3"/>
  <c r="K1231" i="3"/>
  <c r="M1230" i="3"/>
  <c r="L1230" i="3"/>
  <c r="K1230" i="3"/>
  <c r="M1229" i="3"/>
  <c r="L1229" i="3"/>
  <c r="K1229" i="3"/>
  <c r="M1228" i="3"/>
  <c r="L1228" i="3"/>
  <c r="K1228" i="3"/>
  <c r="M1227" i="3"/>
  <c r="L1227" i="3"/>
  <c r="K1227" i="3"/>
  <c r="M1226" i="3"/>
  <c r="L1226" i="3"/>
  <c r="K1226" i="3"/>
  <c r="M1225" i="3"/>
  <c r="L1225" i="3"/>
  <c r="K1225" i="3"/>
  <c r="M1224" i="3"/>
  <c r="L1224" i="3"/>
  <c r="K1224" i="3"/>
  <c r="M1223" i="3"/>
  <c r="L1223" i="3"/>
  <c r="K1223" i="3"/>
  <c r="M1222" i="3"/>
  <c r="L1222" i="3"/>
  <c r="K1222" i="3"/>
  <c r="M1221" i="3"/>
  <c r="L1221" i="3"/>
  <c r="K1221" i="3"/>
  <c r="M1220" i="3"/>
  <c r="L1220" i="3"/>
  <c r="K1220" i="3"/>
  <c r="M1219" i="3"/>
  <c r="L1219" i="3"/>
  <c r="K1219" i="3"/>
  <c r="M1218" i="3"/>
  <c r="L1218" i="3"/>
  <c r="K1218" i="3"/>
  <c r="M1217" i="3"/>
  <c r="L1217" i="3"/>
  <c r="K1217" i="3"/>
  <c r="M1216" i="3"/>
  <c r="L1216" i="3"/>
  <c r="K1216" i="3"/>
  <c r="M1215" i="3"/>
  <c r="L1215" i="3"/>
  <c r="K1215" i="3"/>
  <c r="M1214" i="3"/>
  <c r="L1214" i="3"/>
  <c r="K1214" i="3"/>
  <c r="M1213" i="3"/>
  <c r="L1213" i="3"/>
  <c r="K1213" i="3"/>
  <c r="M1212" i="3"/>
  <c r="L1212" i="3"/>
  <c r="K1212" i="3"/>
  <c r="M1211" i="3"/>
  <c r="L1211" i="3"/>
  <c r="K1211" i="3"/>
  <c r="M1210" i="3"/>
  <c r="L1210" i="3"/>
  <c r="K1210" i="3"/>
  <c r="M1209" i="3"/>
  <c r="L1209" i="3"/>
  <c r="K1209" i="3"/>
  <c r="M1208" i="3"/>
  <c r="L1208" i="3"/>
  <c r="K1208" i="3"/>
  <c r="M1207" i="3"/>
  <c r="L1207" i="3"/>
  <c r="K1207" i="3"/>
  <c r="M1206" i="3"/>
  <c r="L1206" i="3"/>
  <c r="K1206" i="3"/>
  <c r="M1205" i="3"/>
  <c r="L1205" i="3"/>
  <c r="K1205" i="3"/>
  <c r="M1204" i="3"/>
  <c r="L1204" i="3"/>
  <c r="K1204" i="3"/>
  <c r="M1203" i="3"/>
  <c r="L1203" i="3"/>
  <c r="K1203" i="3"/>
  <c r="M1202" i="3"/>
  <c r="L1202" i="3"/>
  <c r="K1202" i="3"/>
  <c r="M1201" i="3"/>
  <c r="L1201" i="3"/>
  <c r="K1201" i="3"/>
  <c r="M1200" i="3"/>
  <c r="L1200" i="3"/>
  <c r="K1200" i="3"/>
  <c r="M1199" i="3"/>
  <c r="L1199" i="3"/>
  <c r="K1199" i="3"/>
  <c r="M1198" i="3"/>
  <c r="L1198" i="3"/>
  <c r="K1198" i="3"/>
  <c r="M1197" i="3"/>
  <c r="L1197" i="3"/>
  <c r="K1197" i="3"/>
  <c r="M1196" i="3"/>
  <c r="L1196" i="3"/>
  <c r="K1196" i="3"/>
  <c r="M1195" i="3"/>
  <c r="L1195" i="3"/>
  <c r="K1195" i="3"/>
  <c r="M1194" i="3"/>
  <c r="L1194" i="3"/>
  <c r="K1194" i="3"/>
  <c r="M1193" i="3"/>
  <c r="L1193" i="3"/>
  <c r="K1193" i="3"/>
  <c r="M1192" i="3"/>
  <c r="L1192" i="3"/>
  <c r="K1192" i="3"/>
  <c r="M1191" i="3"/>
  <c r="L1191" i="3"/>
  <c r="K1191" i="3"/>
  <c r="M1190" i="3"/>
  <c r="L1190" i="3"/>
  <c r="K1190" i="3"/>
  <c r="M1189" i="3"/>
  <c r="L1189" i="3"/>
  <c r="K1189" i="3"/>
  <c r="M1188" i="3"/>
  <c r="L1188" i="3"/>
  <c r="K1188" i="3"/>
  <c r="M1187" i="3"/>
  <c r="L1187" i="3"/>
  <c r="K1187" i="3"/>
  <c r="M1186" i="3"/>
  <c r="L1186" i="3"/>
  <c r="K1186" i="3"/>
  <c r="M1185" i="3"/>
  <c r="L1185" i="3"/>
  <c r="K1185" i="3"/>
  <c r="M1184" i="3"/>
  <c r="L1184" i="3"/>
  <c r="K1184" i="3"/>
  <c r="M1183" i="3"/>
  <c r="L1183" i="3"/>
  <c r="K1183" i="3"/>
  <c r="M1182" i="3"/>
  <c r="L1182" i="3"/>
  <c r="K1182" i="3"/>
  <c r="M1181" i="3"/>
  <c r="L1181" i="3"/>
  <c r="K1181" i="3"/>
  <c r="M1180" i="3"/>
  <c r="L1180" i="3"/>
  <c r="K1180" i="3"/>
  <c r="M1179" i="3"/>
  <c r="L1179" i="3"/>
  <c r="K1179" i="3"/>
  <c r="M1178" i="3"/>
  <c r="L1178" i="3"/>
  <c r="K1178" i="3"/>
  <c r="M1177" i="3"/>
  <c r="L1177" i="3"/>
  <c r="K1177" i="3"/>
  <c r="M1176" i="3"/>
  <c r="L1176" i="3"/>
  <c r="K1176" i="3"/>
  <c r="M1175" i="3"/>
  <c r="L1175" i="3"/>
  <c r="K1175" i="3"/>
  <c r="M1174" i="3"/>
  <c r="L1174" i="3"/>
  <c r="K1174" i="3"/>
  <c r="M1173" i="3"/>
  <c r="L1173" i="3"/>
  <c r="K1173" i="3"/>
  <c r="M1172" i="3"/>
  <c r="L1172" i="3"/>
  <c r="K1172" i="3"/>
  <c r="M1171" i="3"/>
  <c r="L1171" i="3"/>
  <c r="K1171" i="3"/>
  <c r="M1170" i="3"/>
  <c r="L1170" i="3"/>
  <c r="K1170" i="3"/>
  <c r="M1169" i="3"/>
  <c r="L1169" i="3"/>
  <c r="K1169" i="3"/>
  <c r="M1168" i="3"/>
  <c r="L1168" i="3"/>
  <c r="K1168" i="3"/>
  <c r="M1167" i="3"/>
  <c r="L1167" i="3"/>
  <c r="K1167" i="3"/>
  <c r="M1166" i="3"/>
  <c r="L1166" i="3"/>
  <c r="K1166" i="3"/>
  <c r="M1165" i="3"/>
  <c r="L1165" i="3"/>
  <c r="K1165" i="3"/>
  <c r="M1164" i="3"/>
  <c r="L1164" i="3"/>
  <c r="K1164" i="3"/>
  <c r="M1163" i="3"/>
  <c r="L1163" i="3"/>
  <c r="K1163" i="3"/>
  <c r="M1162" i="3"/>
  <c r="L1162" i="3"/>
  <c r="K1162" i="3"/>
  <c r="M1161" i="3"/>
  <c r="L1161" i="3"/>
  <c r="K1161" i="3"/>
  <c r="M1160" i="3"/>
  <c r="L1160" i="3"/>
  <c r="K1160" i="3"/>
  <c r="M1159" i="3"/>
  <c r="L1159" i="3"/>
  <c r="K1159" i="3"/>
  <c r="M1158" i="3"/>
  <c r="L1158" i="3"/>
  <c r="K1158" i="3"/>
  <c r="M1157" i="3"/>
  <c r="L1157" i="3"/>
  <c r="K1157" i="3"/>
  <c r="M1156" i="3"/>
  <c r="L1156" i="3"/>
  <c r="K1156" i="3"/>
  <c r="M1155" i="3"/>
  <c r="L1155" i="3"/>
  <c r="K1155" i="3"/>
  <c r="M1154" i="3"/>
  <c r="L1154" i="3"/>
  <c r="K1154" i="3"/>
  <c r="M1153" i="3"/>
  <c r="L1153" i="3"/>
  <c r="K1153" i="3"/>
  <c r="M1152" i="3"/>
  <c r="L1152" i="3"/>
  <c r="K1152" i="3"/>
  <c r="M1151" i="3"/>
  <c r="L1151" i="3"/>
  <c r="K1151" i="3"/>
  <c r="M1150" i="3"/>
  <c r="L1150" i="3"/>
  <c r="K1150" i="3"/>
  <c r="M1149" i="3"/>
  <c r="L1149" i="3"/>
  <c r="K1149" i="3"/>
  <c r="M1148" i="3"/>
  <c r="L1148" i="3"/>
  <c r="K1148" i="3"/>
  <c r="M1147" i="3"/>
  <c r="L1147" i="3"/>
  <c r="K1147" i="3"/>
  <c r="M1146" i="3"/>
  <c r="L1146" i="3"/>
  <c r="K1146" i="3"/>
  <c r="M1145" i="3"/>
  <c r="L1145" i="3"/>
  <c r="K1145" i="3"/>
  <c r="M1144" i="3"/>
  <c r="L1144" i="3"/>
  <c r="K1144" i="3"/>
  <c r="M1143" i="3"/>
  <c r="L1143" i="3"/>
  <c r="K1143" i="3"/>
  <c r="M1142" i="3"/>
  <c r="L1142" i="3"/>
  <c r="K1142" i="3"/>
  <c r="M1141" i="3"/>
  <c r="L1141" i="3"/>
  <c r="K1141" i="3"/>
  <c r="M1140" i="3"/>
  <c r="L1140" i="3"/>
  <c r="K1140" i="3"/>
  <c r="M1139" i="3"/>
  <c r="L1139" i="3"/>
  <c r="K1139" i="3"/>
  <c r="M1138" i="3"/>
  <c r="L1138" i="3"/>
  <c r="K1138" i="3"/>
  <c r="M1137" i="3"/>
  <c r="L1137" i="3"/>
  <c r="K1137" i="3"/>
  <c r="M1136" i="3"/>
  <c r="L1136" i="3"/>
  <c r="K1136" i="3"/>
  <c r="M1135" i="3"/>
  <c r="L1135" i="3"/>
  <c r="K1135" i="3"/>
  <c r="M1134" i="3"/>
  <c r="L1134" i="3"/>
  <c r="K1134" i="3"/>
  <c r="M1133" i="3"/>
  <c r="L1133" i="3"/>
  <c r="K1133" i="3"/>
  <c r="M1132" i="3"/>
  <c r="L1132" i="3"/>
  <c r="K1132" i="3"/>
  <c r="M1131" i="3"/>
  <c r="L1131" i="3"/>
  <c r="K1131" i="3"/>
  <c r="M1130" i="3"/>
  <c r="L1130" i="3"/>
  <c r="K1130" i="3"/>
  <c r="M1129" i="3"/>
  <c r="L1129" i="3"/>
  <c r="K1129" i="3"/>
  <c r="M1128" i="3"/>
  <c r="L1128" i="3"/>
  <c r="K1128" i="3"/>
  <c r="M1127" i="3"/>
  <c r="L1127" i="3"/>
  <c r="K1127" i="3"/>
  <c r="M1126" i="3"/>
  <c r="L1126" i="3"/>
  <c r="K1126" i="3"/>
  <c r="M1125" i="3"/>
  <c r="L1125" i="3"/>
  <c r="K1125" i="3"/>
  <c r="M1124" i="3"/>
  <c r="L1124" i="3"/>
  <c r="K1124" i="3"/>
  <c r="M1123" i="3"/>
  <c r="L1123" i="3"/>
  <c r="K1123" i="3"/>
  <c r="M1122" i="3"/>
  <c r="L1122" i="3"/>
  <c r="K1122" i="3"/>
  <c r="M1121" i="3"/>
  <c r="L1121" i="3"/>
  <c r="K1121" i="3"/>
  <c r="M1120" i="3"/>
  <c r="L1120" i="3"/>
  <c r="K1120" i="3"/>
  <c r="M1119" i="3"/>
  <c r="L1119" i="3"/>
  <c r="K1119" i="3"/>
  <c r="M1118" i="3"/>
  <c r="L1118" i="3"/>
  <c r="K1118" i="3"/>
  <c r="M1117" i="3"/>
  <c r="L1117" i="3"/>
  <c r="K1117" i="3"/>
  <c r="M1116" i="3"/>
  <c r="L1116" i="3"/>
  <c r="K1116" i="3"/>
  <c r="M1115" i="3"/>
  <c r="L1115" i="3"/>
  <c r="K1115" i="3"/>
  <c r="M1114" i="3"/>
  <c r="L1114" i="3"/>
  <c r="K1114" i="3"/>
  <c r="M1113" i="3"/>
  <c r="L1113" i="3"/>
  <c r="K1113" i="3"/>
  <c r="M1112" i="3"/>
  <c r="L1112" i="3"/>
  <c r="K1112" i="3"/>
  <c r="M1111" i="3"/>
  <c r="L1111" i="3"/>
  <c r="K1111" i="3"/>
  <c r="M1110" i="3"/>
  <c r="L1110" i="3"/>
  <c r="K1110" i="3"/>
  <c r="M1109" i="3"/>
  <c r="L1109" i="3"/>
  <c r="K1109" i="3"/>
  <c r="M1108" i="3"/>
  <c r="L1108" i="3"/>
  <c r="K1108" i="3"/>
  <c r="M1107" i="3"/>
  <c r="L1107" i="3"/>
  <c r="K1107" i="3"/>
  <c r="M1106" i="3"/>
  <c r="L1106" i="3"/>
  <c r="K1106" i="3"/>
  <c r="M1105" i="3"/>
  <c r="L1105" i="3"/>
  <c r="K1105" i="3"/>
  <c r="M1104" i="3"/>
  <c r="L1104" i="3"/>
  <c r="K1104" i="3"/>
  <c r="M1103" i="3"/>
  <c r="L1103" i="3"/>
  <c r="K1103" i="3"/>
  <c r="M1102" i="3"/>
  <c r="L1102" i="3"/>
  <c r="K1102" i="3"/>
  <c r="M1101" i="3"/>
  <c r="L1101" i="3"/>
  <c r="K1101" i="3"/>
  <c r="M1100" i="3"/>
  <c r="L1100" i="3"/>
  <c r="K1100" i="3"/>
  <c r="M1099" i="3"/>
  <c r="L1099" i="3"/>
  <c r="K1099" i="3"/>
  <c r="M1098" i="3"/>
  <c r="L1098" i="3"/>
  <c r="K1098" i="3"/>
  <c r="M1097" i="3"/>
  <c r="L1097" i="3"/>
  <c r="K1097" i="3"/>
  <c r="M1096" i="3"/>
  <c r="L1096" i="3"/>
  <c r="K1096" i="3"/>
  <c r="M1095" i="3"/>
  <c r="L1095" i="3"/>
  <c r="K1095" i="3"/>
  <c r="M1094" i="3"/>
  <c r="L1094" i="3"/>
  <c r="K1094" i="3"/>
  <c r="M1093" i="3"/>
  <c r="L1093" i="3"/>
  <c r="K1093" i="3"/>
  <c r="M1092" i="3"/>
  <c r="L1092" i="3"/>
  <c r="K1092" i="3"/>
  <c r="M1091" i="3"/>
  <c r="L1091" i="3"/>
  <c r="K1091" i="3"/>
  <c r="M1090" i="3"/>
  <c r="L1090" i="3"/>
  <c r="K1090" i="3"/>
  <c r="M1089" i="3"/>
  <c r="L1089" i="3"/>
  <c r="K1089" i="3"/>
  <c r="M1088" i="3"/>
  <c r="L1088" i="3"/>
  <c r="K1088" i="3"/>
  <c r="M1087" i="3"/>
  <c r="L1087" i="3"/>
  <c r="K1087" i="3"/>
  <c r="M1086" i="3"/>
  <c r="L1086" i="3"/>
  <c r="K1086" i="3"/>
  <c r="M1085" i="3"/>
  <c r="L1085" i="3"/>
  <c r="K1085" i="3"/>
  <c r="M1084" i="3"/>
  <c r="L1084" i="3"/>
  <c r="K1084" i="3"/>
  <c r="M1083" i="3"/>
  <c r="L1083" i="3"/>
  <c r="K1083" i="3"/>
  <c r="M1082" i="3"/>
  <c r="L1082" i="3"/>
  <c r="K1082" i="3"/>
  <c r="M1081" i="3"/>
  <c r="L1081" i="3"/>
  <c r="K1081" i="3"/>
  <c r="M1080" i="3"/>
  <c r="L1080" i="3"/>
  <c r="K1080" i="3"/>
  <c r="M1079" i="3"/>
  <c r="L1079" i="3"/>
  <c r="K1079" i="3"/>
  <c r="M1078" i="3"/>
  <c r="L1078" i="3"/>
  <c r="K1078" i="3"/>
  <c r="M1077" i="3"/>
  <c r="L1077" i="3"/>
  <c r="K1077" i="3"/>
  <c r="M1076" i="3"/>
  <c r="L1076" i="3"/>
  <c r="K1076" i="3"/>
  <c r="M1075" i="3"/>
  <c r="L1075" i="3"/>
  <c r="K1075" i="3"/>
  <c r="M1074" i="3"/>
  <c r="L1074" i="3"/>
  <c r="K1074" i="3"/>
  <c r="M1073" i="3"/>
  <c r="L1073" i="3"/>
  <c r="K1073" i="3"/>
  <c r="M1072" i="3"/>
  <c r="L1072" i="3"/>
  <c r="K1072" i="3"/>
  <c r="M1071" i="3"/>
  <c r="L1071" i="3"/>
  <c r="K1071" i="3"/>
  <c r="M1070" i="3"/>
  <c r="L1070" i="3"/>
  <c r="K1070" i="3"/>
  <c r="M1069" i="3"/>
  <c r="L1069" i="3"/>
  <c r="K1069" i="3"/>
  <c r="M1068" i="3"/>
  <c r="L1068" i="3"/>
  <c r="K1068" i="3"/>
  <c r="M1067" i="3"/>
  <c r="L1067" i="3"/>
  <c r="K1067" i="3"/>
  <c r="M1066" i="3"/>
  <c r="L1066" i="3"/>
  <c r="K1066" i="3"/>
  <c r="M1065" i="3"/>
  <c r="L1065" i="3"/>
  <c r="K1065" i="3"/>
  <c r="M1064" i="3"/>
  <c r="L1064" i="3"/>
  <c r="K1064" i="3"/>
  <c r="M1063" i="3"/>
  <c r="L1063" i="3"/>
  <c r="K1063" i="3"/>
  <c r="M1062" i="3"/>
  <c r="L1062" i="3"/>
  <c r="K1062" i="3"/>
  <c r="M1061" i="3"/>
  <c r="L1061" i="3"/>
  <c r="K1061" i="3"/>
  <c r="M1060" i="3"/>
  <c r="L1060" i="3"/>
  <c r="K1060" i="3"/>
  <c r="M1059" i="3"/>
  <c r="L1059" i="3"/>
  <c r="K1059" i="3"/>
  <c r="M1058" i="3"/>
  <c r="L1058" i="3"/>
  <c r="K1058" i="3"/>
  <c r="M1057" i="3"/>
  <c r="L1057" i="3"/>
  <c r="K1057" i="3"/>
  <c r="M1056" i="3"/>
  <c r="L1056" i="3"/>
  <c r="K1056" i="3"/>
  <c r="M1055" i="3"/>
  <c r="L1055" i="3"/>
  <c r="K1055" i="3"/>
  <c r="M1054" i="3"/>
  <c r="L1054" i="3"/>
  <c r="K1054" i="3"/>
  <c r="M1053" i="3"/>
  <c r="L1053" i="3"/>
  <c r="K1053" i="3"/>
  <c r="M1052" i="3"/>
  <c r="L1052" i="3"/>
  <c r="K1052" i="3"/>
  <c r="M1051" i="3"/>
  <c r="L1051" i="3"/>
  <c r="K1051" i="3"/>
  <c r="M1050" i="3"/>
  <c r="L1050" i="3"/>
  <c r="K1050" i="3"/>
  <c r="M1049" i="3"/>
  <c r="L1049" i="3"/>
  <c r="K1049" i="3"/>
  <c r="M1048" i="3"/>
  <c r="L1048" i="3"/>
  <c r="K1048" i="3"/>
  <c r="M1047" i="3"/>
  <c r="L1047" i="3"/>
  <c r="K1047" i="3"/>
  <c r="M1046" i="3"/>
  <c r="L1046" i="3"/>
  <c r="K1046" i="3"/>
  <c r="M1045" i="3"/>
  <c r="L1045" i="3"/>
  <c r="K1045" i="3"/>
  <c r="M1044" i="3"/>
  <c r="L1044" i="3"/>
  <c r="K1044" i="3"/>
  <c r="M1043" i="3"/>
  <c r="L1043" i="3"/>
  <c r="K1043" i="3"/>
  <c r="M1042" i="3"/>
  <c r="L1042" i="3"/>
  <c r="K1042" i="3"/>
  <c r="M1041" i="3"/>
  <c r="L1041" i="3"/>
  <c r="K1041" i="3"/>
  <c r="M1040" i="3"/>
  <c r="L1040" i="3"/>
  <c r="K1040" i="3"/>
  <c r="M1039" i="3"/>
  <c r="L1039" i="3"/>
  <c r="K1039" i="3"/>
  <c r="M1038" i="3"/>
  <c r="L1038" i="3"/>
  <c r="K1038" i="3"/>
  <c r="M1037" i="3"/>
  <c r="L1037" i="3"/>
  <c r="K1037" i="3"/>
  <c r="M1036" i="3"/>
  <c r="L1036" i="3"/>
  <c r="K1036" i="3"/>
  <c r="M1035" i="3"/>
  <c r="L1035" i="3"/>
  <c r="K1035" i="3"/>
  <c r="M1034" i="3"/>
  <c r="L1034" i="3"/>
  <c r="K1034" i="3"/>
  <c r="M1033" i="3"/>
  <c r="L1033" i="3"/>
  <c r="K1033" i="3"/>
  <c r="M1032" i="3"/>
  <c r="L1032" i="3"/>
  <c r="K1032" i="3"/>
  <c r="M1031" i="3"/>
  <c r="L1031" i="3"/>
  <c r="K1031" i="3"/>
  <c r="M1030" i="3"/>
  <c r="L1030" i="3"/>
  <c r="K1030" i="3"/>
  <c r="M1029" i="3"/>
  <c r="L1029" i="3"/>
  <c r="K1029" i="3"/>
  <c r="M1028" i="3"/>
  <c r="L1028" i="3"/>
  <c r="K1028" i="3"/>
  <c r="M1027" i="3"/>
  <c r="L1027" i="3"/>
  <c r="K1027" i="3"/>
  <c r="M1026" i="3"/>
  <c r="L1026" i="3"/>
  <c r="K1026" i="3"/>
  <c r="M1025" i="3"/>
  <c r="L1025" i="3"/>
  <c r="K1025" i="3"/>
  <c r="M1024" i="3"/>
  <c r="L1024" i="3"/>
  <c r="K1024" i="3"/>
  <c r="M1023" i="3"/>
  <c r="L1023" i="3"/>
  <c r="K1023" i="3"/>
  <c r="M1022" i="3"/>
  <c r="L1022" i="3"/>
  <c r="K1022" i="3"/>
  <c r="M1021" i="3"/>
  <c r="L1021" i="3"/>
  <c r="K1021" i="3"/>
  <c r="M1020" i="3"/>
  <c r="L1020" i="3"/>
  <c r="K1020" i="3"/>
  <c r="M1019" i="3"/>
  <c r="L1019" i="3"/>
  <c r="K1019" i="3"/>
  <c r="M1018" i="3"/>
  <c r="L1018" i="3"/>
  <c r="K1018" i="3"/>
  <c r="M1017" i="3"/>
  <c r="L1017" i="3"/>
  <c r="K1017" i="3"/>
  <c r="M1016" i="3"/>
  <c r="L1016" i="3"/>
  <c r="K1016" i="3"/>
  <c r="M1015" i="3"/>
  <c r="L1015" i="3"/>
  <c r="K1015" i="3"/>
  <c r="M1014" i="3"/>
  <c r="L1014" i="3"/>
  <c r="K1014" i="3"/>
  <c r="M1013" i="3"/>
  <c r="L1013" i="3"/>
  <c r="K1013" i="3"/>
  <c r="M1012" i="3"/>
  <c r="L1012" i="3"/>
  <c r="K1012" i="3"/>
  <c r="M1011" i="3"/>
  <c r="L1011" i="3"/>
  <c r="K1011" i="3"/>
  <c r="M1010" i="3"/>
  <c r="L1010" i="3"/>
  <c r="K1010" i="3"/>
  <c r="M1009" i="3"/>
  <c r="L1009" i="3"/>
  <c r="K1009" i="3"/>
  <c r="M1008" i="3"/>
  <c r="L1008" i="3"/>
  <c r="K1008" i="3"/>
  <c r="M1007" i="3"/>
  <c r="L1007" i="3"/>
  <c r="K1007" i="3"/>
  <c r="M1006" i="3"/>
  <c r="L1006" i="3"/>
  <c r="K1006" i="3"/>
  <c r="M1005" i="3"/>
  <c r="L1005" i="3"/>
  <c r="K1005" i="3"/>
  <c r="M1004" i="3"/>
  <c r="L1004" i="3"/>
  <c r="K1004" i="3"/>
  <c r="M1003" i="3"/>
  <c r="L1003" i="3"/>
  <c r="K1003" i="3"/>
  <c r="M1002" i="3"/>
  <c r="L1002" i="3"/>
  <c r="K1002" i="3"/>
  <c r="M1001" i="3"/>
  <c r="L1001" i="3"/>
  <c r="K1001" i="3"/>
  <c r="M1000" i="3"/>
  <c r="L1000" i="3"/>
  <c r="K1000" i="3"/>
  <c r="M999" i="3"/>
  <c r="L999" i="3"/>
  <c r="K999" i="3"/>
  <c r="M998" i="3"/>
  <c r="L998" i="3"/>
  <c r="K998" i="3"/>
  <c r="M997" i="3"/>
  <c r="L997" i="3"/>
  <c r="K997" i="3"/>
  <c r="M996" i="3"/>
  <c r="L996" i="3"/>
  <c r="K996" i="3"/>
  <c r="M995" i="3"/>
  <c r="L995" i="3"/>
  <c r="K995" i="3"/>
  <c r="M994" i="3"/>
  <c r="L994" i="3"/>
  <c r="K994" i="3"/>
  <c r="M993" i="3"/>
  <c r="L993" i="3"/>
  <c r="K993" i="3"/>
  <c r="M992" i="3"/>
  <c r="L992" i="3"/>
  <c r="K992" i="3"/>
  <c r="M991" i="3"/>
  <c r="L991" i="3"/>
  <c r="K991" i="3"/>
  <c r="M990" i="3"/>
  <c r="L990" i="3"/>
  <c r="K990" i="3"/>
  <c r="M989" i="3"/>
  <c r="L989" i="3"/>
  <c r="K989" i="3"/>
  <c r="M988" i="3"/>
  <c r="L988" i="3"/>
  <c r="K988" i="3"/>
  <c r="M987" i="3"/>
  <c r="L987" i="3"/>
  <c r="K987" i="3"/>
  <c r="M986" i="3"/>
  <c r="L986" i="3"/>
  <c r="K986" i="3"/>
  <c r="M985" i="3"/>
  <c r="L985" i="3"/>
  <c r="K985" i="3"/>
  <c r="M984" i="3"/>
  <c r="L984" i="3"/>
  <c r="K984" i="3"/>
  <c r="M983" i="3"/>
  <c r="L983" i="3"/>
  <c r="K983" i="3"/>
  <c r="M982" i="3"/>
  <c r="L982" i="3"/>
  <c r="K982" i="3"/>
  <c r="M981" i="3"/>
  <c r="L981" i="3"/>
  <c r="K981" i="3"/>
  <c r="M980" i="3"/>
  <c r="L980" i="3"/>
  <c r="K980" i="3"/>
  <c r="M979" i="3"/>
  <c r="L979" i="3"/>
  <c r="K979" i="3"/>
  <c r="M978" i="3"/>
  <c r="L978" i="3"/>
  <c r="K978" i="3"/>
  <c r="M977" i="3"/>
  <c r="L977" i="3"/>
  <c r="K977" i="3"/>
  <c r="M976" i="3"/>
  <c r="L976" i="3"/>
  <c r="K976" i="3"/>
  <c r="M975" i="3"/>
  <c r="L975" i="3"/>
  <c r="K975" i="3"/>
  <c r="M974" i="3"/>
  <c r="L974" i="3"/>
  <c r="K974" i="3"/>
  <c r="M973" i="3"/>
  <c r="L973" i="3"/>
  <c r="K973" i="3"/>
  <c r="M972" i="3"/>
  <c r="L972" i="3"/>
  <c r="K972" i="3"/>
  <c r="M971" i="3"/>
  <c r="L971" i="3"/>
  <c r="K971" i="3"/>
  <c r="M970" i="3"/>
  <c r="L970" i="3"/>
  <c r="K970" i="3"/>
  <c r="M969" i="3"/>
  <c r="L969" i="3"/>
  <c r="K969" i="3"/>
  <c r="M968" i="3"/>
  <c r="L968" i="3"/>
  <c r="K968" i="3"/>
  <c r="M967" i="3"/>
  <c r="L967" i="3"/>
  <c r="K967" i="3"/>
  <c r="M966" i="3"/>
  <c r="L966" i="3"/>
  <c r="K966" i="3"/>
  <c r="M965" i="3"/>
  <c r="L965" i="3"/>
  <c r="K965" i="3"/>
  <c r="M964" i="3"/>
  <c r="L964" i="3"/>
  <c r="K964" i="3"/>
  <c r="M963" i="3"/>
  <c r="L963" i="3"/>
  <c r="K963" i="3"/>
  <c r="M962" i="3"/>
  <c r="L962" i="3"/>
  <c r="K962" i="3"/>
  <c r="M961" i="3"/>
  <c r="L961" i="3"/>
  <c r="K961" i="3"/>
  <c r="M960" i="3"/>
  <c r="L960" i="3"/>
  <c r="K960" i="3"/>
  <c r="M959" i="3"/>
  <c r="L959" i="3"/>
  <c r="K959" i="3"/>
  <c r="M958" i="3"/>
  <c r="L958" i="3"/>
  <c r="K958" i="3"/>
  <c r="M957" i="3"/>
  <c r="L957" i="3"/>
  <c r="K957" i="3"/>
  <c r="M956" i="3"/>
  <c r="L956" i="3"/>
  <c r="K956" i="3"/>
  <c r="M955" i="3"/>
  <c r="L955" i="3"/>
  <c r="K955" i="3"/>
  <c r="M954" i="3"/>
  <c r="L954" i="3"/>
  <c r="K954" i="3"/>
  <c r="M953" i="3"/>
  <c r="L953" i="3"/>
  <c r="K953" i="3"/>
  <c r="M952" i="3"/>
  <c r="L952" i="3"/>
  <c r="K952" i="3"/>
  <c r="M951" i="3"/>
  <c r="L951" i="3"/>
  <c r="K951" i="3"/>
  <c r="M950" i="3"/>
  <c r="L950" i="3"/>
  <c r="K950" i="3"/>
  <c r="M949" i="3"/>
  <c r="L949" i="3"/>
  <c r="K949" i="3"/>
  <c r="M948" i="3"/>
  <c r="L948" i="3"/>
  <c r="K948" i="3"/>
  <c r="M947" i="3"/>
  <c r="L947" i="3"/>
  <c r="K947" i="3"/>
  <c r="M946" i="3"/>
  <c r="L946" i="3"/>
  <c r="K946" i="3"/>
  <c r="M945" i="3"/>
  <c r="L945" i="3"/>
  <c r="K945" i="3"/>
  <c r="M944" i="3"/>
  <c r="L944" i="3"/>
  <c r="K944" i="3"/>
  <c r="M943" i="3"/>
  <c r="L943" i="3"/>
  <c r="K943" i="3"/>
  <c r="M942" i="3"/>
  <c r="L942" i="3"/>
  <c r="K942" i="3"/>
  <c r="M941" i="3"/>
  <c r="L941" i="3"/>
  <c r="K941" i="3"/>
  <c r="M940" i="3"/>
  <c r="L940" i="3"/>
  <c r="K940" i="3"/>
  <c r="M939" i="3"/>
  <c r="L939" i="3"/>
  <c r="K939" i="3"/>
  <c r="M938" i="3"/>
  <c r="L938" i="3"/>
  <c r="K938" i="3"/>
  <c r="M937" i="3"/>
  <c r="L937" i="3"/>
  <c r="K937" i="3"/>
  <c r="M936" i="3"/>
  <c r="L936" i="3"/>
  <c r="K936" i="3"/>
  <c r="M935" i="3"/>
  <c r="L935" i="3"/>
  <c r="K935" i="3"/>
  <c r="M934" i="3"/>
  <c r="L934" i="3"/>
  <c r="K934" i="3"/>
  <c r="M933" i="3"/>
  <c r="L933" i="3"/>
  <c r="K933" i="3"/>
  <c r="M932" i="3"/>
  <c r="L932" i="3"/>
  <c r="K932" i="3"/>
  <c r="M931" i="3"/>
  <c r="L931" i="3"/>
  <c r="K931" i="3"/>
  <c r="M930" i="3"/>
  <c r="L930" i="3"/>
  <c r="K930" i="3"/>
  <c r="M929" i="3"/>
  <c r="L929" i="3"/>
  <c r="K929" i="3"/>
  <c r="M928" i="3"/>
  <c r="L928" i="3"/>
  <c r="K928" i="3"/>
  <c r="M927" i="3"/>
  <c r="L927" i="3"/>
  <c r="K927" i="3"/>
  <c r="M926" i="3"/>
  <c r="L926" i="3"/>
  <c r="K926" i="3"/>
  <c r="M925" i="3"/>
  <c r="L925" i="3"/>
  <c r="K925" i="3"/>
  <c r="M924" i="3"/>
  <c r="L924" i="3"/>
  <c r="K924" i="3"/>
  <c r="M923" i="3"/>
  <c r="L923" i="3"/>
  <c r="K923" i="3"/>
  <c r="M922" i="3"/>
  <c r="L922" i="3"/>
  <c r="K922" i="3"/>
  <c r="M921" i="3"/>
  <c r="L921" i="3"/>
  <c r="K921" i="3"/>
  <c r="M920" i="3"/>
  <c r="L920" i="3"/>
  <c r="K920" i="3"/>
  <c r="M919" i="3"/>
  <c r="L919" i="3"/>
  <c r="K919" i="3"/>
  <c r="M918" i="3"/>
  <c r="L918" i="3"/>
  <c r="K918" i="3"/>
  <c r="M917" i="3"/>
  <c r="L917" i="3"/>
  <c r="K917" i="3"/>
  <c r="M916" i="3"/>
  <c r="L916" i="3"/>
  <c r="K916" i="3"/>
  <c r="M915" i="3"/>
  <c r="L915" i="3"/>
  <c r="K915" i="3"/>
  <c r="M914" i="3"/>
  <c r="L914" i="3"/>
  <c r="K914" i="3"/>
  <c r="M913" i="3"/>
  <c r="L913" i="3"/>
  <c r="K913" i="3"/>
  <c r="M912" i="3"/>
  <c r="L912" i="3"/>
  <c r="K912" i="3"/>
  <c r="M911" i="3"/>
  <c r="L911" i="3"/>
  <c r="K911" i="3"/>
  <c r="M910" i="3"/>
  <c r="L910" i="3"/>
  <c r="K910" i="3"/>
  <c r="M909" i="3"/>
  <c r="L909" i="3"/>
  <c r="K909" i="3"/>
  <c r="M908" i="3"/>
  <c r="L908" i="3"/>
  <c r="K908" i="3"/>
  <c r="M907" i="3"/>
  <c r="L907" i="3"/>
  <c r="K907" i="3"/>
  <c r="M906" i="3"/>
  <c r="L906" i="3"/>
  <c r="K906" i="3"/>
  <c r="M905" i="3"/>
  <c r="L905" i="3"/>
  <c r="K905" i="3"/>
  <c r="M904" i="3"/>
  <c r="L904" i="3"/>
  <c r="K904" i="3"/>
  <c r="M903" i="3"/>
  <c r="L903" i="3"/>
  <c r="K903" i="3"/>
  <c r="M902" i="3"/>
  <c r="L902" i="3"/>
  <c r="K902" i="3"/>
  <c r="M901" i="3"/>
  <c r="L901" i="3"/>
  <c r="K901" i="3"/>
  <c r="M900" i="3"/>
  <c r="L900" i="3"/>
  <c r="K900" i="3"/>
  <c r="M899" i="3"/>
  <c r="L899" i="3"/>
  <c r="K899" i="3"/>
  <c r="M898" i="3"/>
  <c r="L898" i="3"/>
  <c r="K898" i="3"/>
  <c r="M897" i="3"/>
  <c r="L897" i="3"/>
  <c r="K897" i="3"/>
  <c r="M896" i="3"/>
  <c r="L896" i="3"/>
  <c r="K896" i="3"/>
  <c r="M895" i="3"/>
  <c r="L895" i="3"/>
  <c r="K895" i="3"/>
  <c r="M894" i="3"/>
  <c r="L894" i="3"/>
  <c r="K894" i="3"/>
  <c r="M893" i="3"/>
  <c r="L893" i="3"/>
  <c r="K893" i="3"/>
  <c r="M892" i="3"/>
  <c r="L892" i="3"/>
  <c r="K892" i="3"/>
  <c r="M891" i="3"/>
  <c r="L891" i="3"/>
  <c r="K891" i="3"/>
  <c r="M890" i="3"/>
  <c r="L890" i="3"/>
  <c r="K890" i="3"/>
  <c r="M889" i="3"/>
  <c r="L889" i="3"/>
  <c r="K889" i="3"/>
  <c r="M888" i="3"/>
  <c r="L888" i="3"/>
  <c r="K888" i="3"/>
  <c r="M887" i="3"/>
  <c r="L887" i="3"/>
  <c r="K887" i="3"/>
  <c r="M886" i="3"/>
  <c r="L886" i="3"/>
  <c r="K886" i="3"/>
  <c r="M885" i="3"/>
  <c r="L885" i="3"/>
  <c r="K885" i="3"/>
  <c r="M884" i="3"/>
  <c r="L884" i="3"/>
  <c r="K884" i="3"/>
  <c r="M883" i="3"/>
  <c r="L883" i="3"/>
  <c r="K883" i="3"/>
  <c r="M882" i="3"/>
  <c r="L882" i="3"/>
  <c r="K882" i="3"/>
  <c r="M881" i="3"/>
  <c r="L881" i="3"/>
  <c r="K881" i="3"/>
  <c r="M880" i="3"/>
  <c r="L880" i="3"/>
  <c r="K880" i="3"/>
  <c r="M879" i="3"/>
  <c r="L879" i="3"/>
  <c r="K879" i="3"/>
  <c r="M878" i="3"/>
  <c r="L878" i="3"/>
  <c r="K878" i="3"/>
  <c r="M877" i="3"/>
  <c r="L877" i="3"/>
  <c r="K877" i="3"/>
  <c r="M876" i="3"/>
  <c r="L876" i="3"/>
  <c r="K876" i="3"/>
  <c r="M875" i="3"/>
  <c r="L875" i="3"/>
  <c r="K875" i="3"/>
  <c r="M874" i="3"/>
  <c r="L874" i="3"/>
  <c r="K874" i="3"/>
  <c r="M873" i="3"/>
  <c r="L873" i="3"/>
  <c r="K873" i="3"/>
  <c r="M872" i="3"/>
  <c r="L872" i="3"/>
  <c r="K872" i="3"/>
  <c r="M871" i="3"/>
  <c r="L871" i="3"/>
  <c r="K871" i="3"/>
  <c r="M870" i="3"/>
  <c r="L870" i="3"/>
  <c r="K870" i="3"/>
  <c r="M869" i="3"/>
  <c r="L869" i="3"/>
  <c r="K869" i="3"/>
  <c r="M868" i="3"/>
  <c r="L868" i="3"/>
  <c r="K868" i="3"/>
  <c r="M867" i="3"/>
  <c r="L867" i="3"/>
  <c r="K867" i="3"/>
  <c r="M866" i="3"/>
  <c r="L866" i="3"/>
  <c r="K866" i="3"/>
  <c r="M865" i="3"/>
  <c r="L865" i="3"/>
  <c r="K865" i="3"/>
  <c r="M864" i="3"/>
  <c r="L864" i="3"/>
  <c r="K864" i="3"/>
  <c r="M863" i="3"/>
  <c r="L863" i="3"/>
  <c r="K863" i="3"/>
  <c r="M862" i="3"/>
  <c r="L862" i="3"/>
  <c r="K862" i="3"/>
  <c r="M861" i="3"/>
  <c r="L861" i="3"/>
  <c r="K861" i="3"/>
  <c r="M860" i="3"/>
  <c r="L860" i="3"/>
  <c r="K860" i="3"/>
  <c r="M859" i="3"/>
  <c r="L859" i="3"/>
  <c r="K859" i="3"/>
  <c r="M858" i="3"/>
  <c r="L858" i="3"/>
  <c r="K858" i="3"/>
  <c r="M857" i="3"/>
  <c r="L857" i="3"/>
  <c r="K857" i="3"/>
  <c r="M856" i="3"/>
  <c r="L856" i="3"/>
  <c r="K856" i="3"/>
  <c r="M855" i="3"/>
  <c r="L855" i="3"/>
  <c r="K855" i="3"/>
  <c r="M854" i="3"/>
  <c r="L854" i="3"/>
  <c r="K854" i="3"/>
  <c r="M853" i="3"/>
  <c r="L853" i="3"/>
  <c r="K853" i="3"/>
  <c r="M852" i="3"/>
  <c r="L852" i="3"/>
  <c r="K852" i="3"/>
  <c r="M851" i="3"/>
  <c r="L851" i="3"/>
  <c r="K851" i="3"/>
  <c r="M850" i="3"/>
  <c r="L850" i="3"/>
  <c r="K850" i="3"/>
  <c r="M849" i="3"/>
  <c r="L849" i="3"/>
  <c r="K849" i="3"/>
  <c r="M848" i="3"/>
  <c r="L848" i="3"/>
  <c r="K848" i="3"/>
  <c r="M847" i="3"/>
  <c r="L847" i="3"/>
  <c r="K847" i="3"/>
  <c r="M846" i="3"/>
  <c r="L846" i="3"/>
  <c r="K846" i="3"/>
  <c r="M845" i="3"/>
  <c r="L845" i="3"/>
  <c r="K845" i="3"/>
  <c r="M844" i="3"/>
  <c r="L844" i="3"/>
  <c r="K844" i="3"/>
  <c r="M843" i="3"/>
  <c r="L843" i="3"/>
  <c r="K843" i="3"/>
  <c r="M842" i="3"/>
  <c r="L842" i="3"/>
  <c r="K842" i="3"/>
  <c r="M841" i="3"/>
  <c r="L841" i="3"/>
  <c r="K841" i="3"/>
  <c r="M840" i="3"/>
  <c r="L840" i="3"/>
  <c r="K840" i="3"/>
  <c r="M839" i="3"/>
  <c r="L839" i="3"/>
  <c r="K839" i="3"/>
  <c r="M838" i="3"/>
  <c r="L838" i="3"/>
  <c r="K838" i="3"/>
  <c r="M837" i="3"/>
  <c r="L837" i="3"/>
  <c r="K837" i="3"/>
  <c r="M836" i="3"/>
  <c r="L836" i="3"/>
  <c r="K836" i="3"/>
  <c r="M835" i="3"/>
  <c r="L835" i="3"/>
  <c r="K835" i="3"/>
  <c r="M834" i="3"/>
  <c r="L834" i="3"/>
  <c r="K834" i="3"/>
  <c r="M833" i="3"/>
  <c r="L833" i="3"/>
  <c r="K833" i="3"/>
  <c r="M832" i="3"/>
  <c r="L832" i="3"/>
  <c r="K832" i="3"/>
  <c r="M831" i="3"/>
  <c r="L831" i="3"/>
  <c r="K831" i="3"/>
  <c r="M830" i="3"/>
  <c r="L830" i="3"/>
  <c r="K830" i="3"/>
  <c r="M829" i="3"/>
  <c r="L829" i="3"/>
  <c r="K829" i="3"/>
  <c r="M828" i="3"/>
  <c r="L828" i="3"/>
  <c r="K828" i="3"/>
  <c r="M827" i="3"/>
  <c r="L827" i="3"/>
  <c r="K827" i="3"/>
  <c r="M826" i="3"/>
  <c r="L826" i="3"/>
  <c r="K826" i="3"/>
  <c r="M825" i="3"/>
  <c r="L825" i="3"/>
  <c r="K825" i="3"/>
  <c r="M824" i="3"/>
  <c r="L824" i="3"/>
  <c r="K824" i="3"/>
  <c r="M823" i="3"/>
  <c r="L823" i="3"/>
  <c r="K823" i="3"/>
  <c r="M822" i="3"/>
  <c r="L822" i="3"/>
  <c r="K822" i="3"/>
  <c r="M821" i="3"/>
  <c r="L821" i="3"/>
  <c r="K821" i="3"/>
  <c r="M820" i="3"/>
  <c r="L820" i="3"/>
  <c r="K820" i="3"/>
  <c r="M819" i="3"/>
  <c r="L819" i="3"/>
  <c r="K819" i="3"/>
  <c r="M818" i="3"/>
  <c r="L818" i="3"/>
  <c r="K818" i="3"/>
  <c r="M817" i="3"/>
  <c r="L817" i="3"/>
  <c r="K817" i="3"/>
  <c r="M816" i="3"/>
  <c r="L816" i="3"/>
  <c r="K816" i="3"/>
  <c r="M815" i="3"/>
  <c r="L815" i="3"/>
  <c r="K815" i="3"/>
  <c r="M814" i="3"/>
  <c r="L814" i="3"/>
  <c r="K814" i="3"/>
  <c r="M813" i="3"/>
  <c r="L813" i="3"/>
  <c r="K813" i="3"/>
  <c r="M812" i="3"/>
  <c r="L812" i="3"/>
  <c r="K812" i="3"/>
  <c r="M811" i="3"/>
  <c r="L811" i="3"/>
  <c r="K811" i="3"/>
  <c r="M810" i="3"/>
  <c r="L810" i="3"/>
  <c r="K810" i="3"/>
  <c r="M809" i="3"/>
  <c r="L809" i="3"/>
  <c r="K809" i="3"/>
  <c r="M808" i="3"/>
  <c r="L808" i="3"/>
  <c r="K808" i="3"/>
  <c r="M807" i="3"/>
  <c r="L807" i="3"/>
  <c r="K807" i="3"/>
  <c r="M806" i="3"/>
  <c r="L806" i="3"/>
  <c r="K806" i="3"/>
  <c r="M805" i="3"/>
  <c r="L805" i="3"/>
  <c r="K805" i="3"/>
  <c r="M804" i="3"/>
  <c r="L804" i="3"/>
  <c r="K804" i="3"/>
  <c r="M803" i="3"/>
  <c r="L803" i="3"/>
  <c r="K803" i="3"/>
  <c r="M802" i="3"/>
  <c r="L802" i="3"/>
  <c r="K802" i="3"/>
  <c r="M801" i="3"/>
  <c r="L801" i="3"/>
  <c r="K801" i="3"/>
  <c r="M800" i="3"/>
  <c r="L800" i="3"/>
  <c r="K800" i="3"/>
  <c r="M799" i="3"/>
  <c r="L799" i="3"/>
  <c r="K799" i="3"/>
  <c r="M798" i="3"/>
  <c r="L798" i="3"/>
  <c r="K798" i="3"/>
  <c r="M797" i="3"/>
  <c r="L797" i="3"/>
  <c r="K797" i="3"/>
  <c r="M796" i="3"/>
  <c r="L796" i="3"/>
  <c r="K796" i="3"/>
  <c r="M795" i="3"/>
  <c r="L795" i="3"/>
  <c r="K795" i="3"/>
  <c r="M794" i="3"/>
  <c r="L794" i="3"/>
  <c r="K794" i="3"/>
  <c r="M793" i="3"/>
  <c r="L793" i="3"/>
  <c r="K793" i="3"/>
  <c r="M792" i="3"/>
  <c r="L792" i="3"/>
  <c r="K792" i="3"/>
  <c r="M791" i="3"/>
  <c r="L791" i="3"/>
  <c r="K791" i="3"/>
  <c r="M790" i="3"/>
  <c r="L790" i="3"/>
  <c r="K790" i="3"/>
  <c r="M789" i="3"/>
  <c r="L789" i="3"/>
  <c r="K789" i="3"/>
  <c r="M788" i="3"/>
  <c r="L788" i="3"/>
  <c r="K788" i="3"/>
  <c r="M787" i="3"/>
  <c r="L787" i="3"/>
  <c r="K787" i="3"/>
  <c r="M786" i="3"/>
  <c r="L786" i="3"/>
  <c r="K786" i="3"/>
  <c r="M785" i="3"/>
  <c r="L785" i="3"/>
  <c r="K785" i="3"/>
  <c r="M784" i="3"/>
  <c r="L784" i="3"/>
  <c r="K784" i="3"/>
  <c r="M783" i="3"/>
  <c r="L783" i="3"/>
  <c r="K783" i="3"/>
  <c r="M782" i="3"/>
  <c r="L782" i="3"/>
  <c r="K782" i="3"/>
  <c r="M781" i="3"/>
  <c r="L781" i="3"/>
  <c r="K781" i="3"/>
  <c r="M780" i="3"/>
  <c r="L780" i="3"/>
  <c r="K780" i="3"/>
  <c r="M779" i="3"/>
  <c r="L779" i="3"/>
  <c r="K779" i="3"/>
  <c r="M778" i="3"/>
  <c r="L778" i="3"/>
  <c r="K778" i="3"/>
  <c r="M777" i="3"/>
  <c r="L777" i="3"/>
  <c r="K777" i="3"/>
  <c r="M776" i="3"/>
  <c r="L776" i="3"/>
  <c r="K776" i="3"/>
  <c r="M775" i="3"/>
  <c r="L775" i="3"/>
  <c r="K775" i="3"/>
  <c r="M774" i="3"/>
  <c r="L774" i="3"/>
  <c r="K774" i="3"/>
  <c r="M773" i="3"/>
  <c r="L773" i="3"/>
  <c r="K773" i="3"/>
  <c r="M772" i="3"/>
  <c r="L772" i="3"/>
  <c r="K772" i="3"/>
  <c r="M771" i="3"/>
  <c r="L771" i="3"/>
  <c r="K771" i="3"/>
  <c r="M770" i="3"/>
  <c r="L770" i="3"/>
  <c r="K770" i="3"/>
  <c r="M769" i="3"/>
  <c r="L769" i="3"/>
  <c r="K769" i="3"/>
  <c r="M768" i="3"/>
  <c r="L768" i="3"/>
  <c r="K768" i="3"/>
  <c r="M767" i="3"/>
  <c r="L767" i="3"/>
  <c r="K767" i="3"/>
  <c r="M766" i="3"/>
  <c r="L766" i="3"/>
  <c r="K766" i="3"/>
  <c r="M765" i="3"/>
  <c r="L765" i="3"/>
  <c r="K765" i="3"/>
  <c r="M764" i="3"/>
  <c r="L764" i="3"/>
  <c r="K764" i="3"/>
  <c r="M763" i="3"/>
  <c r="L763" i="3"/>
  <c r="K763" i="3"/>
  <c r="M762" i="3"/>
  <c r="L762" i="3"/>
  <c r="K762" i="3"/>
  <c r="M761" i="3"/>
  <c r="L761" i="3"/>
  <c r="K761" i="3"/>
  <c r="M760" i="3"/>
  <c r="L760" i="3"/>
  <c r="K760" i="3"/>
  <c r="M759" i="3"/>
  <c r="L759" i="3"/>
  <c r="K759" i="3"/>
  <c r="M758" i="3"/>
  <c r="L758" i="3"/>
  <c r="K758" i="3"/>
  <c r="M757" i="3"/>
  <c r="L757" i="3"/>
  <c r="K757" i="3"/>
  <c r="M756" i="3"/>
  <c r="L756" i="3"/>
  <c r="K756" i="3"/>
  <c r="M755" i="3"/>
  <c r="L755" i="3"/>
  <c r="K755" i="3"/>
  <c r="M754" i="3"/>
  <c r="L754" i="3"/>
  <c r="K754" i="3"/>
  <c r="M753" i="3"/>
  <c r="L753" i="3"/>
  <c r="K753" i="3"/>
  <c r="M752" i="3"/>
  <c r="L752" i="3"/>
  <c r="K752" i="3"/>
  <c r="M751" i="3"/>
  <c r="L751" i="3"/>
  <c r="K751" i="3"/>
  <c r="M750" i="3"/>
  <c r="L750" i="3"/>
  <c r="K750" i="3"/>
  <c r="M749" i="3"/>
  <c r="L749" i="3"/>
  <c r="K749" i="3"/>
  <c r="M748" i="3"/>
  <c r="L748" i="3"/>
  <c r="K748" i="3"/>
  <c r="M747" i="3"/>
  <c r="L747" i="3"/>
  <c r="K747" i="3"/>
  <c r="M746" i="3"/>
  <c r="L746" i="3"/>
  <c r="K746" i="3"/>
  <c r="M745" i="3"/>
  <c r="L745" i="3"/>
  <c r="K745" i="3"/>
  <c r="M744" i="3"/>
  <c r="L744" i="3"/>
  <c r="K744" i="3"/>
  <c r="M743" i="3"/>
  <c r="L743" i="3"/>
  <c r="K743" i="3"/>
  <c r="M742" i="3"/>
  <c r="L742" i="3"/>
  <c r="K742" i="3"/>
  <c r="M741" i="3"/>
  <c r="L741" i="3"/>
  <c r="K741" i="3"/>
  <c r="M740" i="3"/>
  <c r="L740" i="3"/>
  <c r="K740" i="3"/>
  <c r="M739" i="3"/>
  <c r="L739" i="3"/>
  <c r="K739" i="3"/>
  <c r="M738" i="3"/>
  <c r="L738" i="3"/>
  <c r="K738" i="3"/>
  <c r="M737" i="3"/>
  <c r="L737" i="3"/>
  <c r="K737" i="3"/>
  <c r="M736" i="3"/>
  <c r="L736" i="3"/>
  <c r="K736" i="3"/>
  <c r="M735" i="3"/>
  <c r="L735" i="3"/>
  <c r="K735" i="3"/>
  <c r="M734" i="3"/>
  <c r="L734" i="3"/>
  <c r="K734" i="3"/>
  <c r="M733" i="3"/>
  <c r="L733" i="3"/>
  <c r="K733" i="3"/>
  <c r="M732" i="3"/>
  <c r="L732" i="3"/>
  <c r="K732" i="3"/>
  <c r="M731" i="3"/>
  <c r="L731" i="3"/>
  <c r="K731" i="3"/>
  <c r="M730" i="3"/>
  <c r="L730" i="3"/>
  <c r="K730" i="3"/>
  <c r="M729" i="3"/>
  <c r="L729" i="3"/>
  <c r="K729" i="3"/>
  <c r="M728" i="3"/>
  <c r="L728" i="3"/>
  <c r="K728" i="3"/>
  <c r="M727" i="3"/>
  <c r="L727" i="3"/>
  <c r="K727" i="3"/>
  <c r="M726" i="3"/>
  <c r="L726" i="3"/>
  <c r="K726" i="3"/>
  <c r="M725" i="3"/>
  <c r="L725" i="3"/>
  <c r="K725" i="3"/>
  <c r="M724" i="3"/>
  <c r="L724" i="3"/>
  <c r="K724" i="3"/>
  <c r="M723" i="3"/>
  <c r="L723" i="3"/>
  <c r="K723" i="3"/>
  <c r="M722" i="3"/>
  <c r="L722" i="3"/>
  <c r="K722" i="3"/>
  <c r="M721" i="3"/>
  <c r="L721" i="3"/>
  <c r="K721" i="3"/>
  <c r="M720" i="3"/>
  <c r="L720" i="3"/>
  <c r="K720" i="3"/>
  <c r="M719" i="3"/>
  <c r="L719" i="3"/>
  <c r="K719" i="3"/>
  <c r="M718" i="3"/>
  <c r="L718" i="3"/>
  <c r="K718" i="3"/>
  <c r="M717" i="3"/>
  <c r="L717" i="3"/>
  <c r="K717" i="3"/>
  <c r="M716" i="3"/>
  <c r="L716" i="3"/>
  <c r="K716" i="3"/>
  <c r="M715" i="3"/>
  <c r="L715" i="3"/>
  <c r="K715" i="3"/>
  <c r="M714" i="3"/>
  <c r="L714" i="3"/>
  <c r="K714" i="3"/>
  <c r="M713" i="3"/>
  <c r="L713" i="3"/>
  <c r="K713" i="3"/>
  <c r="M712" i="3"/>
  <c r="L712" i="3"/>
  <c r="K712" i="3"/>
  <c r="M711" i="3"/>
  <c r="L711" i="3"/>
  <c r="K711" i="3"/>
  <c r="M710" i="3"/>
  <c r="L710" i="3"/>
  <c r="K710" i="3"/>
  <c r="M709" i="3"/>
  <c r="L709" i="3"/>
  <c r="K709" i="3"/>
  <c r="M708" i="3"/>
  <c r="L708" i="3"/>
  <c r="K708" i="3"/>
  <c r="M707" i="3"/>
  <c r="L707" i="3"/>
  <c r="K707" i="3"/>
  <c r="M706" i="3"/>
  <c r="L706" i="3"/>
  <c r="K706" i="3"/>
  <c r="M705" i="3"/>
  <c r="L705" i="3"/>
  <c r="K705" i="3"/>
  <c r="M704" i="3"/>
  <c r="L704" i="3"/>
  <c r="K704" i="3"/>
  <c r="M703" i="3"/>
  <c r="L703" i="3"/>
  <c r="K703" i="3"/>
  <c r="M702" i="3"/>
  <c r="L702" i="3"/>
  <c r="K702" i="3"/>
  <c r="M701" i="3"/>
  <c r="L701" i="3"/>
  <c r="K701" i="3"/>
  <c r="M700" i="3"/>
  <c r="L700" i="3"/>
  <c r="K700" i="3"/>
  <c r="M699" i="3"/>
  <c r="L699" i="3"/>
  <c r="K699" i="3"/>
  <c r="M698" i="3"/>
  <c r="L698" i="3"/>
  <c r="K698" i="3"/>
  <c r="M697" i="3"/>
  <c r="L697" i="3"/>
  <c r="K697" i="3"/>
  <c r="M696" i="3"/>
  <c r="L696" i="3"/>
  <c r="K696" i="3"/>
  <c r="M695" i="3"/>
  <c r="L695" i="3"/>
  <c r="K695" i="3"/>
  <c r="M694" i="3"/>
  <c r="L694" i="3"/>
  <c r="K694" i="3"/>
  <c r="M693" i="3"/>
  <c r="L693" i="3"/>
  <c r="K693" i="3"/>
  <c r="M692" i="3"/>
  <c r="L692" i="3"/>
  <c r="K692" i="3"/>
  <c r="M691" i="3"/>
  <c r="L691" i="3"/>
  <c r="K691" i="3"/>
  <c r="M690" i="3"/>
  <c r="L690" i="3"/>
  <c r="K690" i="3"/>
  <c r="M689" i="3"/>
  <c r="L689" i="3"/>
  <c r="K689" i="3"/>
  <c r="M688" i="3"/>
  <c r="L688" i="3"/>
  <c r="K688" i="3"/>
  <c r="M687" i="3"/>
  <c r="L687" i="3"/>
  <c r="K687" i="3"/>
  <c r="M686" i="3"/>
  <c r="L686" i="3"/>
  <c r="K686" i="3"/>
  <c r="M685" i="3"/>
  <c r="L685" i="3"/>
  <c r="K685" i="3"/>
  <c r="M684" i="3"/>
  <c r="L684" i="3"/>
  <c r="K684" i="3"/>
  <c r="M683" i="3"/>
  <c r="L683" i="3"/>
  <c r="K683" i="3"/>
  <c r="M682" i="3"/>
  <c r="L682" i="3"/>
  <c r="K682" i="3"/>
  <c r="M681" i="3"/>
  <c r="L681" i="3"/>
  <c r="K681" i="3"/>
  <c r="M680" i="3"/>
  <c r="L680" i="3"/>
  <c r="K680" i="3"/>
  <c r="M679" i="3"/>
  <c r="L679" i="3"/>
  <c r="K679" i="3"/>
  <c r="M678" i="3"/>
  <c r="L678" i="3"/>
  <c r="K678" i="3"/>
  <c r="M677" i="3"/>
  <c r="L677" i="3"/>
  <c r="K677" i="3"/>
  <c r="M676" i="3"/>
  <c r="L676" i="3"/>
  <c r="K676" i="3"/>
  <c r="M675" i="3"/>
  <c r="L675" i="3"/>
  <c r="K675" i="3"/>
  <c r="M674" i="3"/>
  <c r="L674" i="3"/>
  <c r="K674" i="3"/>
  <c r="M673" i="3"/>
  <c r="L673" i="3"/>
  <c r="K673" i="3"/>
  <c r="M672" i="3"/>
  <c r="L672" i="3"/>
  <c r="K672" i="3"/>
  <c r="M671" i="3"/>
  <c r="L671" i="3"/>
  <c r="K671" i="3"/>
  <c r="M670" i="3"/>
  <c r="L670" i="3"/>
  <c r="K670" i="3"/>
  <c r="M669" i="3"/>
  <c r="L669" i="3"/>
  <c r="K669" i="3"/>
  <c r="M668" i="3"/>
  <c r="L668" i="3"/>
  <c r="K668" i="3"/>
  <c r="M667" i="3"/>
  <c r="L667" i="3"/>
  <c r="K667" i="3"/>
  <c r="M666" i="3"/>
  <c r="L666" i="3"/>
  <c r="K666" i="3"/>
  <c r="M665" i="3"/>
  <c r="L665" i="3"/>
  <c r="K665" i="3"/>
  <c r="M664" i="3"/>
  <c r="L664" i="3"/>
  <c r="K664" i="3"/>
  <c r="M663" i="3"/>
  <c r="L663" i="3"/>
  <c r="K663" i="3"/>
  <c r="M662" i="3"/>
  <c r="L662" i="3"/>
  <c r="K662" i="3"/>
  <c r="M661" i="3"/>
  <c r="L661" i="3"/>
  <c r="K661" i="3"/>
  <c r="M660" i="3"/>
  <c r="L660" i="3"/>
  <c r="K660" i="3"/>
  <c r="M659" i="3"/>
  <c r="L659" i="3"/>
  <c r="K659" i="3"/>
  <c r="M658" i="3"/>
  <c r="L658" i="3"/>
  <c r="K658" i="3"/>
  <c r="M657" i="3"/>
  <c r="L657" i="3"/>
  <c r="K657" i="3"/>
  <c r="M656" i="3"/>
  <c r="L656" i="3"/>
  <c r="K656" i="3"/>
  <c r="M655" i="3"/>
  <c r="L655" i="3"/>
  <c r="K655" i="3"/>
  <c r="M654" i="3"/>
  <c r="L654" i="3"/>
  <c r="K654" i="3"/>
  <c r="M653" i="3"/>
  <c r="L653" i="3"/>
  <c r="K653" i="3"/>
  <c r="M652" i="3"/>
  <c r="L652" i="3"/>
  <c r="K652" i="3"/>
  <c r="M651" i="3"/>
  <c r="L651" i="3"/>
  <c r="K651" i="3"/>
  <c r="M650" i="3"/>
  <c r="L650" i="3"/>
  <c r="K650" i="3"/>
  <c r="M649" i="3"/>
  <c r="L649" i="3"/>
  <c r="K649" i="3"/>
  <c r="M648" i="3"/>
  <c r="L648" i="3"/>
  <c r="K648" i="3"/>
  <c r="M647" i="3"/>
  <c r="L647" i="3"/>
  <c r="K647" i="3"/>
  <c r="M646" i="3"/>
  <c r="L646" i="3"/>
  <c r="K646" i="3"/>
  <c r="M645" i="3"/>
  <c r="L645" i="3"/>
  <c r="K645" i="3"/>
  <c r="M644" i="3"/>
  <c r="L644" i="3"/>
  <c r="K644" i="3"/>
  <c r="M643" i="3"/>
  <c r="L643" i="3"/>
  <c r="K643" i="3"/>
  <c r="M642" i="3"/>
  <c r="L642" i="3"/>
  <c r="K642" i="3"/>
  <c r="M641" i="3"/>
  <c r="L641" i="3"/>
  <c r="K641" i="3"/>
  <c r="M640" i="3"/>
  <c r="L640" i="3"/>
  <c r="K640" i="3"/>
  <c r="M639" i="3"/>
  <c r="L639" i="3"/>
  <c r="K639" i="3"/>
  <c r="M638" i="3"/>
  <c r="L638" i="3"/>
  <c r="K638" i="3"/>
  <c r="M637" i="3"/>
  <c r="L637" i="3"/>
  <c r="K637" i="3"/>
  <c r="M636" i="3"/>
  <c r="L636" i="3"/>
  <c r="K636" i="3"/>
  <c r="M635" i="3"/>
  <c r="L635" i="3"/>
  <c r="K635" i="3"/>
  <c r="M634" i="3"/>
  <c r="L634" i="3"/>
  <c r="K634" i="3"/>
  <c r="M633" i="3"/>
  <c r="L633" i="3"/>
  <c r="K633" i="3"/>
  <c r="M632" i="3"/>
  <c r="L632" i="3"/>
  <c r="K632" i="3"/>
  <c r="M631" i="3"/>
  <c r="L631" i="3"/>
  <c r="K631" i="3"/>
  <c r="M630" i="3"/>
  <c r="L630" i="3"/>
  <c r="K630" i="3"/>
  <c r="M629" i="3"/>
  <c r="L629" i="3"/>
  <c r="K629" i="3"/>
  <c r="M628" i="3"/>
  <c r="L628" i="3"/>
  <c r="K628" i="3"/>
  <c r="M627" i="3"/>
  <c r="L627" i="3"/>
  <c r="K627" i="3"/>
  <c r="M626" i="3"/>
  <c r="L626" i="3"/>
  <c r="K626" i="3"/>
  <c r="M625" i="3"/>
  <c r="L625" i="3"/>
  <c r="K625" i="3"/>
  <c r="M624" i="3"/>
  <c r="L624" i="3"/>
  <c r="K624" i="3"/>
  <c r="M623" i="3"/>
  <c r="L623" i="3"/>
  <c r="K623" i="3"/>
  <c r="M622" i="3"/>
  <c r="L622" i="3"/>
  <c r="K622" i="3"/>
  <c r="M621" i="3"/>
  <c r="L621" i="3"/>
  <c r="K621" i="3"/>
  <c r="M620" i="3"/>
  <c r="L620" i="3"/>
  <c r="K620" i="3"/>
  <c r="M619" i="3"/>
  <c r="L619" i="3"/>
  <c r="K619" i="3"/>
  <c r="M618" i="3"/>
  <c r="L618" i="3"/>
  <c r="K618" i="3"/>
  <c r="M617" i="3"/>
  <c r="L617" i="3"/>
  <c r="K617" i="3"/>
  <c r="M616" i="3"/>
  <c r="L616" i="3"/>
  <c r="K616" i="3"/>
  <c r="M615" i="3"/>
  <c r="L615" i="3"/>
  <c r="K615" i="3"/>
  <c r="M614" i="3"/>
  <c r="L614" i="3"/>
  <c r="K614" i="3"/>
  <c r="M613" i="3"/>
  <c r="L613" i="3"/>
  <c r="K613" i="3"/>
  <c r="M612" i="3"/>
  <c r="L612" i="3"/>
  <c r="K612" i="3"/>
  <c r="M611" i="3"/>
  <c r="L611" i="3"/>
  <c r="K611" i="3"/>
  <c r="M610" i="3"/>
  <c r="L610" i="3"/>
  <c r="K610" i="3"/>
  <c r="M609" i="3"/>
  <c r="L609" i="3"/>
  <c r="K609" i="3"/>
  <c r="M608" i="3"/>
  <c r="L608" i="3"/>
  <c r="K608" i="3"/>
  <c r="M607" i="3"/>
  <c r="L607" i="3"/>
  <c r="K607" i="3"/>
  <c r="M606" i="3"/>
  <c r="L606" i="3"/>
  <c r="K606" i="3"/>
  <c r="M605" i="3"/>
  <c r="L605" i="3"/>
  <c r="K605" i="3"/>
  <c r="M604" i="3"/>
  <c r="L604" i="3"/>
  <c r="K604" i="3"/>
  <c r="M603" i="3"/>
  <c r="L603" i="3"/>
  <c r="K603" i="3"/>
  <c r="M602" i="3"/>
  <c r="L602" i="3"/>
  <c r="K602" i="3"/>
  <c r="M601" i="3"/>
  <c r="L601" i="3"/>
  <c r="K601" i="3"/>
  <c r="M600" i="3"/>
  <c r="L600" i="3"/>
  <c r="K600" i="3"/>
  <c r="M599" i="3"/>
  <c r="L599" i="3"/>
  <c r="K599" i="3"/>
  <c r="M598" i="3"/>
  <c r="L598" i="3"/>
  <c r="K598" i="3"/>
  <c r="M597" i="3"/>
  <c r="L597" i="3"/>
  <c r="K597" i="3"/>
  <c r="M596" i="3"/>
  <c r="L596" i="3"/>
  <c r="K596" i="3"/>
  <c r="M595" i="3"/>
  <c r="L595" i="3"/>
  <c r="K595" i="3"/>
  <c r="M594" i="3"/>
  <c r="L594" i="3"/>
  <c r="K594" i="3"/>
  <c r="M593" i="3"/>
  <c r="L593" i="3"/>
  <c r="K593" i="3"/>
  <c r="M592" i="3"/>
  <c r="L592" i="3"/>
  <c r="K592" i="3"/>
  <c r="M591" i="3"/>
  <c r="L591" i="3"/>
  <c r="K591" i="3"/>
  <c r="M590" i="3"/>
  <c r="L590" i="3"/>
  <c r="K590" i="3"/>
  <c r="M589" i="3"/>
  <c r="L589" i="3"/>
  <c r="K589" i="3"/>
  <c r="M588" i="3"/>
  <c r="L588" i="3"/>
  <c r="K588" i="3"/>
  <c r="M587" i="3"/>
  <c r="L587" i="3"/>
  <c r="K587" i="3"/>
  <c r="M586" i="3"/>
  <c r="L586" i="3"/>
  <c r="K586" i="3"/>
  <c r="M585" i="3"/>
  <c r="L585" i="3"/>
  <c r="K585" i="3"/>
  <c r="M584" i="3"/>
  <c r="L584" i="3"/>
  <c r="K584" i="3"/>
  <c r="M583" i="3"/>
  <c r="L583" i="3"/>
  <c r="K583" i="3"/>
  <c r="M582" i="3"/>
  <c r="L582" i="3"/>
  <c r="K582" i="3"/>
  <c r="M581" i="3"/>
  <c r="L581" i="3"/>
  <c r="K581" i="3"/>
  <c r="M580" i="3"/>
  <c r="L580" i="3"/>
  <c r="K580" i="3"/>
  <c r="M579" i="3"/>
  <c r="L579" i="3"/>
  <c r="K579" i="3"/>
  <c r="M578" i="3"/>
  <c r="L578" i="3"/>
  <c r="K578" i="3"/>
  <c r="M577" i="3"/>
  <c r="L577" i="3"/>
  <c r="K577" i="3"/>
  <c r="M576" i="3"/>
  <c r="L576" i="3"/>
  <c r="K576" i="3"/>
  <c r="M575" i="3"/>
  <c r="L575" i="3"/>
  <c r="K575" i="3"/>
  <c r="M574" i="3"/>
  <c r="L574" i="3"/>
  <c r="K574" i="3"/>
  <c r="M573" i="3"/>
  <c r="L573" i="3"/>
  <c r="K573" i="3"/>
  <c r="M572" i="3"/>
  <c r="L572" i="3"/>
  <c r="K572" i="3"/>
  <c r="M571" i="3"/>
  <c r="L571" i="3"/>
  <c r="K571" i="3"/>
  <c r="M570" i="3"/>
  <c r="L570" i="3"/>
  <c r="K570" i="3"/>
  <c r="M569" i="3"/>
  <c r="L569" i="3"/>
  <c r="K569" i="3"/>
  <c r="M568" i="3"/>
  <c r="L568" i="3"/>
  <c r="K568" i="3"/>
  <c r="M567" i="3"/>
  <c r="L567" i="3"/>
  <c r="K567" i="3"/>
  <c r="M566" i="3"/>
  <c r="L566" i="3"/>
  <c r="K566" i="3"/>
  <c r="M565" i="3"/>
  <c r="L565" i="3"/>
  <c r="K565" i="3"/>
  <c r="M564" i="3"/>
  <c r="L564" i="3"/>
  <c r="K564" i="3"/>
  <c r="M563" i="3"/>
  <c r="L563" i="3"/>
  <c r="K563" i="3"/>
  <c r="M562" i="3"/>
  <c r="L562" i="3"/>
  <c r="K562" i="3"/>
  <c r="M561" i="3"/>
  <c r="L561" i="3"/>
  <c r="K561" i="3"/>
  <c r="M560" i="3"/>
  <c r="L560" i="3"/>
  <c r="K560" i="3"/>
  <c r="M559" i="3"/>
  <c r="L559" i="3"/>
  <c r="K559" i="3"/>
  <c r="M558" i="3"/>
  <c r="L558" i="3"/>
  <c r="K558" i="3"/>
  <c r="M557" i="3"/>
  <c r="L557" i="3"/>
  <c r="K557" i="3"/>
  <c r="M556" i="3"/>
  <c r="L556" i="3"/>
  <c r="K556" i="3"/>
  <c r="M555" i="3"/>
  <c r="L555" i="3"/>
  <c r="K555" i="3"/>
  <c r="M554" i="3"/>
  <c r="L554" i="3"/>
  <c r="K554" i="3"/>
  <c r="M553" i="3"/>
  <c r="L553" i="3"/>
  <c r="K553" i="3"/>
  <c r="M552" i="3"/>
  <c r="L552" i="3"/>
  <c r="K552" i="3"/>
  <c r="M551" i="3"/>
  <c r="L551" i="3"/>
  <c r="K551" i="3"/>
  <c r="M550" i="3"/>
  <c r="L550" i="3"/>
  <c r="K550" i="3"/>
  <c r="M549" i="3"/>
  <c r="L549" i="3"/>
  <c r="K549" i="3"/>
  <c r="M548" i="3"/>
  <c r="L548" i="3"/>
  <c r="K548" i="3"/>
  <c r="M547" i="3"/>
  <c r="L547" i="3"/>
  <c r="K547" i="3"/>
  <c r="M546" i="3"/>
  <c r="L546" i="3"/>
  <c r="K546" i="3"/>
  <c r="M545" i="3"/>
  <c r="L545" i="3"/>
  <c r="K545" i="3"/>
  <c r="M544" i="3"/>
  <c r="L544" i="3"/>
  <c r="K544" i="3"/>
  <c r="M543" i="3"/>
  <c r="L543" i="3"/>
  <c r="K543" i="3"/>
  <c r="M542" i="3"/>
  <c r="L542" i="3"/>
  <c r="K542" i="3"/>
  <c r="M541" i="3"/>
  <c r="L541" i="3"/>
  <c r="K541" i="3"/>
  <c r="M540" i="3"/>
  <c r="L540" i="3"/>
  <c r="K540" i="3"/>
  <c r="M539" i="3"/>
  <c r="L539" i="3"/>
  <c r="K539" i="3"/>
  <c r="M538" i="3"/>
  <c r="L538" i="3"/>
  <c r="K538" i="3"/>
  <c r="M537" i="3"/>
  <c r="L537" i="3"/>
  <c r="K537" i="3"/>
  <c r="M536" i="3"/>
  <c r="L536" i="3"/>
  <c r="K536" i="3"/>
  <c r="M535" i="3"/>
  <c r="L535" i="3"/>
  <c r="K535" i="3"/>
  <c r="M534" i="3"/>
  <c r="L534" i="3"/>
  <c r="K534" i="3"/>
  <c r="M533" i="3"/>
  <c r="L533" i="3"/>
  <c r="K533" i="3"/>
  <c r="M532" i="3"/>
  <c r="L532" i="3"/>
  <c r="K532" i="3"/>
  <c r="M531" i="3"/>
  <c r="L531" i="3"/>
  <c r="K531" i="3"/>
  <c r="M530" i="3"/>
  <c r="L530" i="3"/>
  <c r="K530" i="3"/>
  <c r="M529" i="3"/>
  <c r="L529" i="3"/>
  <c r="K529" i="3"/>
  <c r="M528" i="3"/>
  <c r="L528" i="3"/>
  <c r="K528" i="3"/>
  <c r="M527" i="3"/>
  <c r="L527" i="3"/>
  <c r="K527" i="3"/>
  <c r="M526" i="3"/>
  <c r="L526" i="3"/>
  <c r="K526" i="3"/>
  <c r="M525" i="3"/>
  <c r="L525" i="3"/>
  <c r="K525" i="3"/>
  <c r="M524" i="3"/>
  <c r="L524" i="3"/>
  <c r="K524" i="3"/>
  <c r="M523" i="3"/>
  <c r="L523" i="3"/>
  <c r="K523" i="3"/>
  <c r="M522" i="3"/>
  <c r="L522" i="3"/>
  <c r="K522" i="3"/>
  <c r="M521" i="3"/>
  <c r="L521" i="3"/>
  <c r="K521" i="3"/>
  <c r="M520" i="3"/>
  <c r="L520" i="3"/>
  <c r="K520" i="3"/>
  <c r="M519" i="3"/>
  <c r="L519" i="3"/>
  <c r="K519" i="3"/>
  <c r="M518" i="3"/>
  <c r="L518" i="3"/>
  <c r="K518" i="3"/>
  <c r="M517" i="3"/>
  <c r="L517" i="3"/>
  <c r="K517" i="3"/>
  <c r="M516" i="3"/>
  <c r="L516" i="3"/>
  <c r="K516" i="3"/>
  <c r="M515" i="3"/>
  <c r="L515" i="3"/>
  <c r="K515" i="3"/>
  <c r="M514" i="3"/>
  <c r="L514" i="3"/>
  <c r="K514" i="3"/>
  <c r="M513" i="3"/>
  <c r="L513" i="3"/>
  <c r="K513" i="3"/>
  <c r="M512" i="3"/>
  <c r="L512" i="3"/>
  <c r="K512" i="3"/>
  <c r="M511" i="3"/>
  <c r="L511" i="3"/>
  <c r="K511" i="3"/>
  <c r="M510" i="3"/>
  <c r="L510" i="3"/>
  <c r="K510" i="3"/>
  <c r="M509" i="3"/>
  <c r="L509" i="3"/>
  <c r="K509" i="3"/>
  <c r="M508" i="3"/>
  <c r="L508" i="3"/>
  <c r="K508" i="3"/>
  <c r="M507" i="3"/>
  <c r="L507" i="3"/>
  <c r="K507" i="3"/>
  <c r="M506" i="3"/>
  <c r="L506" i="3"/>
  <c r="K506" i="3"/>
  <c r="M505" i="3"/>
  <c r="L505" i="3"/>
  <c r="K505" i="3"/>
  <c r="M504" i="3"/>
  <c r="L504" i="3"/>
  <c r="K504" i="3"/>
  <c r="M503" i="3"/>
  <c r="L503" i="3"/>
  <c r="K503" i="3"/>
  <c r="M502" i="3"/>
  <c r="L502" i="3"/>
  <c r="K502" i="3"/>
  <c r="M501" i="3"/>
  <c r="L501" i="3"/>
  <c r="K501" i="3"/>
  <c r="M500" i="3"/>
  <c r="L500" i="3"/>
  <c r="K500" i="3"/>
  <c r="M499" i="3"/>
  <c r="L499" i="3"/>
  <c r="K499" i="3"/>
  <c r="M498" i="3"/>
  <c r="L498" i="3"/>
  <c r="K498" i="3"/>
  <c r="M497" i="3"/>
  <c r="L497" i="3"/>
  <c r="K497" i="3"/>
  <c r="M496" i="3"/>
  <c r="L496" i="3"/>
  <c r="K496" i="3"/>
  <c r="M495" i="3"/>
  <c r="L495" i="3"/>
  <c r="K495" i="3"/>
  <c r="M494" i="3"/>
  <c r="L494" i="3"/>
  <c r="K494" i="3"/>
  <c r="M493" i="3"/>
  <c r="L493" i="3"/>
  <c r="K493" i="3"/>
  <c r="M492" i="3"/>
  <c r="L492" i="3"/>
  <c r="K492" i="3"/>
  <c r="M491" i="3"/>
  <c r="L491" i="3"/>
  <c r="K491" i="3"/>
  <c r="M490" i="3"/>
  <c r="L490" i="3"/>
  <c r="K490" i="3"/>
  <c r="M489" i="3"/>
  <c r="L489" i="3"/>
  <c r="K489" i="3"/>
  <c r="M488" i="3"/>
  <c r="L488" i="3"/>
  <c r="K488" i="3"/>
  <c r="M487" i="3"/>
  <c r="L487" i="3"/>
  <c r="K487" i="3"/>
  <c r="M486" i="3"/>
  <c r="L486" i="3"/>
  <c r="K486" i="3"/>
  <c r="M485" i="3"/>
  <c r="L485" i="3"/>
  <c r="K485" i="3"/>
  <c r="M484" i="3"/>
  <c r="L484" i="3"/>
  <c r="K484" i="3"/>
  <c r="M483" i="3"/>
  <c r="L483" i="3"/>
  <c r="K483" i="3"/>
  <c r="M482" i="3"/>
  <c r="L482" i="3"/>
  <c r="K482" i="3"/>
  <c r="M481" i="3"/>
  <c r="L481" i="3"/>
  <c r="K481" i="3"/>
  <c r="M480" i="3"/>
  <c r="L480" i="3"/>
  <c r="K480" i="3"/>
  <c r="M479" i="3"/>
  <c r="L479" i="3"/>
  <c r="K479" i="3"/>
  <c r="M478" i="3"/>
  <c r="L478" i="3"/>
  <c r="K478" i="3"/>
  <c r="M477" i="3"/>
  <c r="L477" i="3"/>
  <c r="K477" i="3"/>
  <c r="M476" i="3"/>
  <c r="L476" i="3"/>
  <c r="K476" i="3"/>
  <c r="M475" i="3"/>
  <c r="L475" i="3"/>
  <c r="K475" i="3"/>
  <c r="M474" i="3"/>
  <c r="L474" i="3"/>
  <c r="K474" i="3"/>
  <c r="M473" i="3"/>
  <c r="L473" i="3"/>
  <c r="K473" i="3"/>
  <c r="M472" i="3"/>
  <c r="L472" i="3"/>
  <c r="K472" i="3"/>
  <c r="M471" i="3"/>
  <c r="L471" i="3"/>
  <c r="K471" i="3"/>
  <c r="M470" i="3"/>
  <c r="L470" i="3"/>
  <c r="K470" i="3"/>
  <c r="M469" i="3"/>
  <c r="L469" i="3"/>
  <c r="K469" i="3"/>
  <c r="M468" i="3"/>
  <c r="L468" i="3"/>
  <c r="K468" i="3"/>
  <c r="M467" i="3"/>
  <c r="L467" i="3"/>
  <c r="K467" i="3"/>
  <c r="M466" i="3"/>
  <c r="L466" i="3"/>
  <c r="K466" i="3"/>
  <c r="M465" i="3"/>
  <c r="L465" i="3"/>
  <c r="K465" i="3"/>
  <c r="M464" i="3"/>
  <c r="L464" i="3"/>
  <c r="K464" i="3"/>
  <c r="M463" i="3"/>
  <c r="L463" i="3"/>
  <c r="K463" i="3"/>
  <c r="M462" i="3"/>
  <c r="L462" i="3"/>
  <c r="K462" i="3"/>
  <c r="M461" i="3"/>
  <c r="L461" i="3"/>
  <c r="K461" i="3"/>
  <c r="M460" i="3"/>
  <c r="L460" i="3"/>
  <c r="K460" i="3"/>
  <c r="M459" i="3"/>
  <c r="L459" i="3"/>
  <c r="K459" i="3"/>
  <c r="M458" i="3"/>
  <c r="L458" i="3"/>
  <c r="K458" i="3"/>
  <c r="M457" i="3"/>
  <c r="L457" i="3"/>
  <c r="K457" i="3"/>
  <c r="M456" i="3"/>
  <c r="L456" i="3"/>
  <c r="K456" i="3"/>
  <c r="M455" i="3"/>
  <c r="L455" i="3"/>
  <c r="K455" i="3"/>
  <c r="M454" i="3"/>
  <c r="L454" i="3"/>
  <c r="K454" i="3"/>
  <c r="M453" i="3"/>
  <c r="L453" i="3"/>
  <c r="K453" i="3"/>
  <c r="M452" i="3"/>
  <c r="L452" i="3"/>
  <c r="K452" i="3"/>
  <c r="M451" i="3"/>
  <c r="L451" i="3"/>
  <c r="K451" i="3"/>
  <c r="M450" i="3"/>
  <c r="L450" i="3"/>
  <c r="K450" i="3"/>
  <c r="M449" i="3"/>
  <c r="L449" i="3"/>
  <c r="K449" i="3"/>
  <c r="M448" i="3"/>
  <c r="L448" i="3"/>
  <c r="K448" i="3"/>
  <c r="M447" i="3"/>
  <c r="L447" i="3"/>
  <c r="K447" i="3"/>
  <c r="M446" i="3"/>
  <c r="L446" i="3"/>
  <c r="K446" i="3"/>
  <c r="M445" i="3"/>
  <c r="L445" i="3"/>
  <c r="K445" i="3"/>
  <c r="M444" i="3"/>
  <c r="L444" i="3"/>
  <c r="K444" i="3"/>
  <c r="M443" i="3"/>
  <c r="L443" i="3"/>
  <c r="K443" i="3"/>
  <c r="M442" i="3"/>
  <c r="L442" i="3"/>
  <c r="K442" i="3"/>
  <c r="M441" i="3"/>
  <c r="L441" i="3"/>
  <c r="K441" i="3"/>
  <c r="M440" i="3"/>
  <c r="L440" i="3"/>
  <c r="K440" i="3"/>
  <c r="M439" i="3"/>
  <c r="L439" i="3"/>
  <c r="K439" i="3"/>
  <c r="M438" i="3"/>
  <c r="L438" i="3"/>
  <c r="K438" i="3"/>
  <c r="M437" i="3"/>
  <c r="L437" i="3"/>
  <c r="K437" i="3"/>
  <c r="M436" i="3"/>
  <c r="L436" i="3"/>
  <c r="K436" i="3"/>
  <c r="M435" i="3"/>
  <c r="L435" i="3"/>
  <c r="K435" i="3"/>
  <c r="M434" i="3"/>
  <c r="L434" i="3"/>
  <c r="K434" i="3"/>
  <c r="M433" i="3"/>
  <c r="L433" i="3"/>
  <c r="K433" i="3"/>
  <c r="M432" i="3"/>
  <c r="L432" i="3"/>
  <c r="K432" i="3"/>
  <c r="M431" i="3"/>
  <c r="L431" i="3"/>
  <c r="K431" i="3"/>
  <c r="M430" i="3"/>
  <c r="L430" i="3"/>
  <c r="K430" i="3"/>
  <c r="M429" i="3"/>
  <c r="L429" i="3"/>
  <c r="K429" i="3"/>
  <c r="M428" i="3"/>
  <c r="L428" i="3"/>
  <c r="K428" i="3"/>
  <c r="M427" i="3"/>
  <c r="L427" i="3"/>
  <c r="K427" i="3"/>
  <c r="M426" i="3"/>
  <c r="L426" i="3"/>
  <c r="K426" i="3"/>
  <c r="M425" i="3"/>
  <c r="L425" i="3"/>
  <c r="K425" i="3"/>
  <c r="M424" i="3"/>
  <c r="L424" i="3"/>
  <c r="K424" i="3"/>
  <c r="M423" i="3"/>
  <c r="L423" i="3"/>
  <c r="K423" i="3"/>
  <c r="M422" i="3"/>
  <c r="L422" i="3"/>
  <c r="K422" i="3"/>
  <c r="M421" i="3"/>
  <c r="L421" i="3"/>
  <c r="K421" i="3"/>
  <c r="M420" i="3"/>
  <c r="L420" i="3"/>
  <c r="K420" i="3"/>
  <c r="M419" i="3"/>
  <c r="L419" i="3"/>
  <c r="K419" i="3"/>
  <c r="M418" i="3"/>
  <c r="L418" i="3"/>
  <c r="K418" i="3"/>
  <c r="M417" i="3"/>
  <c r="L417" i="3"/>
  <c r="K417" i="3"/>
  <c r="M416" i="3"/>
  <c r="L416" i="3"/>
  <c r="K416" i="3"/>
  <c r="M415" i="3"/>
  <c r="L415" i="3"/>
  <c r="K415" i="3"/>
  <c r="M414" i="3"/>
  <c r="L414" i="3"/>
  <c r="K414" i="3"/>
  <c r="M413" i="3"/>
  <c r="L413" i="3"/>
  <c r="K413" i="3"/>
  <c r="M412" i="3"/>
  <c r="L412" i="3"/>
  <c r="K412" i="3"/>
  <c r="M411" i="3"/>
  <c r="L411" i="3"/>
  <c r="K411" i="3"/>
  <c r="M410" i="3"/>
  <c r="L410" i="3"/>
  <c r="K410" i="3"/>
  <c r="M409" i="3"/>
  <c r="L409" i="3"/>
  <c r="K409" i="3"/>
  <c r="M408" i="3"/>
  <c r="L408" i="3"/>
  <c r="K408" i="3"/>
  <c r="M407" i="3"/>
  <c r="L407" i="3"/>
  <c r="K407" i="3"/>
  <c r="M406" i="3"/>
  <c r="L406" i="3"/>
  <c r="K406" i="3"/>
  <c r="M405" i="3"/>
  <c r="L405" i="3"/>
  <c r="K405" i="3"/>
  <c r="M404" i="3"/>
  <c r="L404" i="3"/>
  <c r="K404" i="3"/>
  <c r="M403" i="3"/>
  <c r="L403" i="3"/>
  <c r="K403" i="3"/>
  <c r="M402" i="3"/>
  <c r="L402" i="3"/>
  <c r="K402" i="3"/>
  <c r="M401" i="3"/>
  <c r="L401" i="3"/>
  <c r="K401" i="3"/>
  <c r="M400" i="3"/>
  <c r="L400" i="3"/>
  <c r="K400" i="3"/>
  <c r="M399" i="3"/>
  <c r="L399" i="3"/>
  <c r="K399" i="3"/>
  <c r="M398" i="3"/>
  <c r="L398" i="3"/>
  <c r="K398" i="3"/>
  <c r="M397" i="3"/>
  <c r="L397" i="3"/>
  <c r="K397" i="3"/>
  <c r="M396" i="3"/>
  <c r="L396" i="3"/>
  <c r="K396" i="3"/>
  <c r="M395" i="3"/>
  <c r="L395" i="3"/>
  <c r="K395" i="3"/>
  <c r="M394" i="3"/>
  <c r="L394" i="3"/>
  <c r="K394" i="3"/>
  <c r="M393" i="3"/>
  <c r="L393" i="3"/>
  <c r="K393" i="3"/>
  <c r="M392" i="3"/>
  <c r="L392" i="3"/>
  <c r="K392" i="3"/>
  <c r="M391" i="3"/>
  <c r="L391" i="3"/>
  <c r="K391" i="3"/>
  <c r="M390" i="3"/>
  <c r="L390" i="3"/>
  <c r="K390" i="3"/>
  <c r="M389" i="3"/>
  <c r="L389" i="3"/>
  <c r="K389" i="3"/>
  <c r="M388" i="3"/>
  <c r="L388" i="3"/>
  <c r="K388" i="3"/>
  <c r="M387" i="3"/>
  <c r="L387" i="3"/>
  <c r="K387" i="3"/>
  <c r="M386" i="3"/>
  <c r="L386" i="3"/>
  <c r="K386" i="3"/>
  <c r="M385" i="3"/>
  <c r="L385" i="3"/>
  <c r="K385" i="3"/>
  <c r="M384" i="3"/>
  <c r="L384" i="3"/>
  <c r="K384" i="3"/>
  <c r="M383" i="3"/>
  <c r="L383" i="3"/>
  <c r="K383" i="3"/>
  <c r="M382" i="3"/>
  <c r="L382" i="3"/>
  <c r="K382" i="3"/>
  <c r="M381" i="3"/>
  <c r="L381" i="3"/>
  <c r="K381" i="3"/>
  <c r="M380" i="3"/>
  <c r="L380" i="3"/>
  <c r="K380" i="3"/>
  <c r="M379" i="3"/>
  <c r="L379" i="3"/>
  <c r="K379" i="3"/>
  <c r="M378" i="3"/>
  <c r="L378" i="3"/>
  <c r="K378" i="3"/>
  <c r="M377" i="3"/>
  <c r="L377" i="3"/>
  <c r="K377" i="3"/>
  <c r="M376" i="3"/>
  <c r="L376" i="3"/>
  <c r="K376" i="3"/>
  <c r="M375" i="3"/>
  <c r="L375" i="3"/>
  <c r="K375" i="3"/>
  <c r="M374" i="3"/>
  <c r="L374" i="3"/>
  <c r="K374" i="3"/>
  <c r="M373" i="3"/>
  <c r="L373" i="3"/>
  <c r="K373" i="3"/>
  <c r="M372" i="3"/>
  <c r="L372" i="3"/>
  <c r="K372" i="3"/>
  <c r="M371" i="3"/>
  <c r="L371" i="3"/>
  <c r="K371" i="3"/>
  <c r="M370" i="3"/>
  <c r="L370" i="3"/>
  <c r="K370" i="3"/>
  <c r="M369" i="3"/>
  <c r="L369" i="3"/>
  <c r="K369" i="3"/>
  <c r="M368" i="3"/>
  <c r="L368" i="3"/>
  <c r="K368" i="3"/>
  <c r="M367" i="3"/>
  <c r="L367" i="3"/>
  <c r="K367" i="3"/>
  <c r="M366" i="3"/>
  <c r="L366" i="3"/>
  <c r="K366" i="3"/>
  <c r="M365" i="3"/>
  <c r="L365" i="3"/>
  <c r="K365" i="3"/>
  <c r="M364" i="3"/>
  <c r="L364" i="3"/>
  <c r="K364" i="3"/>
  <c r="M363" i="3"/>
  <c r="L363" i="3"/>
  <c r="K363" i="3"/>
  <c r="M362" i="3"/>
  <c r="L362" i="3"/>
  <c r="K362" i="3"/>
  <c r="M361" i="3"/>
  <c r="L361" i="3"/>
  <c r="K361" i="3"/>
  <c r="M360" i="3"/>
  <c r="L360" i="3"/>
  <c r="K360" i="3"/>
  <c r="M359" i="3"/>
  <c r="L359" i="3"/>
  <c r="K359" i="3"/>
  <c r="M358" i="3"/>
  <c r="L358" i="3"/>
  <c r="K358" i="3"/>
  <c r="M357" i="3"/>
  <c r="L357" i="3"/>
  <c r="K357" i="3"/>
  <c r="M356" i="3"/>
  <c r="L356" i="3"/>
  <c r="K356" i="3"/>
  <c r="M355" i="3"/>
  <c r="L355" i="3"/>
  <c r="K355" i="3"/>
  <c r="M354" i="3"/>
  <c r="L354" i="3"/>
  <c r="K354" i="3"/>
  <c r="M353" i="3"/>
  <c r="L353" i="3"/>
  <c r="K353" i="3"/>
  <c r="M352" i="3"/>
  <c r="L352" i="3"/>
  <c r="K352" i="3"/>
  <c r="M351" i="3"/>
  <c r="L351" i="3"/>
  <c r="K351" i="3"/>
  <c r="M350" i="3"/>
  <c r="L350" i="3"/>
  <c r="K350" i="3"/>
  <c r="M349" i="3"/>
  <c r="L349" i="3"/>
  <c r="K349" i="3"/>
  <c r="M348" i="3"/>
  <c r="L348" i="3"/>
  <c r="K348" i="3"/>
  <c r="M347" i="3"/>
  <c r="L347" i="3"/>
  <c r="K347" i="3"/>
  <c r="M346" i="3"/>
  <c r="L346" i="3"/>
  <c r="K346" i="3"/>
  <c r="M345" i="3"/>
  <c r="L345" i="3"/>
  <c r="K345" i="3"/>
  <c r="M344" i="3"/>
  <c r="L344" i="3"/>
  <c r="K344" i="3"/>
  <c r="M343" i="3"/>
  <c r="L343" i="3"/>
  <c r="K343" i="3"/>
  <c r="M342" i="3"/>
  <c r="L342" i="3"/>
  <c r="K342" i="3"/>
  <c r="M341" i="3"/>
  <c r="L341" i="3"/>
  <c r="K341" i="3"/>
  <c r="M340" i="3"/>
  <c r="L340" i="3"/>
  <c r="K340" i="3"/>
  <c r="M339" i="3"/>
  <c r="L339" i="3"/>
  <c r="K339" i="3"/>
  <c r="M338" i="3"/>
  <c r="L338" i="3"/>
  <c r="K338" i="3"/>
  <c r="M337" i="3"/>
  <c r="L337" i="3"/>
  <c r="K337" i="3"/>
  <c r="M336" i="3"/>
  <c r="L336" i="3"/>
  <c r="K336" i="3"/>
  <c r="M335" i="3"/>
  <c r="L335" i="3"/>
  <c r="K335" i="3"/>
  <c r="M334" i="3"/>
  <c r="L334" i="3"/>
  <c r="K334" i="3"/>
  <c r="M333" i="3"/>
  <c r="L333" i="3"/>
  <c r="K333" i="3"/>
  <c r="M332" i="3"/>
  <c r="L332" i="3"/>
  <c r="K332" i="3"/>
  <c r="M331" i="3"/>
  <c r="L331" i="3"/>
  <c r="K331" i="3"/>
  <c r="M330" i="3"/>
  <c r="L330" i="3"/>
  <c r="K330" i="3"/>
  <c r="M329" i="3"/>
  <c r="L329" i="3"/>
  <c r="K329" i="3"/>
  <c r="M328" i="3"/>
  <c r="L328" i="3"/>
  <c r="K328" i="3"/>
  <c r="M327" i="3"/>
  <c r="L327" i="3"/>
  <c r="K327" i="3"/>
  <c r="M326" i="3"/>
  <c r="L326" i="3"/>
  <c r="K326" i="3"/>
  <c r="M325" i="3"/>
  <c r="L325" i="3"/>
  <c r="K325" i="3"/>
  <c r="M324" i="3"/>
  <c r="L324" i="3"/>
  <c r="K324" i="3"/>
  <c r="M323" i="3"/>
  <c r="L323" i="3"/>
  <c r="K323" i="3"/>
  <c r="M322" i="3"/>
  <c r="L322" i="3"/>
  <c r="K322" i="3"/>
  <c r="M321" i="3"/>
  <c r="L321" i="3"/>
  <c r="K321" i="3"/>
  <c r="M320" i="3"/>
  <c r="L320" i="3"/>
  <c r="K320" i="3"/>
  <c r="M319" i="3"/>
  <c r="L319" i="3"/>
  <c r="K319" i="3"/>
  <c r="M318" i="3"/>
  <c r="L318" i="3"/>
  <c r="K318" i="3"/>
  <c r="M317" i="3"/>
  <c r="L317" i="3"/>
  <c r="K317" i="3"/>
  <c r="M316" i="3"/>
  <c r="L316" i="3"/>
  <c r="K316" i="3"/>
  <c r="M315" i="3"/>
  <c r="L315" i="3"/>
  <c r="K315" i="3"/>
  <c r="M314" i="3"/>
  <c r="L314" i="3"/>
  <c r="K314" i="3"/>
  <c r="M313" i="3"/>
  <c r="L313" i="3"/>
  <c r="K313" i="3"/>
  <c r="M312" i="3"/>
  <c r="L312" i="3"/>
  <c r="K312" i="3"/>
  <c r="M311" i="3"/>
  <c r="L311" i="3"/>
  <c r="K311" i="3"/>
  <c r="M310" i="3"/>
  <c r="L310" i="3"/>
  <c r="K310" i="3"/>
  <c r="M309" i="3"/>
  <c r="L309" i="3"/>
  <c r="K309" i="3"/>
  <c r="M308" i="3"/>
  <c r="L308" i="3"/>
  <c r="K308" i="3"/>
  <c r="M307" i="3"/>
  <c r="L307" i="3"/>
  <c r="K307" i="3"/>
  <c r="M306" i="3"/>
  <c r="L306" i="3"/>
  <c r="K306" i="3"/>
  <c r="M305" i="3"/>
  <c r="L305" i="3"/>
  <c r="K305" i="3"/>
  <c r="M304" i="3"/>
  <c r="L304" i="3"/>
  <c r="K304" i="3"/>
  <c r="M303" i="3"/>
  <c r="L303" i="3"/>
  <c r="K303" i="3"/>
  <c r="M302" i="3"/>
  <c r="L302" i="3"/>
  <c r="K302" i="3"/>
  <c r="M301" i="3"/>
  <c r="L301" i="3"/>
  <c r="K301" i="3"/>
  <c r="M300" i="3"/>
  <c r="L300" i="3"/>
  <c r="K300" i="3"/>
  <c r="M299" i="3"/>
  <c r="L299" i="3"/>
  <c r="K299" i="3"/>
  <c r="M298" i="3"/>
  <c r="L298" i="3"/>
  <c r="K298" i="3"/>
  <c r="M297" i="3"/>
  <c r="L297" i="3"/>
  <c r="K297" i="3"/>
  <c r="M296" i="3"/>
  <c r="L296" i="3"/>
  <c r="K296" i="3"/>
  <c r="M295" i="3"/>
  <c r="L295" i="3"/>
  <c r="K295" i="3"/>
  <c r="M294" i="3"/>
  <c r="L294" i="3"/>
  <c r="K294" i="3"/>
  <c r="M293" i="3"/>
  <c r="L293" i="3"/>
  <c r="K293" i="3"/>
  <c r="M292" i="3"/>
  <c r="L292" i="3"/>
  <c r="K292" i="3"/>
  <c r="M291" i="3"/>
  <c r="L291" i="3"/>
  <c r="K291" i="3"/>
  <c r="M290" i="3"/>
  <c r="L290" i="3"/>
  <c r="K290" i="3"/>
  <c r="M289" i="3"/>
  <c r="L289" i="3"/>
  <c r="K289" i="3"/>
  <c r="M288" i="3"/>
  <c r="L288" i="3"/>
  <c r="K288" i="3"/>
  <c r="M287" i="3"/>
  <c r="L287" i="3"/>
  <c r="K287" i="3"/>
  <c r="M286" i="3"/>
  <c r="L286" i="3"/>
  <c r="K286" i="3"/>
  <c r="M285" i="3"/>
  <c r="L285" i="3"/>
  <c r="K285" i="3"/>
  <c r="M284" i="3"/>
  <c r="L284" i="3"/>
  <c r="K284" i="3"/>
  <c r="M283" i="3"/>
  <c r="L283" i="3"/>
  <c r="K283" i="3"/>
  <c r="M282" i="3"/>
  <c r="L282" i="3"/>
  <c r="K282" i="3"/>
  <c r="M281" i="3"/>
  <c r="L281" i="3"/>
  <c r="K281" i="3"/>
  <c r="M280" i="3"/>
  <c r="L280" i="3"/>
  <c r="K280" i="3"/>
  <c r="M279" i="3"/>
  <c r="L279" i="3"/>
  <c r="K279" i="3"/>
  <c r="M278" i="3"/>
  <c r="L278" i="3"/>
  <c r="K278" i="3"/>
  <c r="M277" i="3"/>
  <c r="L277" i="3"/>
  <c r="K277" i="3"/>
  <c r="M276" i="3"/>
  <c r="L276" i="3"/>
  <c r="K276" i="3"/>
  <c r="M275" i="3"/>
  <c r="L275" i="3"/>
  <c r="K275" i="3"/>
  <c r="M274" i="3"/>
  <c r="L274" i="3"/>
  <c r="K274" i="3"/>
  <c r="M273" i="3"/>
  <c r="L273" i="3"/>
  <c r="K273" i="3"/>
  <c r="M272" i="3"/>
  <c r="L272" i="3"/>
  <c r="K272" i="3"/>
  <c r="M271" i="3"/>
  <c r="L271" i="3"/>
  <c r="K271" i="3"/>
  <c r="M270" i="3"/>
  <c r="L270" i="3"/>
  <c r="K270" i="3"/>
  <c r="M269" i="3"/>
  <c r="L269" i="3"/>
  <c r="K269" i="3"/>
  <c r="M268" i="3"/>
  <c r="L268" i="3"/>
  <c r="K268" i="3"/>
  <c r="M267" i="3"/>
  <c r="L267" i="3"/>
  <c r="K267" i="3"/>
  <c r="M266" i="3"/>
  <c r="L266" i="3"/>
  <c r="K266" i="3"/>
  <c r="M265" i="3"/>
  <c r="L265" i="3"/>
  <c r="K265" i="3"/>
  <c r="M264" i="3"/>
  <c r="L264" i="3"/>
  <c r="K264" i="3"/>
  <c r="M263" i="3"/>
  <c r="L263" i="3"/>
  <c r="K263" i="3"/>
  <c r="M262" i="3"/>
  <c r="L262" i="3"/>
  <c r="K262" i="3"/>
  <c r="M261" i="3"/>
  <c r="L261" i="3"/>
  <c r="K261" i="3"/>
  <c r="M260" i="3"/>
  <c r="L260" i="3"/>
  <c r="K260" i="3"/>
  <c r="M259" i="3"/>
  <c r="L259" i="3"/>
  <c r="K259" i="3"/>
  <c r="M258" i="3"/>
  <c r="L258" i="3"/>
  <c r="K258" i="3"/>
  <c r="M257" i="3"/>
  <c r="L257" i="3"/>
  <c r="K257" i="3"/>
  <c r="M256" i="3"/>
  <c r="L256" i="3"/>
  <c r="K256" i="3"/>
  <c r="M255" i="3"/>
  <c r="L255" i="3"/>
  <c r="K255" i="3"/>
  <c r="M254" i="3"/>
  <c r="L254" i="3"/>
  <c r="K254" i="3"/>
  <c r="M253" i="3"/>
  <c r="L253" i="3"/>
  <c r="K253" i="3"/>
  <c r="M252" i="3"/>
  <c r="L252" i="3"/>
  <c r="K252" i="3"/>
  <c r="M251" i="3"/>
  <c r="L251" i="3"/>
  <c r="K251" i="3"/>
  <c r="M250" i="3"/>
  <c r="L250" i="3"/>
  <c r="K250" i="3"/>
  <c r="M249" i="3"/>
  <c r="L249" i="3"/>
  <c r="K249" i="3"/>
  <c r="M248" i="3"/>
  <c r="L248" i="3"/>
  <c r="K248" i="3"/>
  <c r="M247" i="3"/>
  <c r="L247" i="3"/>
  <c r="K247" i="3"/>
  <c r="M246" i="3"/>
  <c r="L246" i="3"/>
  <c r="K246" i="3"/>
  <c r="M245" i="3"/>
  <c r="L245" i="3"/>
  <c r="K245" i="3"/>
  <c r="M244" i="3"/>
  <c r="L244" i="3"/>
  <c r="K244" i="3"/>
  <c r="M243" i="3"/>
  <c r="L243" i="3"/>
  <c r="K243" i="3"/>
  <c r="M242" i="3"/>
  <c r="L242" i="3"/>
  <c r="K242" i="3"/>
  <c r="M241" i="3"/>
  <c r="L241" i="3"/>
  <c r="K241" i="3"/>
  <c r="M240" i="3"/>
  <c r="L240" i="3"/>
  <c r="K240" i="3"/>
  <c r="M239" i="3"/>
  <c r="L239" i="3"/>
  <c r="K239" i="3"/>
  <c r="M238" i="3"/>
  <c r="L238" i="3"/>
  <c r="K238" i="3"/>
  <c r="M237" i="3"/>
  <c r="L237" i="3"/>
  <c r="K237" i="3"/>
  <c r="M236" i="3"/>
  <c r="L236" i="3"/>
  <c r="K236" i="3"/>
  <c r="M235" i="3"/>
  <c r="L235" i="3"/>
  <c r="K235" i="3"/>
  <c r="M234" i="3"/>
  <c r="L234" i="3"/>
  <c r="K234" i="3"/>
  <c r="M233" i="3"/>
  <c r="L233" i="3"/>
  <c r="K233" i="3"/>
  <c r="M232" i="3"/>
  <c r="L232" i="3"/>
  <c r="K232" i="3"/>
  <c r="M231" i="3"/>
  <c r="L231" i="3"/>
  <c r="K231" i="3"/>
  <c r="M230" i="3"/>
  <c r="L230" i="3"/>
  <c r="K230" i="3"/>
  <c r="M229" i="3"/>
  <c r="L229" i="3"/>
  <c r="K229" i="3"/>
  <c r="M228" i="3"/>
  <c r="L228" i="3"/>
  <c r="K228" i="3"/>
  <c r="M227" i="3"/>
  <c r="L227" i="3"/>
  <c r="K227" i="3"/>
  <c r="M226" i="3"/>
  <c r="L226" i="3"/>
  <c r="K226" i="3"/>
  <c r="M225" i="3"/>
  <c r="L225" i="3"/>
  <c r="K225" i="3"/>
  <c r="M224" i="3"/>
  <c r="L224" i="3"/>
  <c r="K224" i="3"/>
  <c r="M223" i="3"/>
  <c r="L223" i="3"/>
  <c r="K223" i="3"/>
  <c r="M222" i="3"/>
  <c r="L222" i="3"/>
  <c r="K222" i="3"/>
  <c r="M221" i="3"/>
  <c r="L221" i="3"/>
  <c r="K221" i="3"/>
  <c r="M220" i="3"/>
  <c r="L220" i="3"/>
  <c r="K220" i="3"/>
  <c r="M219" i="3"/>
  <c r="L219" i="3"/>
  <c r="K219" i="3"/>
  <c r="M218" i="3"/>
  <c r="L218" i="3"/>
  <c r="K218" i="3"/>
  <c r="M217" i="3"/>
  <c r="L217" i="3"/>
  <c r="K217" i="3"/>
  <c r="M216" i="3"/>
  <c r="L216" i="3"/>
  <c r="K216" i="3"/>
  <c r="M215" i="3"/>
  <c r="L215" i="3"/>
  <c r="K215" i="3"/>
  <c r="M214" i="3"/>
  <c r="L214" i="3"/>
  <c r="K214" i="3"/>
  <c r="M213" i="3"/>
  <c r="L213" i="3"/>
  <c r="K213" i="3"/>
  <c r="M212" i="3"/>
  <c r="L212" i="3"/>
  <c r="K212" i="3"/>
  <c r="M211" i="3"/>
  <c r="L211" i="3"/>
  <c r="K211" i="3"/>
  <c r="M210" i="3"/>
  <c r="L210" i="3"/>
  <c r="K210" i="3"/>
  <c r="M209" i="3"/>
  <c r="L209" i="3"/>
  <c r="K209" i="3"/>
  <c r="M208" i="3"/>
  <c r="L208" i="3"/>
  <c r="K208" i="3"/>
  <c r="M207" i="3"/>
  <c r="L207" i="3"/>
  <c r="K207" i="3"/>
  <c r="M206" i="3"/>
  <c r="L206" i="3"/>
  <c r="K206" i="3"/>
  <c r="M205" i="3"/>
  <c r="L205" i="3"/>
  <c r="K205" i="3"/>
  <c r="M204" i="3"/>
  <c r="L204" i="3"/>
  <c r="K204" i="3"/>
  <c r="M203" i="3"/>
  <c r="L203" i="3"/>
  <c r="K203" i="3"/>
  <c r="M202" i="3"/>
  <c r="L202" i="3"/>
  <c r="K202" i="3"/>
  <c r="M201" i="3"/>
  <c r="L201" i="3"/>
  <c r="K201" i="3"/>
  <c r="M200" i="3"/>
  <c r="L200" i="3"/>
  <c r="K200" i="3"/>
  <c r="M199" i="3"/>
  <c r="L199" i="3"/>
  <c r="K199" i="3"/>
  <c r="M198" i="3"/>
  <c r="L198" i="3"/>
  <c r="K198" i="3"/>
  <c r="M197" i="3"/>
  <c r="L197" i="3"/>
  <c r="K197" i="3"/>
  <c r="M196" i="3"/>
  <c r="L196" i="3"/>
  <c r="K196" i="3"/>
  <c r="M195" i="3"/>
  <c r="L195" i="3"/>
  <c r="K195" i="3"/>
  <c r="M194" i="3"/>
  <c r="L194" i="3"/>
  <c r="K194" i="3"/>
  <c r="M193" i="3"/>
  <c r="L193" i="3"/>
  <c r="K193" i="3"/>
  <c r="M192" i="3"/>
  <c r="L192" i="3"/>
  <c r="K192" i="3"/>
  <c r="M191" i="3"/>
  <c r="L191" i="3"/>
  <c r="K191" i="3"/>
  <c r="M190" i="3"/>
  <c r="L190" i="3"/>
  <c r="K190" i="3"/>
  <c r="M189" i="3"/>
  <c r="L189" i="3"/>
  <c r="K189" i="3"/>
  <c r="M188" i="3"/>
  <c r="L188" i="3"/>
  <c r="K188" i="3"/>
  <c r="M187" i="3"/>
  <c r="L187" i="3"/>
  <c r="K187" i="3"/>
  <c r="M186" i="3"/>
  <c r="L186" i="3"/>
  <c r="K186" i="3"/>
  <c r="M185" i="3"/>
  <c r="L185" i="3"/>
  <c r="K185" i="3"/>
  <c r="M184" i="3"/>
  <c r="L184" i="3"/>
  <c r="K184" i="3"/>
  <c r="M183" i="3"/>
  <c r="L183" i="3"/>
  <c r="K183" i="3"/>
  <c r="M182" i="3"/>
  <c r="L182" i="3"/>
  <c r="K182" i="3"/>
  <c r="M181" i="3"/>
  <c r="L181" i="3"/>
  <c r="K181" i="3"/>
  <c r="M180" i="3"/>
  <c r="L180" i="3"/>
  <c r="K180" i="3"/>
  <c r="M179" i="3"/>
  <c r="L179" i="3"/>
  <c r="K179" i="3"/>
  <c r="M178" i="3"/>
  <c r="L178" i="3"/>
  <c r="K178" i="3"/>
  <c r="M177" i="3"/>
  <c r="L177" i="3"/>
  <c r="K177" i="3"/>
  <c r="M176" i="3"/>
  <c r="L176" i="3"/>
  <c r="K176" i="3"/>
  <c r="M175" i="3"/>
  <c r="L175" i="3"/>
  <c r="K175" i="3"/>
  <c r="M174" i="3"/>
  <c r="L174" i="3"/>
  <c r="K174" i="3"/>
  <c r="M173" i="3"/>
  <c r="L173" i="3"/>
  <c r="K173" i="3"/>
  <c r="M172" i="3"/>
  <c r="L172" i="3"/>
  <c r="K172" i="3"/>
  <c r="M171" i="3"/>
  <c r="L171" i="3"/>
  <c r="K171" i="3"/>
  <c r="M170" i="3"/>
  <c r="L170" i="3"/>
  <c r="K170" i="3"/>
  <c r="M169" i="3"/>
  <c r="L169" i="3"/>
  <c r="K169" i="3"/>
  <c r="M168" i="3"/>
  <c r="L168" i="3"/>
  <c r="K168" i="3"/>
  <c r="M167" i="3"/>
  <c r="L167" i="3"/>
  <c r="K167" i="3"/>
  <c r="M166" i="3"/>
  <c r="L166" i="3"/>
  <c r="K166" i="3"/>
  <c r="M165" i="3"/>
  <c r="L165" i="3"/>
  <c r="K165" i="3"/>
  <c r="M164" i="3"/>
  <c r="L164" i="3"/>
  <c r="K164" i="3"/>
  <c r="M163" i="3"/>
  <c r="L163" i="3"/>
  <c r="K163" i="3"/>
  <c r="M162" i="3"/>
  <c r="L162" i="3"/>
  <c r="K162" i="3"/>
  <c r="M161" i="3"/>
  <c r="L161" i="3"/>
  <c r="K161" i="3"/>
  <c r="M160" i="3"/>
  <c r="L160" i="3"/>
  <c r="K160" i="3"/>
  <c r="M159" i="3"/>
  <c r="L159" i="3"/>
  <c r="K159" i="3"/>
  <c r="M158" i="3"/>
  <c r="L158" i="3"/>
  <c r="K158" i="3"/>
  <c r="M157" i="3"/>
  <c r="L157" i="3"/>
  <c r="K157" i="3"/>
  <c r="M156" i="3"/>
  <c r="L156" i="3"/>
  <c r="K156" i="3"/>
  <c r="M155" i="3"/>
  <c r="L155" i="3"/>
  <c r="K155" i="3"/>
  <c r="M154" i="3"/>
  <c r="L154" i="3"/>
  <c r="K154" i="3"/>
  <c r="M153" i="3"/>
  <c r="L153" i="3"/>
  <c r="K153" i="3"/>
  <c r="M152" i="3"/>
  <c r="L152" i="3"/>
  <c r="K152" i="3"/>
  <c r="M151" i="3"/>
  <c r="L151" i="3"/>
  <c r="K151" i="3"/>
  <c r="M150" i="3"/>
  <c r="L150" i="3"/>
  <c r="K150" i="3"/>
  <c r="M149" i="3"/>
  <c r="L149" i="3"/>
  <c r="K149" i="3"/>
  <c r="M148" i="3"/>
  <c r="L148" i="3"/>
  <c r="K148" i="3"/>
  <c r="M147" i="3"/>
  <c r="L147" i="3"/>
  <c r="K147" i="3"/>
  <c r="M146" i="3"/>
  <c r="L146" i="3"/>
  <c r="K146" i="3"/>
  <c r="M145" i="3"/>
  <c r="L145" i="3"/>
  <c r="K145" i="3"/>
  <c r="M144" i="3"/>
  <c r="L144" i="3"/>
  <c r="K144" i="3"/>
  <c r="M143" i="3"/>
  <c r="L143" i="3"/>
  <c r="K143" i="3"/>
  <c r="M142" i="3"/>
  <c r="L142" i="3"/>
  <c r="K142" i="3"/>
  <c r="M141" i="3"/>
  <c r="L141" i="3"/>
  <c r="K141" i="3"/>
  <c r="M140" i="3"/>
  <c r="L140" i="3"/>
  <c r="K140" i="3"/>
  <c r="M139" i="3"/>
  <c r="L139" i="3"/>
  <c r="K139" i="3"/>
  <c r="M138" i="3"/>
  <c r="L138" i="3"/>
  <c r="K138" i="3"/>
  <c r="M137" i="3"/>
  <c r="L137" i="3"/>
  <c r="K137" i="3"/>
  <c r="M136" i="3"/>
  <c r="L136" i="3"/>
  <c r="K136" i="3"/>
  <c r="M135" i="3"/>
  <c r="L135" i="3"/>
  <c r="K135" i="3"/>
  <c r="M134" i="3"/>
  <c r="L134" i="3"/>
  <c r="K134" i="3"/>
  <c r="M133" i="3"/>
  <c r="L133" i="3"/>
  <c r="K133" i="3"/>
  <c r="M132" i="3"/>
  <c r="L132" i="3"/>
  <c r="K132" i="3"/>
  <c r="M131" i="3"/>
  <c r="L131" i="3"/>
  <c r="K131" i="3"/>
  <c r="M130" i="3"/>
  <c r="L130" i="3"/>
  <c r="K130" i="3"/>
  <c r="M129" i="3"/>
  <c r="L129" i="3"/>
  <c r="K129" i="3"/>
  <c r="M128" i="3"/>
  <c r="L128" i="3"/>
  <c r="K128" i="3"/>
  <c r="M127" i="3"/>
  <c r="L127" i="3"/>
  <c r="K127" i="3"/>
  <c r="M126" i="3"/>
  <c r="L126" i="3"/>
  <c r="K126" i="3"/>
  <c r="M125" i="3"/>
  <c r="L125" i="3"/>
  <c r="K125" i="3"/>
  <c r="M124" i="3"/>
  <c r="L124" i="3"/>
  <c r="K124" i="3"/>
  <c r="M123" i="3"/>
  <c r="L123" i="3"/>
  <c r="K123" i="3"/>
  <c r="M122" i="3"/>
  <c r="L122" i="3"/>
  <c r="K122" i="3"/>
  <c r="M121" i="3"/>
  <c r="L121" i="3"/>
  <c r="K121" i="3"/>
  <c r="M120" i="3"/>
  <c r="L120" i="3"/>
  <c r="K120" i="3"/>
  <c r="M119" i="3"/>
  <c r="L119" i="3"/>
  <c r="K119" i="3"/>
  <c r="M118" i="3"/>
  <c r="L118" i="3"/>
  <c r="K118" i="3"/>
  <c r="M117" i="3"/>
  <c r="L117" i="3"/>
  <c r="K117" i="3"/>
  <c r="M116" i="3"/>
  <c r="L116" i="3"/>
  <c r="K116" i="3"/>
  <c r="M115" i="3"/>
  <c r="L115" i="3"/>
  <c r="K115" i="3"/>
  <c r="M114" i="3"/>
  <c r="L114" i="3"/>
  <c r="K114" i="3"/>
  <c r="M113" i="3"/>
  <c r="L113" i="3"/>
  <c r="K113" i="3"/>
  <c r="M112" i="3"/>
  <c r="L112" i="3"/>
  <c r="K112" i="3"/>
  <c r="M111" i="3"/>
  <c r="L111" i="3"/>
  <c r="K111" i="3"/>
  <c r="M110" i="3"/>
  <c r="L110" i="3"/>
  <c r="K110" i="3"/>
  <c r="M109" i="3"/>
  <c r="L109" i="3"/>
  <c r="K109" i="3"/>
  <c r="M108" i="3"/>
  <c r="L108" i="3"/>
  <c r="K108" i="3"/>
  <c r="M107" i="3"/>
  <c r="L107" i="3"/>
  <c r="K107" i="3"/>
  <c r="M106" i="3"/>
  <c r="L106" i="3"/>
  <c r="K106" i="3"/>
  <c r="M105" i="3"/>
  <c r="L105" i="3"/>
  <c r="K105" i="3"/>
  <c r="M104" i="3"/>
  <c r="L104" i="3"/>
  <c r="K104" i="3"/>
  <c r="M103" i="3"/>
  <c r="L103" i="3"/>
  <c r="K103" i="3"/>
  <c r="M102" i="3"/>
  <c r="L102" i="3"/>
  <c r="K102" i="3"/>
  <c r="M101" i="3"/>
  <c r="L101" i="3"/>
  <c r="K101" i="3"/>
  <c r="M100" i="3"/>
  <c r="L100" i="3"/>
  <c r="K100" i="3"/>
  <c r="M99" i="3"/>
  <c r="L99" i="3"/>
  <c r="K99" i="3"/>
  <c r="M98" i="3"/>
  <c r="L98" i="3"/>
  <c r="K98" i="3"/>
  <c r="M97" i="3"/>
  <c r="L97" i="3"/>
  <c r="K97" i="3"/>
  <c r="M96" i="3"/>
  <c r="L96" i="3"/>
  <c r="K96" i="3"/>
  <c r="M95" i="3"/>
  <c r="L95" i="3"/>
  <c r="K95" i="3"/>
  <c r="M94" i="3"/>
  <c r="L94" i="3"/>
  <c r="K94" i="3"/>
  <c r="M93" i="3"/>
  <c r="L93" i="3"/>
  <c r="K93" i="3"/>
  <c r="M92" i="3"/>
  <c r="L92" i="3"/>
  <c r="K92" i="3"/>
  <c r="M91" i="3"/>
  <c r="L91" i="3"/>
  <c r="K91" i="3"/>
  <c r="M90" i="3"/>
  <c r="L90" i="3"/>
  <c r="K90" i="3"/>
  <c r="M89" i="3"/>
  <c r="L89" i="3"/>
  <c r="K89" i="3"/>
  <c r="M88" i="3"/>
  <c r="L88" i="3"/>
  <c r="K88" i="3"/>
  <c r="M87" i="3"/>
  <c r="L87" i="3"/>
  <c r="K87" i="3"/>
  <c r="M86" i="3"/>
  <c r="L86" i="3"/>
  <c r="K86" i="3"/>
  <c r="M85" i="3"/>
  <c r="L85" i="3"/>
  <c r="K85" i="3"/>
  <c r="M84" i="3"/>
  <c r="L84" i="3"/>
  <c r="K84" i="3"/>
  <c r="M83" i="3"/>
  <c r="L83" i="3"/>
  <c r="K83" i="3"/>
  <c r="M82" i="3"/>
  <c r="L82" i="3"/>
  <c r="K82" i="3"/>
  <c r="M81" i="3"/>
  <c r="L81" i="3"/>
  <c r="K81" i="3"/>
  <c r="M80" i="3"/>
  <c r="L80" i="3"/>
  <c r="K80" i="3"/>
  <c r="M79" i="3"/>
  <c r="L79" i="3"/>
  <c r="K79" i="3"/>
  <c r="M78" i="3"/>
  <c r="L78" i="3"/>
  <c r="K78" i="3"/>
  <c r="M77" i="3"/>
  <c r="L77" i="3"/>
  <c r="K77" i="3"/>
  <c r="M76" i="3"/>
  <c r="L76" i="3"/>
  <c r="K76" i="3"/>
  <c r="M75" i="3"/>
  <c r="L75" i="3"/>
  <c r="K75" i="3"/>
  <c r="M74" i="3"/>
  <c r="L74" i="3"/>
  <c r="K74" i="3"/>
  <c r="M73" i="3"/>
  <c r="L73" i="3"/>
  <c r="K73" i="3"/>
  <c r="M72" i="3"/>
  <c r="L72" i="3"/>
  <c r="K72" i="3"/>
  <c r="M71" i="3"/>
  <c r="L71" i="3"/>
  <c r="K71" i="3"/>
  <c r="M70" i="3"/>
  <c r="L70" i="3"/>
  <c r="K70" i="3"/>
  <c r="M69" i="3"/>
  <c r="L69" i="3"/>
  <c r="K69" i="3"/>
  <c r="M68" i="3"/>
  <c r="L68" i="3"/>
  <c r="K68" i="3"/>
  <c r="M67" i="3"/>
  <c r="L67" i="3"/>
  <c r="K67" i="3"/>
  <c r="M66" i="3"/>
  <c r="L66" i="3"/>
  <c r="K66" i="3"/>
  <c r="M65" i="3"/>
  <c r="L65" i="3"/>
  <c r="K65" i="3"/>
  <c r="M64" i="3"/>
  <c r="L64" i="3"/>
  <c r="K64" i="3"/>
  <c r="M63" i="3"/>
  <c r="L63" i="3"/>
  <c r="K63" i="3"/>
  <c r="M62" i="3"/>
  <c r="L62" i="3"/>
  <c r="K62" i="3"/>
  <c r="M61" i="3"/>
  <c r="L61" i="3"/>
  <c r="K61" i="3"/>
  <c r="M60" i="3"/>
  <c r="L60" i="3"/>
  <c r="K60" i="3"/>
  <c r="M59" i="3"/>
  <c r="L59" i="3"/>
  <c r="K59" i="3"/>
  <c r="M58" i="3"/>
  <c r="L58" i="3"/>
  <c r="K58" i="3"/>
  <c r="M57" i="3"/>
  <c r="L57" i="3"/>
  <c r="K57" i="3"/>
  <c r="M56" i="3"/>
  <c r="L56" i="3"/>
  <c r="K56" i="3"/>
  <c r="M55" i="3"/>
  <c r="L55" i="3"/>
  <c r="K55" i="3"/>
  <c r="M54" i="3"/>
  <c r="L54" i="3"/>
  <c r="K54" i="3"/>
  <c r="M53" i="3"/>
  <c r="L53" i="3"/>
  <c r="K53" i="3"/>
  <c r="M52" i="3"/>
  <c r="L52" i="3"/>
  <c r="K52" i="3"/>
  <c r="M51" i="3"/>
  <c r="L51" i="3"/>
  <c r="K51" i="3"/>
  <c r="M50" i="3"/>
  <c r="L50" i="3"/>
  <c r="K50" i="3"/>
  <c r="M49" i="3"/>
  <c r="L49" i="3"/>
  <c r="K49" i="3"/>
  <c r="M48" i="3"/>
  <c r="L48" i="3"/>
  <c r="K48" i="3"/>
  <c r="M47" i="3"/>
  <c r="L47" i="3"/>
  <c r="K47" i="3"/>
  <c r="M46" i="3"/>
  <c r="L46" i="3"/>
  <c r="K46" i="3"/>
  <c r="M45" i="3"/>
  <c r="L45" i="3"/>
  <c r="K45" i="3"/>
  <c r="M44" i="3"/>
  <c r="L44" i="3"/>
  <c r="K44" i="3"/>
  <c r="M43" i="3"/>
  <c r="L43" i="3"/>
  <c r="K43" i="3"/>
  <c r="M42" i="3"/>
  <c r="L42" i="3"/>
  <c r="K42" i="3"/>
  <c r="M41" i="3"/>
  <c r="L41" i="3"/>
  <c r="K41" i="3"/>
  <c r="M40" i="3"/>
  <c r="L40" i="3"/>
  <c r="K40" i="3"/>
  <c r="M39" i="3"/>
  <c r="L39" i="3"/>
  <c r="K39" i="3"/>
  <c r="M38" i="3"/>
  <c r="L38" i="3"/>
  <c r="K38" i="3"/>
  <c r="M37" i="3"/>
  <c r="L37" i="3"/>
  <c r="K37" i="3"/>
  <c r="M36" i="3"/>
  <c r="L36" i="3"/>
  <c r="K36" i="3"/>
  <c r="M35" i="3"/>
  <c r="L35" i="3"/>
  <c r="K35" i="3"/>
  <c r="M34" i="3"/>
  <c r="L34" i="3"/>
  <c r="K34" i="3"/>
  <c r="M33" i="3"/>
  <c r="L33" i="3"/>
  <c r="K33" i="3"/>
  <c r="M32" i="3"/>
  <c r="L32" i="3"/>
  <c r="K32" i="3"/>
  <c r="M31" i="3"/>
  <c r="L31" i="3"/>
  <c r="K31" i="3"/>
  <c r="M30" i="3"/>
  <c r="L30" i="3"/>
  <c r="K30" i="3"/>
  <c r="M29" i="3"/>
  <c r="L29" i="3"/>
  <c r="K29" i="3"/>
  <c r="M28" i="3"/>
  <c r="L28" i="3"/>
  <c r="K28" i="3"/>
  <c r="M27" i="3"/>
  <c r="L27" i="3"/>
  <c r="K27" i="3"/>
  <c r="M26" i="3"/>
  <c r="L26" i="3"/>
  <c r="K26" i="3"/>
  <c r="M25" i="3"/>
  <c r="L25" i="3"/>
  <c r="K25" i="3"/>
  <c r="M24" i="3"/>
  <c r="L24" i="3"/>
  <c r="K24" i="3"/>
  <c r="M23" i="3"/>
  <c r="L23" i="3"/>
  <c r="K23" i="3"/>
  <c r="M22" i="3"/>
  <c r="L22" i="3"/>
  <c r="K22" i="3"/>
  <c r="M21" i="3"/>
  <c r="L21" i="3"/>
  <c r="K21" i="3"/>
  <c r="M20" i="3"/>
  <c r="L20" i="3"/>
  <c r="K20" i="3"/>
  <c r="M19" i="3"/>
  <c r="L19" i="3"/>
  <c r="K19" i="3"/>
  <c r="M18" i="3"/>
  <c r="L18" i="3"/>
  <c r="K18" i="3"/>
  <c r="M17" i="3"/>
  <c r="L17" i="3"/>
  <c r="K17" i="3"/>
  <c r="M16" i="3"/>
  <c r="L16" i="3"/>
  <c r="K16" i="3"/>
  <c r="M15" i="3"/>
  <c r="L15" i="3"/>
  <c r="K15" i="3"/>
  <c r="M14" i="3"/>
  <c r="L14" i="3"/>
  <c r="K14" i="3"/>
  <c r="M13" i="3"/>
  <c r="L13" i="3"/>
  <c r="K13" i="3"/>
  <c r="M12" i="3"/>
  <c r="L12" i="3"/>
  <c r="K12" i="3"/>
  <c r="M11" i="3"/>
  <c r="L11" i="3"/>
  <c r="K11" i="3"/>
  <c r="M10" i="3"/>
  <c r="L10" i="3"/>
  <c r="K10" i="3"/>
  <c r="M9" i="3"/>
  <c r="L9" i="3"/>
  <c r="K9" i="3"/>
  <c r="M8" i="3"/>
  <c r="L8" i="3"/>
  <c r="K8" i="3"/>
  <c r="M7" i="3"/>
  <c r="L7" i="3"/>
  <c r="K7" i="3"/>
  <c r="K6" i="3"/>
  <c r="K5" i="3"/>
  <c r="W55" i="2"/>
  <c r="V55" i="2"/>
  <c r="X55" i="2" s="1"/>
  <c r="W54" i="2"/>
  <c r="V54" i="2"/>
  <c r="X54" i="2" s="1"/>
  <c r="W53" i="2"/>
  <c r="V53" i="2"/>
  <c r="X53" i="2" s="1"/>
  <c r="W52" i="2"/>
  <c r="V52" i="2"/>
  <c r="X52" i="2" s="1"/>
  <c r="W51" i="2"/>
  <c r="V51" i="2"/>
  <c r="X51" i="2" s="1"/>
  <c r="W50" i="2"/>
  <c r="V50" i="2"/>
  <c r="X50" i="2" s="1"/>
  <c r="W49" i="2"/>
  <c r="V49" i="2"/>
  <c r="X49" i="2" s="1"/>
  <c r="W48" i="2"/>
  <c r="V48" i="2"/>
  <c r="X48" i="2" s="1"/>
  <c r="W47" i="2"/>
  <c r="V47" i="2"/>
  <c r="X47" i="2" s="1"/>
  <c r="W46" i="2"/>
  <c r="V46" i="2"/>
  <c r="X46" i="2" s="1"/>
  <c r="W45" i="2"/>
  <c r="V45" i="2"/>
  <c r="X45" i="2" s="1"/>
  <c r="W44" i="2"/>
  <c r="V44" i="2"/>
  <c r="X44" i="2" s="1"/>
  <c r="W43" i="2"/>
  <c r="V43" i="2"/>
  <c r="X43" i="2" s="1"/>
  <c r="W42" i="2"/>
  <c r="V42" i="2"/>
  <c r="X42" i="2" s="1"/>
  <c r="W41" i="2"/>
  <c r="V41" i="2"/>
  <c r="X41" i="2" s="1"/>
  <c r="W40" i="2"/>
  <c r="V40" i="2"/>
  <c r="X40" i="2" s="1"/>
  <c r="W39" i="2"/>
  <c r="V39" i="2"/>
  <c r="X39" i="2" s="1"/>
  <c r="W38" i="2"/>
  <c r="V38" i="2"/>
  <c r="X38" i="2" s="1"/>
  <c r="W37" i="2"/>
  <c r="V37" i="2"/>
  <c r="X37" i="2" s="1"/>
  <c r="W36" i="2"/>
  <c r="V36" i="2"/>
  <c r="X36" i="2" s="1"/>
  <c r="W35" i="2"/>
  <c r="V35" i="2"/>
  <c r="X35" i="2" s="1"/>
  <c r="W34" i="2"/>
  <c r="V34" i="2"/>
  <c r="X34" i="2" s="1"/>
  <c r="W33" i="2"/>
  <c r="V33" i="2"/>
  <c r="X33" i="2" s="1"/>
  <c r="W32" i="2"/>
  <c r="V32" i="2"/>
  <c r="X32" i="2" s="1"/>
  <c r="V31" i="2"/>
  <c r="S26" i="10" l="1"/>
  <c r="S25" i="10"/>
  <c r="F16" i="7"/>
  <c r="F17" i="7" s="1"/>
  <c r="G3" i="10"/>
  <c r="K3" i="10" s="1"/>
  <c r="H3" i="10"/>
  <c r="G6" i="6" s="1"/>
  <c r="F4" i="10"/>
  <c r="L6" i="3"/>
  <c r="M6" i="3" s="1"/>
  <c r="L5" i="3"/>
  <c r="M5" i="3" s="1"/>
  <c r="P15" i="10"/>
  <c r="I6" i="6"/>
  <c r="W5" i="2"/>
  <c r="D6" i="6"/>
  <c r="M3" i="10"/>
  <c r="C6" i="6"/>
  <c r="Q20" i="10"/>
  <c r="H12" i="10"/>
  <c r="G15" i="6" s="1"/>
  <c r="G10" i="10"/>
  <c r="F8" i="10"/>
  <c r="E6" i="10"/>
  <c r="R20" i="10" a="1"/>
  <c r="R20" i="10" s="1"/>
  <c r="F6" i="10"/>
  <c r="D4" i="10"/>
  <c r="F9" i="10"/>
  <c r="G7" i="10"/>
  <c r="E5" i="10"/>
  <c r="N20" i="10"/>
  <c r="O14" i="10" s="1"/>
  <c r="H17" i="6" s="1"/>
  <c r="L12" i="10" a="1"/>
  <c r="L12" i="10" s="1"/>
  <c r="H10" i="10"/>
  <c r="G13" i="6" s="1"/>
  <c r="H6" i="10"/>
  <c r="G9" i="6" s="1"/>
  <c r="I4" i="10"/>
  <c r="E7" i="6" s="1"/>
  <c r="M2" i="3"/>
  <c r="D3" i="2" s="1"/>
  <c r="D13" i="10"/>
  <c r="M13" i="10" s="1"/>
  <c r="C11" i="10"/>
  <c r="C14" i="6" s="1"/>
  <c r="G8" i="10"/>
  <c r="H4" i="10"/>
  <c r="L20" i="10"/>
  <c r="O12" i="10" s="1"/>
  <c r="H15" i="6" s="1"/>
  <c r="F14" i="10"/>
  <c r="F12" i="10"/>
  <c r="D10" i="10"/>
  <c r="M10" i="10" s="1"/>
  <c r="D8" i="10"/>
  <c r="M8" i="10" s="1"/>
  <c r="C6" i="10"/>
  <c r="C9" i="6" s="1"/>
  <c r="L14" i="10" a="1"/>
  <c r="L14" i="10" s="1"/>
  <c r="C13" i="10"/>
  <c r="C16" i="6" s="1"/>
  <c r="E11" i="10"/>
  <c r="G9" i="10"/>
  <c r="F7" i="10"/>
  <c r="G4" i="10"/>
  <c r="J20" i="10"/>
  <c r="O10" i="10" s="1"/>
  <c r="H13" i="6" s="1"/>
  <c r="I13" i="10"/>
  <c r="E16" i="6" s="1"/>
  <c r="C12" i="10"/>
  <c r="C15" i="6" s="1"/>
  <c r="H9" i="10"/>
  <c r="G12" i="6" s="1"/>
  <c r="E7" i="10"/>
  <c r="M20" i="10"/>
  <c r="O13" i="10" s="1"/>
  <c r="H16" i="6" s="1"/>
  <c r="L10" i="10" a="1"/>
  <c r="L10" i="10" s="1"/>
  <c r="L8" i="10" a="1"/>
  <c r="L8" i="10" s="1"/>
  <c r="I6" i="10"/>
  <c r="E9" i="6" s="1"/>
  <c r="L4" i="10" a="1"/>
  <c r="L4" i="10" s="1"/>
  <c r="H14" i="10"/>
  <c r="G17" i="6" s="1"/>
  <c r="G6" i="10"/>
  <c r="L3" i="10" a="1"/>
  <c r="L3" i="10" s="1"/>
  <c r="E20" i="10"/>
  <c r="O5" i="10" s="1"/>
  <c r="H8" i="6" s="1"/>
  <c r="G14" i="10"/>
  <c r="G12" i="10"/>
  <c r="I10" i="10"/>
  <c r="E13" i="6" s="1"/>
  <c r="C9" i="10"/>
  <c r="C12" i="6" s="1"/>
  <c r="I7" i="10"/>
  <c r="E10" i="6" s="1"/>
  <c r="D5" i="10"/>
  <c r="M5" i="10" s="1"/>
  <c r="F5" i="10"/>
  <c r="P20" i="10"/>
  <c r="H11" i="10"/>
  <c r="G14" i="6" s="1"/>
  <c r="I9" i="10"/>
  <c r="E12" i="6" s="1"/>
  <c r="D7" i="10"/>
  <c r="M7" i="10" s="1"/>
  <c r="C5" i="10"/>
  <c r="C8" i="6" s="1"/>
  <c r="K20" i="10"/>
  <c r="O11" i="10" s="1"/>
  <c r="H14" i="6" s="1"/>
  <c r="E14" i="10"/>
  <c r="D12" i="10"/>
  <c r="M12" i="10" s="1"/>
  <c r="C10" i="10"/>
  <c r="C13" i="6" s="1"/>
  <c r="C8" i="10"/>
  <c r="C11" i="6" s="1"/>
  <c r="L5" i="10" a="1"/>
  <c r="L5" i="10" s="1"/>
  <c r="I20" i="10"/>
  <c r="O9" i="10" s="1"/>
  <c r="H12" i="6" s="1"/>
  <c r="C14" i="10"/>
  <c r="C17" i="6" s="1"/>
  <c r="L11" i="10" a="1"/>
  <c r="L11" i="10" s="1"/>
  <c r="L9" i="10" a="1"/>
  <c r="L9" i="10" s="1"/>
  <c r="H7" i="10"/>
  <c r="G10" i="6" s="1"/>
  <c r="D20" i="10"/>
  <c r="O4" i="10" s="1"/>
  <c r="H7" i="6" s="1"/>
  <c r="F13" i="10"/>
  <c r="D11" i="10"/>
  <c r="M11" i="10" s="1"/>
  <c r="H8" i="10"/>
  <c r="G11" i="6" s="1"/>
  <c r="H5" i="10"/>
  <c r="G8" i="6" s="1"/>
  <c r="I14" i="10"/>
  <c r="E17" i="6" s="1"/>
  <c r="I12" i="10"/>
  <c r="E15" i="6" s="1"/>
  <c r="E10" i="10"/>
  <c r="E8" i="10"/>
  <c r="D6" i="10"/>
  <c r="M6" i="10" s="1"/>
  <c r="E4" i="10"/>
  <c r="G20" i="10"/>
  <c r="O7" i="10" s="1"/>
  <c r="H10" i="6" s="1"/>
  <c r="H13" i="10"/>
  <c r="G16" i="6" s="1"/>
  <c r="F11" i="10"/>
  <c r="I8" i="10"/>
  <c r="E11" i="6" s="1"/>
  <c r="I5" i="10"/>
  <c r="E8" i="6" s="1"/>
  <c r="C20" i="10"/>
  <c r="G13" i="10"/>
  <c r="G11" i="10"/>
  <c r="D9" i="10"/>
  <c r="M9" i="10" s="1"/>
  <c r="C7" i="10"/>
  <c r="C10" i="6" s="1"/>
  <c r="I3" i="10"/>
  <c r="H20" i="10"/>
  <c r="O8" i="10" s="1"/>
  <c r="H11" i="6" s="1"/>
  <c r="L13" i="10" a="1"/>
  <c r="L13" i="10" s="1"/>
  <c r="I11" i="10"/>
  <c r="E14" i="6" s="1"/>
  <c r="E9" i="10"/>
  <c r="L6" i="10" a="1"/>
  <c r="L6" i="10" s="1"/>
  <c r="C4" i="10"/>
  <c r="E13" i="10"/>
  <c r="F10" i="10"/>
  <c r="L7" i="10" a="1"/>
  <c r="L7" i="10" s="1"/>
  <c r="G5" i="10"/>
  <c r="F20" i="10"/>
  <c r="O6" i="10" s="1"/>
  <c r="H9" i="6" s="1"/>
  <c r="D14" i="10"/>
  <c r="M14" i="10" s="1"/>
  <c r="E12" i="10"/>
  <c r="F9" i="7"/>
  <c r="F10" i="7"/>
  <c r="E15" i="10" l="1"/>
  <c r="G15" i="10"/>
  <c r="I18" i="6"/>
  <c r="W26" i="2"/>
  <c r="Q6" i="10"/>
  <c r="J6" i="10"/>
  <c r="K6" i="10"/>
  <c r="W8" i="2"/>
  <c r="D9" i="6"/>
  <c r="J5" i="10"/>
  <c r="K5" i="10"/>
  <c r="Q5" i="10"/>
  <c r="W7" i="2"/>
  <c r="D8" i="6"/>
  <c r="D14" i="6"/>
  <c r="W13" i="2"/>
  <c r="J11" i="10"/>
  <c r="K11" i="10"/>
  <c r="Q11" i="10"/>
  <c r="D10" i="6"/>
  <c r="W9" i="2"/>
  <c r="Q7" i="10"/>
  <c r="J7" i="10"/>
  <c r="N7" i="10" s="1"/>
  <c r="K7" i="10"/>
  <c r="F5" i="4"/>
  <c r="D17" i="6"/>
  <c r="W16" i="2"/>
  <c r="Q14" i="10"/>
  <c r="J14" i="10"/>
  <c r="K14" i="10"/>
  <c r="J10" i="10"/>
  <c r="K10" i="10"/>
  <c r="W12" i="2"/>
  <c r="D13" i="6"/>
  <c r="Q10" i="10"/>
  <c r="W10" i="2"/>
  <c r="D11" i="6"/>
  <c r="J8" i="10"/>
  <c r="K8" i="10"/>
  <c r="Q8" i="10"/>
  <c r="W6" i="2"/>
  <c r="D7" i="6"/>
  <c r="J4" i="10"/>
  <c r="K4" i="10"/>
  <c r="Q4" i="10"/>
  <c r="O3" i="10"/>
  <c r="S20" i="10"/>
  <c r="E6" i="6"/>
  <c r="I15" i="10"/>
  <c r="E18" i="6" s="1"/>
  <c r="J9" i="10"/>
  <c r="K9" i="10"/>
  <c r="D12" i="6"/>
  <c r="W11" i="2"/>
  <c r="Q9" i="10"/>
  <c r="Q13" i="10"/>
  <c r="W15" i="2"/>
  <c r="J13" i="10"/>
  <c r="K13" i="10"/>
  <c r="D16" i="6"/>
  <c r="J12" i="10"/>
  <c r="K12" i="10"/>
  <c r="W14" i="2"/>
  <c r="D15" i="6"/>
  <c r="Q12" i="10"/>
  <c r="F15" i="10"/>
  <c r="L15" i="10"/>
  <c r="W22" i="2" s="1"/>
  <c r="M4" i="10"/>
  <c r="M15" i="10" s="1"/>
  <c r="W23" i="2" s="1"/>
  <c r="D15" i="10"/>
  <c r="G7" i="6"/>
  <c r="H15" i="10"/>
  <c r="J3" i="10"/>
  <c r="Q3" i="10"/>
  <c r="C7" i="6"/>
  <c r="C15" i="10"/>
  <c r="N12" i="10" l="1"/>
  <c r="N10" i="10"/>
  <c r="N13" i="10"/>
  <c r="S6" i="10"/>
  <c r="K9" i="6" s="1"/>
  <c r="S5" i="10"/>
  <c r="K8" i="6" s="1"/>
  <c r="S11" i="10"/>
  <c r="K14" i="6" s="1"/>
  <c r="R7" i="10"/>
  <c r="S7" i="10"/>
  <c r="K10" i="6" s="1"/>
  <c r="Y9" i="2"/>
  <c r="F10" i="6"/>
  <c r="S14" i="10"/>
  <c r="K17" i="6" s="1"/>
  <c r="S10" i="10"/>
  <c r="K13" i="6" s="1"/>
  <c r="S8" i="10"/>
  <c r="K11" i="6" s="1"/>
  <c r="S4" i="10"/>
  <c r="K7" i="6" s="1"/>
  <c r="H6" i="6"/>
  <c r="O15" i="10"/>
  <c r="S9" i="10"/>
  <c r="K12" i="6" s="1"/>
  <c r="S13" i="10"/>
  <c r="K16" i="6" s="1"/>
  <c r="S12" i="10"/>
  <c r="K15" i="6" s="1"/>
  <c r="W24" i="2"/>
  <c r="G18" i="6"/>
  <c r="J15" i="10"/>
  <c r="W20" i="2" s="1"/>
  <c r="N3" i="10"/>
  <c r="Q15" i="10"/>
  <c r="R3" i="10"/>
  <c r="S3" i="10" s="1"/>
  <c r="K6" i="6" s="1"/>
  <c r="C18" i="6"/>
  <c r="L10" i="2"/>
  <c r="N5" i="10"/>
  <c r="R5" i="10" s="1"/>
  <c r="N11" i="10"/>
  <c r="R11" i="10" s="1"/>
  <c r="N8" i="10"/>
  <c r="R8" i="10" s="1"/>
  <c r="N4" i="10"/>
  <c r="R4" i="10" s="1"/>
  <c r="K15" i="10"/>
  <c r="W21" i="2" s="1"/>
  <c r="N6" i="10"/>
  <c r="R6" i="10" s="1"/>
  <c r="N14" i="10"/>
  <c r="R14" i="10" s="1"/>
  <c r="N9" i="10"/>
  <c r="R9" i="10" s="1"/>
  <c r="E5" i="4"/>
  <c r="G5" i="4"/>
  <c r="B6" i="2"/>
  <c r="D18" i="6"/>
  <c r="F15" i="6" l="1"/>
  <c r="R12" i="10"/>
  <c r="Y14" i="2"/>
  <c r="F13" i="6"/>
  <c r="Y12" i="2"/>
  <c r="R10" i="10"/>
  <c r="R15" i="10" s="1"/>
  <c r="F16" i="6"/>
  <c r="R13" i="10"/>
  <c r="Y15" i="2"/>
  <c r="X8" i="2"/>
  <c r="J9" i="6"/>
  <c r="J8" i="6"/>
  <c r="X7" i="2"/>
  <c r="X13" i="2"/>
  <c r="J14" i="6"/>
  <c r="X9" i="2"/>
  <c r="J10" i="6"/>
  <c r="X16" i="2"/>
  <c r="J17" i="6"/>
  <c r="X12" i="2"/>
  <c r="J13" i="6"/>
  <c r="X10" i="2"/>
  <c r="J11" i="6"/>
  <c r="X6" i="2"/>
  <c r="J7" i="6"/>
  <c r="W25" i="2"/>
  <c r="H18" i="6"/>
  <c r="X11" i="2"/>
  <c r="J12" i="6"/>
  <c r="F6" i="6"/>
  <c r="N15" i="10"/>
  <c r="Y5" i="2"/>
  <c r="J6" i="6"/>
  <c r="X5" i="2"/>
  <c r="Y7" i="2"/>
  <c r="F8" i="6"/>
  <c r="F14" i="6"/>
  <c r="Y13" i="2"/>
  <c r="F11" i="6"/>
  <c r="Y10" i="2"/>
  <c r="Y6" i="2"/>
  <c r="F7" i="6"/>
  <c r="F9" i="6"/>
  <c r="Y8" i="2"/>
  <c r="Y16" i="2"/>
  <c r="F17" i="6"/>
  <c r="F12" i="6"/>
  <c r="Y11" i="2"/>
  <c r="H5" i="4"/>
  <c r="W31" i="2"/>
  <c r="X31" i="2" s="1"/>
  <c r="J15" i="6" l="1"/>
  <c r="X14" i="2"/>
  <c r="X15" i="2"/>
  <c r="J16" i="6"/>
  <c r="G10" i="2"/>
  <c r="F18" i="6"/>
  <c r="B10" i="2"/>
  <c r="S15" i="10"/>
  <c r="W27" i="2"/>
  <c r="J18" i="6"/>
  <c r="G6" i="2"/>
  <c r="V60" i="2"/>
  <c r="W65" i="2"/>
  <c r="W63" i="2"/>
  <c r="W61" i="2"/>
  <c r="V59" i="2"/>
  <c r="W59" i="2"/>
  <c r="V61" i="2"/>
  <c r="V63" i="2"/>
  <c r="W62" i="2"/>
  <c r="V66" i="2"/>
  <c r="V62" i="2"/>
  <c r="V64" i="2"/>
  <c r="W66" i="2"/>
  <c r="V65" i="2"/>
  <c r="W64" i="2"/>
  <c r="W60" i="2"/>
  <c r="K18" i="6" l="1"/>
  <c r="L6" i="2"/>
</calcChain>
</file>

<file path=xl/sharedStrings.xml><?xml version="1.0" encoding="utf-8"?>
<sst xmlns="http://schemas.openxmlformats.org/spreadsheetml/2006/main" count="248" uniqueCount="179">
  <si>
    <t>Etsy Seller Profit &amp; Fee Tracker</t>
  </si>
  <si>
    <t>See what you really keep from every Etsy sale after fees, postage and materials. Works in Excel and Google Sheets.</t>
  </si>
  <si>
    <t>QUICK START (10 minutes)</t>
  </si>
  <si>
    <t>1. 'Products' tab: list what you sell and what one unit costs you to make (materials + packaging). Delete the example row first.</t>
  </si>
  <si>
    <t>2. 'Orders' tab: one row per order. Pick the product from the dropdown, enter the quantity, what the buyer paid for the items and for shipping,</t>
  </si>
  <si>
    <t xml:space="preserve">    the postage label you paid, and whether the sale came from an Etsy Offsite Ad. Etsy fees, product cost and profit work themselves out.</t>
  </si>
  <si>
    <t>3. 'Shop Expenses' tab: everything not tied to one order: Etsy Ads, listing fees, packaging bought in bulk, software, photography.</t>
  </si>
  <si>
    <t>4. 'Dashboard' shows the year at a glance (change the year in cell C3). 'Monthly P&amp;L' shows each month.</t>
  </si>
  <si>
    <t>5. 'Price Calculator' tells you what to charge for a new product to hit the profit you want, after every Etsy fee.</t>
  </si>
  <si>
    <t>6. 'Fee Settings' holds Etsy's fee rates. They are set to Etsy's standard US rates; update them there if Etsy changes its fees.</t>
  </si>
  <si>
    <t>7. Red cells mean a row needs fixing (bad date, unknown product, text in an amount). That row stays out of the totals until fixed.</t>
  </si>
  <si>
    <t xml:space="preserve">    The count shows at the top of each tab and on the Dashboard.</t>
  </si>
  <si>
    <t>8. Room for 2,000 orders and 500 expenses. Need more? Right-click a row number in the middle of the list &gt; Insert; totals expand automatically.</t>
  </si>
  <si>
    <t>ORDERS WITH SEVERAL DIFFERENT PRODUCTS</t>
  </si>
  <si>
    <t>Use one row per product with the same order number. Enter shipping, sales tax and postage on the first row only.</t>
  </si>
  <si>
    <t>HOW FEES ARE CALCULATED</t>
  </si>
  <si>
    <t>Transaction fee: % of item price + shipping (refunds reduce it). Payment processing: % of item + shipping + sales tax, plus a fixed fee per order row.</t>
  </si>
  <si>
    <t>Offsite Ads: % of item + shipping, capped per order, only on rows marked Yes. Listing renewal: charged for each item sold.</t>
  </si>
  <si>
    <t>Sales tax is collected and paid by Etsy, so it is not counted as your income; it only matters because processing fees are charged on it.</t>
  </si>
  <si>
    <t>COLOR KEY</t>
  </si>
  <si>
    <t>Yellow cells = you type here.  White cells = formulas, leave them alone.  Rows marked EXAMPLE show the format; delete them when you start.</t>
  </si>
  <si>
    <t>USING GOOGLE SHEETS?</t>
  </si>
  <si>
    <t>Open sheets.google.com &gt; File &gt; Import &gt; Upload this .xlsx &gt; 'Replace spreadsheet'. Formulas and dropdowns carry over.</t>
  </si>
  <si>
    <t>IMPORTANT</t>
  </si>
  <si>
    <t>Fee figures are estimates from the rates on 'Fee Settings'. Your Etsy Payment account is the final word. A record-keeping aid, not tax advice.</t>
  </si>
  <si>
    <t>Questions or a formula not behaving? Email nora@qnsai.com. Made by Nora Studio.</t>
  </si>
  <si>
    <t>Etsy Shop Dashboard</t>
  </si>
  <si>
    <t>Year:</t>
  </si>
  <si>
    <t>Chart data (do not edit)</t>
  </si>
  <si>
    <t>Month</t>
  </si>
  <si>
    <t>Gross sales</t>
  </si>
  <si>
    <t>Net profit</t>
  </si>
  <si>
    <t>Etsy fees</t>
  </si>
  <si>
    <t>GROSS SALES</t>
  </si>
  <si>
    <t>NET PROFIT</t>
  </si>
  <si>
    <t>PROFIT MARGIN</t>
  </si>
  <si>
    <t>Jan</t>
  </si>
  <si>
    <t>Feb</t>
  </si>
  <si>
    <t>Mar</t>
  </si>
  <si>
    <t>Apr</t>
  </si>
  <si>
    <t>ETSY FEES</t>
  </si>
  <si>
    <t>FEES AS % OF SALES</t>
  </si>
  <si>
    <t>ORDERS</t>
  </si>
  <si>
    <t>May</t>
  </si>
  <si>
    <t>Jun</t>
  </si>
  <si>
    <t>Jul</t>
  </si>
  <si>
    <t>Aug</t>
  </si>
  <si>
    <t>Sep</t>
  </si>
  <si>
    <t>Oct</t>
  </si>
  <si>
    <t>Nov</t>
  </si>
  <si>
    <t>Dec</t>
  </si>
  <si>
    <t>Where sales go</t>
  </si>
  <si>
    <t>Amount</t>
  </si>
  <si>
    <t>Transaction fees</t>
  </si>
  <si>
    <t>Processing fees</t>
  </si>
  <si>
    <t>Offsite Ads</t>
  </si>
  <si>
    <t>Listing renewals</t>
  </si>
  <si>
    <t>Postage</t>
  </si>
  <si>
    <t>Product costs</t>
  </si>
  <si>
    <t>Shop expenses</t>
  </si>
  <si>
    <t>Your profit</t>
  </si>
  <si>
    <t>Product</t>
  </si>
  <si>
    <t>Profit on items</t>
  </si>
  <si>
    <t>Sort key</t>
  </si>
  <si>
    <t>Top products</t>
  </si>
  <si>
    <t>Orders</t>
  </si>
  <si>
    <t>One row per order (or per product in a multi-product order). Amounts are what the buyer paid, before Etsy's fees.</t>
  </si>
  <si>
    <t>Rows to fix:</t>
  </si>
  <si>
    <t>Red cell = something to fix (bad date, unknown product, text in an amount). That row stays out of the totals until fixed.</t>
  </si>
  <si>
    <t>Date</t>
  </si>
  <si>
    <t>Order #</t>
  </si>
  <si>
    <t>Qty</t>
  </si>
  <si>
    <t>Item total paid</t>
  </si>
  <si>
    <t>Shipping charged</t>
  </si>
  <si>
    <t>Sales tax (Etsy collected)</t>
  </si>
  <si>
    <t>Postage you paid</t>
  </si>
  <si>
    <t>Offsite Ads sale?</t>
  </si>
  <si>
    <t>Refunded to buyer</t>
  </si>
  <si>
    <t>Etsy fees (est.)</t>
  </si>
  <si>
    <t>Product cost</t>
  </si>
  <si>
    <t>Profit</t>
  </si>
  <si>
    <t>3301</t>
  </si>
  <si>
    <t>EXAMPLE: Custom name necklace</t>
  </si>
  <si>
    <t>No</t>
  </si>
  <si>
    <t>3302</t>
  </si>
  <si>
    <t>Yes</t>
  </si>
  <si>
    <t>Products</t>
  </si>
  <si>
    <t>Up to 25 products. Yellow = you type. Year figures follow the year on the Dashboard.</t>
  </si>
  <si>
    <t>#</t>
  </si>
  <si>
    <t>Product name</t>
  </si>
  <si>
    <t>Your cost per unit (materials + packaging)</t>
  </si>
  <si>
    <t>Usual price</t>
  </si>
  <si>
    <t>Units sold</t>
  </si>
  <si>
    <t>Item sales</t>
  </si>
  <si>
    <t>Profit on items*</t>
  </si>
  <si>
    <t>Profit per unit</t>
  </si>
  <si>
    <t>*Profit on items = item sales minus refunds, the percentage Etsy fees on the items, renewals and your unit cost. Shipping, postage, fixed per-order fees and shop expenses are counted in the shop totals, not here.</t>
  </si>
  <si>
    <t>Shop Expenses</t>
  </si>
  <si>
    <t>Costs not tied to one order. Don't repeat materials here if they're already in a product's unit cost.</t>
  </si>
  <si>
    <t>Red cell = something to fix. That row stays out of the totals until fixed.</t>
  </si>
  <si>
    <t>Category</t>
  </si>
  <si>
    <t>Description / payee</t>
  </si>
  <si>
    <t>Etsy Ads</t>
  </si>
  <si>
    <t>EXAMPLE: January Etsy Ads</t>
  </si>
  <si>
    <t>Monthly P&amp;L</t>
  </si>
  <si>
    <t>(change it on the Dashboard)</t>
  </si>
  <si>
    <t>Refunds</t>
  </si>
  <si>
    <t>Margin</t>
  </si>
  <si>
    <t>Total</t>
  </si>
  <si>
    <t>Gross sales = item totals + shipping charged. Sales tax is excluded (Etsy collects and pays it).</t>
  </si>
  <si>
    <t>Price Calculator</t>
  </si>
  <si>
    <t>What should this product cost on Etsy? Fill the yellow cells.</t>
  </si>
  <si>
    <t>Inputs</t>
  </si>
  <si>
    <t>Recommended price</t>
  </si>
  <si>
    <t>Materials per item</t>
  </si>
  <si>
    <t>Total cost per item (materials, packaging, time, postage)</t>
  </si>
  <si>
    <t>Packaging per item</t>
  </si>
  <si>
    <t>Etsy % fees on item + shipping</t>
  </si>
  <si>
    <t>Your time per item (hours)</t>
  </si>
  <si>
    <t>Price to charge (exact)</t>
  </si>
  <si>
    <t>Your hourly rate</t>
  </si>
  <si>
    <t>Price to charge (rounded to .99)</t>
  </si>
  <si>
    <t>Postage you pay</t>
  </si>
  <si>
    <t>Etsy fees at that price</t>
  </si>
  <si>
    <t>Shipping you charge the buyer</t>
  </si>
  <si>
    <t>Profit per sale at that price</t>
  </si>
  <si>
    <t>Profit you want per sale (after paying yourself)</t>
  </si>
  <si>
    <t>Assume an Offsite Ads sale? (Yes/No)</t>
  </si>
  <si>
    <t>Check a price you have in mind</t>
  </si>
  <si>
    <t>Your price</t>
  </si>
  <si>
    <t>Your time is a cost: the recommended price pays your hourly rate first, then the profit you asked for.</t>
  </si>
  <si>
    <t>Sales tax is left out: Etsy collects it, and the small processing fee on it is ignored here.</t>
  </si>
  <si>
    <t>Profit per sale (after paying yourself)</t>
  </si>
  <si>
    <t>Profit margin</t>
  </si>
  <si>
    <t>Fee Settings</t>
  </si>
  <si>
    <t>Etsy's standard US seller fees. Change a yellow cell only if Etsy changes its rates or you sell from another country.</t>
  </si>
  <si>
    <t>Fee</t>
  </si>
  <si>
    <t>Rate</t>
  </si>
  <si>
    <t>Notes</t>
  </si>
  <si>
    <t>Transaction fee (% of item + shipping)</t>
  </si>
  <si>
    <t>Etsy transaction fee.</t>
  </si>
  <si>
    <t>Payment processing (% of order total)</t>
  </si>
  <si>
    <t>US Etsy Payments rate; charged on item + shipping + sales tax.</t>
  </si>
  <si>
    <t>Payment processing (fixed, per order)</t>
  </si>
  <si>
    <t>Charged once per order.</t>
  </si>
  <si>
    <t>Offsite Ads fee (% of item + shipping)</t>
  </si>
  <si>
    <t>15%; 12% if your shop made $10,000+ in the past 12 months.</t>
  </si>
  <si>
    <t>Offsite Ads cap (per order)</t>
  </si>
  <si>
    <t>Etsy never charges more than this per order.</t>
  </si>
  <si>
    <t>Listing renewal (per item sold)</t>
  </si>
  <si>
    <t>An auto-renewed or multi-quantity listing costs this for each item sold.</t>
  </si>
  <si>
    <t>Rates last checked against etsy.com/legal/fees: October 2026.</t>
  </si>
  <si>
    <t>Valid products (for totals)</t>
  </si>
  <si>
    <t>Product dropdown</t>
  </si>
  <si>
    <t>Expense categories</t>
  </si>
  <si>
    <t>Yes/No</t>
  </si>
  <si>
    <t>Listing fees (not tied to a sale)</t>
  </si>
  <si>
    <t>Etsy Plus / subscriptions</t>
  </si>
  <si>
    <t>Shipping supplies</t>
  </si>
  <si>
    <t>Packaging</t>
  </si>
  <si>
    <t>Materials bought in bulk</t>
  </si>
  <si>
    <t>Equipment and tools</t>
  </si>
  <si>
    <t>Software and apps</t>
  </si>
  <si>
    <t>Photography</t>
  </si>
  <si>
    <t>Marketing (non-Etsy)</t>
  </si>
  <si>
    <t>Bank and other fees</t>
  </si>
  <si>
    <t>Other</t>
  </si>
  <si>
    <t>Shipping</t>
  </si>
  <si>
    <t>Sales tax</t>
  </si>
  <si>
    <t>Transaction fee</t>
  </si>
  <si>
    <t>Processing fee</t>
  </si>
  <si>
    <t>Offsite Ads fee</t>
  </si>
  <si>
    <t>Renewal fee</t>
  </si>
  <si>
    <t>Etsy fees total</t>
  </si>
  <si>
    <t>Net sales</t>
  </si>
  <si>
    <t>Year</t>
  </si>
  <si>
    <t>Product units by month</t>
  </si>
  <si>
    <t>Offsite Ads fee on items</t>
  </si>
  <si>
    <t>Units (year)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</si>
</sst>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.00;\(\$#,##0.00\);&quot;-&quot;"/>
    <numFmt numFmtId="166" formatCode="mm/dd/yyyy"/>
    <numFmt numFmtId="167" formatCode="0.0%;\(0.0%\);&quot;-&quot;"/>
  </numFmts>
  <fonts count="18" x14ac:knownFonts="1">
    <font>
      <sz val="11"/>
      <color theme="1"/>
      <name val="Calibri"/>
      <family val="2"/>
      <scheme val="minor"/>
    </font>
    <font>
      <b/>
      <sz val="18"/>
      <color rgb="FFC2552D"/>
      <name val="Arial"/>
    </font>
    <font>
      <sz val="11"/>
      <color rgb="FF555555"/>
      <name val="Arial"/>
    </font>
    <font>
      <b/>
      <sz val="11"/>
      <color rgb="FFC2552D"/>
      <name val="Arial"/>
    </font>
    <font>
      <sz val="11"/>
      <color rgb="FF222222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i/>
      <sz val="9"/>
      <color rgb="FF666666"/>
      <name val="Arial"/>
    </font>
    <font>
      <b/>
      <sz val="10"/>
      <color rgb="FFB03A2E"/>
      <name val="Arial"/>
    </font>
    <font>
      <b/>
      <sz val="10"/>
      <name val="Arial"/>
    </font>
    <font>
      <b/>
      <sz val="11"/>
      <color rgb="FF008000"/>
      <name val="Arial"/>
    </font>
    <font>
      <sz val="10"/>
      <color rgb="FF000000"/>
      <name val="Arial"/>
    </font>
    <font>
      <b/>
      <sz val="12"/>
      <color rgb="FFC2552D"/>
      <name val="Arial"/>
    </font>
    <font>
      <b/>
      <sz val="10"/>
      <color rgb="FF000000"/>
      <name val="Arial"/>
    </font>
    <font>
      <b/>
      <sz val="12"/>
      <color rgb="FF0000FF"/>
      <name val="Arial"/>
    </font>
    <font>
      <b/>
      <sz val="9"/>
      <color rgb="FF8A6A5A"/>
      <name val="Arial"/>
    </font>
    <font>
      <b/>
      <sz val="20"/>
      <color rgb="FFC2552D"/>
      <name val="Arial"/>
    </font>
  </fonts>
  <fills count="5">
    <fill>
      <patternFill patternType="none"/>
    </fill>
    <fill>
      <patternFill patternType="gray125"/>
    </fill>
    <fill>
      <patternFill patternType="solid">
        <fgColor rgb="FFC2552D"/>
      </patternFill>
    </fill>
    <fill>
      <patternFill patternType="solid">
        <fgColor rgb="FFFFF7D6"/>
      </patternFill>
    </fill>
    <fill>
      <patternFill patternType="solid">
        <fgColor rgb="FFFBEFE8"/>
      </patternFill>
    </fill>
  </fills>
  <borders count="2">
    <border>
      <left/>
      <right/>
      <top/>
      <bottom/>
      <diagonal/>
    </border>
    <border>
      <left style="thin">
        <color rgb="FFE8D8CE"/>
      </left>
      <right style="thin">
        <color rgb="FFE8D8CE"/>
      </right>
      <top style="thin">
        <color rgb="FFE8D8CE"/>
      </top>
      <bottom style="thin">
        <color rgb="FFE8D8CE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0" fillId="0" borderId="0" xfId="0" applyFont="1" applyAlignment="1">
      <alignment horizontal="right"/>
    </xf>
    <xf numFmtId="0" fontId="15" fillId="3" borderId="1" xfId="0" applyFont="1" applyFill="1" applyBorder="1"/>
    <xf numFmtId="0" fontId="8" fillId="0" borderId="0" xfId="0" applyFont="1"/>
    <xf numFmtId="165" fontId="0" fillId="0" borderId="0" xfId="0" applyNumberFormat="1"/>
    <xf numFmtId="0" fontId="9" fillId="0" borderId="0" xfId="0" applyFont="1"/>
    <xf numFmtId="0" fontId="5" fillId="2" borderId="1" xfId="0" applyFont="1" applyFill="1" applyBorder="1" applyAlignment="1">
      <alignment horizontal="center" vertical="center" wrapText="1"/>
    </xf>
    <xf numFmtId="166" fontId="7" fillId="3" borderId="1" xfId="0" applyNumberFormat="1" applyFont="1" applyFill="1" applyBorder="1"/>
    <xf numFmtId="0" fontId="7" fillId="3" borderId="1" xfId="0" applyFont="1" applyFill="1" applyBorder="1"/>
    <xf numFmtId="165" fontId="7" fillId="3" borderId="1" xfId="0" applyNumberFormat="1" applyFont="1" applyFill="1" applyBorder="1"/>
    <xf numFmtId="165" fontId="6" fillId="0" borderId="0" xfId="0" applyNumberFormat="1" applyFont="1"/>
    <xf numFmtId="165" fontId="10" fillId="0" borderId="0" xfId="0" applyNumberFormat="1" applyFont="1"/>
    <xf numFmtId="0" fontId="6" fillId="0" borderId="0" xfId="0" applyFont="1"/>
    <xf numFmtId="1" fontId="6" fillId="0" borderId="1" xfId="0" applyNumberFormat="1" applyFont="1" applyBorder="1"/>
    <xf numFmtId="165" fontId="6" fillId="0" borderId="1" xfId="0" applyNumberFormat="1" applyFont="1" applyBorder="1"/>
    <xf numFmtId="0" fontId="10" fillId="0" borderId="0" xfId="0" applyFont="1"/>
    <xf numFmtId="0" fontId="11" fillId="0" borderId="0" xfId="0" applyFont="1" applyAlignment="1">
      <alignment horizontal="left"/>
    </xf>
    <xf numFmtId="167" fontId="6" fillId="0" borderId="1" xfId="0" applyNumberFormat="1" applyFont="1" applyBorder="1"/>
    <xf numFmtId="165" fontId="6" fillId="4" borderId="1" xfId="0" applyNumberFormat="1" applyFont="1" applyFill="1" applyBorder="1"/>
    <xf numFmtId="1" fontId="6" fillId="4" borderId="1" xfId="0" applyNumberFormat="1" applyFont="1" applyFill="1" applyBorder="1"/>
    <xf numFmtId="167" fontId="6" fillId="4" borderId="1" xfId="0" applyNumberFormat="1" applyFont="1" applyFill="1" applyBorder="1"/>
    <xf numFmtId="165" fontId="10" fillId="0" borderId="1" xfId="0" applyNumberFormat="1" applyFont="1" applyBorder="1"/>
    <xf numFmtId="1" fontId="10" fillId="0" borderId="1" xfId="0" applyNumberFormat="1" applyFont="1" applyBorder="1"/>
    <xf numFmtId="167" fontId="10" fillId="0" borderId="1" xfId="0" applyNumberFormat="1" applyFont="1" applyBorder="1"/>
    <xf numFmtId="165" fontId="12" fillId="0" borderId="1" xfId="0" applyNumberFormat="1" applyFont="1" applyBorder="1"/>
    <xf numFmtId="167" fontId="12" fillId="0" borderId="1" xfId="0" applyNumberFormat="1" applyFont="1" applyBorder="1"/>
    <xf numFmtId="2" fontId="7" fillId="3" borderId="1" xfId="0" applyNumberFormat="1" applyFont="1" applyFill="1" applyBorder="1"/>
    <xf numFmtId="165" fontId="13" fillId="0" borderId="1" xfId="0" applyNumberFormat="1" applyFont="1" applyBorder="1"/>
    <xf numFmtId="165" fontId="14" fillId="0" borderId="1" xfId="0" applyNumberFormat="1" applyFont="1" applyBorder="1"/>
    <xf numFmtId="49" fontId="7" fillId="3" borderId="1" xfId="0" applyNumberFormat="1" applyFont="1" applyFill="1" applyBorder="1"/>
    <xf numFmtId="0" fontId="8" fillId="0" borderId="0" xfId="0" applyFont="1" applyAlignment="1">
      <alignment wrapText="1"/>
    </xf>
    <xf numFmtId="164" fontId="7" fillId="3" borderId="1" xfId="0" applyNumberFormat="1" applyFont="1" applyFill="1" applyBorder="1"/>
    <xf numFmtId="0" fontId="16" fillId="4" borderId="0" xfId="0" applyFont="1" applyFill="1" applyAlignment="1">
      <alignment horizontal="left" indent="1"/>
    </xf>
    <xf numFmtId="0" fontId="0" fillId="4" borderId="0" xfId="0" applyFill="1"/>
    <xf numFmtId="167" fontId="17" fillId="4" borderId="0" xfId="0" applyNumberFormat="1" applyFont="1" applyFill="1" applyAlignment="1">
      <alignment horizontal="left" vertical="center" indent="1"/>
    </xf>
    <xf numFmtId="165" fontId="17" fillId="4" borderId="0" xfId="0" applyNumberFormat="1" applyFont="1" applyFill="1" applyAlignment="1">
      <alignment horizontal="left" vertical="center" indent="1"/>
    </xf>
    <xf numFmtId="1" fontId="17" fillId="4" borderId="0" xfId="0" applyNumberFormat="1" applyFont="1" applyFill="1" applyAlignment="1">
      <alignment horizontal="left" vertical="center" indent="1"/>
    </xf>
  </cellXfs>
  <cellStyles count="1">
    <cellStyle name="Normal" xfId="0" builtinId="0"/>
  </cellStyles>
  <dxfs count="14"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Gross sales vs net profit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Dashboard!$W$4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rgbClr val="C2552D"/>
            </a:solidFill>
            <a:ln>
              <a:solidFill>
                <a:srgbClr val="C2552D"/>
              </a:solidFill>
              <a:prstDash val="solid"/>
            </a:ln>
          </c:spPr>
          <c:invertIfNegative val="0"/>
          <c:cat>
            <c:strRef>
              <c:f>Dashboard!$V$5:$V$16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Dashboard!$W$5:$W$16</c:f>
              <c:numCache>
                <c:formatCode>\$#,##0.00;\(\$#,##0.00\);"-"</c:formatCode>
                <c:ptCount val="12"/>
                <c:pt idx="0">
                  <c:v>82.9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B-4F5F-84B7-6E2FDAD9A054}"/>
            </c:ext>
          </c:extLst>
        </c:ser>
        <c:ser>
          <c:idx val="1"/>
          <c:order val="1"/>
          <c:tx>
            <c:strRef>
              <c:f>Dashboard!$X$4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E8A87C"/>
            </a:solidFill>
            <a:ln>
              <a:solidFill>
                <a:srgbClr val="E8A87C"/>
              </a:solidFill>
              <a:prstDash val="solid"/>
            </a:ln>
          </c:spPr>
          <c:invertIfNegative val="0"/>
          <c:cat>
            <c:strRef>
              <c:f>Dashboard!$V$5:$V$16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Dashboard!$X$5:$X$16</c:f>
              <c:numCache>
                <c:formatCode>\$#,##0.00;\(\$#,##0.00\);"-"</c:formatCode>
                <c:ptCount val="12"/>
                <c:pt idx="0">
                  <c:v>23.755600000000008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9B-4F5F-84B7-6E2FDAD9A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Where your sales go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Dashboard!$W$19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E8A87C"/>
            </a:solidFill>
            <a:ln>
              <a:solidFill>
                <a:srgbClr val="E8A87C"/>
              </a:solidFill>
              <a:prstDash val="solid"/>
            </a:ln>
          </c:spPr>
          <c:invertIfNegative val="0"/>
          <c:cat>
            <c:strRef>
              <c:f>Dashboard!$V$20:$V$27</c:f>
              <c:strCache>
                <c:ptCount val="8"/>
                <c:pt idx="0">
                  <c:v>Transaction fees</c:v>
                </c:pt>
                <c:pt idx="1">
                  <c:v>Processing fees</c:v>
                </c:pt>
                <c:pt idx="2">
                  <c:v>Offsite Ads</c:v>
                </c:pt>
                <c:pt idx="3">
                  <c:v>Listing renewals</c:v>
                </c:pt>
                <c:pt idx="4">
                  <c:v>Postage</c:v>
                </c:pt>
                <c:pt idx="5">
                  <c:v>Product costs</c:v>
                </c:pt>
                <c:pt idx="6">
                  <c:v>Shop expenses</c:v>
                </c:pt>
                <c:pt idx="7">
                  <c:v>Your profit</c:v>
                </c:pt>
              </c:strCache>
            </c:strRef>
          </c:cat>
          <c:val>
            <c:numRef>
              <c:f>Dashboard!$W$20:$W$27</c:f>
              <c:numCache>
                <c:formatCode>\$#,##0.00;\(\$#,##0.00\);"-"</c:formatCode>
                <c:ptCount val="8"/>
                <c:pt idx="0">
                  <c:v>5.3885000000000005</c:v>
                </c:pt>
                <c:pt idx="1">
                  <c:v>3.1558999999999999</c:v>
                </c:pt>
                <c:pt idx="2">
                  <c:v>7.56</c:v>
                </c:pt>
                <c:pt idx="3">
                  <c:v>0.60000000000000009</c:v>
                </c:pt>
                <c:pt idx="4">
                  <c:v>8.24</c:v>
                </c:pt>
                <c:pt idx="5">
                  <c:v>19.200000000000003</c:v>
                </c:pt>
                <c:pt idx="6">
                  <c:v>15</c:v>
                </c:pt>
                <c:pt idx="7">
                  <c:v>23.755600000000008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8-45D2-812E-015328645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\$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Profit by product (top 8)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Dashboard!$W$58</c:f>
              <c:strCache>
                <c:ptCount val="1"/>
                <c:pt idx="0">
                  <c:v>Profit on items</c:v>
                </c:pt>
              </c:strCache>
            </c:strRef>
          </c:tx>
          <c:spPr>
            <a:solidFill>
              <a:srgbClr val="6B8F71"/>
            </a:solidFill>
            <a:ln>
              <a:solidFill>
                <a:srgbClr val="6B8F71"/>
              </a:solidFill>
              <a:prstDash val="solid"/>
            </a:ln>
          </c:spPr>
          <c:invertIfNegative val="0"/>
          <c:cat>
            <c:strRef>
              <c:f>Dashboard!$V$59:$V$66</c:f>
              <c:strCache>
                <c:ptCount val="1"/>
                <c:pt idx="0">
                  <c:v>EXAMPLE: Custom name necklace</c:v>
                </c:pt>
              </c:strCache>
            </c:strRef>
          </c:cat>
          <c:val>
            <c:numRef>
              <c:f>Dashboard!$W$59:$W$66</c:f>
              <c:numCache>
                <c:formatCode>\$#,##0.00;\(\$#,##0.00\);"-"</c:formatCode>
                <c:ptCount val="8"/>
                <c:pt idx="0">
                  <c:v>43.59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0-40F6-BC25-E0E686C0A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\$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Etsy fees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Dashboard!$Y$4</c:f>
              <c:strCache>
                <c:ptCount val="1"/>
                <c:pt idx="0">
                  <c:v>Etsy fees</c:v>
                </c:pt>
              </c:strCache>
            </c:strRef>
          </c:tx>
          <c:spPr>
            <a:solidFill>
              <a:srgbClr val="8A6A5A"/>
            </a:solidFill>
            <a:ln>
              <a:solidFill>
                <a:srgbClr val="8A6A5A"/>
              </a:solidFill>
              <a:prstDash val="solid"/>
            </a:ln>
          </c:spPr>
          <c:invertIfNegative val="0"/>
          <c:cat>
            <c:strRef>
              <c:f>Dashboard!$V$5:$V$16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Dashboard!$Y$5:$Y$16</c:f>
              <c:numCache>
                <c:formatCode>\$#,##0.00;\(\$#,##0.00\);"-"</c:formatCode>
                <c:ptCount val="12"/>
                <c:pt idx="0">
                  <c:v>16.7044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D-4FF7-962B-E229B759A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Gross sales vs net profit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P&amp;L'!$D$5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rgbClr val="C2552D"/>
            </a:solidFill>
            <a:ln>
              <a:solidFill>
                <a:srgbClr val="C2552D"/>
              </a:solidFill>
              <a:prstDash val="solid"/>
            </a:ln>
          </c:spPr>
          <c:invertIfNegative val="0"/>
          <c:cat>
            <c:strRef>
              <c:f>'Monthly P&amp;L'!$B$6:$B$17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P&amp;L'!$D$6:$D$17</c:f>
              <c:numCache>
                <c:formatCode>\$#,##0.00;\(\$#,##0.00\);"-"</c:formatCode>
                <c:ptCount val="12"/>
                <c:pt idx="0">
                  <c:v>82.9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2-4D1A-960B-FA924EF16BBB}"/>
            </c:ext>
          </c:extLst>
        </c:ser>
        <c:ser>
          <c:idx val="1"/>
          <c:order val="1"/>
          <c:tx>
            <c:strRef>
              <c:f>'Monthly P&amp;L'!$J$5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E8A87C"/>
            </a:solidFill>
            <a:ln>
              <a:solidFill>
                <a:srgbClr val="E8A87C"/>
              </a:solidFill>
              <a:prstDash val="solid"/>
            </a:ln>
          </c:spPr>
          <c:invertIfNegative val="0"/>
          <c:cat>
            <c:strRef>
              <c:f>'Monthly P&amp;L'!$B$6:$B$17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P&amp;L'!$J$6:$J$17</c:f>
              <c:numCache>
                <c:formatCode>\$#,##0.00;\(\$#,##0.00\);"-"</c:formatCode>
                <c:ptCount val="12"/>
                <c:pt idx="0">
                  <c:v>23.755600000000008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22-4D1A-960B-FA924EF16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6336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12</xdr:row>
      <xdr:rowOff>0</xdr:rowOff>
    </xdr:from>
    <xdr:ext cx="6336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28</xdr:row>
      <xdr:rowOff>0</xdr:rowOff>
    </xdr:from>
    <xdr:ext cx="6336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28</xdr:row>
      <xdr:rowOff>0</xdr:rowOff>
    </xdr:from>
    <xdr:ext cx="6336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4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2552D"/>
  </sheetPr>
  <dimension ref="B2:B34"/>
  <sheetViews>
    <sheetView showGridLines="0" tabSelected="1" workbookViewId="0"/>
  </sheetViews>
  <sheetFormatPr defaultRowHeight="14.5" x14ac:dyDescent="0.35"/>
  <cols>
    <col min="1" max="1" width="3" customWidth="1"/>
    <col min="2" max="2" width="110" customWidth="1"/>
  </cols>
  <sheetData>
    <row r="2" spans="2:2" ht="23" x14ac:dyDescent="0.5">
      <c r="B2" s="1" t="s">
        <v>0</v>
      </c>
    </row>
    <row r="3" spans="2:2" x14ac:dyDescent="0.35">
      <c r="B3" s="2" t="s">
        <v>1</v>
      </c>
    </row>
    <row r="5" spans="2:2" x14ac:dyDescent="0.35">
      <c r="B5" s="3" t="s">
        <v>2</v>
      </c>
    </row>
    <row r="6" spans="2:2" ht="28" x14ac:dyDescent="0.35">
      <c r="B6" s="4" t="s">
        <v>3</v>
      </c>
    </row>
    <row r="7" spans="2:2" ht="28" x14ac:dyDescent="0.35">
      <c r="B7" s="4" t="s">
        <v>4</v>
      </c>
    </row>
    <row r="8" spans="2:2" ht="28" x14ac:dyDescent="0.35">
      <c r="B8" s="4" t="s">
        <v>5</v>
      </c>
    </row>
    <row r="9" spans="2:2" ht="28" x14ac:dyDescent="0.35">
      <c r="B9" s="4" t="s">
        <v>6</v>
      </c>
    </row>
    <row r="10" spans="2:2" x14ac:dyDescent="0.35">
      <c r="B10" s="4" t="s">
        <v>7</v>
      </c>
    </row>
    <row r="11" spans="2:2" x14ac:dyDescent="0.35">
      <c r="B11" s="4" t="s">
        <v>8</v>
      </c>
    </row>
    <row r="12" spans="2:2" ht="28" x14ac:dyDescent="0.35">
      <c r="B12" s="4" t="s">
        <v>9</v>
      </c>
    </row>
    <row r="13" spans="2:2" ht="28" x14ac:dyDescent="0.35">
      <c r="B13" s="4" t="s">
        <v>10</v>
      </c>
    </row>
    <row r="14" spans="2:2" x14ac:dyDescent="0.35">
      <c r="B14" s="4" t="s">
        <v>11</v>
      </c>
    </row>
    <row r="15" spans="2:2" ht="28" x14ac:dyDescent="0.35">
      <c r="B15" s="4" t="s">
        <v>12</v>
      </c>
    </row>
    <row r="16" spans="2:2" x14ac:dyDescent="0.35">
      <c r="B16" s="4"/>
    </row>
    <row r="17" spans="2:2" x14ac:dyDescent="0.35">
      <c r="B17" s="3" t="s">
        <v>13</v>
      </c>
    </row>
    <row r="18" spans="2:2" x14ac:dyDescent="0.35">
      <c r="B18" s="4" t="s">
        <v>14</v>
      </c>
    </row>
    <row r="19" spans="2:2" x14ac:dyDescent="0.35">
      <c r="B19" s="4"/>
    </row>
    <row r="20" spans="2:2" x14ac:dyDescent="0.35">
      <c r="B20" s="3" t="s">
        <v>15</v>
      </c>
    </row>
    <row r="21" spans="2:2" ht="28" x14ac:dyDescent="0.35">
      <c r="B21" s="4" t="s">
        <v>16</v>
      </c>
    </row>
    <row r="22" spans="2:2" x14ac:dyDescent="0.35">
      <c r="B22" s="4" t="s">
        <v>17</v>
      </c>
    </row>
    <row r="23" spans="2:2" ht="28" x14ac:dyDescent="0.35">
      <c r="B23" s="4" t="s">
        <v>18</v>
      </c>
    </row>
    <row r="24" spans="2:2" x14ac:dyDescent="0.35">
      <c r="B24" s="4"/>
    </row>
    <row r="25" spans="2:2" x14ac:dyDescent="0.35">
      <c r="B25" s="3" t="s">
        <v>19</v>
      </c>
    </row>
    <row r="26" spans="2:2" ht="28" x14ac:dyDescent="0.35">
      <c r="B26" s="4" t="s">
        <v>20</v>
      </c>
    </row>
    <row r="27" spans="2:2" x14ac:dyDescent="0.35">
      <c r="B27" s="4"/>
    </row>
    <row r="28" spans="2:2" x14ac:dyDescent="0.35">
      <c r="B28" s="3" t="s">
        <v>21</v>
      </c>
    </row>
    <row r="29" spans="2:2" x14ac:dyDescent="0.35">
      <c r="B29" s="4" t="s">
        <v>22</v>
      </c>
    </row>
    <row r="30" spans="2:2" x14ac:dyDescent="0.35">
      <c r="B30" s="4"/>
    </row>
    <row r="31" spans="2:2" x14ac:dyDescent="0.35">
      <c r="B31" s="3" t="s">
        <v>23</v>
      </c>
    </row>
    <row r="32" spans="2:2" ht="28" x14ac:dyDescent="0.35">
      <c r="B32" s="4" t="s">
        <v>24</v>
      </c>
    </row>
    <row r="33" spans="2:2" x14ac:dyDescent="0.35">
      <c r="B33" s="4"/>
    </row>
    <row r="34" spans="2:2" x14ac:dyDescent="0.35">
      <c r="B34" s="4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2552D"/>
  </sheetPr>
  <dimension ref="B1:Y66"/>
  <sheetViews>
    <sheetView showGridLines="0" workbookViewId="0"/>
  </sheetViews>
  <sheetFormatPr defaultRowHeight="14.5" x14ac:dyDescent="0.35"/>
  <cols>
    <col min="1" max="1" width="2" customWidth="1"/>
    <col min="2" max="17" width="13" customWidth="1"/>
    <col min="22" max="25" width="16" customWidth="1"/>
  </cols>
  <sheetData>
    <row r="1" spans="2:25" ht="23" x14ac:dyDescent="0.5">
      <c r="B1" s="1" t="s">
        <v>26</v>
      </c>
    </row>
    <row r="3" spans="2:25" ht="15.5" x14ac:dyDescent="0.35">
      <c r="B3" s="5" t="s">
        <v>27</v>
      </c>
      <c r="C3" s="6">
        <v>2026</v>
      </c>
      <c r="D3" s="2" t="str">
        <f>"Updates automatically from Orders and Shop Expenses"&amp;IF(Orders!M2+'Shop Expenses'!G2&gt;0,"   |   "&amp;(Orders!M2+'Shop Expenses'!G2)&amp;" row(s) need fixing - see red cells","")</f>
        <v>Updates automatically from Orders and Shop Expenses</v>
      </c>
      <c r="V3" s="7" t="s">
        <v>28</v>
      </c>
    </row>
    <row r="4" spans="2:25" x14ac:dyDescent="0.35">
      <c r="V4" t="s">
        <v>29</v>
      </c>
      <c r="W4" t="s">
        <v>30</v>
      </c>
      <c r="X4" t="s">
        <v>31</v>
      </c>
      <c r="Y4" t="s">
        <v>32</v>
      </c>
    </row>
    <row r="5" spans="2:25" x14ac:dyDescent="0.35">
      <c r="B5" s="36" t="s">
        <v>33</v>
      </c>
      <c r="C5" s="37"/>
      <c r="D5" s="37"/>
      <c r="E5" s="37"/>
      <c r="G5" s="36" t="s">
        <v>34</v>
      </c>
      <c r="H5" s="37"/>
      <c r="I5" s="37"/>
      <c r="J5" s="37"/>
      <c r="L5" s="36" t="s">
        <v>35</v>
      </c>
      <c r="M5" s="37"/>
      <c r="N5" s="37"/>
      <c r="O5" s="37"/>
      <c r="V5" t="s">
        <v>36</v>
      </c>
      <c r="W5" s="8">
        <f>Calc!E3+Calc!F3</f>
        <v>82.9</v>
      </c>
      <c r="X5" s="8">
        <f>Calc!R3</f>
        <v>23.755600000000008</v>
      </c>
      <c r="Y5" s="8">
        <f>Calc!N3</f>
        <v>16.7044</v>
      </c>
    </row>
    <row r="6" spans="2:25" x14ac:dyDescent="0.35">
      <c r="B6" s="39">
        <f>Calc!E15+Calc!F15</f>
        <v>82.9</v>
      </c>
      <c r="C6" s="37"/>
      <c r="D6" s="37"/>
      <c r="E6" s="37"/>
      <c r="G6" s="39">
        <f>Calc!R15</f>
        <v>23.755600000000008</v>
      </c>
      <c r="H6" s="37"/>
      <c r="I6" s="37"/>
      <c r="J6" s="37"/>
      <c r="L6" s="38">
        <f>Calc!S15</f>
        <v>0.28655729794933665</v>
      </c>
      <c r="M6" s="37"/>
      <c r="N6" s="37"/>
      <c r="O6" s="37"/>
      <c r="V6" t="s">
        <v>37</v>
      </c>
      <c r="W6" s="8">
        <f>Calc!E4+Calc!F4</f>
        <v>0</v>
      </c>
      <c r="X6" s="8">
        <f>Calc!R4</f>
        <v>0</v>
      </c>
      <c r="Y6" s="8">
        <f>Calc!N4</f>
        <v>0</v>
      </c>
    </row>
    <row r="7" spans="2:25" x14ac:dyDescent="0.35">
      <c r="B7" s="37"/>
      <c r="C7" s="37"/>
      <c r="D7" s="37"/>
      <c r="E7" s="37"/>
      <c r="G7" s="37"/>
      <c r="H7" s="37"/>
      <c r="I7" s="37"/>
      <c r="J7" s="37"/>
      <c r="L7" s="37"/>
      <c r="M7" s="37"/>
      <c r="N7" s="37"/>
      <c r="O7" s="37"/>
      <c r="V7" t="s">
        <v>38</v>
      </c>
      <c r="W7" s="8">
        <f>Calc!E5+Calc!F5</f>
        <v>0</v>
      </c>
      <c r="X7" s="8">
        <f>Calc!R5</f>
        <v>0</v>
      </c>
      <c r="Y7" s="8">
        <f>Calc!N5</f>
        <v>0</v>
      </c>
    </row>
    <row r="8" spans="2:25" x14ac:dyDescent="0.35">
      <c r="V8" t="s">
        <v>39</v>
      </c>
      <c r="W8" s="8">
        <f>Calc!E6+Calc!F6</f>
        <v>0</v>
      </c>
      <c r="X8" s="8">
        <f>Calc!R6</f>
        <v>0</v>
      </c>
      <c r="Y8" s="8">
        <f>Calc!N6</f>
        <v>0</v>
      </c>
    </row>
    <row r="9" spans="2:25" x14ac:dyDescent="0.35">
      <c r="B9" s="36" t="s">
        <v>40</v>
      </c>
      <c r="C9" s="37"/>
      <c r="D9" s="37"/>
      <c r="E9" s="37"/>
      <c r="G9" s="36" t="s">
        <v>41</v>
      </c>
      <c r="H9" s="37"/>
      <c r="I9" s="37"/>
      <c r="J9" s="37"/>
      <c r="L9" s="36" t="s">
        <v>42</v>
      </c>
      <c r="M9" s="37"/>
      <c r="N9" s="37"/>
      <c r="O9" s="37"/>
      <c r="V9" t="s">
        <v>43</v>
      </c>
      <c r="W9" s="8">
        <f>Calc!E7+Calc!F7</f>
        <v>0</v>
      </c>
      <c r="X9" s="8">
        <f>Calc!R7</f>
        <v>0</v>
      </c>
      <c r="Y9" s="8">
        <f>Calc!N7</f>
        <v>0</v>
      </c>
    </row>
    <row r="10" spans="2:25" x14ac:dyDescent="0.35">
      <c r="B10" s="39">
        <f>Calc!N15</f>
        <v>16.7044</v>
      </c>
      <c r="C10" s="37"/>
      <c r="D10" s="37"/>
      <c r="E10" s="37"/>
      <c r="G10" s="38">
        <f>IF(Calc!E15+Calc!F15&gt;0,Calc!N15/(Calc!E15+Calc!F15),0)</f>
        <v>0.2015006031363088</v>
      </c>
      <c r="H10" s="37"/>
      <c r="I10" s="37"/>
      <c r="J10" s="37"/>
      <c r="L10" s="40">
        <f>Calc!C15</f>
        <v>2</v>
      </c>
      <c r="M10" s="37"/>
      <c r="N10" s="37"/>
      <c r="O10" s="37"/>
      <c r="V10" t="s">
        <v>44</v>
      </c>
      <c r="W10" s="8">
        <f>Calc!E8+Calc!F8</f>
        <v>0</v>
      </c>
      <c r="X10" s="8">
        <f>Calc!R8</f>
        <v>0</v>
      </c>
      <c r="Y10" s="8">
        <f>Calc!N8</f>
        <v>0</v>
      </c>
    </row>
    <row r="11" spans="2:25" x14ac:dyDescent="0.35">
      <c r="B11" s="37"/>
      <c r="C11" s="37"/>
      <c r="D11" s="37"/>
      <c r="E11" s="37"/>
      <c r="G11" s="37"/>
      <c r="H11" s="37"/>
      <c r="I11" s="37"/>
      <c r="J11" s="37"/>
      <c r="L11" s="37"/>
      <c r="M11" s="37"/>
      <c r="N11" s="37"/>
      <c r="O11" s="37"/>
      <c r="V11" t="s">
        <v>45</v>
      </c>
      <c r="W11" s="8">
        <f>Calc!E9+Calc!F9</f>
        <v>0</v>
      </c>
      <c r="X11" s="8">
        <f>Calc!R9</f>
        <v>0</v>
      </c>
      <c r="Y11" s="8">
        <f>Calc!N9</f>
        <v>0</v>
      </c>
    </row>
    <row r="12" spans="2:25" x14ac:dyDescent="0.35">
      <c r="V12" t="s">
        <v>46</v>
      </c>
      <c r="W12" s="8">
        <f>Calc!E10+Calc!F10</f>
        <v>0</v>
      </c>
      <c r="X12" s="8">
        <f>Calc!R10</f>
        <v>0</v>
      </c>
      <c r="Y12" s="8">
        <f>Calc!N10</f>
        <v>0</v>
      </c>
    </row>
    <row r="13" spans="2:25" x14ac:dyDescent="0.35">
      <c r="V13" t="s">
        <v>47</v>
      </c>
      <c r="W13" s="8">
        <f>Calc!E11+Calc!F11</f>
        <v>0</v>
      </c>
      <c r="X13" s="8">
        <f>Calc!R11</f>
        <v>0</v>
      </c>
      <c r="Y13" s="8">
        <f>Calc!N11</f>
        <v>0</v>
      </c>
    </row>
    <row r="14" spans="2:25" x14ac:dyDescent="0.35">
      <c r="V14" t="s">
        <v>48</v>
      </c>
      <c r="W14" s="8">
        <f>Calc!E12+Calc!F12</f>
        <v>0</v>
      </c>
      <c r="X14" s="8">
        <f>Calc!R12</f>
        <v>0</v>
      </c>
      <c r="Y14" s="8">
        <f>Calc!N12</f>
        <v>0</v>
      </c>
    </row>
    <row r="15" spans="2:25" x14ac:dyDescent="0.35">
      <c r="V15" t="s">
        <v>49</v>
      </c>
      <c r="W15" s="8">
        <f>Calc!E13+Calc!F13</f>
        <v>0</v>
      </c>
      <c r="X15" s="8">
        <f>Calc!R13</f>
        <v>0</v>
      </c>
      <c r="Y15" s="8">
        <f>Calc!N13</f>
        <v>0</v>
      </c>
    </row>
    <row r="16" spans="2:25" x14ac:dyDescent="0.35">
      <c r="V16" t="s">
        <v>50</v>
      </c>
      <c r="W16" s="8">
        <f>Calc!E14+Calc!F14</f>
        <v>0</v>
      </c>
      <c r="X16" s="8">
        <f>Calc!R14</f>
        <v>0</v>
      </c>
      <c r="Y16" s="8">
        <f>Calc!N14</f>
        <v>0</v>
      </c>
    </row>
    <row r="19" spans="22:24" x14ac:dyDescent="0.35">
      <c r="V19" t="s">
        <v>51</v>
      </c>
      <c r="W19" t="s">
        <v>52</v>
      </c>
    </row>
    <row r="20" spans="22:24" x14ac:dyDescent="0.35">
      <c r="V20" t="s">
        <v>53</v>
      </c>
      <c r="W20" s="8">
        <f>Calc!J15</f>
        <v>5.3885000000000005</v>
      </c>
    </row>
    <row r="21" spans="22:24" x14ac:dyDescent="0.35">
      <c r="V21" t="s">
        <v>54</v>
      </c>
      <c r="W21" s="8">
        <f>Calc!K15</f>
        <v>3.1558999999999999</v>
      </c>
    </row>
    <row r="22" spans="22:24" x14ac:dyDescent="0.35">
      <c r="V22" t="s">
        <v>55</v>
      </c>
      <c r="W22" s="8">
        <f>Calc!L15</f>
        <v>7.56</v>
      </c>
    </row>
    <row r="23" spans="22:24" x14ac:dyDescent="0.35">
      <c r="V23" t="s">
        <v>56</v>
      </c>
      <c r="W23" s="8">
        <f>Calc!M15</f>
        <v>0.60000000000000009</v>
      </c>
    </row>
    <row r="24" spans="22:24" x14ac:dyDescent="0.35">
      <c r="V24" t="s">
        <v>57</v>
      </c>
      <c r="W24" s="8">
        <f>Calc!H15</f>
        <v>8.24</v>
      </c>
    </row>
    <row r="25" spans="22:24" x14ac:dyDescent="0.35">
      <c r="V25" t="s">
        <v>58</v>
      </c>
      <c r="W25" s="8">
        <f>Calc!O15</f>
        <v>19.200000000000003</v>
      </c>
    </row>
    <row r="26" spans="22:24" x14ac:dyDescent="0.35">
      <c r="V26" t="s">
        <v>59</v>
      </c>
      <c r="W26" s="8">
        <f>Calc!P15</f>
        <v>15</v>
      </c>
    </row>
    <row r="27" spans="22:24" x14ac:dyDescent="0.35">
      <c r="V27" t="s">
        <v>60</v>
      </c>
      <c r="W27" s="8">
        <f>Calc!R15</f>
        <v>23.755600000000008</v>
      </c>
    </row>
    <row r="30" spans="22:24" x14ac:dyDescent="0.35">
      <c r="V30" t="s">
        <v>61</v>
      </c>
      <c r="W30" t="s">
        <v>62</v>
      </c>
      <c r="X30" t="s">
        <v>63</v>
      </c>
    </row>
    <row r="31" spans="22:24" x14ac:dyDescent="0.35">
      <c r="V31" t="str">
        <f>IF(Products!B5="","",Products!B5)</f>
        <v>EXAMPLE: Custom name necklace</v>
      </c>
      <c r="W31" s="8">
        <f>IF(Products!B5="",0,N(Products!G5))</f>
        <v>43.591999999999992</v>
      </c>
      <c r="X31">
        <f>IF(V31="",-1000000000000,W31)+50/1000000</f>
        <v>43.592049999999993</v>
      </c>
    </row>
    <row r="32" spans="22:24" x14ac:dyDescent="0.35">
      <c r="V32" t="str">
        <f>IF(Products!B6="","",Products!B6)</f>
        <v/>
      </c>
      <c r="W32" s="8">
        <f>IF(Products!B6="",0,N(Products!G6))</f>
        <v>0</v>
      </c>
      <c r="X32">
        <f>IF(V32="",-1000000000000,W32)+49/1000000</f>
        <v>-1000000000000</v>
      </c>
    </row>
    <row r="33" spans="22:24" x14ac:dyDescent="0.35">
      <c r="V33" t="str">
        <f>IF(Products!B7="","",Products!B7)</f>
        <v/>
      </c>
      <c r="W33" s="8">
        <f>IF(Products!B7="",0,N(Products!G7))</f>
        <v>0</v>
      </c>
      <c r="X33">
        <f>IF(V33="",-1000000000000,W33)+48/1000000</f>
        <v>-1000000000000</v>
      </c>
    </row>
    <row r="34" spans="22:24" x14ac:dyDescent="0.35">
      <c r="V34" t="str">
        <f>IF(Products!B8="","",Products!B8)</f>
        <v/>
      </c>
      <c r="W34" s="8">
        <f>IF(Products!B8="",0,N(Products!G8))</f>
        <v>0</v>
      </c>
      <c r="X34">
        <f>IF(V34="",-1000000000000,W34)+47/1000000</f>
        <v>-1000000000000</v>
      </c>
    </row>
    <row r="35" spans="22:24" x14ac:dyDescent="0.35">
      <c r="V35" t="str">
        <f>IF(Products!B9="","",Products!B9)</f>
        <v/>
      </c>
      <c r="W35" s="8">
        <f>IF(Products!B9="",0,N(Products!G9))</f>
        <v>0</v>
      </c>
      <c r="X35">
        <f>IF(V35="",-1000000000000,W35)+46/1000000</f>
        <v>-1000000000000</v>
      </c>
    </row>
    <row r="36" spans="22:24" x14ac:dyDescent="0.35">
      <c r="V36" t="str">
        <f>IF(Products!B10="","",Products!B10)</f>
        <v/>
      </c>
      <c r="W36" s="8">
        <f>IF(Products!B10="",0,N(Products!G10))</f>
        <v>0</v>
      </c>
      <c r="X36">
        <f>IF(V36="",-1000000000000,W36)+45/1000000</f>
        <v>-1000000000000</v>
      </c>
    </row>
    <row r="37" spans="22:24" x14ac:dyDescent="0.35">
      <c r="V37" t="str">
        <f>IF(Products!B11="","",Products!B11)</f>
        <v/>
      </c>
      <c r="W37" s="8">
        <f>IF(Products!B11="",0,N(Products!G11))</f>
        <v>0</v>
      </c>
      <c r="X37">
        <f>IF(V37="",-1000000000000,W37)+44/1000000</f>
        <v>-1000000000000</v>
      </c>
    </row>
    <row r="38" spans="22:24" x14ac:dyDescent="0.35">
      <c r="V38" t="str">
        <f>IF(Products!B12="","",Products!B12)</f>
        <v/>
      </c>
      <c r="W38" s="8">
        <f>IF(Products!B12="",0,N(Products!G12))</f>
        <v>0</v>
      </c>
      <c r="X38">
        <f>IF(V38="",-1000000000000,W38)+43/1000000</f>
        <v>-1000000000000</v>
      </c>
    </row>
    <row r="39" spans="22:24" x14ac:dyDescent="0.35">
      <c r="V39" t="str">
        <f>IF(Products!B13="","",Products!B13)</f>
        <v/>
      </c>
      <c r="W39" s="8">
        <f>IF(Products!B13="",0,N(Products!G13))</f>
        <v>0</v>
      </c>
      <c r="X39">
        <f>IF(V39="",-1000000000000,W39)+42/1000000</f>
        <v>-1000000000000</v>
      </c>
    </row>
    <row r="40" spans="22:24" x14ac:dyDescent="0.35">
      <c r="V40" t="str">
        <f>IF(Products!B14="","",Products!B14)</f>
        <v/>
      </c>
      <c r="W40" s="8">
        <f>IF(Products!B14="",0,N(Products!G14))</f>
        <v>0</v>
      </c>
      <c r="X40">
        <f>IF(V40="",-1000000000000,W40)+41/1000000</f>
        <v>-1000000000000</v>
      </c>
    </row>
    <row r="41" spans="22:24" x14ac:dyDescent="0.35">
      <c r="V41" t="str">
        <f>IF(Products!B15="","",Products!B15)</f>
        <v/>
      </c>
      <c r="W41" s="8">
        <f>IF(Products!B15="",0,N(Products!G15))</f>
        <v>0</v>
      </c>
      <c r="X41">
        <f>IF(V41="",-1000000000000,W41)+40/1000000</f>
        <v>-1000000000000</v>
      </c>
    </row>
    <row r="42" spans="22:24" x14ac:dyDescent="0.35">
      <c r="V42" t="str">
        <f>IF(Products!B16="","",Products!B16)</f>
        <v/>
      </c>
      <c r="W42" s="8">
        <f>IF(Products!B16="",0,N(Products!G16))</f>
        <v>0</v>
      </c>
      <c r="X42">
        <f>IF(V42="",-1000000000000,W42)+39/1000000</f>
        <v>-1000000000000</v>
      </c>
    </row>
    <row r="43" spans="22:24" x14ac:dyDescent="0.35">
      <c r="V43" t="str">
        <f>IF(Products!B17="","",Products!B17)</f>
        <v/>
      </c>
      <c r="W43" s="8">
        <f>IF(Products!B17="",0,N(Products!G17))</f>
        <v>0</v>
      </c>
      <c r="X43">
        <f>IF(V43="",-1000000000000,W43)+38/1000000</f>
        <v>-1000000000000</v>
      </c>
    </row>
    <row r="44" spans="22:24" x14ac:dyDescent="0.35">
      <c r="V44" t="str">
        <f>IF(Products!B18="","",Products!B18)</f>
        <v/>
      </c>
      <c r="W44" s="8">
        <f>IF(Products!B18="",0,N(Products!G18))</f>
        <v>0</v>
      </c>
      <c r="X44">
        <f>IF(V44="",-1000000000000,W44)+37/1000000</f>
        <v>-1000000000000</v>
      </c>
    </row>
    <row r="45" spans="22:24" x14ac:dyDescent="0.35">
      <c r="V45" t="str">
        <f>IF(Products!B19="","",Products!B19)</f>
        <v/>
      </c>
      <c r="W45" s="8">
        <f>IF(Products!B19="",0,N(Products!G19))</f>
        <v>0</v>
      </c>
      <c r="X45">
        <f>IF(V45="",-1000000000000,W45)+36/1000000</f>
        <v>-1000000000000</v>
      </c>
    </row>
    <row r="46" spans="22:24" x14ac:dyDescent="0.35">
      <c r="V46" t="str">
        <f>IF(Products!B20="","",Products!B20)</f>
        <v/>
      </c>
      <c r="W46" s="8">
        <f>IF(Products!B20="",0,N(Products!G20))</f>
        <v>0</v>
      </c>
      <c r="X46">
        <f>IF(V46="",-1000000000000,W46)+35/1000000</f>
        <v>-1000000000000</v>
      </c>
    </row>
    <row r="47" spans="22:24" x14ac:dyDescent="0.35">
      <c r="V47" t="str">
        <f>IF(Products!B21="","",Products!B21)</f>
        <v/>
      </c>
      <c r="W47" s="8">
        <f>IF(Products!B21="",0,N(Products!G21))</f>
        <v>0</v>
      </c>
      <c r="X47">
        <f>IF(V47="",-1000000000000,W47)+34/1000000</f>
        <v>-1000000000000</v>
      </c>
    </row>
    <row r="48" spans="22:24" x14ac:dyDescent="0.35">
      <c r="V48" t="str">
        <f>IF(Products!B22="","",Products!B22)</f>
        <v/>
      </c>
      <c r="W48" s="8">
        <f>IF(Products!B22="",0,N(Products!G22))</f>
        <v>0</v>
      </c>
      <c r="X48">
        <f>IF(V48="",-1000000000000,W48)+33/1000000</f>
        <v>-1000000000000</v>
      </c>
    </row>
    <row r="49" spans="22:24" x14ac:dyDescent="0.35">
      <c r="V49" t="str">
        <f>IF(Products!B23="","",Products!B23)</f>
        <v/>
      </c>
      <c r="W49" s="8">
        <f>IF(Products!B23="",0,N(Products!G23))</f>
        <v>0</v>
      </c>
      <c r="X49">
        <f>IF(V49="",-1000000000000,W49)+32/1000000</f>
        <v>-1000000000000</v>
      </c>
    </row>
    <row r="50" spans="22:24" x14ac:dyDescent="0.35">
      <c r="V50" t="str">
        <f>IF(Products!B24="","",Products!B24)</f>
        <v/>
      </c>
      <c r="W50" s="8">
        <f>IF(Products!B24="",0,N(Products!G24))</f>
        <v>0</v>
      </c>
      <c r="X50">
        <f>IF(V50="",-1000000000000,W50)+31/1000000</f>
        <v>-1000000000000</v>
      </c>
    </row>
    <row r="51" spans="22:24" x14ac:dyDescent="0.35">
      <c r="V51" t="str">
        <f>IF(Products!B25="","",Products!B25)</f>
        <v/>
      </c>
      <c r="W51" s="8">
        <f>IF(Products!B25="",0,N(Products!G25))</f>
        <v>0</v>
      </c>
      <c r="X51">
        <f>IF(V51="",-1000000000000,W51)+30/1000000</f>
        <v>-1000000000000</v>
      </c>
    </row>
    <row r="52" spans="22:24" x14ac:dyDescent="0.35">
      <c r="V52" t="str">
        <f>IF(Products!B26="","",Products!B26)</f>
        <v/>
      </c>
      <c r="W52" s="8">
        <f>IF(Products!B26="",0,N(Products!G26))</f>
        <v>0</v>
      </c>
      <c r="X52">
        <f>IF(V52="",-1000000000000,W52)+29/1000000</f>
        <v>-1000000000000</v>
      </c>
    </row>
    <row r="53" spans="22:24" x14ac:dyDescent="0.35">
      <c r="V53" t="str">
        <f>IF(Products!B27="","",Products!B27)</f>
        <v/>
      </c>
      <c r="W53" s="8">
        <f>IF(Products!B27="",0,N(Products!G27))</f>
        <v>0</v>
      </c>
      <c r="X53">
        <f>IF(V53="",-1000000000000,W53)+28/1000000</f>
        <v>-1000000000000</v>
      </c>
    </row>
    <row r="54" spans="22:24" x14ac:dyDescent="0.35">
      <c r="V54" t="str">
        <f>IF(Products!B28="","",Products!B28)</f>
        <v/>
      </c>
      <c r="W54" s="8">
        <f>IF(Products!B28="",0,N(Products!G28))</f>
        <v>0</v>
      </c>
      <c r="X54">
        <f>IF(V54="",-1000000000000,W54)+27/1000000</f>
        <v>-1000000000000</v>
      </c>
    </row>
    <row r="55" spans="22:24" x14ac:dyDescent="0.35">
      <c r="V55" t="str">
        <f>IF(Products!B29="","",Products!B29)</f>
        <v/>
      </c>
      <c r="W55" s="8">
        <f>IF(Products!B29="",0,N(Products!G29))</f>
        <v>0</v>
      </c>
      <c r="X55">
        <f>IF(V55="",-1000000000000,W55)+26/1000000</f>
        <v>-1000000000000</v>
      </c>
    </row>
    <row r="58" spans="22:24" x14ac:dyDescent="0.35">
      <c r="V58" t="s">
        <v>64</v>
      </c>
      <c r="W58" t="s">
        <v>62</v>
      </c>
    </row>
    <row r="59" spans="22:24" x14ac:dyDescent="0.35">
      <c r="V59" t="str">
        <f>IF(LARGE($X$31:$X$55,1)&lt;-100000000000,"",INDEX($V$31:$V$55,MATCH(LARGE($X$31:$X$55,1),$X$31:$X$55,0)))</f>
        <v>EXAMPLE: Custom name necklace</v>
      </c>
      <c r="W59" s="8">
        <f>IF(LARGE($X$31:$X$55,1)&lt;-100000000000,0,ROUND(LARGE($X$31:$X$55,1),2))</f>
        <v>43.59</v>
      </c>
    </row>
    <row r="60" spans="22:24" x14ac:dyDescent="0.35">
      <c r="V60" t="str">
        <f>IF(LARGE($X$31:$X$55,2)&lt;-100000000000,"",INDEX($V$31:$V$55,MATCH(LARGE($X$31:$X$55,2),$X$31:$X$55,0)))</f>
        <v/>
      </c>
      <c r="W60" s="8">
        <f>IF(LARGE($X$31:$X$55,2)&lt;-100000000000,0,ROUND(LARGE($X$31:$X$55,2),2))</f>
        <v>0</v>
      </c>
    </row>
    <row r="61" spans="22:24" x14ac:dyDescent="0.35">
      <c r="V61" t="str">
        <f>IF(LARGE($X$31:$X$55,3)&lt;-100000000000,"",INDEX($V$31:$V$55,MATCH(LARGE($X$31:$X$55,3),$X$31:$X$55,0)))</f>
        <v/>
      </c>
      <c r="W61" s="8">
        <f>IF(LARGE($X$31:$X$55,3)&lt;-100000000000,0,ROUND(LARGE($X$31:$X$55,3),2))</f>
        <v>0</v>
      </c>
    </row>
    <row r="62" spans="22:24" x14ac:dyDescent="0.35">
      <c r="V62" t="str">
        <f>IF(LARGE($X$31:$X$55,4)&lt;-100000000000,"",INDEX($V$31:$V$55,MATCH(LARGE($X$31:$X$55,4),$X$31:$X$55,0)))</f>
        <v/>
      </c>
      <c r="W62" s="8">
        <f>IF(LARGE($X$31:$X$55,4)&lt;-100000000000,0,ROUND(LARGE($X$31:$X$55,4),2))</f>
        <v>0</v>
      </c>
    </row>
    <row r="63" spans="22:24" x14ac:dyDescent="0.35">
      <c r="V63" t="str">
        <f>IF(LARGE($X$31:$X$55,5)&lt;-100000000000,"",INDEX($V$31:$V$55,MATCH(LARGE($X$31:$X$55,5),$X$31:$X$55,0)))</f>
        <v/>
      </c>
      <c r="W63" s="8">
        <f>IF(LARGE($X$31:$X$55,5)&lt;-100000000000,0,ROUND(LARGE($X$31:$X$55,5),2))</f>
        <v>0</v>
      </c>
    </row>
    <row r="64" spans="22:24" x14ac:dyDescent="0.35">
      <c r="V64" t="str">
        <f>IF(LARGE($X$31:$X$55,6)&lt;-100000000000,"",INDEX($V$31:$V$55,MATCH(LARGE($X$31:$X$55,6),$X$31:$X$55,0)))</f>
        <v/>
      </c>
      <c r="W64" s="8">
        <f>IF(LARGE($X$31:$X$55,6)&lt;-100000000000,0,ROUND(LARGE($X$31:$X$55,6),2))</f>
        <v>0</v>
      </c>
    </row>
    <row r="65" spans="22:23" x14ac:dyDescent="0.35">
      <c r="V65" t="str">
        <f>IF(LARGE($X$31:$X$55,7)&lt;-100000000000,"",INDEX($V$31:$V$55,MATCH(LARGE($X$31:$X$55,7),$X$31:$X$55,0)))</f>
        <v/>
      </c>
      <c r="W65" s="8">
        <f>IF(LARGE($X$31:$X$55,7)&lt;-100000000000,0,ROUND(LARGE($X$31:$X$55,7),2))</f>
        <v>0</v>
      </c>
    </row>
    <row r="66" spans="22:23" x14ac:dyDescent="0.35">
      <c r="V66" t="str">
        <f>IF(LARGE($X$31:$X$55,8)&lt;-100000000000,"",INDEX($V$31:$V$55,MATCH(LARGE($X$31:$X$55,8),$X$31:$X$55,0)))</f>
        <v/>
      </c>
      <c r="W66" s="8">
        <f>IF(LARGE($X$31:$X$55,8)&lt;-100000000000,0,ROUND(LARGE($X$31:$X$55,8),2))</f>
        <v>0</v>
      </c>
    </row>
  </sheetData>
  <mergeCells count="12">
    <mergeCell ref="L5:O5"/>
    <mergeCell ref="G10:J11"/>
    <mergeCell ref="B9:E9"/>
    <mergeCell ref="G9:J9"/>
    <mergeCell ref="L9:O9"/>
    <mergeCell ref="G6:J7"/>
    <mergeCell ref="B5:E5"/>
    <mergeCell ref="L6:O7"/>
    <mergeCell ref="G5:J5"/>
    <mergeCell ref="B10:E11"/>
    <mergeCell ref="L10:O11"/>
    <mergeCell ref="B6:E7"/>
  </mergeCells>
  <dataValidations count="1">
    <dataValidation type="whole" showErrorMessage="1" errorTitle="Year" error="Enter a 4-digit year, e.g. 2026." sqref="C3" xr:uid="{00000000-0002-0000-0100-000000000000}">
      <formula1>2000</formula1>
      <formula2>2100</formula2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2552D"/>
  </sheetPr>
  <dimension ref="A1:M200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2" width="12" customWidth="1"/>
    <col min="3" max="3" width="32" customWidth="1"/>
    <col min="4" max="4" width="7" customWidth="1"/>
    <col min="5" max="8" width="12" customWidth="1"/>
    <col min="9" max="9" width="10" customWidth="1"/>
    <col min="10" max="13" width="12" customWidth="1"/>
  </cols>
  <sheetData>
    <row r="1" spans="1:13" ht="23" x14ac:dyDescent="0.5">
      <c r="A1" s="1" t="s">
        <v>65</v>
      </c>
    </row>
    <row r="2" spans="1:13" x14ac:dyDescent="0.35">
      <c r="A2" s="2" t="s">
        <v>66</v>
      </c>
      <c r="L2" s="9" t="s">
        <v>67</v>
      </c>
      <c r="M2" s="9">
        <f>SUMPRODUCT((((Orders!$A$5:$A$2004&lt;&gt;"")+(Orders!$C$5:$C$2004&lt;&gt;"")+(Orders!$D$5:$D$2004&lt;&gt;"")+(Orders!$E$5:$E$2004&lt;&gt;"")+(Orders!$F$5:$F$2004&lt;&gt;"")+(Orders!$H$5:$H$2004&lt;&gt;"")+(Orders!$J$5:$J$2004&lt;&gt;""))&gt;0)*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=0))</f>
        <v>0</v>
      </c>
    </row>
    <row r="3" spans="1:13" x14ac:dyDescent="0.35">
      <c r="A3" s="9" t="s">
        <v>68</v>
      </c>
    </row>
    <row r="4" spans="1:13" ht="42" customHeight="1" x14ac:dyDescent="0.35">
      <c r="A4" s="10" t="s">
        <v>69</v>
      </c>
      <c r="B4" s="10" t="s">
        <v>70</v>
      </c>
      <c r="C4" s="10" t="s">
        <v>61</v>
      </c>
      <c r="D4" s="10" t="s">
        <v>71</v>
      </c>
      <c r="E4" s="10" t="s">
        <v>72</v>
      </c>
      <c r="F4" s="10" t="s">
        <v>73</v>
      </c>
      <c r="G4" s="10" t="s">
        <v>74</v>
      </c>
      <c r="H4" s="10" t="s">
        <v>75</v>
      </c>
      <c r="I4" s="10" t="s">
        <v>76</v>
      </c>
      <c r="J4" s="10" t="s">
        <v>77</v>
      </c>
      <c r="K4" s="10" t="s">
        <v>78</v>
      </c>
      <c r="L4" s="10" t="s">
        <v>79</v>
      </c>
      <c r="M4" s="10" t="s">
        <v>80</v>
      </c>
    </row>
    <row r="5" spans="1:13" x14ac:dyDescent="0.35">
      <c r="A5" s="11">
        <v>46028</v>
      </c>
      <c r="B5" s="12" t="s">
        <v>81</v>
      </c>
      <c r="C5" s="12" t="s">
        <v>82</v>
      </c>
      <c r="D5" s="12">
        <v>1</v>
      </c>
      <c r="E5" s="13">
        <v>28</v>
      </c>
      <c r="F5" s="13">
        <v>4.5</v>
      </c>
      <c r="G5" s="13">
        <v>2.1</v>
      </c>
      <c r="H5" s="13">
        <v>4.12</v>
      </c>
      <c r="I5" s="12" t="s">
        <v>83</v>
      </c>
      <c r="J5" s="13"/>
      <c r="K5" s="14">
        <f>IF(C5="","",IFERROR(N('Fee Settings'!$C$5)*(E5+N(F5)-N(J5))+N('Fee Settings'!$C$6)*(E5+N(F5)+N(G5))+N('Fee Settings'!$C$7)+N('Fee Settings'!$C$10)*D5+IF(I5="Yes",MIN(N('Fee Settings'!$C$8)*(E5+N(F5)),N('Fee Settings'!$C$9)),0),""))</f>
        <v>3.6005000000000003</v>
      </c>
      <c r="L5" s="14">
        <f>IF(C5="","",IFERROR(D5*N(INDEX(Products!$C$5:$C$29,MATCH(C5,Lists!$A$2:$A$26,0))),""))</f>
        <v>6.4</v>
      </c>
      <c r="M5" s="15">
        <f t="shared" ref="M5:M68" si="0">IF(C5="","",IFERROR(E5+N(F5)-N(J5)-K5-L5-N(H5),""))</f>
        <v>18.379499999999997</v>
      </c>
    </row>
    <row r="6" spans="1:13" x14ac:dyDescent="0.35">
      <c r="A6" s="11">
        <v>46031</v>
      </c>
      <c r="B6" s="12" t="s">
        <v>84</v>
      </c>
      <c r="C6" s="12" t="s">
        <v>82</v>
      </c>
      <c r="D6" s="12">
        <v>2</v>
      </c>
      <c r="E6" s="13">
        <v>50.4</v>
      </c>
      <c r="F6" s="13">
        <v>0</v>
      </c>
      <c r="G6" s="13">
        <v>3.53</v>
      </c>
      <c r="H6" s="13">
        <v>4.12</v>
      </c>
      <c r="I6" s="12" t="s">
        <v>85</v>
      </c>
      <c r="J6" s="13"/>
      <c r="K6" s="14">
        <f>IF(C6="","",IFERROR(N('Fee Settings'!$C$5)*(E6+N(F6)-N(J6))+N('Fee Settings'!$C$6)*(E6+N(F6)+N(G6))+N('Fee Settings'!$C$7)+N('Fee Settings'!$C$10)*D6+IF(I6="Yes",MIN(N('Fee Settings'!$C$8)*(E6+N(F6)),N('Fee Settings'!$C$9)),0),""))</f>
        <v>13.103899999999999</v>
      </c>
      <c r="L6" s="14">
        <f>IF(C6="","",IFERROR(D6*N(INDEX(Products!$C$5:$C$29,MATCH(C6,Lists!$A$2:$A$26,0))),""))</f>
        <v>12.8</v>
      </c>
      <c r="M6" s="15">
        <f t="shared" si="0"/>
        <v>20.376099999999994</v>
      </c>
    </row>
    <row r="7" spans="1:13" x14ac:dyDescent="0.35">
      <c r="A7" s="11"/>
      <c r="B7" s="12"/>
      <c r="C7" s="12"/>
      <c r="D7" s="12"/>
      <c r="E7" s="13"/>
      <c r="F7" s="13"/>
      <c r="G7" s="13"/>
      <c r="H7" s="13"/>
      <c r="I7" s="12"/>
      <c r="J7" s="13"/>
      <c r="K7" s="14" t="str">
        <f>IF(C7="","",IFERROR(N('Fee Settings'!$C$5)*(E7+N(F7)-N(J7))+N('Fee Settings'!$C$6)*(E7+N(F7)+N(G7))+N('Fee Settings'!$C$7)+N('Fee Settings'!$C$10)*D7+IF(I7="Yes",MIN(N('Fee Settings'!$C$8)*(E7+N(F7)),N('Fee Settings'!$C$9)),0),""))</f>
        <v/>
      </c>
      <c r="L7" s="14" t="str">
        <f>IF(C7="","",IFERROR(D7*N(INDEX(Products!$C$5:$C$29,MATCH(C7,Lists!$A$2:$A$26,0))),""))</f>
        <v/>
      </c>
      <c r="M7" s="15" t="str">
        <f t="shared" si="0"/>
        <v/>
      </c>
    </row>
    <row r="8" spans="1:13" x14ac:dyDescent="0.35">
      <c r="A8" s="11"/>
      <c r="B8" s="12"/>
      <c r="C8" s="12"/>
      <c r="D8" s="12"/>
      <c r="E8" s="13"/>
      <c r="F8" s="13"/>
      <c r="G8" s="13"/>
      <c r="H8" s="13"/>
      <c r="I8" s="12"/>
      <c r="J8" s="13"/>
      <c r="K8" s="14" t="str">
        <f>IF(C8="","",IFERROR(N('Fee Settings'!$C$5)*(E8+N(F8)-N(J8))+N('Fee Settings'!$C$6)*(E8+N(F8)+N(G8))+N('Fee Settings'!$C$7)+N('Fee Settings'!$C$10)*D8+IF(I8="Yes",MIN(N('Fee Settings'!$C$8)*(E8+N(F8)),N('Fee Settings'!$C$9)),0),""))</f>
        <v/>
      </c>
      <c r="L8" s="14" t="str">
        <f>IF(C8="","",IFERROR(D8*N(INDEX(Products!$C$5:$C$29,MATCH(C8,Lists!$A$2:$A$26,0))),""))</f>
        <v/>
      </c>
      <c r="M8" s="15" t="str">
        <f t="shared" si="0"/>
        <v/>
      </c>
    </row>
    <row r="9" spans="1:13" x14ac:dyDescent="0.35">
      <c r="A9" s="11"/>
      <c r="B9" s="12"/>
      <c r="C9" s="12"/>
      <c r="D9" s="12"/>
      <c r="E9" s="13"/>
      <c r="F9" s="13"/>
      <c r="G9" s="13"/>
      <c r="H9" s="13"/>
      <c r="I9" s="12"/>
      <c r="J9" s="13"/>
      <c r="K9" s="14" t="str">
        <f>IF(C9="","",IFERROR(N('Fee Settings'!$C$5)*(E9+N(F9)-N(J9))+N('Fee Settings'!$C$6)*(E9+N(F9)+N(G9))+N('Fee Settings'!$C$7)+N('Fee Settings'!$C$10)*D9+IF(I9="Yes",MIN(N('Fee Settings'!$C$8)*(E9+N(F9)),N('Fee Settings'!$C$9)),0),""))</f>
        <v/>
      </c>
      <c r="L9" s="14" t="str">
        <f>IF(C9="","",IFERROR(D9*N(INDEX(Products!$C$5:$C$29,MATCH(C9,Lists!$A$2:$A$26,0))),""))</f>
        <v/>
      </c>
      <c r="M9" s="15" t="str">
        <f t="shared" si="0"/>
        <v/>
      </c>
    </row>
    <row r="10" spans="1:13" x14ac:dyDescent="0.35">
      <c r="A10" s="11"/>
      <c r="B10" s="12"/>
      <c r="C10" s="12"/>
      <c r="D10" s="12"/>
      <c r="E10" s="13"/>
      <c r="F10" s="13"/>
      <c r="G10" s="13"/>
      <c r="H10" s="13"/>
      <c r="I10" s="12"/>
      <c r="J10" s="13"/>
      <c r="K10" s="14" t="str">
        <f>IF(C10="","",IFERROR(N('Fee Settings'!$C$5)*(E10+N(F10)-N(J10))+N('Fee Settings'!$C$6)*(E10+N(F10)+N(G10))+N('Fee Settings'!$C$7)+N('Fee Settings'!$C$10)*D10+IF(I10="Yes",MIN(N('Fee Settings'!$C$8)*(E10+N(F10)),N('Fee Settings'!$C$9)),0),""))</f>
        <v/>
      </c>
      <c r="L10" s="14" t="str">
        <f>IF(C10="","",IFERROR(D10*N(INDEX(Products!$C$5:$C$29,MATCH(C10,Lists!$A$2:$A$26,0))),""))</f>
        <v/>
      </c>
      <c r="M10" s="15" t="str">
        <f t="shared" si="0"/>
        <v/>
      </c>
    </row>
    <row r="11" spans="1:13" x14ac:dyDescent="0.35">
      <c r="A11" s="11"/>
      <c r="B11" s="12"/>
      <c r="C11" s="12"/>
      <c r="D11" s="12"/>
      <c r="E11" s="13"/>
      <c r="F11" s="13"/>
      <c r="G11" s="13"/>
      <c r="H11" s="13"/>
      <c r="I11" s="12"/>
      <c r="J11" s="13"/>
      <c r="K11" s="14" t="str">
        <f>IF(C11="","",IFERROR(N('Fee Settings'!$C$5)*(E11+N(F11)-N(J11))+N('Fee Settings'!$C$6)*(E11+N(F11)+N(G11))+N('Fee Settings'!$C$7)+N('Fee Settings'!$C$10)*D11+IF(I11="Yes",MIN(N('Fee Settings'!$C$8)*(E11+N(F11)),N('Fee Settings'!$C$9)),0),""))</f>
        <v/>
      </c>
      <c r="L11" s="14" t="str">
        <f>IF(C11="","",IFERROR(D11*N(INDEX(Products!$C$5:$C$29,MATCH(C11,Lists!$A$2:$A$26,0))),""))</f>
        <v/>
      </c>
      <c r="M11" s="15" t="str">
        <f t="shared" si="0"/>
        <v/>
      </c>
    </row>
    <row r="12" spans="1:13" x14ac:dyDescent="0.35">
      <c r="A12" s="11"/>
      <c r="B12" s="12"/>
      <c r="C12" s="12"/>
      <c r="D12" s="12"/>
      <c r="E12" s="13"/>
      <c r="F12" s="13"/>
      <c r="G12" s="13"/>
      <c r="H12" s="13"/>
      <c r="I12" s="12"/>
      <c r="J12" s="13"/>
      <c r="K12" s="14" t="str">
        <f>IF(C12="","",IFERROR(N('Fee Settings'!$C$5)*(E12+N(F12)-N(J12))+N('Fee Settings'!$C$6)*(E12+N(F12)+N(G12))+N('Fee Settings'!$C$7)+N('Fee Settings'!$C$10)*D12+IF(I12="Yes",MIN(N('Fee Settings'!$C$8)*(E12+N(F12)),N('Fee Settings'!$C$9)),0),""))</f>
        <v/>
      </c>
      <c r="L12" s="14" t="str">
        <f>IF(C12="","",IFERROR(D12*N(INDEX(Products!$C$5:$C$29,MATCH(C12,Lists!$A$2:$A$26,0))),""))</f>
        <v/>
      </c>
      <c r="M12" s="15" t="str">
        <f t="shared" si="0"/>
        <v/>
      </c>
    </row>
    <row r="13" spans="1:13" x14ac:dyDescent="0.35">
      <c r="A13" s="11"/>
      <c r="B13" s="12"/>
      <c r="C13" s="12"/>
      <c r="D13" s="12"/>
      <c r="E13" s="13"/>
      <c r="F13" s="13"/>
      <c r="G13" s="13"/>
      <c r="H13" s="13"/>
      <c r="I13" s="12"/>
      <c r="J13" s="13"/>
      <c r="K13" s="14" t="str">
        <f>IF(C13="","",IFERROR(N('Fee Settings'!$C$5)*(E13+N(F13)-N(J13))+N('Fee Settings'!$C$6)*(E13+N(F13)+N(G13))+N('Fee Settings'!$C$7)+N('Fee Settings'!$C$10)*D13+IF(I13="Yes",MIN(N('Fee Settings'!$C$8)*(E13+N(F13)),N('Fee Settings'!$C$9)),0),""))</f>
        <v/>
      </c>
      <c r="L13" s="14" t="str">
        <f>IF(C13="","",IFERROR(D13*N(INDEX(Products!$C$5:$C$29,MATCH(C13,Lists!$A$2:$A$26,0))),""))</f>
        <v/>
      </c>
      <c r="M13" s="15" t="str">
        <f t="shared" si="0"/>
        <v/>
      </c>
    </row>
    <row r="14" spans="1:13" x14ac:dyDescent="0.35">
      <c r="A14" s="11"/>
      <c r="B14" s="12"/>
      <c r="C14" s="12"/>
      <c r="D14" s="12"/>
      <c r="E14" s="13"/>
      <c r="F14" s="13"/>
      <c r="G14" s="13"/>
      <c r="H14" s="13"/>
      <c r="I14" s="12"/>
      <c r="J14" s="13"/>
      <c r="K14" s="14" t="str">
        <f>IF(C14="","",IFERROR(N('Fee Settings'!$C$5)*(E14+N(F14)-N(J14))+N('Fee Settings'!$C$6)*(E14+N(F14)+N(G14))+N('Fee Settings'!$C$7)+N('Fee Settings'!$C$10)*D14+IF(I14="Yes",MIN(N('Fee Settings'!$C$8)*(E14+N(F14)),N('Fee Settings'!$C$9)),0),""))</f>
        <v/>
      </c>
      <c r="L14" s="14" t="str">
        <f>IF(C14="","",IFERROR(D14*N(INDEX(Products!$C$5:$C$29,MATCH(C14,Lists!$A$2:$A$26,0))),""))</f>
        <v/>
      </c>
      <c r="M14" s="15" t="str">
        <f t="shared" si="0"/>
        <v/>
      </c>
    </row>
    <row r="15" spans="1:13" x14ac:dyDescent="0.35">
      <c r="A15" s="11"/>
      <c r="B15" s="12"/>
      <c r="C15" s="12"/>
      <c r="D15" s="12"/>
      <c r="E15" s="13"/>
      <c r="F15" s="13"/>
      <c r="G15" s="13"/>
      <c r="H15" s="13"/>
      <c r="I15" s="12"/>
      <c r="J15" s="13"/>
      <c r="K15" s="14" t="str">
        <f>IF(C15="","",IFERROR(N('Fee Settings'!$C$5)*(E15+N(F15)-N(J15))+N('Fee Settings'!$C$6)*(E15+N(F15)+N(G15))+N('Fee Settings'!$C$7)+N('Fee Settings'!$C$10)*D15+IF(I15="Yes",MIN(N('Fee Settings'!$C$8)*(E15+N(F15)),N('Fee Settings'!$C$9)),0),""))</f>
        <v/>
      </c>
      <c r="L15" s="14" t="str">
        <f>IF(C15="","",IFERROR(D15*N(INDEX(Products!$C$5:$C$29,MATCH(C15,Lists!$A$2:$A$26,0))),""))</f>
        <v/>
      </c>
      <c r="M15" s="15" t="str">
        <f t="shared" si="0"/>
        <v/>
      </c>
    </row>
    <row r="16" spans="1:13" x14ac:dyDescent="0.35">
      <c r="A16" s="11"/>
      <c r="B16" s="12"/>
      <c r="C16" s="12"/>
      <c r="D16" s="12"/>
      <c r="E16" s="13"/>
      <c r="F16" s="13"/>
      <c r="G16" s="13"/>
      <c r="H16" s="13"/>
      <c r="I16" s="12"/>
      <c r="J16" s="13"/>
      <c r="K16" s="14" t="str">
        <f>IF(C16="","",IFERROR(N('Fee Settings'!$C$5)*(E16+N(F16)-N(J16))+N('Fee Settings'!$C$6)*(E16+N(F16)+N(G16))+N('Fee Settings'!$C$7)+N('Fee Settings'!$C$10)*D16+IF(I16="Yes",MIN(N('Fee Settings'!$C$8)*(E16+N(F16)),N('Fee Settings'!$C$9)),0),""))</f>
        <v/>
      </c>
      <c r="L16" s="14" t="str">
        <f>IF(C16="","",IFERROR(D16*N(INDEX(Products!$C$5:$C$29,MATCH(C16,Lists!$A$2:$A$26,0))),""))</f>
        <v/>
      </c>
      <c r="M16" s="15" t="str">
        <f t="shared" si="0"/>
        <v/>
      </c>
    </row>
    <row r="17" spans="1:13" x14ac:dyDescent="0.35">
      <c r="A17" s="11"/>
      <c r="B17" s="12"/>
      <c r="C17" s="12"/>
      <c r="D17" s="12"/>
      <c r="E17" s="13"/>
      <c r="F17" s="13"/>
      <c r="G17" s="13"/>
      <c r="H17" s="13"/>
      <c r="I17" s="12"/>
      <c r="J17" s="13"/>
      <c r="K17" s="14" t="str">
        <f>IF(C17="","",IFERROR(N('Fee Settings'!$C$5)*(E17+N(F17)-N(J17))+N('Fee Settings'!$C$6)*(E17+N(F17)+N(G17))+N('Fee Settings'!$C$7)+N('Fee Settings'!$C$10)*D17+IF(I17="Yes",MIN(N('Fee Settings'!$C$8)*(E17+N(F17)),N('Fee Settings'!$C$9)),0),""))</f>
        <v/>
      </c>
      <c r="L17" s="14" t="str">
        <f>IF(C17="","",IFERROR(D17*N(INDEX(Products!$C$5:$C$29,MATCH(C17,Lists!$A$2:$A$26,0))),""))</f>
        <v/>
      </c>
      <c r="M17" s="15" t="str">
        <f t="shared" si="0"/>
        <v/>
      </c>
    </row>
    <row r="18" spans="1:13" x14ac:dyDescent="0.35">
      <c r="A18" s="11"/>
      <c r="B18" s="12"/>
      <c r="C18" s="12"/>
      <c r="D18" s="12"/>
      <c r="E18" s="13"/>
      <c r="F18" s="13"/>
      <c r="G18" s="13"/>
      <c r="H18" s="13"/>
      <c r="I18" s="12"/>
      <c r="J18" s="13"/>
      <c r="K18" s="14" t="str">
        <f>IF(C18="","",IFERROR(N('Fee Settings'!$C$5)*(E18+N(F18)-N(J18))+N('Fee Settings'!$C$6)*(E18+N(F18)+N(G18))+N('Fee Settings'!$C$7)+N('Fee Settings'!$C$10)*D18+IF(I18="Yes",MIN(N('Fee Settings'!$C$8)*(E18+N(F18)),N('Fee Settings'!$C$9)),0),""))</f>
        <v/>
      </c>
      <c r="L18" s="14" t="str">
        <f>IF(C18="","",IFERROR(D18*N(INDEX(Products!$C$5:$C$29,MATCH(C18,Lists!$A$2:$A$26,0))),""))</f>
        <v/>
      </c>
      <c r="M18" s="15" t="str">
        <f t="shared" si="0"/>
        <v/>
      </c>
    </row>
    <row r="19" spans="1:13" x14ac:dyDescent="0.35">
      <c r="A19" s="11"/>
      <c r="B19" s="12"/>
      <c r="C19" s="12"/>
      <c r="D19" s="12"/>
      <c r="E19" s="13"/>
      <c r="F19" s="13"/>
      <c r="G19" s="13"/>
      <c r="H19" s="13"/>
      <c r="I19" s="12"/>
      <c r="J19" s="13"/>
      <c r="K19" s="14" t="str">
        <f>IF(C19="","",IFERROR(N('Fee Settings'!$C$5)*(E19+N(F19)-N(J19))+N('Fee Settings'!$C$6)*(E19+N(F19)+N(G19))+N('Fee Settings'!$C$7)+N('Fee Settings'!$C$10)*D19+IF(I19="Yes",MIN(N('Fee Settings'!$C$8)*(E19+N(F19)),N('Fee Settings'!$C$9)),0),""))</f>
        <v/>
      </c>
      <c r="L19" s="14" t="str">
        <f>IF(C19="","",IFERROR(D19*N(INDEX(Products!$C$5:$C$29,MATCH(C19,Lists!$A$2:$A$26,0))),""))</f>
        <v/>
      </c>
      <c r="M19" s="15" t="str">
        <f t="shared" si="0"/>
        <v/>
      </c>
    </row>
    <row r="20" spans="1:13" x14ac:dyDescent="0.35">
      <c r="A20" s="11"/>
      <c r="B20" s="12"/>
      <c r="C20" s="12"/>
      <c r="D20" s="12"/>
      <c r="E20" s="13"/>
      <c r="F20" s="13"/>
      <c r="G20" s="13"/>
      <c r="H20" s="13"/>
      <c r="I20" s="12"/>
      <c r="J20" s="13"/>
      <c r="K20" s="14" t="str">
        <f>IF(C20="","",IFERROR(N('Fee Settings'!$C$5)*(E20+N(F20)-N(J20))+N('Fee Settings'!$C$6)*(E20+N(F20)+N(G20))+N('Fee Settings'!$C$7)+N('Fee Settings'!$C$10)*D20+IF(I20="Yes",MIN(N('Fee Settings'!$C$8)*(E20+N(F20)),N('Fee Settings'!$C$9)),0),""))</f>
        <v/>
      </c>
      <c r="L20" s="14" t="str">
        <f>IF(C20="","",IFERROR(D20*N(INDEX(Products!$C$5:$C$29,MATCH(C20,Lists!$A$2:$A$26,0))),""))</f>
        <v/>
      </c>
      <c r="M20" s="15" t="str">
        <f t="shared" si="0"/>
        <v/>
      </c>
    </row>
    <row r="21" spans="1:13" x14ac:dyDescent="0.35">
      <c r="A21" s="11"/>
      <c r="B21" s="12"/>
      <c r="C21" s="12"/>
      <c r="D21" s="12"/>
      <c r="E21" s="13"/>
      <c r="F21" s="13"/>
      <c r="G21" s="13"/>
      <c r="H21" s="13"/>
      <c r="I21" s="12"/>
      <c r="J21" s="13"/>
      <c r="K21" s="14" t="str">
        <f>IF(C21="","",IFERROR(N('Fee Settings'!$C$5)*(E21+N(F21)-N(J21))+N('Fee Settings'!$C$6)*(E21+N(F21)+N(G21))+N('Fee Settings'!$C$7)+N('Fee Settings'!$C$10)*D21+IF(I21="Yes",MIN(N('Fee Settings'!$C$8)*(E21+N(F21)),N('Fee Settings'!$C$9)),0),""))</f>
        <v/>
      </c>
      <c r="L21" s="14" t="str">
        <f>IF(C21="","",IFERROR(D21*N(INDEX(Products!$C$5:$C$29,MATCH(C21,Lists!$A$2:$A$26,0))),""))</f>
        <v/>
      </c>
      <c r="M21" s="15" t="str">
        <f t="shared" si="0"/>
        <v/>
      </c>
    </row>
    <row r="22" spans="1:13" x14ac:dyDescent="0.35">
      <c r="A22" s="11"/>
      <c r="B22" s="12"/>
      <c r="C22" s="12"/>
      <c r="D22" s="12"/>
      <c r="E22" s="13"/>
      <c r="F22" s="13"/>
      <c r="G22" s="13"/>
      <c r="H22" s="13"/>
      <c r="I22" s="12"/>
      <c r="J22" s="13"/>
      <c r="K22" s="14" t="str">
        <f>IF(C22="","",IFERROR(N('Fee Settings'!$C$5)*(E22+N(F22)-N(J22))+N('Fee Settings'!$C$6)*(E22+N(F22)+N(G22))+N('Fee Settings'!$C$7)+N('Fee Settings'!$C$10)*D22+IF(I22="Yes",MIN(N('Fee Settings'!$C$8)*(E22+N(F22)),N('Fee Settings'!$C$9)),0),""))</f>
        <v/>
      </c>
      <c r="L22" s="14" t="str">
        <f>IF(C22="","",IFERROR(D22*N(INDEX(Products!$C$5:$C$29,MATCH(C22,Lists!$A$2:$A$26,0))),""))</f>
        <v/>
      </c>
      <c r="M22" s="15" t="str">
        <f t="shared" si="0"/>
        <v/>
      </c>
    </row>
    <row r="23" spans="1:13" x14ac:dyDescent="0.35">
      <c r="A23" s="11"/>
      <c r="B23" s="12"/>
      <c r="C23" s="12"/>
      <c r="D23" s="12"/>
      <c r="E23" s="13"/>
      <c r="F23" s="13"/>
      <c r="G23" s="13"/>
      <c r="H23" s="13"/>
      <c r="I23" s="12"/>
      <c r="J23" s="13"/>
      <c r="K23" s="14" t="str">
        <f>IF(C23="","",IFERROR(N('Fee Settings'!$C$5)*(E23+N(F23)-N(J23))+N('Fee Settings'!$C$6)*(E23+N(F23)+N(G23))+N('Fee Settings'!$C$7)+N('Fee Settings'!$C$10)*D23+IF(I23="Yes",MIN(N('Fee Settings'!$C$8)*(E23+N(F23)),N('Fee Settings'!$C$9)),0),""))</f>
        <v/>
      </c>
      <c r="L23" s="14" t="str">
        <f>IF(C23="","",IFERROR(D23*N(INDEX(Products!$C$5:$C$29,MATCH(C23,Lists!$A$2:$A$26,0))),""))</f>
        <v/>
      </c>
      <c r="M23" s="15" t="str">
        <f t="shared" si="0"/>
        <v/>
      </c>
    </row>
    <row r="24" spans="1:13" x14ac:dyDescent="0.35">
      <c r="A24" s="11"/>
      <c r="B24" s="12"/>
      <c r="C24" s="12"/>
      <c r="D24" s="12"/>
      <c r="E24" s="13"/>
      <c r="F24" s="13"/>
      <c r="G24" s="13"/>
      <c r="H24" s="13"/>
      <c r="I24" s="12"/>
      <c r="J24" s="13"/>
      <c r="K24" s="14" t="str">
        <f>IF(C24="","",IFERROR(N('Fee Settings'!$C$5)*(E24+N(F24)-N(J24))+N('Fee Settings'!$C$6)*(E24+N(F24)+N(G24))+N('Fee Settings'!$C$7)+N('Fee Settings'!$C$10)*D24+IF(I24="Yes",MIN(N('Fee Settings'!$C$8)*(E24+N(F24)),N('Fee Settings'!$C$9)),0),""))</f>
        <v/>
      </c>
      <c r="L24" s="14" t="str">
        <f>IF(C24="","",IFERROR(D24*N(INDEX(Products!$C$5:$C$29,MATCH(C24,Lists!$A$2:$A$26,0))),""))</f>
        <v/>
      </c>
      <c r="M24" s="15" t="str">
        <f t="shared" si="0"/>
        <v/>
      </c>
    </row>
    <row r="25" spans="1:13" x14ac:dyDescent="0.35">
      <c r="A25" s="11"/>
      <c r="B25" s="12"/>
      <c r="C25" s="12"/>
      <c r="D25" s="12"/>
      <c r="E25" s="13"/>
      <c r="F25" s="13"/>
      <c r="G25" s="13"/>
      <c r="H25" s="13"/>
      <c r="I25" s="12"/>
      <c r="J25" s="13"/>
      <c r="K25" s="14" t="str">
        <f>IF(C25="","",IFERROR(N('Fee Settings'!$C$5)*(E25+N(F25)-N(J25))+N('Fee Settings'!$C$6)*(E25+N(F25)+N(G25))+N('Fee Settings'!$C$7)+N('Fee Settings'!$C$10)*D25+IF(I25="Yes",MIN(N('Fee Settings'!$C$8)*(E25+N(F25)),N('Fee Settings'!$C$9)),0),""))</f>
        <v/>
      </c>
      <c r="L25" s="14" t="str">
        <f>IF(C25="","",IFERROR(D25*N(INDEX(Products!$C$5:$C$29,MATCH(C25,Lists!$A$2:$A$26,0))),""))</f>
        <v/>
      </c>
      <c r="M25" s="15" t="str">
        <f t="shared" si="0"/>
        <v/>
      </c>
    </row>
    <row r="26" spans="1:13" x14ac:dyDescent="0.35">
      <c r="A26" s="11"/>
      <c r="B26" s="12"/>
      <c r="C26" s="12"/>
      <c r="D26" s="12"/>
      <c r="E26" s="13"/>
      <c r="F26" s="13"/>
      <c r="G26" s="13"/>
      <c r="H26" s="13"/>
      <c r="I26" s="12"/>
      <c r="J26" s="13"/>
      <c r="K26" s="14" t="str">
        <f>IF(C26="","",IFERROR(N('Fee Settings'!$C$5)*(E26+N(F26)-N(J26))+N('Fee Settings'!$C$6)*(E26+N(F26)+N(G26))+N('Fee Settings'!$C$7)+N('Fee Settings'!$C$10)*D26+IF(I26="Yes",MIN(N('Fee Settings'!$C$8)*(E26+N(F26)),N('Fee Settings'!$C$9)),0),""))</f>
        <v/>
      </c>
      <c r="L26" s="14" t="str">
        <f>IF(C26="","",IFERROR(D26*N(INDEX(Products!$C$5:$C$29,MATCH(C26,Lists!$A$2:$A$26,0))),""))</f>
        <v/>
      </c>
      <c r="M26" s="15" t="str">
        <f t="shared" si="0"/>
        <v/>
      </c>
    </row>
    <row r="27" spans="1:13" x14ac:dyDescent="0.35">
      <c r="A27" s="11"/>
      <c r="B27" s="12"/>
      <c r="C27" s="12"/>
      <c r="D27" s="12"/>
      <c r="E27" s="13"/>
      <c r="F27" s="13"/>
      <c r="G27" s="13"/>
      <c r="H27" s="13"/>
      <c r="I27" s="12"/>
      <c r="J27" s="13"/>
      <c r="K27" s="14" t="str">
        <f>IF(C27="","",IFERROR(N('Fee Settings'!$C$5)*(E27+N(F27)-N(J27))+N('Fee Settings'!$C$6)*(E27+N(F27)+N(G27))+N('Fee Settings'!$C$7)+N('Fee Settings'!$C$10)*D27+IF(I27="Yes",MIN(N('Fee Settings'!$C$8)*(E27+N(F27)),N('Fee Settings'!$C$9)),0),""))</f>
        <v/>
      </c>
      <c r="L27" s="14" t="str">
        <f>IF(C27="","",IFERROR(D27*N(INDEX(Products!$C$5:$C$29,MATCH(C27,Lists!$A$2:$A$26,0))),""))</f>
        <v/>
      </c>
      <c r="M27" s="15" t="str">
        <f t="shared" si="0"/>
        <v/>
      </c>
    </row>
    <row r="28" spans="1:13" x14ac:dyDescent="0.35">
      <c r="A28" s="11"/>
      <c r="B28" s="12"/>
      <c r="C28" s="12"/>
      <c r="D28" s="12"/>
      <c r="E28" s="13"/>
      <c r="F28" s="13"/>
      <c r="G28" s="13"/>
      <c r="H28" s="13"/>
      <c r="I28" s="12"/>
      <c r="J28" s="13"/>
      <c r="K28" s="14" t="str">
        <f>IF(C28="","",IFERROR(N('Fee Settings'!$C$5)*(E28+N(F28)-N(J28))+N('Fee Settings'!$C$6)*(E28+N(F28)+N(G28))+N('Fee Settings'!$C$7)+N('Fee Settings'!$C$10)*D28+IF(I28="Yes",MIN(N('Fee Settings'!$C$8)*(E28+N(F28)),N('Fee Settings'!$C$9)),0),""))</f>
        <v/>
      </c>
      <c r="L28" s="14" t="str">
        <f>IF(C28="","",IFERROR(D28*N(INDEX(Products!$C$5:$C$29,MATCH(C28,Lists!$A$2:$A$26,0))),""))</f>
        <v/>
      </c>
      <c r="M28" s="15" t="str">
        <f t="shared" si="0"/>
        <v/>
      </c>
    </row>
    <row r="29" spans="1:13" x14ac:dyDescent="0.35">
      <c r="A29" s="11"/>
      <c r="B29" s="12"/>
      <c r="C29" s="12"/>
      <c r="D29" s="12"/>
      <c r="E29" s="13"/>
      <c r="F29" s="13"/>
      <c r="G29" s="13"/>
      <c r="H29" s="13"/>
      <c r="I29" s="12"/>
      <c r="J29" s="13"/>
      <c r="K29" s="14" t="str">
        <f>IF(C29="","",IFERROR(N('Fee Settings'!$C$5)*(E29+N(F29)-N(J29))+N('Fee Settings'!$C$6)*(E29+N(F29)+N(G29))+N('Fee Settings'!$C$7)+N('Fee Settings'!$C$10)*D29+IF(I29="Yes",MIN(N('Fee Settings'!$C$8)*(E29+N(F29)),N('Fee Settings'!$C$9)),0),""))</f>
        <v/>
      </c>
      <c r="L29" s="14" t="str">
        <f>IF(C29="","",IFERROR(D29*N(INDEX(Products!$C$5:$C$29,MATCH(C29,Lists!$A$2:$A$26,0))),""))</f>
        <v/>
      </c>
      <c r="M29" s="15" t="str">
        <f t="shared" si="0"/>
        <v/>
      </c>
    </row>
    <row r="30" spans="1:13" x14ac:dyDescent="0.35">
      <c r="A30" s="11"/>
      <c r="B30" s="12"/>
      <c r="C30" s="12"/>
      <c r="D30" s="12"/>
      <c r="E30" s="13"/>
      <c r="F30" s="13"/>
      <c r="G30" s="13"/>
      <c r="H30" s="13"/>
      <c r="I30" s="12"/>
      <c r="J30" s="13"/>
      <c r="K30" s="14" t="str">
        <f>IF(C30="","",IFERROR(N('Fee Settings'!$C$5)*(E30+N(F30)-N(J30))+N('Fee Settings'!$C$6)*(E30+N(F30)+N(G30))+N('Fee Settings'!$C$7)+N('Fee Settings'!$C$10)*D30+IF(I30="Yes",MIN(N('Fee Settings'!$C$8)*(E30+N(F30)),N('Fee Settings'!$C$9)),0),""))</f>
        <v/>
      </c>
      <c r="L30" s="14" t="str">
        <f>IF(C30="","",IFERROR(D30*N(INDEX(Products!$C$5:$C$29,MATCH(C30,Lists!$A$2:$A$26,0))),""))</f>
        <v/>
      </c>
      <c r="M30" s="15" t="str">
        <f t="shared" si="0"/>
        <v/>
      </c>
    </row>
    <row r="31" spans="1:13" x14ac:dyDescent="0.35">
      <c r="A31" s="11"/>
      <c r="B31" s="12"/>
      <c r="C31" s="12"/>
      <c r="D31" s="12"/>
      <c r="E31" s="13"/>
      <c r="F31" s="13"/>
      <c r="G31" s="13"/>
      <c r="H31" s="13"/>
      <c r="I31" s="12"/>
      <c r="J31" s="13"/>
      <c r="K31" s="14" t="str">
        <f>IF(C31="","",IFERROR(N('Fee Settings'!$C$5)*(E31+N(F31)-N(J31))+N('Fee Settings'!$C$6)*(E31+N(F31)+N(G31))+N('Fee Settings'!$C$7)+N('Fee Settings'!$C$10)*D31+IF(I31="Yes",MIN(N('Fee Settings'!$C$8)*(E31+N(F31)),N('Fee Settings'!$C$9)),0),""))</f>
        <v/>
      </c>
      <c r="L31" s="14" t="str">
        <f>IF(C31="","",IFERROR(D31*N(INDEX(Products!$C$5:$C$29,MATCH(C31,Lists!$A$2:$A$26,0))),""))</f>
        <v/>
      </c>
      <c r="M31" s="15" t="str">
        <f t="shared" si="0"/>
        <v/>
      </c>
    </row>
    <row r="32" spans="1:13" x14ac:dyDescent="0.35">
      <c r="A32" s="11"/>
      <c r="B32" s="12"/>
      <c r="C32" s="12"/>
      <c r="D32" s="12"/>
      <c r="E32" s="13"/>
      <c r="F32" s="13"/>
      <c r="G32" s="13"/>
      <c r="H32" s="13"/>
      <c r="I32" s="12"/>
      <c r="J32" s="13"/>
      <c r="K32" s="14" t="str">
        <f>IF(C32="","",IFERROR(N('Fee Settings'!$C$5)*(E32+N(F32)-N(J32))+N('Fee Settings'!$C$6)*(E32+N(F32)+N(G32))+N('Fee Settings'!$C$7)+N('Fee Settings'!$C$10)*D32+IF(I32="Yes",MIN(N('Fee Settings'!$C$8)*(E32+N(F32)),N('Fee Settings'!$C$9)),0),""))</f>
        <v/>
      </c>
      <c r="L32" s="14" t="str">
        <f>IF(C32="","",IFERROR(D32*N(INDEX(Products!$C$5:$C$29,MATCH(C32,Lists!$A$2:$A$26,0))),""))</f>
        <v/>
      </c>
      <c r="M32" s="15" t="str">
        <f t="shared" si="0"/>
        <v/>
      </c>
    </row>
    <row r="33" spans="1:13" x14ac:dyDescent="0.35">
      <c r="A33" s="11"/>
      <c r="B33" s="12"/>
      <c r="C33" s="12"/>
      <c r="D33" s="12"/>
      <c r="E33" s="13"/>
      <c r="F33" s="13"/>
      <c r="G33" s="13"/>
      <c r="H33" s="13"/>
      <c r="I33" s="12"/>
      <c r="J33" s="13"/>
      <c r="K33" s="14" t="str">
        <f>IF(C33="","",IFERROR(N('Fee Settings'!$C$5)*(E33+N(F33)-N(J33))+N('Fee Settings'!$C$6)*(E33+N(F33)+N(G33))+N('Fee Settings'!$C$7)+N('Fee Settings'!$C$10)*D33+IF(I33="Yes",MIN(N('Fee Settings'!$C$8)*(E33+N(F33)),N('Fee Settings'!$C$9)),0),""))</f>
        <v/>
      </c>
      <c r="L33" s="14" t="str">
        <f>IF(C33="","",IFERROR(D33*N(INDEX(Products!$C$5:$C$29,MATCH(C33,Lists!$A$2:$A$26,0))),""))</f>
        <v/>
      </c>
      <c r="M33" s="15" t="str">
        <f t="shared" si="0"/>
        <v/>
      </c>
    </row>
    <row r="34" spans="1:13" x14ac:dyDescent="0.35">
      <c r="A34" s="11"/>
      <c r="B34" s="12"/>
      <c r="C34" s="12"/>
      <c r="D34" s="12"/>
      <c r="E34" s="13"/>
      <c r="F34" s="13"/>
      <c r="G34" s="13"/>
      <c r="H34" s="13"/>
      <c r="I34" s="12"/>
      <c r="J34" s="13"/>
      <c r="K34" s="14" t="str">
        <f>IF(C34="","",IFERROR(N('Fee Settings'!$C$5)*(E34+N(F34)-N(J34))+N('Fee Settings'!$C$6)*(E34+N(F34)+N(G34))+N('Fee Settings'!$C$7)+N('Fee Settings'!$C$10)*D34+IF(I34="Yes",MIN(N('Fee Settings'!$C$8)*(E34+N(F34)),N('Fee Settings'!$C$9)),0),""))</f>
        <v/>
      </c>
      <c r="L34" s="14" t="str">
        <f>IF(C34="","",IFERROR(D34*N(INDEX(Products!$C$5:$C$29,MATCH(C34,Lists!$A$2:$A$26,0))),""))</f>
        <v/>
      </c>
      <c r="M34" s="15" t="str">
        <f t="shared" si="0"/>
        <v/>
      </c>
    </row>
    <row r="35" spans="1:13" x14ac:dyDescent="0.35">
      <c r="A35" s="11"/>
      <c r="B35" s="12"/>
      <c r="C35" s="12"/>
      <c r="D35" s="12"/>
      <c r="E35" s="13"/>
      <c r="F35" s="13"/>
      <c r="G35" s="13"/>
      <c r="H35" s="13"/>
      <c r="I35" s="12"/>
      <c r="J35" s="13"/>
      <c r="K35" s="14" t="str">
        <f>IF(C35="","",IFERROR(N('Fee Settings'!$C$5)*(E35+N(F35)-N(J35))+N('Fee Settings'!$C$6)*(E35+N(F35)+N(G35))+N('Fee Settings'!$C$7)+N('Fee Settings'!$C$10)*D35+IF(I35="Yes",MIN(N('Fee Settings'!$C$8)*(E35+N(F35)),N('Fee Settings'!$C$9)),0),""))</f>
        <v/>
      </c>
      <c r="L35" s="14" t="str">
        <f>IF(C35="","",IFERROR(D35*N(INDEX(Products!$C$5:$C$29,MATCH(C35,Lists!$A$2:$A$26,0))),""))</f>
        <v/>
      </c>
      <c r="M35" s="15" t="str">
        <f t="shared" si="0"/>
        <v/>
      </c>
    </row>
    <row r="36" spans="1:13" x14ac:dyDescent="0.35">
      <c r="A36" s="11"/>
      <c r="B36" s="12"/>
      <c r="C36" s="12"/>
      <c r="D36" s="12"/>
      <c r="E36" s="13"/>
      <c r="F36" s="13"/>
      <c r="G36" s="13"/>
      <c r="H36" s="13"/>
      <c r="I36" s="12"/>
      <c r="J36" s="13"/>
      <c r="K36" s="14" t="str">
        <f>IF(C36="","",IFERROR(N('Fee Settings'!$C$5)*(E36+N(F36)-N(J36))+N('Fee Settings'!$C$6)*(E36+N(F36)+N(G36))+N('Fee Settings'!$C$7)+N('Fee Settings'!$C$10)*D36+IF(I36="Yes",MIN(N('Fee Settings'!$C$8)*(E36+N(F36)),N('Fee Settings'!$C$9)),0),""))</f>
        <v/>
      </c>
      <c r="L36" s="14" t="str">
        <f>IF(C36="","",IFERROR(D36*N(INDEX(Products!$C$5:$C$29,MATCH(C36,Lists!$A$2:$A$26,0))),""))</f>
        <v/>
      </c>
      <c r="M36" s="15" t="str">
        <f t="shared" si="0"/>
        <v/>
      </c>
    </row>
    <row r="37" spans="1:13" x14ac:dyDescent="0.35">
      <c r="A37" s="11"/>
      <c r="B37" s="12"/>
      <c r="C37" s="12"/>
      <c r="D37" s="12"/>
      <c r="E37" s="13"/>
      <c r="F37" s="13"/>
      <c r="G37" s="13"/>
      <c r="H37" s="13"/>
      <c r="I37" s="12"/>
      <c r="J37" s="13"/>
      <c r="K37" s="14" t="str">
        <f>IF(C37="","",IFERROR(N('Fee Settings'!$C$5)*(E37+N(F37)-N(J37))+N('Fee Settings'!$C$6)*(E37+N(F37)+N(G37))+N('Fee Settings'!$C$7)+N('Fee Settings'!$C$10)*D37+IF(I37="Yes",MIN(N('Fee Settings'!$C$8)*(E37+N(F37)),N('Fee Settings'!$C$9)),0),""))</f>
        <v/>
      </c>
      <c r="L37" s="14" t="str">
        <f>IF(C37="","",IFERROR(D37*N(INDEX(Products!$C$5:$C$29,MATCH(C37,Lists!$A$2:$A$26,0))),""))</f>
        <v/>
      </c>
      <c r="M37" s="15" t="str">
        <f t="shared" si="0"/>
        <v/>
      </c>
    </row>
    <row r="38" spans="1:13" x14ac:dyDescent="0.35">
      <c r="A38" s="11"/>
      <c r="B38" s="12"/>
      <c r="C38" s="12"/>
      <c r="D38" s="12"/>
      <c r="E38" s="13"/>
      <c r="F38" s="13"/>
      <c r="G38" s="13"/>
      <c r="H38" s="13"/>
      <c r="I38" s="12"/>
      <c r="J38" s="13"/>
      <c r="K38" s="14" t="str">
        <f>IF(C38="","",IFERROR(N('Fee Settings'!$C$5)*(E38+N(F38)-N(J38))+N('Fee Settings'!$C$6)*(E38+N(F38)+N(G38))+N('Fee Settings'!$C$7)+N('Fee Settings'!$C$10)*D38+IF(I38="Yes",MIN(N('Fee Settings'!$C$8)*(E38+N(F38)),N('Fee Settings'!$C$9)),0),""))</f>
        <v/>
      </c>
      <c r="L38" s="14" t="str">
        <f>IF(C38="","",IFERROR(D38*N(INDEX(Products!$C$5:$C$29,MATCH(C38,Lists!$A$2:$A$26,0))),""))</f>
        <v/>
      </c>
      <c r="M38" s="15" t="str">
        <f t="shared" si="0"/>
        <v/>
      </c>
    </row>
    <row r="39" spans="1:13" x14ac:dyDescent="0.35">
      <c r="A39" s="11"/>
      <c r="B39" s="12"/>
      <c r="C39" s="12"/>
      <c r="D39" s="12"/>
      <c r="E39" s="13"/>
      <c r="F39" s="13"/>
      <c r="G39" s="13"/>
      <c r="H39" s="13"/>
      <c r="I39" s="12"/>
      <c r="J39" s="13"/>
      <c r="K39" s="14" t="str">
        <f>IF(C39="","",IFERROR(N('Fee Settings'!$C$5)*(E39+N(F39)-N(J39))+N('Fee Settings'!$C$6)*(E39+N(F39)+N(G39))+N('Fee Settings'!$C$7)+N('Fee Settings'!$C$10)*D39+IF(I39="Yes",MIN(N('Fee Settings'!$C$8)*(E39+N(F39)),N('Fee Settings'!$C$9)),0),""))</f>
        <v/>
      </c>
      <c r="L39" s="14" t="str">
        <f>IF(C39="","",IFERROR(D39*N(INDEX(Products!$C$5:$C$29,MATCH(C39,Lists!$A$2:$A$26,0))),""))</f>
        <v/>
      </c>
      <c r="M39" s="15" t="str">
        <f t="shared" si="0"/>
        <v/>
      </c>
    </row>
    <row r="40" spans="1:13" x14ac:dyDescent="0.35">
      <c r="A40" s="11"/>
      <c r="B40" s="12"/>
      <c r="C40" s="12"/>
      <c r="D40" s="12"/>
      <c r="E40" s="13"/>
      <c r="F40" s="13"/>
      <c r="G40" s="13"/>
      <c r="H40" s="13"/>
      <c r="I40" s="12"/>
      <c r="J40" s="13"/>
      <c r="K40" s="14" t="str">
        <f>IF(C40="","",IFERROR(N('Fee Settings'!$C$5)*(E40+N(F40)-N(J40))+N('Fee Settings'!$C$6)*(E40+N(F40)+N(G40))+N('Fee Settings'!$C$7)+N('Fee Settings'!$C$10)*D40+IF(I40="Yes",MIN(N('Fee Settings'!$C$8)*(E40+N(F40)),N('Fee Settings'!$C$9)),0),""))</f>
        <v/>
      </c>
      <c r="L40" s="14" t="str">
        <f>IF(C40="","",IFERROR(D40*N(INDEX(Products!$C$5:$C$29,MATCH(C40,Lists!$A$2:$A$26,0))),""))</f>
        <v/>
      </c>
      <c r="M40" s="15" t="str">
        <f t="shared" si="0"/>
        <v/>
      </c>
    </row>
    <row r="41" spans="1:13" x14ac:dyDescent="0.35">
      <c r="A41" s="11"/>
      <c r="B41" s="12"/>
      <c r="C41" s="12"/>
      <c r="D41" s="12"/>
      <c r="E41" s="13"/>
      <c r="F41" s="13"/>
      <c r="G41" s="13"/>
      <c r="H41" s="13"/>
      <c r="I41" s="12"/>
      <c r="J41" s="13"/>
      <c r="K41" s="14" t="str">
        <f>IF(C41="","",IFERROR(N('Fee Settings'!$C$5)*(E41+N(F41)-N(J41))+N('Fee Settings'!$C$6)*(E41+N(F41)+N(G41))+N('Fee Settings'!$C$7)+N('Fee Settings'!$C$10)*D41+IF(I41="Yes",MIN(N('Fee Settings'!$C$8)*(E41+N(F41)),N('Fee Settings'!$C$9)),0),""))</f>
        <v/>
      </c>
      <c r="L41" s="14" t="str">
        <f>IF(C41="","",IFERROR(D41*N(INDEX(Products!$C$5:$C$29,MATCH(C41,Lists!$A$2:$A$26,0))),""))</f>
        <v/>
      </c>
      <c r="M41" s="15" t="str">
        <f t="shared" si="0"/>
        <v/>
      </c>
    </row>
    <row r="42" spans="1:13" x14ac:dyDescent="0.35">
      <c r="A42" s="11"/>
      <c r="B42" s="12"/>
      <c r="C42" s="12"/>
      <c r="D42" s="12"/>
      <c r="E42" s="13"/>
      <c r="F42" s="13"/>
      <c r="G42" s="13"/>
      <c r="H42" s="13"/>
      <c r="I42" s="12"/>
      <c r="J42" s="13"/>
      <c r="K42" s="14" t="str">
        <f>IF(C42="","",IFERROR(N('Fee Settings'!$C$5)*(E42+N(F42)-N(J42))+N('Fee Settings'!$C$6)*(E42+N(F42)+N(G42))+N('Fee Settings'!$C$7)+N('Fee Settings'!$C$10)*D42+IF(I42="Yes",MIN(N('Fee Settings'!$C$8)*(E42+N(F42)),N('Fee Settings'!$C$9)),0),""))</f>
        <v/>
      </c>
      <c r="L42" s="14" t="str">
        <f>IF(C42="","",IFERROR(D42*N(INDEX(Products!$C$5:$C$29,MATCH(C42,Lists!$A$2:$A$26,0))),""))</f>
        <v/>
      </c>
      <c r="M42" s="15" t="str">
        <f t="shared" si="0"/>
        <v/>
      </c>
    </row>
    <row r="43" spans="1:13" x14ac:dyDescent="0.35">
      <c r="A43" s="11"/>
      <c r="B43" s="12"/>
      <c r="C43" s="12"/>
      <c r="D43" s="12"/>
      <c r="E43" s="13"/>
      <c r="F43" s="13"/>
      <c r="G43" s="13"/>
      <c r="H43" s="13"/>
      <c r="I43" s="12"/>
      <c r="J43" s="13"/>
      <c r="K43" s="14" t="str">
        <f>IF(C43="","",IFERROR(N('Fee Settings'!$C$5)*(E43+N(F43)-N(J43))+N('Fee Settings'!$C$6)*(E43+N(F43)+N(G43))+N('Fee Settings'!$C$7)+N('Fee Settings'!$C$10)*D43+IF(I43="Yes",MIN(N('Fee Settings'!$C$8)*(E43+N(F43)),N('Fee Settings'!$C$9)),0),""))</f>
        <v/>
      </c>
      <c r="L43" s="14" t="str">
        <f>IF(C43="","",IFERROR(D43*N(INDEX(Products!$C$5:$C$29,MATCH(C43,Lists!$A$2:$A$26,0))),""))</f>
        <v/>
      </c>
      <c r="M43" s="15" t="str">
        <f t="shared" si="0"/>
        <v/>
      </c>
    </row>
    <row r="44" spans="1:13" x14ac:dyDescent="0.35">
      <c r="A44" s="11"/>
      <c r="B44" s="12"/>
      <c r="C44" s="12"/>
      <c r="D44" s="12"/>
      <c r="E44" s="13"/>
      <c r="F44" s="13"/>
      <c r="G44" s="13"/>
      <c r="H44" s="13"/>
      <c r="I44" s="12"/>
      <c r="J44" s="13"/>
      <c r="K44" s="14" t="str">
        <f>IF(C44="","",IFERROR(N('Fee Settings'!$C$5)*(E44+N(F44)-N(J44))+N('Fee Settings'!$C$6)*(E44+N(F44)+N(G44))+N('Fee Settings'!$C$7)+N('Fee Settings'!$C$10)*D44+IF(I44="Yes",MIN(N('Fee Settings'!$C$8)*(E44+N(F44)),N('Fee Settings'!$C$9)),0),""))</f>
        <v/>
      </c>
      <c r="L44" s="14" t="str">
        <f>IF(C44="","",IFERROR(D44*N(INDEX(Products!$C$5:$C$29,MATCH(C44,Lists!$A$2:$A$26,0))),""))</f>
        <v/>
      </c>
      <c r="M44" s="15" t="str">
        <f t="shared" si="0"/>
        <v/>
      </c>
    </row>
    <row r="45" spans="1:13" x14ac:dyDescent="0.35">
      <c r="A45" s="11"/>
      <c r="B45" s="12"/>
      <c r="C45" s="12"/>
      <c r="D45" s="12"/>
      <c r="E45" s="13"/>
      <c r="F45" s="13"/>
      <c r="G45" s="13"/>
      <c r="H45" s="13"/>
      <c r="I45" s="12"/>
      <c r="J45" s="13"/>
      <c r="K45" s="14" t="str">
        <f>IF(C45="","",IFERROR(N('Fee Settings'!$C$5)*(E45+N(F45)-N(J45))+N('Fee Settings'!$C$6)*(E45+N(F45)+N(G45))+N('Fee Settings'!$C$7)+N('Fee Settings'!$C$10)*D45+IF(I45="Yes",MIN(N('Fee Settings'!$C$8)*(E45+N(F45)),N('Fee Settings'!$C$9)),0),""))</f>
        <v/>
      </c>
      <c r="L45" s="14" t="str">
        <f>IF(C45="","",IFERROR(D45*N(INDEX(Products!$C$5:$C$29,MATCH(C45,Lists!$A$2:$A$26,0))),""))</f>
        <v/>
      </c>
      <c r="M45" s="15" t="str">
        <f t="shared" si="0"/>
        <v/>
      </c>
    </row>
    <row r="46" spans="1:13" x14ac:dyDescent="0.35">
      <c r="A46" s="11"/>
      <c r="B46" s="12"/>
      <c r="C46" s="12"/>
      <c r="D46" s="12"/>
      <c r="E46" s="13"/>
      <c r="F46" s="13"/>
      <c r="G46" s="13"/>
      <c r="H46" s="13"/>
      <c r="I46" s="12"/>
      <c r="J46" s="13"/>
      <c r="K46" s="14" t="str">
        <f>IF(C46="","",IFERROR(N('Fee Settings'!$C$5)*(E46+N(F46)-N(J46))+N('Fee Settings'!$C$6)*(E46+N(F46)+N(G46))+N('Fee Settings'!$C$7)+N('Fee Settings'!$C$10)*D46+IF(I46="Yes",MIN(N('Fee Settings'!$C$8)*(E46+N(F46)),N('Fee Settings'!$C$9)),0),""))</f>
        <v/>
      </c>
      <c r="L46" s="14" t="str">
        <f>IF(C46="","",IFERROR(D46*N(INDEX(Products!$C$5:$C$29,MATCH(C46,Lists!$A$2:$A$26,0))),""))</f>
        <v/>
      </c>
      <c r="M46" s="15" t="str">
        <f t="shared" si="0"/>
        <v/>
      </c>
    </row>
    <row r="47" spans="1:13" x14ac:dyDescent="0.35">
      <c r="A47" s="11"/>
      <c r="B47" s="12"/>
      <c r="C47" s="12"/>
      <c r="D47" s="12"/>
      <c r="E47" s="13"/>
      <c r="F47" s="13"/>
      <c r="G47" s="13"/>
      <c r="H47" s="13"/>
      <c r="I47" s="12"/>
      <c r="J47" s="13"/>
      <c r="K47" s="14" t="str">
        <f>IF(C47="","",IFERROR(N('Fee Settings'!$C$5)*(E47+N(F47)-N(J47))+N('Fee Settings'!$C$6)*(E47+N(F47)+N(G47))+N('Fee Settings'!$C$7)+N('Fee Settings'!$C$10)*D47+IF(I47="Yes",MIN(N('Fee Settings'!$C$8)*(E47+N(F47)),N('Fee Settings'!$C$9)),0),""))</f>
        <v/>
      </c>
      <c r="L47" s="14" t="str">
        <f>IF(C47="","",IFERROR(D47*N(INDEX(Products!$C$5:$C$29,MATCH(C47,Lists!$A$2:$A$26,0))),""))</f>
        <v/>
      </c>
      <c r="M47" s="15" t="str">
        <f t="shared" si="0"/>
        <v/>
      </c>
    </row>
    <row r="48" spans="1:13" x14ac:dyDescent="0.35">
      <c r="A48" s="11"/>
      <c r="B48" s="12"/>
      <c r="C48" s="12"/>
      <c r="D48" s="12"/>
      <c r="E48" s="13"/>
      <c r="F48" s="13"/>
      <c r="G48" s="13"/>
      <c r="H48" s="13"/>
      <c r="I48" s="12"/>
      <c r="J48" s="13"/>
      <c r="K48" s="14" t="str">
        <f>IF(C48="","",IFERROR(N('Fee Settings'!$C$5)*(E48+N(F48)-N(J48))+N('Fee Settings'!$C$6)*(E48+N(F48)+N(G48))+N('Fee Settings'!$C$7)+N('Fee Settings'!$C$10)*D48+IF(I48="Yes",MIN(N('Fee Settings'!$C$8)*(E48+N(F48)),N('Fee Settings'!$C$9)),0),""))</f>
        <v/>
      </c>
      <c r="L48" s="14" t="str">
        <f>IF(C48="","",IFERROR(D48*N(INDEX(Products!$C$5:$C$29,MATCH(C48,Lists!$A$2:$A$26,0))),""))</f>
        <v/>
      </c>
      <c r="M48" s="15" t="str">
        <f t="shared" si="0"/>
        <v/>
      </c>
    </row>
    <row r="49" spans="1:13" x14ac:dyDescent="0.35">
      <c r="A49" s="11"/>
      <c r="B49" s="12"/>
      <c r="C49" s="12"/>
      <c r="D49" s="12"/>
      <c r="E49" s="13"/>
      <c r="F49" s="13"/>
      <c r="G49" s="13"/>
      <c r="H49" s="13"/>
      <c r="I49" s="12"/>
      <c r="J49" s="13"/>
      <c r="K49" s="14" t="str">
        <f>IF(C49="","",IFERROR(N('Fee Settings'!$C$5)*(E49+N(F49)-N(J49))+N('Fee Settings'!$C$6)*(E49+N(F49)+N(G49))+N('Fee Settings'!$C$7)+N('Fee Settings'!$C$10)*D49+IF(I49="Yes",MIN(N('Fee Settings'!$C$8)*(E49+N(F49)),N('Fee Settings'!$C$9)),0),""))</f>
        <v/>
      </c>
      <c r="L49" s="14" t="str">
        <f>IF(C49="","",IFERROR(D49*N(INDEX(Products!$C$5:$C$29,MATCH(C49,Lists!$A$2:$A$26,0))),""))</f>
        <v/>
      </c>
      <c r="M49" s="15" t="str">
        <f t="shared" si="0"/>
        <v/>
      </c>
    </row>
    <row r="50" spans="1:13" x14ac:dyDescent="0.35">
      <c r="A50" s="11"/>
      <c r="B50" s="12"/>
      <c r="C50" s="12"/>
      <c r="D50" s="12"/>
      <c r="E50" s="13"/>
      <c r="F50" s="13"/>
      <c r="G50" s="13"/>
      <c r="H50" s="13"/>
      <c r="I50" s="12"/>
      <c r="J50" s="13"/>
      <c r="K50" s="14" t="str">
        <f>IF(C50="","",IFERROR(N('Fee Settings'!$C$5)*(E50+N(F50)-N(J50))+N('Fee Settings'!$C$6)*(E50+N(F50)+N(G50))+N('Fee Settings'!$C$7)+N('Fee Settings'!$C$10)*D50+IF(I50="Yes",MIN(N('Fee Settings'!$C$8)*(E50+N(F50)),N('Fee Settings'!$C$9)),0),""))</f>
        <v/>
      </c>
      <c r="L50" s="14" t="str">
        <f>IF(C50="","",IFERROR(D50*N(INDEX(Products!$C$5:$C$29,MATCH(C50,Lists!$A$2:$A$26,0))),""))</f>
        <v/>
      </c>
      <c r="M50" s="15" t="str">
        <f t="shared" si="0"/>
        <v/>
      </c>
    </row>
    <row r="51" spans="1:13" x14ac:dyDescent="0.35">
      <c r="A51" s="11"/>
      <c r="B51" s="12"/>
      <c r="C51" s="12"/>
      <c r="D51" s="12"/>
      <c r="E51" s="13"/>
      <c r="F51" s="13"/>
      <c r="G51" s="13"/>
      <c r="H51" s="13"/>
      <c r="I51" s="12"/>
      <c r="J51" s="13"/>
      <c r="K51" s="14" t="str">
        <f>IF(C51="","",IFERROR(N('Fee Settings'!$C$5)*(E51+N(F51)-N(J51))+N('Fee Settings'!$C$6)*(E51+N(F51)+N(G51))+N('Fee Settings'!$C$7)+N('Fee Settings'!$C$10)*D51+IF(I51="Yes",MIN(N('Fee Settings'!$C$8)*(E51+N(F51)),N('Fee Settings'!$C$9)),0),""))</f>
        <v/>
      </c>
      <c r="L51" s="14" t="str">
        <f>IF(C51="","",IFERROR(D51*N(INDEX(Products!$C$5:$C$29,MATCH(C51,Lists!$A$2:$A$26,0))),""))</f>
        <v/>
      </c>
      <c r="M51" s="15" t="str">
        <f t="shared" si="0"/>
        <v/>
      </c>
    </row>
    <row r="52" spans="1:13" x14ac:dyDescent="0.35">
      <c r="A52" s="11"/>
      <c r="B52" s="12"/>
      <c r="C52" s="12"/>
      <c r="D52" s="12"/>
      <c r="E52" s="13"/>
      <c r="F52" s="13"/>
      <c r="G52" s="13"/>
      <c r="H52" s="13"/>
      <c r="I52" s="12"/>
      <c r="J52" s="13"/>
      <c r="K52" s="14" t="str">
        <f>IF(C52="","",IFERROR(N('Fee Settings'!$C$5)*(E52+N(F52)-N(J52))+N('Fee Settings'!$C$6)*(E52+N(F52)+N(G52))+N('Fee Settings'!$C$7)+N('Fee Settings'!$C$10)*D52+IF(I52="Yes",MIN(N('Fee Settings'!$C$8)*(E52+N(F52)),N('Fee Settings'!$C$9)),0),""))</f>
        <v/>
      </c>
      <c r="L52" s="14" t="str">
        <f>IF(C52="","",IFERROR(D52*N(INDEX(Products!$C$5:$C$29,MATCH(C52,Lists!$A$2:$A$26,0))),""))</f>
        <v/>
      </c>
      <c r="M52" s="15" t="str">
        <f t="shared" si="0"/>
        <v/>
      </c>
    </row>
    <row r="53" spans="1:13" x14ac:dyDescent="0.35">
      <c r="A53" s="11"/>
      <c r="B53" s="12"/>
      <c r="C53" s="12"/>
      <c r="D53" s="12"/>
      <c r="E53" s="13"/>
      <c r="F53" s="13"/>
      <c r="G53" s="13"/>
      <c r="H53" s="13"/>
      <c r="I53" s="12"/>
      <c r="J53" s="13"/>
      <c r="K53" s="14" t="str">
        <f>IF(C53="","",IFERROR(N('Fee Settings'!$C$5)*(E53+N(F53)-N(J53))+N('Fee Settings'!$C$6)*(E53+N(F53)+N(G53))+N('Fee Settings'!$C$7)+N('Fee Settings'!$C$10)*D53+IF(I53="Yes",MIN(N('Fee Settings'!$C$8)*(E53+N(F53)),N('Fee Settings'!$C$9)),0),""))</f>
        <v/>
      </c>
      <c r="L53" s="14" t="str">
        <f>IF(C53="","",IFERROR(D53*N(INDEX(Products!$C$5:$C$29,MATCH(C53,Lists!$A$2:$A$26,0))),""))</f>
        <v/>
      </c>
      <c r="M53" s="15" t="str">
        <f t="shared" si="0"/>
        <v/>
      </c>
    </row>
    <row r="54" spans="1:13" x14ac:dyDescent="0.35">
      <c r="A54" s="11"/>
      <c r="B54" s="12"/>
      <c r="C54" s="12"/>
      <c r="D54" s="12"/>
      <c r="E54" s="13"/>
      <c r="F54" s="13"/>
      <c r="G54" s="13"/>
      <c r="H54" s="13"/>
      <c r="I54" s="12"/>
      <c r="J54" s="13"/>
      <c r="K54" s="14" t="str">
        <f>IF(C54="","",IFERROR(N('Fee Settings'!$C$5)*(E54+N(F54)-N(J54))+N('Fee Settings'!$C$6)*(E54+N(F54)+N(G54))+N('Fee Settings'!$C$7)+N('Fee Settings'!$C$10)*D54+IF(I54="Yes",MIN(N('Fee Settings'!$C$8)*(E54+N(F54)),N('Fee Settings'!$C$9)),0),""))</f>
        <v/>
      </c>
      <c r="L54" s="14" t="str">
        <f>IF(C54="","",IFERROR(D54*N(INDEX(Products!$C$5:$C$29,MATCH(C54,Lists!$A$2:$A$26,0))),""))</f>
        <v/>
      </c>
      <c r="M54" s="15" t="str">
        <f t="shared" si="0"/>
        <v/>
      </c>
    </row>
    <row r="55" spans="1:13" x14ac:dyDescent="0.35">
      <c r="A55" s="11"/>
      <c r="B55" s="12"/>
      <c r="C55" s="12"/>
      <c r="D55" s="12"/>
      <c r="E55" s="13"/>
      <c r="F55" s="13"/>
      <c r="G55" s="13"/>
      <c r="H55" s="13"/>
      <c r="I55" s="12"/>
      <c r="J55" s="13"/>
      <c r="K55" s="14" t="str">
        <f>IF(C55="","",IFERROR(N('Fee Settings'!$C$5)*(E55+N(F55)-N(J55))+N('Fee Settings'!$C$6)*(E55+N(F55)+N(G55))+N('Fee Settings'!$C$7)+N('Fee Settings'!$C$10)*D55+IF(I55="Yes",MIN(N('Fee Settings'!$C$8)*(E55+N(F55)),N('Fee Settings'!$C$9)),0),""))</f>
        <v/>
      </c>
      <c r="L55" s="14" t="str">
        <f>IF(C55="","",IFERROR(D55*N(INDEX(Products!$C$5:$C$29,MATCH(C55,Lists!$A$2:$A$26,0))),""))</f>
        <v/>
      </c>
      <c r="M55" s="15" t="str">
        <f t="shared" si="0"/>
        <v/>
      </c>
    </row>
    <row r="56" spans="1:13" x14ac:dyDescent="0.35">
      <c r="A56" s="11"/>
      <c r="B56" s="12"/>
      <c r="C56" s="12"/>
      <c r="D56" s="12"/>
      <c r="E56" s="13"/>
      <c r="F56" s="13"/>
      <c r="G56" s="13"/>
      <c r="H56" s="13"/>
      <c r="I56" s="12"/>
      <c r="J56" s="13"/>
      <c r="K56" s="14" t="str">
        <f>IF(C56="","",IFERROR(N('Fee Settings'!$C$5)*(E56+N(F56)-N(J56))+N('Fee Settings'!$C$6)*(E56+N(F56)+N(G56))+N('Fee Settings'!$C$7)+N('Fee Settings'!$C$10)*D56+IF(I56="Yes",MIN(N('Fee Settings'!$C$8)*(E56+N(F56)),N('Fee Settings'!$C$9)),0),""))</f>
        <v/>
      </c>
      <c r="L56" s="14" t="str">
        <f>IF(C56="","",IFERROR(D56*N(INDEX(Products!$C$5:$C$29,MATCH(C56,Lists!$A$2:$A$26,0))),""))</f>
        <v/>
      </c>
      <c r="M56" s="15" t="str">
        <f t="shared" si="0"/>
        <v/>
      </c>
    </row>
    <row r="57" spans="1:13" x14ac:dyDescent="0.35">
      <c r="A57" s="11"/>
      <c r="B57" s="12"/>
      <c r="C57" s="12"/>
      <c r="D57" s="12"/>
      <c r="E57" s="13"/>
      <c r="F57" s="13"/>
      <c r="G57" s="13"/>
      <c r="H57" s="13"/>
      <c r="I57" s="12"/>
      <c r="J57" s="13"/>
      <c r="K57" s="14" t="str">
        <f>IF(C57="","",IFERROR(N('Fee Settings'!$C$5)*(E57+N(F57)-N(J57))+N('Fee Settings'!$C$6)*(E57+N(F57)+N(G57))+N('Fee Settings'!$C$7)+N('Fee Settings'!$C$10)*D57+IF(I57="Yes",MIN(N('Fee Settings'!$C$8)*(E57+N(F57)),N('Fee Settings'!$C$9)),0),""))</f>
        <v/>
      </c>
      <c r="L57" s="14" t="str">
        <f>IF(C57="","",IFERROR(D57*N(INDEX(Products!$C$5:$C$29,MATCH(C57,Lists!$A$2:$A$26,0))),""))</f>
        <v/>
      </c>
      <c r="M57" s="15" t="str">
        <f t="shared" si="0"/>
        <v/>
      </c>
    </row>
    <row r="58" spans="1:13" x14ac:dyDescent="0.35">
      <c r="A58" s="11"/>
      <c r="B58" s="12"/>
      <c r="C58" s="12"/>
      <c r="D58" s="12"/>
      <c r="E58" s="13"/>
      <c r="F58" s="13"/>
      <c r="G58" s="13"/>
      <c r="H58" s="13"/>
      <c r="I58" s="12"/>
      <c r="J58" s="13"/>
      <c r="K58" s="14" t="str">
        <f>IF(C58="","",IFERROR(N('Fee Settings'!$C$5)*(E58+N(F58)-N(J58))+N('Fee Settings'!$C$6)*(E58+N(F58)+N(G58))+N('Fee Settings'!$C$7)+N('Fee Settings'!$C$10)*D58+IF(I58="Yes",MIN(N('Fee Settings'!$C$8)*(E58+N(F58)),N('Fee Settings'!$C$9)),0),""))</f>
        <v/>
      </c>
      <c r="L58" s="14" t="str">
        <f>IF(C58="","",IFERROR(D58*N(INDEX(Products!$C$5:$C$29,MATCH(C58,Lists!$A$2:$A$26,0))),""))</f>
        <v/>
      </c>
      <c r="M58" s="15" t="str">
        <f t="shared" si="0"/>
        <v/>
      </c>
    </row>
    <row r="59" spans="1:13" x14ac:dyDescent="0.35">
      <c r="A59" s="11"/>
      <c r="B59" s="12"/>
      <c r="C59" s="12"/>
      <c r="D59" s="12"/>
      <c r="E59" s="13"/>
      <c r="F59" s="13"/>
      <c r="G59" s="13"/>
      <c r="H59" s="13"/>
      <c r="I59" s="12"/>
      <c r="J59" s="13"/>
      <c r="K59" s="14" t="str">
        <f>IF(C59="","",IFERROR(N('Fee Settings'!$C$5)*(E59+N(F59)-N(J59))+N('Fee Settings'!$C$6)*(E59+N(F59)+N(G59))+N('Fee Settings'!$C$7)+N('Fee Settings'!$C$10)*D59+IF(I59="Yes",MIN(N('Fee Settings'!$C$8)*(E59+N(F59)),N('Fee Settings'!$C$9)),0),""))</f>
        <v/>
      </c>
      <c r="L59" s="14" t="str">
        <f>IF(C59="","",IFERROR(D59*N(INDEX(Products!$C$5:$C$29,MATCH(C59,Lists!$A$2:$A$26,0))),""))</f>
        <v/>
      </c>
      <c r="M59" s="15" t="str">
        <f t="shared" si="0"/>
        <v/>
      </c>
    </row>
    <row r="60" spans="1:13" x14ac:dyDescent="0.35">
      <c r="A60" s="11"/>
      <c r="B60" s="12"/>
      <c r="C60" s="12"/>
      <c r="D60" s="12"/>
      <c r="E60" s="13"/>
      <c r="F60" s="13"/>
      <c r="G60" s="13"/>
      <c r="H60" s="13"/>
      <c r="I60" s="12"/>
      <c r="J60" s="13"/>
      <c r="K60" s="14" t="str">
        <f>IF(C60="","",IFERROR(N('Fee Settings'!$C$5)*(E60+N(F60)-N(J60))+N('Fee Settings'!$C$6)*(E60+N(F60)+N(G60))+N('Fee Settings'!$C$7)+N('Fee Settings'!$C$10)*D60+IF(I60="Yes",MIN(N('Fee Settings'!$C$8)*(E60+N(F60)),N('Fee Settings'!$C$9)),0),""))</f>
        <v/>
      </c>
      <c r="L60" s="14" t="str">
        <f>IF(C60="","",IFERROR(D60*N(INDEX(Products!$C$5:$C$29,MATCH(C60,Lists!$A$2:$A$26,0))),""))</f>
        <v/>
      </c>
      <c r="M60" s="15" t="str">
        <f t="shared" si="0"/>
        <v/>
      </c>
    </row>
    <row r="61" spans="1:13" x14ac:dyDescent="0.35">
      <c r="A61" s="11"/>
      <c r="B61" s="12"/>
      <c r="C61" s="12"/>
      <c r="D61" s="12"/>
      <c r="E61" s="13"/>
      <c r="F61" s="13"/>
      <c r="G61" s="13"/>
      <c r="H61" s="13"/>
      <c r="I61" s="12"/>
      <c r="J61" s="13"/>
      <c r="K61" s="14" t="str">
        <f>IF(C61="","",IFERROR(N('Fee Settings'!$C$5)*(E61+N(F61)-N(J61))+N('Fee Settings'!$C$6)*(E61+N(F61)+N(G61))+N('Fee Settings'!$C$7)+N('Fee Settings'!$C$10)*D61+IF(I61="Yes",MIN(N('Fee Settings'!$C$8)*(E61+N(F61)),N('Fee Settings'!$C$9)),0),""))</f>
        <v/>
      </c>
      <c r="L61" s="14" t="str">
        <f>IF(C61="","",IFERROR(D61*N(INDEX(Products!$C$5:$C$29,MATCH(C61,Lists!$A$2:$A$26,0))),""))</f>
        <v/>
      </c>
      <c r="M61" s="15" t="str">
        <f t="shared" si="0"/>
        <v/>
      </c>
    </row>
    <row r="62" spans="1:13" x14ac:dyDescent="0.35">
      <c r="A62" s="11"/>
      <c r="B62" s="12"/>
      <c r="C62" s="12"/>
      <c r="D62" s="12"/>
      <c r="E62" s="13"/>
      <c r="F62" s="13"/>
      <c r="G62" s="13"/>
      <c r="H62" s="13"/>
      <c r="I62" s="12"/>
      <c r="J62" s="13"/>
      <c r="K62" s="14" t="str">
        <f>IF(C62="","",IFERROR(N('Fee Settings'!$C$5)*(E62+N(F62)-N(J62))+N('Fee Settings'!$C$6)*(E62+N(F62)+N(G62))+N('Fee Settings'!$C$7)+N('Fee Settings'!$C$10)*D62+IF(I62="Yes",MIN(N('Fee Settings'!$C$8)*(E62+N(F62)),N('Fee Settings'!$C$9)),0),""))</f>
        <v/>
      </c>
      <c r="L62" s="14" t="str">
        <f>IF(C62="","",IFERROR(D62*N(INDEX(Products!$C$5:$C$29,MATCH(C62,Lists!$A$2:$A$26,0))),""))</f>
        <v/>
      </c>
      <c r="M62" s="15" t="str">
        <f t="shared" si="0"/>
        <v/>
      </c>
    </row>
    <row r="63" spans="1:13" x14ac:dyDescent="0.35">
      <c r="A63" s="11"/>
      <c r="B63" s="12"/>
      <c r="C63" s="12"/>
      <c r="D63" s="12"/>
      <c r="E63" s="13"/>
      <c r="F63" s="13"/>
      <c r="G63" s="13"/>
      <c r="H63" s="13"/>
      <c r="I63" s="12"/>
      <c r="J63" s="13"/>
      <c r="K63" s="14" t="str">
        <f>IF(C63="","",IFERROR(N('Fee Settings'!$C$5)*(E63+N(F63)-N(J63))+N('Fee Settings'!$C$6)*(E63+N(F63)+N(G63))+N('Fee Settings'!$C$7)+N('Fee Settings'!$C$10)*D63+IF(I63="Yes",MIN(N('Fee Settings'!$C$8)*(E63+N(F63)),N('Fee Settings'!$C$9)),0),""))</f>
        <v/>
      </c>
      <c r="L63" s="14" t="str">
        <f>IF(C63="","",IFERROR(D63*N(INDEX(Products!$C$5:$C$29,MATCH(C63,Lists!$A$2:$A$26,0))),""))</f>
        <v/>
      </c>
      <c r="M63" s="15" t="str">
        <f t="shared" si="0"/>
        <v/>
      </c>
    </row>
    <row r="64" spans="1:13" x14ac:dyDescent="0.35">
      <c r="A64" s="11"/>
      <c r="B64" s="12"/>
      <c r="C64" s="12"/>
      <c r="D64" s="12"/>
      <c r="E64" s="13"/>
      <c r="F64" s="13"/>
      <c r="G64" s="13"/>
      <c r="H64" s="13"/>
      <c r="I64" s="12"/>
      <c r="J64" s="13"/>
      <c r="K64" s="14" t="str">
        <f>IF(C64="","",IFERROR(N('Fee Settings'!$C$5)*(E64+N(F64)-N(J64))+N('Fee Settings'!$C$6)*(E64+N(F64)+N(G64))+N('Fee Settings'!$C$7)+N('Fee Settings'!$C$10)*D64+IF(I64="Yes",MIN(N('Fee Settings'!$C$8)*(E64+N(F64)),N('Fee Settings'!$C$9)),0),""))</f>
        <v/>
      </c>
      <c r="L64" s="14" t="str">
        <f>IF(C64="","",IFERROR(D64*N(INDEX(Products!$C$5:$C$29,MATCH(C64,Lists!$A$2:$A$26,0))),""))</f>
        <v/>
      </c>
      <c r="M64" s="15" t="str">
        <f t="shared" si="0"/>
        <v/>
      </c>
    </row>
    <row r="65" spans="1:13" x14ac:dyDescent="0.35">
      <c r="A65" s="11"/>
      <c r="B65" s="12"/>
      <c r="C65" s="12"/>
      <c r="D65" s="12"/>
      <c r="E65" s="13"/>
      <c r="F65" s="13"/>
      <c r="G65" s="13"/>
      <c r="H65" s="13"/>
      <c r="I65" s="12"/>
      <c r="J65" s="13"/>
      <c r="K65" s="14" t="str">
        <f>IF(C65="","",IFERROR(N('Fee Settings'!$C$5)*(E65+N(F65)-N(J65))+N('Fee Settings'!$C$6)*(E65+N(F65)+N(G65))+N('Fee Settings'!$C$7)+N('Fee Settings'!$C$10)*D65+IF(I65="Yes",MIN(N('Fee Settings'!$C$8)*(E65+N(F65)),N('Fee Settings'!$C$9)),0),""))</f>
        <v/>
      </c>
      <c r="L65" s="14" t="str">
        <f>IF(C65="","",IFERROR(D65*N(INDEX(Products!$C$5:$C$29,MATCH(C65,Lists!$A$2:$A$26,0))),""))</f>
        <v/>
      </c>
      <c r="M65" s="15" t="str">
        <f t="shared" si="0"/>
        <v/>
      </c>
    </row>
    <row r="66" spans="1:13" x14ac:dyDescent="0.35">
      <c r="A66" s="11"/>
      <c r="B66" s="12"/>
      <c r="C66" s="12"/>
      <c r="D66" s="12"/>
      <c r="E66" s="13"/>
      <c r="F66" s="13"/>
      <c r="G66" s="13"/>
      <c r="H66" s="13"/>
      <c r="I66" s="12"/>
      <c r="J66" s="13"/>
      <c r="K66" s="14" t="str">
        <f>IF(C66="","",IFERROR(N('Fee Settings'!$C$5)*(E66+N(F66)-N(J66))+N('Fee Settings'!$C$6)*(E66+N(F66)+N(G66))+N('Fee Settings'!$C$7)+N('Fee Settings'!$C$10)*D66+IF(I66="Yes",MIN(N('Fee Settings'!$C$8)*(E66+N(F66)),N('Fee Settings'!$C$9)),0),""))</f>
        <v/>
      </c>
      <c r="L66" s="14" t="str">
        <f>IF(C66="","",IFERROR(D66*N(INDEX(Products!$C$5:$C$29,MATCH(C66,Lists!$A$2:$A$26,0))),""))</f>
        <v/>
      </c>
      <c r="M66" s="15" t="str">
        <f t="shared" si="0"/>
        <v/>
      </c>
    </row>
    <row r="67" spans="1:13" x14ac:dyDescent="0.35">
      <c r="A67" s="11"/>
      <c r="B67" s="12"/>
      <c r="C67" s="12"/>
      <c r="D67" s="12"/>
      <c r="E67" s="13"/>
      <c r="F67" s="13"/>
      <c r="G67" s="13"/>
      <c r="H67" s="13"/>
      <c r="I67" s="12"/>
      <c r="J67" s="13"/>
      <c r="K67" s="14" t="str">
        <f>IF(C67="","",IFERROR(N('Fee Settings'!$C$5)*(E67+N(F67)-N(J67))+N('Fee Settings'!$C$6)*(E67+N(F67)+N(G67))+N('Fee Settings'!$C$7)+N('Fee Settings'!$C$10)*D67+IF(I67="Yes",MIN(N('Fee Settings'!$C$8)*(E67+N(F67)),N('Fee Settings'!$C$9)),0),""))</f>
        <v/>
      </c>
      <c r="L67" s="14" t="str">
        <f>IF(C67="","",IFERROR(D67*N(INDEX(Products!$C$5:$C$29,MATCH(C67,Lists!$A$2:$A$26,0))),""))</f>
        <v/>
      </c>
      <c r="M67" s="15" t="str">
        <f t="shared" si="0"/>
        <v/>
      </c>
    </row>
    <row r="68" spans="1:13" x14ac:dyDescent="0.35">
      <c r="A68" s="11"/>
      <c r="B68" s="12"/>
      <c r="C68" s="12"/>
      <c r="D68" s="12"/>
      <c r="E68" s="13"/>
      <c r="F68" s="13"/>
      <c r="G68" s="13"/>
      <c r="H68" s="13"/>
      <c r="I68" s="12"/>
      <c r="J68" s="13"/>
      <c r="K68" s="14" t="str">
        <f>IF(C68="","",IFERROR(N('Fee Settings'!$C$5)*(E68+N(F68)-N(J68))+N('Fee Settings'!$C$6)*(E68+N(F68)+N(G68))+N('Fee Settings'!$C$7)+N('Fee Settings'!$C$10)*D68+IF(I68="Yes",MIN(N('Fee Settings'!$C$8)*(E68+N(F68)),N('Fee Settings'!$C$9)),0),""))</f>
        <v/>
      </c>
      <c r="L68" s="14" t="str">
        <f>IF(C68="","",IFERROR(D68*N(INDEX(Products!$C$5:$C$29,MATCH(C68,Lists!$A$2:$A$26,0))),""))</f>
        <v/>
      </c>
      <c r="M68" s="15" t="str">
        <f t="shared" si="0"/>
        <v/>
      </c>
    </row>
    <row r="69" spans="1:13" x14ac:dyDescent="0.35">
      <c r="A69" s="11"/>
      <c r="B69" s="12"/>
      <c r="C69" s="12"/>
      <c r="D69" s="12"/>
      <c r="E69" s="13"/>
      <c r="F69" s="13"/>
      <c r="G69" s="13"/>
      <c r="H69" s="13"/>
      <c r="I69" s="12"/>
      <c r="J69" s="13"/>
      <c r="K69" s="14" t="str">
        <f>IF(C69="","",IFERROR(N('Fee Settings'!$C$5)*(E69+N(F69)-N(J69))+N('Fee Settings'!$C$6)*(E69+N(F69)+N(G69))+N('Fee Settings'!$C$7)+N('Fee Settings'!$C$10)*D69+IF(I69="Yes",MIN(N('Fee Settings'!$C$8)*(E69+N(F69)),N('Fee Settings'!$C$9)),0),""))</f>
        <v/>
      </c>
      <c r="L69" s="14" t="str">
        <f>IF(C69="","",IFERROR(D69*N(INDEX(Products!$C$5:$C$29,MATCH(C69,Lists!$A$2:$A$26,0))),""))</f>
        <v/>
      </c>
      <c r="M69" s="15" t="str">
        <f t="shared" ref="M69:M132" si="1">IF(C69="","",IFERROR(E69+N(F69)-N(J69)-K69-L69-N(H69),""))</f>
        <v/>
      </c>
    </row>
    <row r="70" spans="1:13" x14ac:dyDescent="0.35">
      <c r="A70" s="11"/>
      <c r="B70" s="12"/>
      <c r="C70" s="12"/>
      <c r="D70" s="12"/>
      <c r="E70" s="13"/>
      <c r="F70" s="13"/>
      <c r="G70" s="13"/>
      <c r="H70" s="13"/>
      <c r="I70" s="12"/>
      <c r="J70" s="13"/>
      <c r="K70" s="14" t="str">
        <f>IF(C70="","",IFERROR(N('Fee Settings'!$C$5)*(E70+N(F70)-N(J70))+N('Fee Settings'!$C$6)*(E70+N(F70)+N(G70))+N('Fee Settings'!$C$7)+N('Fee Settings'!$C$10)*D70+IF(I70="Yes",MIN(N('Fee Settings'!$C$8)*(E70+N(F70)),N('Fee Settings'!$C$9)),0),""))</f>
        <v/>
      </c>
      <c r="L70" s="14" t="str">
        <f>IF(C70="","",IFERROR(D70*N(INDEX(Products!$C$5:$C$29,MATCH(C70,Lists!$A$2:$A$26,0))),""))</f>
        <v/>
      </c>
      <c r="M70" s="15" t="str">
        <f t="shared" si="1"/>
        <v/>
      </c>
    </row>
    <row r="71" spans="1:13" x14ac:dyDescent="0.35">
      <c r="A71" s="11"/>
      <c r="B71" s="12"/>
      <c r="C71" s="12"/>
      <c r="D71" s="12"/>
      <c r="E71" s="13"/>
      <c r="F71" s="13"/>
      <c r="G71" s="13"/>
      <c r="H71" s="13"/>
      <c r="I71" s="12"/>
      <c r="J71" s="13"/>
      <c r="K71" s="14" t="str">
        <f>IF(C71="","",IFERROR(N('Fee Settings'!$C$5)*(E71+N(F71)-N(J71))+N('Fee Settings'!$C$6)*(E71+N(F71)+N(G71))+N('Fee Settings'!$C$7)+N('Fee Settings'!$C$10)*D71+IF(I71="Yes",MIN(N('Fee Settings'!$C$8)*(E71+N(F71)),N('Fee Settings'!$C$9)),0),""))</f>
        <v/>
      </c>
      <c r="L71" s="14" t="str">
        <f>IF(C71="","",IFERROR(D71*N(INDEX(Products!$C$5:$C$29,MATCH(C71,Lists!$A$2:$A$26,0))),""))</f>
        <v/>
      </c>
      <c r="M71" s="15" t="str">
        <f t="shared" si="1"/>
        <v/>
      </c>
    </row>
    <row r="72" spans="1:13" x14ac:dyDescent="0.35">
      <c r="A72" s="11"/>
      <c r="B72" s="12"/>
      <c r="C72" s="12"/>
      <c r="D72" s="12"/>
      <c r="E72" s="13"/>
      <c r="F72" s="13"/>
      <c r="G72" s="13"/>
      <c r="H72" s="13"/>
      <c r="I72" s="12"/>
      <c r="J72" s="13"/>
      <c r="K72" s="14" t="str">
        <f>IF(C72="","",IFERROR(N('Fee Settings'!$C$5)*(E72+N(F72)-N(J72))+N('Fee Settings'!$C$6)*(E72+N(F72)+N(G72))+N('Fee Settings'!$C$7)+N('Fee Settings'!$C$10)*D72+IF(I72="Yes",MIN(N('Fee Settings'!$C$8)*(E72+N(F72)),N('Fee Settings'!$C$9)),0),""))</f>
        <v/>
      </c>
      <c r="L72" s="14" t="str">
        <f>IF(C72="","",IFERROR(D72*N(INDEX(Products!$C$5:$C$29,MATCH(C72,Lists!$A$2:$A$26,0))),""))</f>
        <v/>
      </c>
      <c r="M72" s="15" t="str">
        <f t="shared" si="1"/>
        <v/>
      </c>
    </row>
    <row r="73" spans="1:13" x14ac:dyDescent="0.35">
      <c r="A73" s="11"/>
      <c r="B73" s="12"/>
      <c r="C73" s="12"/>
      <c r="D73" s="12"/>
      <c r="E73" s="13"/>
      <c r="F73" s="13"/>
      <c r="G73" s="13"/>
      <c r="H73" s="13"/>
      <c r="I73" s="12"/>
      <c r="J73" s="13"/>
      <c r="K73" s="14" t="str">
        <f>IF(C73="","",IFERROR(N('Fee Settings'!$C$5)*(E73+N(F73)-N(J73))+N('Fee Settings'!$C$6)*(E73+N(F73)+N(G73))+N('Fee Settings'!$C$7)+N('Fee Settings'!$C$10)*D73+IF(I73="Yes",MIN(N('Fee Settings'!$C$8)*(E73+N(F73)),N('Fee Settings'!$C$9)),0),""))</f>
        <v/>
      </c>
      <c r="L73" s="14" t="str">
        <f>IF(C73="","",IFERROR(D73*N(INDEX(Products!$C$5:$C$29,MATCH(C73,Lists!$A$2:$A$26,0))),""))</f>
        <v/>
      </c>
      <c r="M73" s="15" t="str">
        <f t="shared" si="1"/>
        <v/>
      </c>
    </row>
    <row r="74" spans="1:13" x14ac:dyDescent="0.35">
      <c r="A74" s="11"/>
      <c r="B74" s="12"/>
      <c r="C74" s="12"/>
      <c r="D74" s="12"/>
      <c r="E74" s="13"/>
      <c r="F74" s="13"/>
      <c r="G74" s="13"/>
      <c r="H74" s="13"/>
      <c r="I74" s="12"/>
      <c r="J74" s="13"/>
      <c r="K74" s="14" t="str">
        <f>IF(C74="","",IFERROR(N('Fee Settings'!$C$5)*(E74+N(F74)-N(J74))+N('Fee Settings'!$C$6)*(E74+N(F74)+N(G74))+N('Fee Settings'!$C$7)+N('Fee Settings'!$C$10)*D74+IF(I74="Yes",MIN(N('Fee Settings'!$C$8)*(E74+N(F74)),N('Fee Settings'!$C$9)),0),""))</f>
        <v/>
      </c>
      <c r="L74" s="14" t="str">
        <f>IF(C74="","",IFERROR(D74*N(INDEX(Products!$C$5:$C$29,MATCH(C74,Lists!$A$2:$A$26,0))),""))</f>
        <v/>
      </c>
      <c r="M74" s="15" t="str">
        <f t="shared" si="1"/>
        <v/>
      </c>
    </row>
    <row r="75" spans="1:13" x14ac:dyDescent="0.35">
      <c r="A75" s="11"/>
      <c r="B75" s="12"/>
      <c r="C75" s="12"/>
      <c r="D75" s="12"/>
      <c r="E75" s="13"/>
      <c r="F75" s="13"/>
      <c r="G75" s="13"/>
      <c r="H75" s="13"/>
      <c r="I75" s="12"/>
      <c r="J75" s="13"/>
      <c r="K75" s="14" t="str">
        <f>IF(C75="","",IFERROR(N('Fee Settings'!$C$5)*(E75+N(F75)-N(J75))+N('Fee Settings'!$C$6)*(E75+N(F75)+N(G75))+N('Fee Settings'!$C$7)+N('Fee Settings'!$C$10)*D75+IF(I75="Yes",MIN(N('Fee Settings'!$C$8)*(E75+N(F75)),N('Fee Settings'!$C$9)),0),""))</f>
        <v/>
      </c>
      <c r="L75" s="14" t="str">
        <f>IF(C75="","",IFERROR(D75*N(INDEX(Products!$C$5:$C$29,MATCH(C75,Lists!$A$2:$A$26,0))),""))</f>
        <v/>
      </c>
      <c r="M75" s="15" t="str">
        <f t="shared" si="1"/>
        <v/>
      </c>
    </row>
    <row r="76" spans="1:13" x14ac:dyDescent="0.35">
      <c r="A76" s="11"/>
      <c r="B76" s="12"/>
      <c r="C76" s="12"/>
      <c r="D76" s="12"/>
      <c r="E76" s="13"/>
      <c r="F76" s="13"/>
      <c r="G76" s="13"/>
      <c r="H76" s="13"/>
      <c r="I76" s="12"/>
      <c r="J76" s="13"/>
      <c r="K76" s="14" t="str">
        <f>IF(C76="","",IFERROR(N('Fee Settings'!$C$5)*(E76+N(F76)-N(J76))+N('Fee Settings'!$C$6)*(E76+N(F76)+N(G76))+N('Fee Settings'!$C$7)+N('Fee Settings'!$C$10)*D76+IF(I76="Yes",MIN(N('Fee Settings'!$C$8)*(E76+N(F76)),N('Fee Settings'!$C$9)),0),""))</f>
        <v/>
      </c>
      <c r="L76" s="14" t="str">
        <f>IF(C76="","",IFERROR(D76*N(INDEX(Products!$C$5:$C$29,MATCH(C76,Lists!$A$2:$A$26,0))),""))</f>
        <v/>
      </c>
      <c r="M76" s="15" t="str">
        <f t="shared" si="1"/>
        <v/>
      </c>
    </row>
    <row r="77" spans="1:13" x14ac:dyDescent="0.35">
      <c r="A77" s="11"/>
      <c r="B77" s="12"/>
      <c r="C77" s="12"/>
      <c r="D77" s="12"/>
      <c r="E77" s="13"/>
      <c r="F77" s="13"/>
      <c r="G77" s="13"/>
      <c r="H77" s="13"/>
      <c r="I77" s="12"/>
      <c r="J77" s="13"/>
      <c r="K77" s="14" t="str">
        <f>IF(C77="","",IFERROR(N('Fee Settings'!$C$5)*(E77+N(F77)-N(J77))+N('Fee Settings'!$C$6)*(E77+N(F77)+N(G77))+N('Fee Settings'!$C$7)+N('Fee Settings'!$C$10)*D77+IF(I77="Yes",MIN(N('Fee Settings'!$C$8)*(E77+N(F77)),N('Fee Settings'!$C$9)),0),""))</f>
        <v/>
      </c>
      <c r="L77" s="14" t="str">
        <f>IF(C77="","",IFERROR(D77*N(INDEX(Products!$C$5:$C$29,MATCH(C77,Lists!$A$2:$A$26,0))),""))</f>
        <v/>
      </c>
      <c r="M77" s="15" t="str">
        <f t="shared" si="1"/>
        <v/>
      </c>
    </row>
    <row r="78" spans="1:13" x14ac:dyDescent="0.35">
      <c r="A78" s="11"/>
      <c r="B78" s="12"/>
      <c r="C78" s="12"/>
      <c r="D78" s="12"/>
      <c r="E78" s="13"/>
      <c r="F78" s="13"/>
      <c r="G78" s="13"/>
      <c r="H78" s="13"/>
      <c r="I78" s="12"/>
      <c r="J78" s="13"/>
      <c r="K78" s="14" t="str">
        <f>IF(C78="","",IFERROR(N('Fee Settings'!$C$5)*(E78+N(F78)-N(J78))+N('Fee Settings'!$C$6)*(E78+N(F78)+N(G78))+N('Fee Settings'!$C$7)+N('Fee Settings'!$C$10)*D78+IF(I78="Yes",MIN(N('Fee Settings'!$C$8)*(E78+N(F78)),N('Fee Settings'!$C$9)),0),""))</f>
        <v/>
      </c>
      <c r="L78" s="14" t="str">
        <f>IF(C78="","",IFERROR(D78*N(INDEX(Products!$C$5:$C$29,MATCH(C78,Lists!$A$2:$A$26,0))),""))</f>
        <v/>
      </c>
      <c r="M78" s="15" t="str">
        <f t="shared" si="1"/>
        <v/>
      </c>
    </row>
    <row r="79" spans="1:13" x14ac:dyDescent="0.35">
      <c r="A79" s="11"/>
      <c r="B79" s="12"/>
      <c r="C79" s="12"/>
      <c r="D79" s="12"/>
      <c r="E79" s="13"/>
      <c r="F79" s="13"/>
      <c r="G79" s="13"/>
      <c r="H79" s="13"/>
      <c r="I79" s="12"/>
      <c r="J79" s="13"/>
      <c r="K79" s="14" t="str">
        <f>IF(C79="","",IFERROR(N('Fee Settings'!$C$5)*(E79+N(F79)-N(J79))+N('Fee Settings'!$C$6)*(E79+N(F79)+N(G79))+N('Fee Settings'!$C$7)+N('Fee Settings'!$C$10)*D79+IF(I79="Yes",MIN(N('Fee Settings'!$C$8)*(E79+N(F79)),N('Fee Settings'!$C$9)),0),""))</f>
        <v/>
      </c>
      <c r="L79" s="14" t="str">
        <f>IF(C79="","",IFERROR(D79*N(INDEX(Products!$C$5:$C$29,MATCH(C79,Lists!$A$2:$A$26,0))),""))</f>
        <v/>
      </c>
      <c r="M79" s="15" t="str">
        <f t="shared" si="1"/>
        <v/>
      </c>
    </row>
    <row r="80" spans="1:13" x14ac:dyDescent="0.35">
      <c r="A80" s="11"/>
      <c r="B80" s="12"/>
      <c r="C80" s="12"/>
      <c r="D80" s="12"/>
      <c r="E80" s="13"/>
      <c r="F80" s="13"/>
      <c r="G80" s="13"/>
      <c r="H80" s="13"/>
      <c r="I80" s="12"/>
      <c r="J80" s="13"/>
      <c r="K80" s="14" t="str">
        <f>IF(C80="","",IFERROR(N('Fee Settings'!$C$5)*(E80+N(F80)-N(J80))+N('Fee Settings'!$C$6)*(E80+N(F80)+N(G80))+N('Fee Settings'!$C$7)+N('Fee Settings'!$C$10)*D80+IF(I80="Yes",MIN(N('Fee Settings'!$C$8)*(E80+N(F80)),N('Fee Settings'!$C$9)),0),""))</f>
        <v/>
      </c>
      <c r="L80" s="14" t="str">
        <f>IF(C80="","",IFERROR(D80*N(INDEX(Products!$C$5:$C$29,MATCH(C80,Lists!$A$2:$A$26,0))),""))</f>
        <v/>
      </c>
      <c r="M80" s="15" t="str">
        <f t="shared" si="1"/>
        <v/>
      </c>
    </row>
    <row r="81" spans="1:13" x14ac:dyDescent="0.35">
      <c r="A81" s="11"/>
      <c r="B81" s="12"/>
      <c r="C81" s="12"/>
      <c r="D81" s="12"/>
      <c r="E81" s="13"/>
      <c r="F81" s="13"/>
      <c r="G81" s="13"/>
      <c r="H81" s="13"/>
      <c r="I81" s="12"/>
      <c r="J81" s="13"/>
      <c r="K81" s="14" t="str">
        <f>IF(C81="","",IFERROR(N('Fee Settings'!$C$5)*(E81+N(F81)-N(J81))+N('Fee Settings'!$C$6)*(E81+N(F81)+N(G81))+N('Fee Settings'!$C$7)+N('Fee Settings'!$C$10)*D81+IF(I81="Yes",MIN(N('Fee Settings'!$C$8)*(E81+N(F81)),N('Fee Settings'!$C$9)),0),""))</f>
        <v/>
      </c>
      <c r="L81" s="14" t="str">
        <f>IF(C81="","",IFERROR(D81*N(INDEX(Products!$C$5:$C$29,MATCH(C81,Lists!$A$2:$A$26,0))),""))</f>
        <v/>
      </c>
      <c r="M81" s="15" t="str">
        <f t="shared" si="1"/>
        <v/>
      </c>
    </row>
    <row r="82" spans="1:13" x14ac:dyDescent="0.35">
      <c r="A82" s="11"/>
      <c r="B82" s="12"/>
      <c r="C82" s="12"/>
      <c r="D82" s="12"/>
      <c r="E82" s="13"/>
      <c r="F82" s="13"/>
      <c r="G82" s="13"/>
      <c r="H82" s="13"/>
      <c r="I82" s="12"/>
      <c r="J82" s="13"/>
      <c r="K82" s="14" t="str">
        <f>IF(C82="","",IFERROR(N('Fee Settings'!$C$5)*(E82+N(F82)-N(J82))+N('Fee Settings'!$C$6)*(E82+N(F82)+N(G82))+N('Fee Settings'!$C$7)+N('Fee Settings'!$C$10)*D82+IF(I82="Yes",MIN(N('Fee Settings'!$C$8)*(E82+N(F82)),N('Fee Settings'!$C$9)),0),""))</f>
        <v/>
      </c>
      <c r="L82" s="14" t="str">
        <f>IF(C82="","",IFERROR(D82*N(INDEX(Products!$C$5:$C$29,MATCH(C82,Lists!$A$2:$A$26,0))),""))</f>
        <v/>
      </c>
      <c r="M82" s="15" t="str">
        <f t="shared" si="1"/>
        <v/>
      </c>
    </row>
    <row r="83" spans="1:13" x14ac:dyDescent="0.35">
      <c r="A83" s="11"/>
      <c r="B83" s="12"/>
      <c r="C83" s="12"/>
      <c r="D83" s="12"/>
      <c r="E83" s="13"/>
      <c r="F83" s="13"/>
      <c r="G83" s="13"/>
      <c r="H83" s="13"/>
      <c r="I83" s="12"/>
      <c r="J83" s="13"/>
      <c r="K83" s="14" t="str">
        <f>IF(C83="","",IFERROR(N('Fee Settings'!$C$5)*(E83+N(F83)-N(J83))+N('Fee Settings'!$C$6)*(E83+N(F83)+N(G83))+N('Fee Settings'!$C$7)+N('Fee Settings'!$C$10)*D83+IF(I83="Yes",MIN(N('Fee Settings'!$C$8)*(E83+N(F83)),N('Fee Settings'!$C$9)),0),""))</f>
        <v/>
      </c>
      <c r="L83" s="14" t="str">
        <f>IF(C83="","",IFERROR(D83*N(INDEX(Products!$C$5:$C$29,MATCH(C83,Lists!$A$2:$A$26,0))),""))</f>
        <v/>
      </c>
      <c r="M83" s="15" t="str">
        <f t="shared" si="1"/>
        <v/>
      </c>
    </row>
    <row r="84" spans="1:13" x14ac:dyDescent="0.35">
      <c r="A84" s="11"/>
      <c r="B84" s="12"/>
      <c r="C84" s="12"/>
      <c r="D84" s="12"/>
      <c r="E84" s="13"/>
      <c r="F84" s="13"/>
      <c r="G84" s="13"/>
      <c r="H84" s="13"/>
      <c r="I84" s="12"/>
      <c r="J84" s="13"/>
      <c r="K84" s="14" t="str">
        <f>IF(C84="","",IFERROR(N('Fee Settings'!$C$5)*(E84+N(F84)-N(J84))+N('Fee Settings'!$C$6)*(E84+N(F84)+N(G84))+N('Fee Settings'!$C$7)+N('Fee Settings'!$C$10)*D84+IF(I84="Yes",MIN(N('Fee Settings'!$C$8)*(E84+N(F84)),N('Fee Settings'!$C$9)),0),""))</f>
        <v/>
      </c>
      <c r="L84" s="14" t="str">
        <f>IF(C84="","",IFERROR(D84*N(INDEX(Products!$C$5:$C$29,MATCH(C84,Lists!$A$2:$A$26,0))),""))</f>
        <v/>
      </c>
      <c r="M84" s="15" t="str">
        <f t="shared" si="1"/>
        <v/>
      </c>
    </row>
    <row r="85" spans="1:13" x14ac:dyDescent="0.35">
      <c r="A85" s="11"/>
      <c r="B85" s="12"/>
      <c r="C85" s="12"/>
      <c r="D85" s="12"/>
      <c r="E85" s="13"/>
      <c r="F85" s="13"/>
      <c r="G85" s="13"/>
      <c r="H85" s="13"/>
      <c r="I85" s="12"/>
      <c r="J85" s="13"/>
      <c r="K85" s="14" t="str">
        <f>IF(C85="","",IFERROR(N('Fee Settings'!$C$5)*(E85+N(F85)-N(J85))+N('Fee Settings'!$C$6)*(E85+N(F85)+N(G85))+N('Fee Settings'!$C$7)+N('Fee Settings'!$C$10)*D85+IF(I85="Yes",MIN(N('Fee Settings'!$C$8)*(E85+N(F85)),N('Fee Settings'!$C$9)),0),""))</f>
        <v/>
      </c>
      <c r="L85" s="14" t="str">
        <f>IF(C85="","",IFERROR(D85*N(INDEX(Products!$C$5:$C$29,MATCH(C85,Lists!$A$2:$A$26,0))),""))</f>
        <v/>
      </c>
      <c r="M85" s="15" t="str">
        <f t="shared" si="1"/>
        <v/>
      </c>
    </row>
    <row r="86" spans="1:13" x14ac:dyDescent="0.35">
      <c r="A86" s="11"/>
      <c r="B86" s="12"/>
      <c r="C86" s="12"/>
      <c r="D86" s="12"/>
      <c r="E86" s="13"/>
      <c r="F86" s="13"/>
      <c r="G86" s="13"/>
      <c r="H86" s="13"/>
      <c r="I86" s="12"/>
      <c r="J86" s="13"/>
      <c r="K86" s="14" t="str">
        <f>IF(C86="","",IFERROR(N('Fee Settings'!$C$5)*(E86+N(F86)-N(J86))+N('Fee Settings'!$C$6)*(E86+N(F86)+N(G86))+N('Fee Settings'!$C$7)+N('Fee Settings'!$C$10)*D86+IF(I86="Yes",MIN(N('Fee Settings'!$C$8)*(E86+N(F86)),N('Fee Settings'!$C$9)),0),""))</f>
        <v/>
      </c>
      <c r="L86" s="14" t="str">
        <f>IF(C86="","",IFERROR(D86*N(INDEX(Products!$C$5:$C$29,MATCH(C86,Lists!$A$2:$A$26,0))),""))</f>
        <v/>
      </c>
      <c r="M86" s="15" t="str">
        <f t="shared" si="1"/>
        <v/>
      </c>
    </row>
    <row r="87" spans="1:13" x14ac:dyDescent="0.35">
      <c r="A87" s="11"/>
      <c r="B87" s="12"/>
      <c r="C87" s="12"/>
      <c r="D87" s="12"/>
      <c r="E87" s="13"/>
      <c r="F87" s="13"/>
      <c r="G87" s="13"/>
      <c r="H87" s="13"/>
      <c r="I87" s="12"/>
      <c r="J87" s="13"/>
      <c r="K87" s="14" t="str">
        <f>IF(C87="","",IFERROR(N('Fee Settings'!$C$5)*(E87+N(F87)-N(J87))+N('Fee Settings'!$C$6)*(E87+N(F87)+N(G87))+N('Fee Settings'!$C$7)+N('Fee Settings'!$C$10)*D87+IF(I87="Yes",MIN(N('Fee Settings'!$C$8)*(E87+N(F87)),N('Fee Settings'!$C$9)),0),""))</f>
        <v/>
      </c>
      <c r="L87" s="14" t="str">
        <f>IF(C87="","",IFERROR(D87*N(INDEX(Products!$C$5:$C$29,MATCH(C87,Lists!$A$2:$A$26,0))),""))</f>
        <v/>
      </c>
      <c r="M87" s="15" t="str">
        <f t="shared" si="1"/>
        <v/>
      </c>
    </row>
    <row r="88" spans="1:13" x14ac:dyDescent="0.35">
      <c r="A88" s="11"/>
      <c r="B88" s="12"/>
      <c r="C88" s="12"/>
      <c r="D88" s="12"/>
      <c r="E88" s="13"/>
      <c r="F88" s="13"/>
      <c r="G88" s="13"/>
      <c r="H88" s="13"/>
      <c r="I88" s="12"/>
      <c r="J88" s="13"/>
      <c r="K88" s="14" t="str">
        <f>IF(C88="","",IFERROR(N('Fee Settings'!$C$5)*(E88+N(F88)-N(J88))+N('Fee Settings'!$C$6)*(E88+N(F88)+N(G88))+N('Fee Settings'!$C$7)+N('Fee Settings'!$C$10)*D88+IF(I88="Yes",MIN(N('Fee Settings'!$C$8)*(E88+N(F88)),N('Fee Settings'!$C$9)),0),""))</f>
        <v/>
      </c>
      <c r="L88" s="14" t="str">
        <f>IF(C88="","",IFERROR(D88*N(INDEX(Products!$C$5:$C$29,MATCH(C88,Lists!$A$2:$A$26,0))),""))</f>
        <v/>
      </c>
      <c r="M88" s="15" t="str">
        <f t="shared" si="1"/>
        <v/>
      </c>
    </row>
    <row r="89" spans="1:13" x14ac:dyDescent="0.35">
      <c r="A89" s="11"/>
      <c r="B89" s="12"/>
      <c r="C89" s="12"/>
      <c r="D89" s="12"/>
      <c r="E89" s="13"/>
      <c r="F89" s="13"/>
      <c r="G89" s="13"/>
      <c r="H89" s="13"/>
      <c r="I89" s="12"/>
      <c r="J89" s="13"/>
      <c r="K89" s="14" t="str">
        <f>IF(C89="","",IFERROR(N('Fee Settings'!$C$5)*(E89+N(F89)-N(J89))+N('Fee Settings'!$C$6)*(E89+N(F89)+N(G89))+N('Fee Settings'!$C$7)+N('Fee Settings'!$C$10)*D89+IF(I89="Yes",MIN(N('Fee Settings'!$C$8)*(E89+N(F89)),N('Fee Settings'!$C$9)),0),""))</f>
        <v/>
      </c>
      <c r="L89" s="14" t="str">
        <f>IF(C89="","",IFERROR(D89*N(INDEX(Products!$C$5:$C$29,MATCH(C89,Lists!$A$2:$A$26,0))),""))</f>
        <v/>
      </c>
      <c r="M89" s="15" t="str">
        <f t="shared" si="1"/>
        <v/>
      </c>
    </row>
    <row r="90" spans="1:13" x14ac:dyDescent="0.35">
      <c r="A90" s="11"/>
      <c r="B90" s="12"/>
      <c r="C90" s="12"/>
      <c r="D90" s="12"/>
      <c r="E90" s="13"/>
      <c r="F90" s="13"/>
      <c r="G90" s="13"/>
      <c r="H90" s="13"/>
      <c r="I90" s="12"/>
      <c r="J90" s="13"/>
      <c r="K90" s="14" t="str">
        <f>IF(C90="","",IFERROR(N('Fee Settings'!$C$5)*(E90+N(F90)-N(J90))+N('Fee Settings'!$C$6)*(E90+N(F90)+N(G90))+N('Fee Settings'!$C$7)+N('Fee Settings'!$C$10)*D90+IF(I90="Yes",MIN(N('Fee Settings'!$C$8)*(E90+N(F90)),N('Fee Settings'!$C$9)),0),""))</f>
        <v/>
      </c>
      <c r="L90" s="14" t="str">
        <f>IF(C90="","",IFERROR(D90*N(INDEX(Products!$C$5:$C$29,MATCH(C90,Lists!$A$2:$A$26,0))),""))</f>
        <v/>
      </c>
      <c r="M90" s="15" t="str">
        <f t="shared" si="1"/>
        <v/>
      </c>
    </row>
    <row r="91" spans="1:13" x14ac:dyDescent="0.35">
      <c r="A91" s="11"/>
      <c r="B91" s="12"/>
      <c r="C91" s="12"/>
      <c r="D91" s="12"/>
      <c r="E91" s="13"/>
      <c r="F91" s="13"/>
      <c r="G91" s="13"/>
      <c r="H91" s="13"/>
      <c r="I91" s="12"/>
      <c r="J91" s="13"/>
      <c r="K91" s="14" t="str">
        <f>IF(C91="","",IFERROR(N('Fee Settings'!$C$5)*(E91+N(F91)-N(J91))+N('Fee Settings'!$C$6)*(E91+N(F91)+N(G91))+N('Fee Settings'!$C$7)+N('Fee Settings'!$C$10)*D91+IF(I91="Yes",MIN(N('Fee Settings'!$C$8)*(E91+N(F91)),N('Fee Settings'!$C$9)),0),""))</f>
        <v/>
      </c>
      <c r="L91" s="14" t="str">
        <f>IF(C91="","",IFERROR(D91*N(INDEX(Products!$C$5:$C$29,MATCH(C91,Lists!$A$2:$A$26,0))),""))</f>
        <v/>
      </c>
      <c r="M91" s="15" t="str">
        <f t="shared" si="1"/>
        <v/>
      </c>
    </row>
    <row r="92" spans="1:13" x14ac:dyDescent="0.35">
      <c r="A92" s="11"/>
      <c r="B92" s="12"/>
      <c r="C92" s="12"/>
      <c r="D92" s="12"/>
      <c r="E92" s="13"/>
      <c r="F92" s="13"/>
      <c r="G92" s="13"/>
      <c r="H92" s="13"/>
      <c r="I92" s="12"/>
      <c r="J92" s="13"/>
      <c r="K92" s="14" t="str">
        <f>IF(C92="","",IFERROR(N('Fee Settings'!$C$5)*(E92+N(F92)-N(J92))+N('Fee Settings'!$C$6)*(E92+N(F92)+N(G92))+N('Fee Settings'!$C$7)+N('Fee Settings'!$C$10)*D92+IF(I92="Yes",MIN(N('Fee Settings'!$C$8)*(E92+N(F92)),N('Fee Settings'!$C$9)),0),""))</f>
        <v/>
      </c>
      <c r="L92" s="14" t="str">
        <f>IF(C92="","",IFERROR(D92*N(INDEX(Products!$C$5:$C$29,MATCH(C92,Lists!$A$2:$A$26,0))),""))</f>
        <v/>
      </c>
      <c r="M92" s="15" t="str">
        <f t="shared" si="1"/>
        <v/>
      </c>
    </row>
    <row r="93" spans="1:13" x14ac:dyDescent="0.35">
      <c r="A93" s="11"/>
      <c r="B93" s="12"/>
      <c r="C93" s="12"/>
      <c r="D93" s="12"/>
      <c r="E93" s="13"/>
      <c r="F93" s="13"/>
      <c r="G93" s="13"/>
      <c r="H93" s="13"/>
      <c r="I93" s="12"/>
      <c r="J93" s="13"/>
      <c r="K93" s="14" t="str">
        <f>IF(C93="","",IFERROR(N('Fee Settings'!$C$5)*(E93+N(F93)-N(J93))+N('Fee Settings'!$C$6)*(E93+N(F93)+N(G93))+N('Fee Settings'!$C$7)+N('Fee Settings'!$C$10)*D93+IF(I93="Yes",MIN(N('Fee Settings'!$C$8)*(E93+N(F93)),N('Fee Settings'!$C$9)),0),""))</f>
        <v/>
      </c>
      <c r="L93" s="14" t="str">
        <f>IF(C93="","",IFERROR(D93*N(INDEX(Products!$C$5:$C$29,MATCH(C93,Lists!$A$2:$A$26,0))),""))</f>
        <v/>
      </c>
      <c r="M93" s="15" t="str">
        <f t="shared" si="1"/>
        <v/>
      </c>
    </row>
    <row r="94" spans="1:13" x14ac:dyDescent="0.35">
      <c r="A94" s="11"/>
      <c r="B94" s="12"/>
      <c r="C94" s="12"/>
      <c r="D94" s="12"/>
      <c r="E94" s="13"/>
      <c r="F94" s="13"/>
      <c r="G94" s="13"/>
      <c r="H94" s="13"/>
      <c r="I94" s="12"/>
      <c r="J94" s="13"/>
      <c r="K94" s="14" t="str">
        <f>IF(C94="","",IFERROR(N('Fee Settings'!$C$5)*(E94+N(F94)-N(J94))+N('Fee Settings'!$C$6)*(E94+N(F94)+N(G94))+N('Fee Settings'!$C$7)+N('Fee Settings'!$C$10)*D94+IF(I94="Yes",MIN(N('Fee Settings'!$C$8)*(E94+N(F94)),N('Fee Settings'!$C$9)),0),""))</f>
        <v/>
      </c>
      <c r="L94" s="14" t="str">
        <f>IF(C94="","",IFERROR(D94*N(INDEX(Products!$C$5:$C$29,MATCH(C94,Lists!$A$2:$A$26,0))),""))</f>
        <v/>
      </c>
      <c r="M94" s="15" t="str">
        <f t="shared" si="1"/>
        <v/>
      </c>
    </row>
    <row r="95" spans="1:13" x14ac:dyDescent="0.35">
      <c r="A95" s="11"/>
      <c r="B95" s="12"/>
      <c r="C95" s="12"/>
      <c r="D95" s="12"/>
      <c r="E95" s="13"/>
      <c r="F95" s="13"/>
      <c r="G95" s="13"/>
      <c r="H95" s="13"/>
      <c r="I95" s="12"/>
      <c r="J95" s="13"/>
      <c r="K95" s="14" t="str">
        <f>IF(C95="","",IFERROR(N('Fee Settings'!$C$5)*(E95+N(F95)-N(J95))+N('Fee Settings'!$C$6)*(E95+N(F95)+N(G95))+N('Fee Settings'!$C$7)+N('Fee Settings'!$C$10)*D95+IF(I95="Yes",MIN(N('Fee Settings'!$C$8)*(E95+N(F95)),N('Fee Settings'!$C$9)),0),""))</f>
        <v/>
      </c>
      <c r="L95" s="14" t="str">
        <f>IF(C95="","",IFERROR(D95*N(INDEX(Products!$C$5:$C$29,MATCH(C95,Lists!$A$2:$A$26,0))),""))</f>
        <v/>
      </c>
      <c r="M95" s="15" t="str">
        <f t="shared" si="1"/>
        <v/>
      </c>
    </row>
    <row r="96" spans="1:13" x14ac:dyDescent="0.35">
      <c r="A96" s="11"/>
      <c r="B96" s="12"/>
      <c r="C96" s="12"/>
      <c r="D96" s="12"/>
      <c r="E96" s="13"/>
      <c r="F96" s="13"/>
      <c r="G96" s="13"/>
      <c r="H96" s="13"/>
      <c r="I96" s="12"/>
      <c r="J96" s="13"/>
      <c r="K96" s="14" t="str">
        <f>IF(C96="","",IFERROR(N('Fee Settings'!$C$5)*(E96+N(F96)-N(J96))+N('Fee Settings'!$C$6)*(E96+N(F96)+N(G96))+N('Fee Settings'!$C$7)+N('Fee Settings'!$C$10)*D96+IF(I96="Yes",MIN(N('Fee Settings'!$C$8)*(E96+N(F96)),N('Fee Settings'!$C$9)),0),""))</f>
        <v/>
      </c>
      <c r="L96" s="14" t="str">
        <f>IF(C96="","",IFERROR(D96*N(INDEX(Products!$C$5:$C$29,MATCH(C96,Lists!$A$2:$A$26,0))),""))</f>
        <v/>
      </c>
      <c r="M96" s="15" t="str">
        <f t="shared" si="1"/>
        <v/>
      </c>
    </row>
    <row r="97" spans="1:13" x14ac:dyDescent="0.35">
      <c r="A97" s="11"/>
      <c r="B97" s="12"/>
      <c r="C97" s="12"/>
      <c r="D97" s="12"/>
      <c r="E97" s="13"/>
      <c r="F97" s="13"/>
      <c r="G97" s="13"/>
      <c r="H97" s="13"/>
      <c r="I97" s="12"/>
      <c r="J97" s="13"/>
      <c r="K97" s="14" t="str">
        <f>IF(C97="","",IFERROR(N('Fee Settings'!$C$5)*(E97+N(F97)-N(J97))+N('Fee Settings'!$C$6)*(E97+N(F97)+N(G97))+N('Fee Settings'!$C$7)+N('Fee Settings'!$C$10)*D97+IF(I97="Yes",MIN(N('Fee Settings'!$C$8)*(E97+N(F97)),N('Fee Settings'!$C$9)),0),""))</f>
        <v/>
      </c>
      <c r="L97" s="14" t="str">
        <f>IF(C97="","",IFERROR(D97*N(INDEX(Products!$C$5:$C$29,MATCH(C97,Lists!$A$2:$A$26,0))),""))</f>
        <v/>
      </c>
      <c r="M97" s="15" t="str">
        <f t="shared" si="1"/>
        <v/>
      </c>
    </row>
    <row r="98" spans="1:13" x14ac:dyDescent="0.35">
      <c r="A98" s="11"/>
      <c r="B98" s="12"/>
      <c r="C98" s="12"/>
      <c r="D98" s="12"/>
      <c r="E98" s="13"/>
      <c r="F98" s="13"/>
      <c r="G98" s="13"/>
      <c r="H98" s="13"/>
      <c r="I98" s="12"/>
      <c r="J98" s="13"/>
      <c r="K98" s="14" t="str">
        <f>IF(C98="","",IFERROR(N('Fee Settings'!$C$5)*(E98+N(F98)-N(J98))+N('Fee Settings'!$C$6)*(E98+N(F98)+N(G98))+N('Fee Settings'!$C$7)+N('Fee Settings'!$C$10)*D98+IF(I98="Yes",MIN(N('Fee Settings'!$C$8)*(E98+N(F98)),N('Fee Settings'!$C$9)),0),""))</f>
        <v/>
      </c>
      <c r="L98" s="14" t="str">
        <f>IF(C98="","",IFERROR(D98*N(INDEX(Products!$C$5:$C$29,MATCH(C98,Lists!$A$2:$A$26,0))),""))</f>
        <v/>
      </c>
      <c r="M98" s="15" t="str">
        <f t="shared" si="1"/>
        <v/>
      </c>
    </row>
    <row r="99" spans="1:13" x14ac:dyDescent="0.35">
      <c r="A99" s="11"/>
      <c r="B99" s="12"/>
      <c r="C99" s="12"/>
      <c r="D99" s="12"/>
      <c r="E99" s="13"/>
      <c r="F99" s="13"/>
      <c r="G99" s="13"/>
      <c r="H99" s="13"/>
      <c r="I99" s="12"/>
      <c r="J99" s="13"/>
      <c r="K99" s="14" t="str">
        <f>IF(C99="","",IFERROR(N('Fee Settings'!$C$5)*(E99+N(F99)-N(J99))+N('Fee Settings'!$C$6)*(E99+N(F99)+N(G99))+N('Fee Settings'!$C$7)+N('Fee Settings'!$C$10)*D99+IF(I99="Yes",MIN(N('Fee Settings'!$C$8)*(E99+N(F99)),N('Fee Settings'!$C$9)),0),""))</f>
        <v/>
      </c>
      <c r="L99" s="14" t="str">
        <f>IF(C99="","",IFERROR(D99*N(INDEX(Products!$C$5:$C$29,MATCH(C99,Lists!$A$2:$A$26,0))),""))</f>
        <v/>
      </c>
      <c r="M99" s="15" t="str">
        <f t="shared" si="1"/>
        <v/>
      </c>
    </row>
    <row r="100" spans="1:13" x14ac:dyDescent="0.35">
      <c r="A100" s="11"/>
      <c r="B100" s="12"/>
      <c r="C100" s="12"/>
      <c r="D100" s="12"/>
      <c r="E100" s="13"/>
      <c r="F100" s="13"/>
      <c r="G100" s="13"/>
      <c r="H100" s="13"/>
      <c r="I100" s="12"/>
      <c r="J100" s="13"/>
      <c r="K100" s="14" t="str">
        <f>IF(C100="","",IFERROR(N('Fee Settings'!$C$5)*(E100+N(F100)-N(J100))+N('Fee Settings'!$C$6)*(E100+N(F100)+N(G100))+N('Fee Settings'!$C$7)+N('Fee Settings'!$C$10)*D100+IF(I100="Yes",MIN(N('Fee Settings'!$C$8)*(E100+N(F100)),N('Fee Settings'!$C$9)),0),""))</f>
        <v/>
      </c>
      <c r="L100" s="14" t="str">
        <f>IF(C100="","",IFERROR(D100*N(INDEX(Products!$C$5:$C$29,MATCH(C100,Lists!$A$2:$A$26,0))),""))</f>
        <v/>
      </c>
      <c r="M100" s="15" t="str">
        <f t="shared" si="1"/>
        <v/>
      </c>
    </row>
    <row r="101" spans="1:13" x14ac:dyDescent="0.35">
      <c r="A101" s="11"/>
      <c r="B101" s="12"/>
      <c r="C101" s="12"/>
      <c r="D101" s="12"/>
      <c r="E101" s="13"/>
      <c r="F101" s="13"/>
      <c r="G101" s="13"/>
      <c r="H101" s="13"/>
      <c r="I101" s="12"/>
      <c r="J101" s="13"/>
      <c r="K101" s="14" t="str">
        <f>IF(C101="","",IFERROR(N('Fee Settings'!$C$5)*(E101+N(F101)-N(J101))+N('Fee Settings'!$C$6)*(E101+N(F101)+N(G101))+N('Fee Settings'!$C$7)+N('Fee Settings'!$C$10)*D101+IF(I101="Yes",MIN(N('Fee Settings'!$C$8)*(E101+N(F101)),N('Fee Settings'!$C$9)),0),""))</f>
        <v/>
      </c>
      <c r="L101" s="14" t="str">
        <f>IF(C101="","",IFERROR(D101*N(INDEX(Products!$C$5:$C$29,MATCH(C101,Lists!$A$2:$A$26,0))),""))</f>
        <v/>
      </c>
      <c r="M101" s="15" t="str">
        <f t="shared" si="1"/>
        <v/>
      </c>
    </row>
    <row r="102" spans="1:13" x14ac:dyDescent="0.35">
      <c r="A102" s="11"/>
      <c r="B102" s="12"/>
      <c r="C102" s="12"/>
      <c r="D102" s="12"/>
      <c r="E102" s="13"/>
      <c r="F102" s="13"/>
      <c r="G102" s="13"/>
      <c r="H102" s="13"/>
      <c r="I102" s="12"/>
      <c r="J102" s="13"/>
      <c r="K102" s="14" t="str">
        <f>IF(C102="","",IFERROR(N('Fee Settings'!$C$5)*(E102+N(F102)-N(J102))+N('Fee Settings'!$C$6)*(E102+N(F102)+N(G102))+N('Fee Settings'!$C$7)+N('Fee Settings'!$C$10)*D102+IF(I102="Yes",MIN(N('Fee Settings'!$C$8)*(E102+N(F102)),N('Fee Settings'!$C$9)),0),""))</f>
        <v/>
      </c>
      <c r="L102" s="14" t="str">
        <f>IF(C102="","",IFERROR(D102*N(INDEX(Products!$C$5:$C$29,MATCH(C102,Lists!$A$2:$A$26,0))),""))</f>
        <v/>
      </c>
      <c r="M102" s="15" t="str">
        <f t="shared" si="1"/>
        <v/>
      </c>
    </row>
    <row r="103" spans="1:13" x14ac:dyDescent="0.35">
      <c r="A103" s="11"/>
      <c r="B103" s="12"/>
      <c r="C103" s="12"/>
      <c r="D103" s="12"/>
      <c r="E103" s="13"/>
      <c r="F103" s="13"/>
      <c r="G103" s="13"/>
      <c r="H103" s="13"/>
      <c r="I103" s="12"/>
      <c r="J103" s="13"/>
      <c r="K103" s="14" t="str">
        <f>IF(C103="","",IFERROR(N('Fee Settings'!$C$5)*(E103+N(F103)-N(J103))+N('Fee Settings'!$C$6)*(E103+N(F103)+N(G103))+N('Fee Settings'!$C$7)+N('Fee Settings'!$C$10)*D103+IF(I103="Yes",MIN(N('Fee Settings'!$C$8)*(E103+N(F103)),N('Fee Settings'!$C$9)),0),""))</f>
        <v/>
      </c>
      <c r="L103" s="14" t="str">
        <f>IF(C103="","",IFERROR(D103*N(INDEX(Products!$C$5:$C$29,MATCH(C103,Lists!$A$2:$A$26,0))),""))</f>
        <v/>
      </c>
      <c r="M103" s="15" t="str">
        <f t="shared" si="1"/>
        <v/>
      </c>
    </row>
    <row r="104" spans="1:13" x14ac:dyDescent="0.35">
      <c r="A104" s="11"/>
      <c r="B104" s="12"/>
      <c r="C104" s="12"/>
      <c r="D104" s="12"/>
      <c r="E104" s="13"/>
      <c r="F104" s="13"/>
      <c r="G104" s="13"/>
      <c r="H104" s="13"/>
      <c r="I104" s="12"/>
      <c r="J104" s="13"/>
      <c r="K104" s="14" t="str">
        <f>IF(C104="","",IFERROR(N('Fee Settings'!$C$5)*(E104+N(F104)-N(J104))+N('Fee Settings'!$C$6)*(E104+N(F104)+N(G104))+N('Fee Settings'!$C$7)+N('Fee Settings'!$C$10)*D104+IF(I104="Yes",MIN(N('Fee Settings'!$C$8)*(E104+N(F104)),N('Fee Settings'!$C$9)),0),""))</f>
        <v/>
      </c>
      <c r="L104" s="14" t="str">
        <f>IF(C104="","",IFERROR(D104*N(INDEX(Products!$C$5:$C$29,MATCH(C104,Lists!$A$2:$A$26,0))),""))</f>
        <v/>
      </c>
      <c r="M104" s="15" t="str">
        <f t="shared" si="1"/>
        <v/>
      </c>
    </row>
    <row r="105" spans="1:13" x14ac:dyDescent="0.35">
      <c r="A105" s="11"/>
      <c r="B105" s="12"/>
      <c r="C105" s="12"/>
      <c r="D105" s="12"/>
      <c r="E105" s="13"/>
      <c r="F105" s="13"/>
      <c r="G105" s="13"/>
      <c r="H105" s="13"/>
      <c r="I105" s="12"/>
      <c r="J105" s="13"/>
      <c r="K105" s="14" t="str">
        <f>IF(C105="","",IFERROR(N('Fee Settings'!$C$5)*(E105+N(F105)-N(J105))+N('Fee Settings'!$C$6)*(E105+N(F105)+N(G105))+N('Fee Settings'!$C$7)+N('Fee Settings'!$C$10)*D105+IF(I105="Yes",MIN(N('Fee Settings'!$C$8)*(E105+N(F105)),N('Fee Settings'!$C$9)),0),""))</f>
        <v/>
      </c>
      <c r="L105" s="14" t="str">
        <f>IF(C105="","",IFERROR(D105*N(INDEX(Products!$C$5:$C$29,MATCH(C105,Lists!$A$2:$A$26,0))),""))</f>
        <v/>
      </c>
      <c r="M105" s="15" t="str">
        <f t="shared" si="1"/>
        <v/>
      </c>
    </row>
    <row r="106" spans="1:13" x14ac:dyDescent="0.35">
      <c r="A106" s="11"/>
      <c r="B106" s="12"/>
      <c r="C106" s="12"/>
      <c r="D106" s="12"/>
      <c r="E106" s="13"/>
      <c r="F106" s="13"/>
      <c r="G106" s="13"/>
      <c r="H106" s="13"/>
      <c r="I106" s="12"/>
      <c r="J106" s="13"/>
      <c r="K106" s="14" t="str">
        <f>IF(C106="","",IFERROR(N('Fee Settings'!$C$5)*(E106+N(F106)-N(J106))+N('Fee Settings'!$C$6)*(E106+N(F106)+N(G106))+N('Fee Settings'!$C$7)+N('Fee Settings'!$C$10)*D106+IF(I106="Yes",MIN(N('Fee Settings'!$C$8)*(E106+N(F106)),N('Fee Settings'!$C$9)),0),""))</f>
        <v/>
      </c>
      <c r="L106" s="14" t="str">
        <f>IF(C106="","",IFERROR(D106*N(INDEX(Products!$C$5:$C$29,MATCH(C106,Lists!$A$2:$A$26,0))),""))</f>
        <v/>
      </c>
      <c r="M106" s="15" t="str">
        <f t="shared" si="1"/>
        <v/>
      </c>
    </row>
    <row r="107" spans="1:13" x14ac:dyDescent="0.35">
      <c r="A107" s="11"/>
      <c r="B107" s="12"/>
      <c r="C107" s="12"/>
      <c r="D107" s="12"/>
      <c r="E107" s="13"/>
      <c r="F107" s="13"/>
      <c r="G107" s="13"/>
      <c r="H107" s="13"/>
      <c r="I107" s="12"/>
      <c r="J107" s="13"/>
      <c r="K107" s="14" t="str">
        <f>IF(C107="","",IFERROR(N('Fee Settings'!$C$5)*(E107+N(F107)-N(J107))+N('Fee Settings'!$C$6)*(E107+N(F107)+N(G107))+N('Fee Settings'!$C$7)+N('Fee Settings'!$C$10)*D107+IF(I107="Yes",MIN(N('Fee Settings'!$C$8)*(E107+N(F107)),N('Fee Settings'!$C$9)),0),""))</f>
        <v/>
      </c>
      <c r="L107" s="14" t="str">
        <f>IF(C107="","",IFERROR(D107*N(INDEX(Products!$C$5:$C$29,MATCH(C107,Lists!$A$2:$A$26,0))),""))</f>
        <v/>
      </c>
      <c r="M107" s="15" t="str">
        <f t="shared" si="1"/>
        <v/>
      </c>
    </row>
    <row r="108" spans="1:13" x14ac:dyDescent="0.35">
      <c r="A108" s="11"/>
      <c r="B108" s="12"/>
      <c r="C108" s="12"/>
      <c r="D108" s="12"/>
      <c r="E108" s="13"/>
      <c r="F108" s="13"/>
      <c r="G108" s="13"/>
      <c r="H108" s="13"/>
      <c r="I108" s="12"/>
      <c r="J108" s="13"/>
      <c r="K108" s="14" t="str">
        <f>IF(C108="","",IFERROR(N('Fee Settings'!$C$5)*(E108+N(F108)-N(J108))+N('Fee Settings'!$C$6)*(E108+N(F108)+N(G108))+N('Fee Settings'!$C$7)+N('Fee Settings'!$C$10)*D108+IF(I108="Yes",MIN(N('Fee Settings'!$C$8)*(E108+N(F108)),N('Fee Settings'!$C$9)),0),""))</f>
        <v/>
      </c>
      <c r="L108" s="14" t="str">
        <f>IF(C108="","",IFERROR(D108*N(INDEX(Products!$C$5:$C$29,MATCH(C108,Lists!$A$2:$A$26,0))),""))</f>
        <v/>
      </c>
      <c r="M108" s="15" t="str">
        <f t="shared" si="1"/>
        <v/>
      </c>
    </row>
    <row r="109" spans="1:13" x14ac:dyDescent="0.35">
      <c r="A109" s="11"/>
      <c r="B109" s="12"/>
      <c r="C109" s="12"/>
      <c r="D109" s="12"/>
      <c r="E109" s="13"/>
      <c r="F109" s="13"/>
      <c r="G109" s="13"/>
      <c r="H109" s="13"/>
      <c r="I109" s="12"/>
      <c r="J109" s="13"/>
      <c r="K109" s="14" t="str">
        <f>IF(C109="","",IFERROR(N('Fee Settings'!$C$5)*(E109+N(F109)-N(J109))+N('Fee Settings'!$C$6)*(E109+N(F109)+N(G109))+N('Fee Settings'!$C$7)+N('Fee Settings'!$C$10)*D109+IF(I109="Yes",MIN(N('Fee Settings'!$C$8)*(E109+N(F109)),N('Fee Settings'!$C$9)),0),""))</f>
        <v/>
      </c>
      <c r="L109" s="14" t="str">
        <f>IF(C109="","",IFERROR(D109*N(INDEX(Products!$C$5:$C$29,MATCH(C109,Lists!$A$2:$A$26,0))),""))</f>
        <v/>
      </c>
      <c r="M109" s="15" t="str">
        <f t="shared" si="1"/>
        <v/>
      </c>
    </row>
    <row r="110" spans="1:13" x14ac:dyDescent="0.35">
      <c r="A110" s="11"/>
      <c r="B110" s="12"/>
      <c r="C110" s="12"/>
      <c r="D110" s="12"/>
      <c r="E110" s="13"/>
      <c r="F110" s="13"/>
      <c r="G110" s="13"/>
      <c r="H110" s="13"/>
      <c r="I110" s="12"/>
      <c r="J110" s="13"/>
      <c r="K110" s="14" t="str">
        <f>IF(C110="","",IFERROR(N('Fee Settings'!$C$5)*(E110+N(F110)-N(J110))+N('Fee Settings'!$C$6)*(E110+N(F110)+N(G110))+N('Fee Settings'!$C$7)+N('Fee Settings'!$C$10)*D110+IF(I110="Yes",MIN(N('Fee Settings'!$C$8)*(E110+N(F110)),N('Fee Settings'!$C$9)),0),""))</f>
        <v/>
      </c>
      <c r="L110" s="14" t="str">
        <f>IF(C110="","",IFERROR(D110*N(INDEX(Products!$C$5:$C$29,MATCH(C110,Lists!$A$2:$A$26,0))),""))</f>
        <v/>
      </c>
      <c r="M110" s="15" t="str">
        <f t="shared" si="1"/>
        <v/>
      </c>
    </row>
    <row r="111" spans="1:13" x14ac:dyDescent="0.35">
      <c r="A111" s="11"/>
      <c r="B111" s="12"/>
      <c r="C111" s="12"/>
      <c r="D111" s="12"/>
      <c r="E111" s="13"/>
      <c r="F111" s="13"/>
      <c r="G111" s="13"/>
      <c r="H111" s="13"/>
      <c r="I111" s="12"/>
      <c r="J111" s="13"/>
      <c r="K111" s="14" t="str">
        <f>IF(C111="","",IFERROR(N('Fee Settings'!$C$5)*(E111+N(F111)-N(J111))+N('Fee Settings'!$C$6)*(E111+N(F111)+N(G111))+N('Fee Settings'!$C$7)+N('Fee Settings'!$C$10)*D111+IF(I111="Yes",MIN(N('Fee Settings'!$C$8)*(E111+N(F111)),N('Fee Settings'!$C$9)),0),""))</f>
        <v/>
      </c>
      <c r="L111" s="14" t="str">
        <f>IF(C111="","",IFERROR(D111*N(INDEX(Products!$C$5:$C$29,MATCH(C111,Lists!$A$2:$A$26,0))),""))</f>
        <v/>
      </c>
      <c r="M111" s="15" t="str">
        <f t="shared" si="1"/>
        <v/>
      </c>
    </row>
    <row r="112" spans="1:13" x14ac:dyDescent="0.35">
      <c r="A112" s="11"/>
      <c r="B112" s="12"/>
      <c r="C112" s="12"/>
      <c r="D112" s="12"/>
      <c r="E112" s="13"/>
      <c r="F112" s="13"/>
      <c r="G112" s="13"/>
      <c r="H112" s="13"/>
      <c r="I112" s="12"/>
      <c r="J112" s="13"/>
      <c r="K112" s="14" t="str">
        <f>IF(C112="","",IFERROR(N('Fee Settings'!$C$5)*(E112+N(F112)-N(J112))+N('Fee Settings'!$C$6)*(E112+N(F112)+N(G112))+N('Fee Settings'!$C$7)+N('Fee Settings'!$C$10)*D112+IF(I112="Yes",MIN(N('Fee Settings'!$C$8)*(E112+N(F112)),N('Fee Settings'!$C$9)),0),""))</f>
        <v/>
      </c>
      <c r="L112" s="14" t="str">
        <f>IF(C112="","",IFERROR(D112*N(INDEX(Products!$C$5:$C$29,MATCH(C112,Lists!$A$2:$A$26,0))),""))</f>
        <v/>
      </c>
      <c r="M112" s="15" t="str">
        <f t="shared" si="1"/>
        <v/>
      </c>
    </row>
    <row r="113" spans="1:13" x14ac:dyDescent="0.35">
      <c r="A113" s="11"/>
      <c r="B113" s="12"/>
      <c r="C113" s="12"/>
      <c r="D113" s="12"/>
      <c r="E113" s="13"/>
      <c r="F113" s="13"/>
      <c r="G113" s="13"/>
      <c r="H113" s="13"/>
      <c r="I113" s="12"/>
      <c r="J113" s="13"/>
      <c r="K113" s="14" t="str">
        <f>IF(C113="","",IFERROR(N('Fee Settings'!$C$5)*(E113+N(F113)-N(J113))+N('Fee Settings'!$C$6)*(E113+N(F113)+N(G113))+N('Fee Settings'!$C$7)+N('Fee Settings'!$C$10)*D113+IF(I113="Yes",MIN(N('Fee Settings'!$C$8)*(E113+N(F113)),N('Fee Settings'!$C$9)),0),""))</f>
        <v/>
      </c>
      <c r="L113" s="14" t="str">
        <f>IF(C113="","",IFERROR(D113*N(INDEX(Products!$C$5:$C$29,MATCH(C113,Lists!$A$2:$A$26,0))),""))</f>
        <v/>
      </c>
      <c r="M113" s="15" t="str">
        <f t="shared" si="1"/>
        <v/>
      </c>
    </row>
    <row r="114" spans="1:13" x14ac:dyDescent="0.35">
      <c r="A114" s="11"/>
      <c r="B114" s="12"/>
      <c r="C114" s="12"/>
      <c r="D114" s="12"/>
      <c r="E114" s="13"/>
      <c r="F114" s="13"/>
      <c r="G114" s="13"/>
      <c r="H114" s="13"/>
      <c r="I114" s="12"/>
      <c r="J114" s="13"/>
      <c r="K114" s="14" t="str">
        <f>IF(C114="","",IFERROR(N('Fee Settings'!$C$5)*(E114+N(F114)-N(J114))+N('Fee Settings'!$C$6)*(E114+N(F114)+N(G114))+N('Fee Settings'!$C$7)+N('Fee Settings'!$C$10)*D114+IF(I114="Yes",MIN(N('Fee Settings'!$C$8)*(E114+N(F114)),N('Fee Settings'!$C$9)),0),""))</f>
        <v/>
      </c>
      <c r="L114" s="14" t="str">
        <f>IF(C114="","",IFERROR(D114*N(INDEX(Products!$C$5:$C$29,MATCH(C114,Lists!$A$2:$A$26,0))),""))</f>
        <v/>
      </c>
      <c r="M114" s="15" t="str">
        <f t="shared" si="1"/>
        <v/>
      </c>
    </row>
    <row r="115" spans="1:13" x14ac:dyDescent="0.35">
      <c r="A115" s="11"/>
      <c r="B115" s="12"/>
      <c r="C115" s="12"/>
      <c r="D115" s="12"/>
      <c r="E115" s="13"/>
      <c r="F115" s="13"/>
      <c r="G115" s="13"/>
      <c r="H115" s="13"/>
      <c r="I115" s="12"/>
      <c r="J115" s="13"/>
      <c r="K115" s="14" t="str">
        <f>IF(C115="","",IFERROR(N('Fee Settings'!$C$5)*(E115+N(F115)-N(J115))+N('Fee Settings'!$C$6)*(E115+N(F115)+N(G115))+N('Fee Settings'!$C$7)+N('Fee Settings'!$C$10)*D115+IF(I115="Yes",MIN(N('Fee Settings'!$C$8)*(E115+N(F115)),N('Fee Settings'!$C$9)),0),""))</f>
        <v/>
      </c>
      <c r="L115" s="14" t="str">
        <f>IF(C115="","",IFERROR(D115*N(INDEX(Products!$C$5:$C$29,MATCH(C115,Lists!$A$2:$A$26,0))),""))</f>
        <v/>
      </c>
      <c r="M115" s="15" t="str">
        <f t="shared" si="1"/>
        <v/>
      </c>
    </row>
    <row r="116" spans="1:13" x14ac:dyDescent="0.35">
      <c r="A116" s="11"/>
      <c r="B116" s="12"/>
      <c r="C116" s="12"/>
      <c r="D116" s="12"/>
      <c r="E116" s="13"/>
      <c r="F116" s="13"/>
      <c r="G116" s="13"/>
      <c r="H116" s="13"/>
      <c r="I116" s="12"/>
      <c r="J116" s="13"/>
      <c r="K116" s="14" t="str">
        <f>IF(C116="","",IFERROR(N('Fee Settings'!$C$5)*(E116+N(F116)-N(J116))+N('Fee Settings'!$C$6)*(E116+N(F116)+N(G116))+N('Fee Settings'!$C$7)+N('Fee Settings'!$C$10)*D116+IF(I116="Yes",MIN(N('Fee Settings'!$C$8)*(E116+N(F116)),N('Fee Settings'!$C$9)),0),""))</f>
        <v/>
      </c>
      <c r="L116" s="14" t="str">
        <f>IF(C116="","",IFERROR(D116*N(INDEX(Products!$C$5:$C$29,MATCH(C116,Lists!$A$2:$A$26,0))),""))</f>
        <v/>
      </c>
      <c r="M116" s="15" t="str">
        <f t="shared" si="1"/>
        <v/>
      </c>
    </row>
    <row r="117" spans="1:13" x14ac:dyDescent="0.35">
      <c r="A117" s="11"/>
      <c r="B117" s="12"/>
      <c r="C117" s="12"/>
      <c r="D117" s="12"/>
      <c r="E117" s="13"/>
      <c r="F117" s="13"/>
      <c r="G117" s="13"/>
      <c r="H117" s="13"/>
      <c r="I117" s="12"/>
      <c r="J117" s="13"/>
      <c r="K117" s="14" t="str">
        <f>IF(C117="","",IFERROR(N('Fee Settings'!$C$5)*(E117+N(F117)-N(J117))+N('Fee Settings'!$C$6)*(E117+N(F117)+N(G117))+N('Fee Settings'!$C$7)+N('Fee Settings'!$C$10)*D117+IF(I117="Yes",MIN(N('Fee Settings'!$C$8)*(E117+N(F117)),N('Fee Settings'!$C$9)),0),""))</f>
        <v/>
      </c>
      <c r="L117" s="14" t="str">
        <f>IF(C117="","",IFERROR(D117*N(INDEX(Products!$C$5:$C$29,MATCH(C117,Lists!$A$2:$A$26,0))),""))</f>
        <v/>
      </c>
      <c r="M117" s="15" t="str">
        <f t="shared" si="1"/>
        <v/>
      </c>
    </row>
    <row r="118" spans="1:13" x14ac:dyDescent="0.35">
      <c r="A118" s="11"/>
      <c r="B118" s="12"/>
      <c r="C118" s="12"/>
      <c r="D118" s="12"/>
      <c r="E118" s="13"/>
      <c r="F118" s="13"/>
      <c r="G118" s="13"/>
      <c r="H118" s="13"/>
      <c r="I118" s="12"/>
      <c r="J118" s="13"/>
      <c r="K118" s="14" t="str">
        <f>IF(C118="","",IFERROR(N('Fee Settings'!$C$5)*(E118+N(F118)-N(J118))+N('Fee Settings'!$C$6)*(E118+N(F118)+N(G118))+N('Fee Settings'!$C$7)+N('Fee Settings'!$C$10)*D118+IF(I118="Yes",MIN(N('Fee Settings'!$C$8)*(E118+N(F118)),N('Fee Settings'!$C$9)),0),""))</f>
        <v/>
      </c>
      <c r="L118" s="14" t="str">
        <f>IF(C118="","",IFERROR(D118*N(INDEX(Products!$C$5:$C$29,MATCH(C118,Lists!$A$2:$A$26,0))),""))</f>
        <v/>
      </c>
      <c r="M118" s="15" t="str">
        <f t="shared" si="1"/>
        <v/>
      </c>
    </row>
    <row r="119" spans="1:13" x14ac:dyDescent="0.35">
      <c r="A119" s="11"/>
      <c r="B119" s="12"/>
      <c r="C119" s="12"/>
      <c r="D119" s="12"/>
      <c r="E119" s="13"/>
      <c r="F119" s="13"/>
      <c r="G119" s="13"/>
      <c r="H119" s="13"/>
      <c r="I119" s="12"/>
      <c r="J119" s="13"/>
      <c r="K119" s="14" t="str">
        <f>IF(C119="","",IFERROR(N('Fee Settings'!$C$5)*(E119+N(F119)-N(J119))+N('Fee Settings'!$C$6)*(E119+N(F119)+N(G119))+N('Fee Settings'!$C$7)+N('Fee Settings'!$C$10)*D119+IF(I119="Yes",MIN(N('Fee Settings'!$C$8)*(E119+N(F119)),N('Fee Settings'!$C$9)),0),""))</f>
        <v/>
      </c>
      <c r="L119" s="14" t="str">
        <f>IF(C119="","",IFERROR(D119*N(INDEX(Products!$C$5:$C$29,MATCH(C119,Lists!$A$2:$A$26,0))),""))</f>
        <v/>
      </c>
      <c r="M119" s="15" t="str">
        <f t="shared" si="1"/>
        <v/>
      </c>
    </row>
    <row r="120" spans="1:13" x14ac:dyDescent="0.35">
      <c r="A120" s="11"/>
      <c r="B120" s="12"/>
      <c r="C120" s="12"/>
      <c r="D120" s="12"/>
      <c r="E120" s="13"/>
      <c r="F120" s="13"/>
      <c r="G120" s="13"/>
      <c r="H120" s="13"/>
      <c r="I120" s="12"/>
      <c r="J120" s="13"/>
      <c r="K120" s="14" t="str">
        <f>IF(C120="","",IFERROR(N('Fee Settings'!$C$5)*(E120+N(F120)-N(J120))+N('Fee Settings'!$C$6)*(E120+N(F120)+N(G120))+N('Fee Settings'!$C$7)+N('Fee Settings'!$C$10)*D120+IF(I120="Yes",MIN(N('Fee Settings'!$C$8)*(E120+N(F120)),N('Fee Settings'!$C$9)),0),""))</f>
        <v/>
      </c>
      <c r="L120" s="14" t="str">
        <f>IF(C120="","",IFERROR(D120*N(INDEX(Products!$C$5:$C$29,MATCH(C120,Lists!$A$2:$A$26,0))),""))</f>
        <v/>
      </c>
      <c r="M120" s="15" t="str">
        <f t="shared" si="1"/>
        <v/>
      </c>
    </row>
    <row r="121" spans="1:13" x14ac:dyDescent="0.35">
      <c r="A121" s="11"/>
      <c r="B121" s="12"/>
      <c r="C121" s="12"/>
      <c r="D121" s="12"/>
      <c r="E121" s="13"/>
      <c r="F121" s="13"/>
      <c r="G121" s="13"/>
      <c r="H121" s="13"/>
      <c r="I121" s="12"/>
      <c r="J121" s="13"/>
      <c r="K121" s="14" t="str">
        <f>IF(C121="","",IFERROR(N('Fee Settings'!$C$5)*(E121+N(F121)-N(J121))+N('Fee Settings'!$C$6)*(E121+N(F121)+N(G121))+N('Fee Settings'!$C$7)+N('Fee Settings'!$C$10)*D121+IF(I121="Yes",MIN(N('Fee Settings'!$C$8)*(E121+N(F121)),N('Fee Settings'!$C$9)),0),""))</f>
        <v/>
      </c>
      <c r="L121" s="14" t="str">
        <f>IF(C121="","",IFERROR(D121*N(INDEX(Products!$C$5:$C$29,MATCH(C121,Lists!$A$2:$A$26,0))),""))</f>
        <v/>
      </c>
      <c r="M121" s="15" t="str">
        <f t="shared" si="1"/>
        <v/>
      </c>
    </row>
    <row r="122" spans="1:13" x14ac:dyDescent="0.35">
      <c r="A122" s="11"/>
      <c r="B122" s="12"/>
      <c r="C122" s="12"/>
      <c r="D122" s="12"/>
      <c r="E122" s="13"/>
      <c r="F122" s="13"/>
      <c r="G122" s="13"/>
      <c r="H122" s="13"/>
      <c r="I122" s="12"/>
      <c r="J122" s="13"/>
      <c r="K122" s="14" t="str">
        <f>IF(C122="","",IFERROR(N('Fee Settings'!$C$5)*(E122+N(F122)-N(J122))+N('Fee Settings'!$C$6)*(E122+N(F122)+N(G122))+N('Fee Settings'!$C$7)+N('Fee Settings'!$C$10)*D122+IF(I122="Yes",MIN(N('Fee Settings'!$C$8)*(E122+N(F122)),N('Fee Settings'!$C$9)),0),""))</f>
        <v/>
      </c>
      <c r="L122" s="14" t="str">
        <f>IF(C122="","",IFERROR(D122*N(INDEX(Products!$C$5:$C$29,MATCH(C122,Lists!$A$2:$A$26,0))),""))</f>
        <v/>
      </c>
      <c r="M122" s="15" t="str">
        <f t="shared" si="1"/>
        <v/>
      </c>
    </row>
    <row r="123" spans="1:13" x14ac:dyDescent="0.35">
      <c r="A123" s="11"/>
      <c r="B123" s="12"/>
      <c r="C123" s="12"/>
      <c r="D123" s="12"/>
      <c r="E123" s="13"/>
      <c r="F123" s="13"/>
      <c r="G123" s="13"/>
      <c r="H123" s="13"/>
      <c r="I123" s="12"/>
      <c r="J123" s="13"/>
      <c r="K123" s="14" t="str">
        <f>IF(C123="","",IFERROR(N('Fee Settings'!$C$5)*(E123+N(F123)-N(J123))+N('Fee Settings'!$C$6)*(E123+N(F123)+N(G123))+N('Fee Settings'!$C$7)+N('Fee Settings'!$C$10)*D123+IF(I123="Yes",MIN(N('Fee Settings'!$C$8)*(E123+N(F123)),N('Fee Settings'!$C$9)),0),""))</f>
        <v/>
      </c>
      <c r="L123" s="14" t="str">
        <f>IF(C123="","",IFERROR(D123*N(INDEX(Products!$C$5:$C$29,MATCH(C123,Lists!$A$2:$A$26,0))),""))</f>
        <v/>
      </c>
      <c r="M123" s="15" t="str">
        <f t="shared" si="1"/>
        <v/>
      </c>
    </row>
    <row r="124" spans="1:13" x14ac:dyDescent="0.35">
      <c r="A124" s="11"/>
      <c r="B124" s="12"/>
      <c r="C124" s="12"/>
      <c r="D124" s="12"/>
      <c r="E124" s="13"/>
      <c r="F124" s="13"/>
      <c r="G124" s="13"/>
      <c r="H124" s="13"/>
      <c r="I124" s="12"/>
      <c r="J124" s="13"/>
      <c r="K124" s="14" t="str">
        <f>IF(C124="","",IFERROR(N('Fee Settings'!$C$5)*(E124+N(F124)-N(J124))+N('Fee Settings'!$C$6)*(E124+N(F124)+N(G124))+N('Fee Settings'!$C$7)+N('Fee Settings'!$C$10)*D124+IF(I124="Yes",MIN(N('Fee Settings'!$C$8)*(E124+N(F124)),N('Fee Settings'!$C$9)),0),""))</f>
        <v/>
      </c>
      <c r="L124" s="14" t="str">
        <f>IF(C124="","",IFERROR(D124*N(INDEX(Products!$C$5:$C$29,MATCH(C124,Lists!$A$2:$A$26,0))),""))</f>
        <v/>
      </c>
      <c r="M124" s="15" t="str">
        <f t="shared" si="1"/>
        <v/>
      </c>
    </row>
    <row r="125" spans="1:13" x14ac:dyDescent="0.35">
      <c r="A125" s="11"/>
      <c r="B125" s="12"/>
      <c r="C125" s="12"/>
      <c r="D125" s="12"/>
      <c r="E125" s="13"/>
      <c r="F125" s="13"/>
      <c r="G125" s="13"/>
      <c r="H125" s="13"/>
      <c r="I125" s="12"/>
      <c r="J125" s="13"/>
      <c r="K125" s="14" t="str">
        <f>IF(C125="","",IFERROR(N('Fee Settings'!$C$5)*(E125+N(F125)-N(J125))+N('Fee Settings'!$C$6)*(E125+N(F125)+N(G125))+N('Fee Settings'!$C$7)+N('Fee Settings'!$C$10)*D125+IF(I125="Yes",MIN(N('Fee Settings'!$C$8)*(E125+N(F125)),N('Fee Settings'!$C$9)),0),""))</f>
        <v/>
      </c>
      <c r="L125" s="14" t="str">
        <f>IF(C125="","",IFERROR(D125*N(INDEX(Products!$C$5:$C$29,MATCH(C125,Lists!$A$2:$A$26,0))),""))</f>
        <v/>
      </c>
      <c r="M125" s="15" t="str">
        <f t="shared" si="1"/>
        <v/>
      </c>
    </row>
    <row r="126" spans="1:13" x14ac:dyDescent="0.35">
      <c r="A126" s="11"/>
      <c r="B126" s="12"/>
      <c r="C126" s="12"/>
      <c r="D126" s="12"/>
      <c r="E126" s="13"/>
      <c r="F126" s="13"/>
      <c r="G126" s="13"/>
      <c r="H126" s="13"/>
      <c r="I126" s="12"/>
      <c r="J126" s="13"/>
      <c r="K126" s="14" t="str">
        <f>IF(C126="","",IFERROR(N('Fee Settings'!$C$5)*(E126+N(F126)-N(J126))+N('Fee Settings'!$C$6)*(E126+N(F126)+N(G126))+N('Fee Settings'!$C$7)+N('Fee Settings'!$C$10)*D126+IF(I126="Yes",MIN(N('Fee Settings'!$C$8)*(E126+N(F126)),N('Fee Settings'!$C$9)),0),""))</f>
        <v/>
      </c>
      <c r="L126" s="14" t="str">
        <f>IF(C126="","",IFERROR(D126*N(INDEX(Products!$C$5:$C$29,MATCH(C126,Lists!$A$2:$A$26,0))),""))</f>
        <v/>
      </c>
      <c r="M126" s="15" t="str">
        <f t="shared" si="1"/>
        <v/>
      </c>
    </row>
    <row r="127" spans="1:13" x14ac:dyDescent="0.35">
      <c r="A127" s="11"/>
      <c r="B127" s="12"/>
      <c r="C127" s="12"/>
      <c r="D127" s="12"/>
      <c r="E127" s="13"/>
      <c r="F127" s="13"/>
      <c r="G127" s="13"/>
      <c r="H127" s="13"/>
      <c r="I127" s="12"/>
      <c r="J127" s="13"/>
      <c r="K127" s="14" t="str">
        <f>IF(C127="","",IFERROR(N('Fee Settings'!$C$5)*(E127+N(F127)-N(J127))+N('Fee Settings'!$C$6)*(E127+N(F127)+N(G127))+N('Fee Settings'!$C$7)+N('Fee Settings'!$C$10)*D127+IF(I127="Yes",MIN(N('Fee Settings'!$C$8)*(E127+N(F127)),N('Fee Settings'!$C$9)),0),""))</f>
        <v/>
      </c>
      <c r="L127" s="14" t="str">
        <f>IF(C127="","",IFERROR(D127*N(INDEX(Products!$C$5:$C$29,MATCH(C127,Lists!$A$2:$A$26,0))),""))</f>
        <v/>
      </c>
      <c r="M127" s="15" t="str">
        <f t="shared" si="1"/>
        <v/>
      </c>
    </row>
    <row r="128" spans="1:13" x14ac:dyDescent="0.35">
      <c r="A128" s="11"/>
      <c r="B128" s="12"/>
      <c r="C128" s="12"/>
      <c r="D128" s="12"/>
      <c r="E128" s="13"/>
      <c r="F128" s="13"/>
      <c r="G128" s="13"/>
      <c r="H128" s="13"/>
      <c r="I128" s="12"/>
      <c r="J128" s="13"/>
      <c r="K128" s="14" t="str">
        <f>IF(C128="","",IFERROR(N('Fee Settings'!$C$5)*(E128+N(F128)-N(J128))+N('Fee Settings'!$C$6)*(E128+N(F128)+N(G128))+N('Fee Settings'!$C$7)+N('Fee Settings'!$C$10)*D128+IF(I128="Yes",MIN(N('Fee Settings'!$C$8)*(E128+N(F128)),N('Fee Settings'!$C$9)),0),""))</f>
        <v/>
      </c>
      <c r="L128" s="14" t="str">
        <f>IF(C128="","",IFERROR(D128*N(INDEX(Products!$C$5:$C$29,MATCH(C128,Lists!$A$2:$A$26,0))),""))</f>
        <v/>
      </c>
      <c r="M128" s="15" t="str">
        <f t="shared" si="1"/>
        <v/>
      </c>
    </row>
    <row r="129" spans="1:13" x14ac:dyDescent="0.35">
      <c r="A129" s="11"/>
      <c r="B129" s="12"/>
      <c r="C129" s="12"/>
      <c r="D129" s="12"/>
      <c r="E129" s="13"/>
      <c r="F129" s="13"/>
      <c r="G129" s="13"/>
      <c r="H129" s="13"/>
      <c r="I129" s="12"/>
      <c r="J129" s="13"/>
      <c r="K129" s="14" t="str">
        <f>IF(C129="","",IFERROR(N('Fee Settings'!$C$5)*(E129+N(F129)-N(J129))+N('Fee Settings'!$C$6)*(E129+N(F129)+N(G129))+N('Fee Settings'!$C$7)+N('Fee Settings'!$C$10)*D129+IF(I129="Yes",MIN(N('Fee Settings'!$C$8)*(E129+N(F129)),N('Fee Settings'!$C$9)),0),""))</f>
        <v/>
      </c>
      <c r="L129" s="14" t="str">
        <f>IF(C129="","",IFERROR(D129*N(INDEX(Products!$C$5:$C$29,MATCH(C129,Lists!$A$2:$A$26,0))),""))</f>
        <v/>
      </c>
      <c r="M129" s="15" t="str">
        <f t="shared" si="1"/>
        <v/>
      </c>
    </row>
    <row r="130" spans="1:13" x14ac:dyDescent="0.35">
      <c r="A130" s="11"/>
      <c r="B130" s="12"/>
      <c r="C130" s="12"/>
      <c r="D130" s="12"/>
      <c r="E130" s="13"/>
      <c r="F130" s="13"/>
      <c r="G130" s="13"/>
      <c r="H130" s="13"/>
      <c r="I130" s="12"/>
      <c r="J130" s="13"/>
      <c r="K130" s="14" t="str">
        <f>IF(C130="","",IFERROR(N('Fee Settings'!$C$5)*(E130+N(F130)-N(J130))+N('Fee Settings'!$C$6)*(E130+N(F130)+N(G130))+N('Fee Settings'!$C$7)+N('Fee Settings'!$C$10)*D130+IF(I130="Yes",MIN(N('Fee Settings'!$C$8)*(E130+N(F130)),N('Fee Settings'!$C$9)),0),""))</f>
        <v/>
      </c>
      <c r="L130" s="14" t="str">
        <f>IF(C130="","",IFERROR(D130*N(INDEX(Products!$C$5:$C$29,MATCH(C130,Lists!$A$2:$A$26,0))),""))</f>
        <v/>
      </c>
      <c r="M130" s="15" t="str">
        <f t="shared" si="1"/>
        <v/>
      </c>
    </row>
    <row r="131" spans="1:13" x14ac:dyDescent="0.35">
      <c r="A131" s="11"/>
      <c r="B131" s="12"/>
      <c r="C131" s="12"/>
      <c r="D131" s="12"/>
      <c r="E131" s="13"/>
      <c r="F131" s="13"/>
      <c r="G131" s="13"/>
      <c r="H131" s="13"/>
      <c r="I131" s="12"/>
      <c r="J131" s="13"/>
      <c r="K131" s="14" t="str">
        <f>IF(C131="","",IFERROR(N('Fee Settings'!$C$5)*(E131+N(F131)-N(J131))+N('Fee Settings'!$C$6)*(E131+N(F131)+N(G131))+N('Fee Settings'!$C$7)+N('Fee Settings'!$C$10)*D131+IF(I131="Yes",MIN(N('Fee Settings'!$C$8)*(E131+N(F131)),N('Fee Settings'!$C$9)),0),""))</f>
        <v/>
      </c>
      <c r="L131" s="14" t="str">
        <f>IF(C131="","",IFERROR(D131*N(INDEX(Products!$C$5:$C$29,MATCH(C131,Lists!$A$2:$A$26,0))),""))</f>
        <v/>
      </c>
      <c r="M131" s="15" t="str">
        <f t="shared" si="1"/>
        <v/>
      </c>
    </row>
    <row r="132" spans="1:13" x14ac:dyDescent="0.35">
      <c r="A132" s="11"/>
      <c r="B132" s="12"/>
      <c r="C132" s="12"/>
      <c r="D132" s="12"/>
      <c r="E132" s="13"/>
      <c r="F132" s="13"/>
      <c r="G132" s="13"/>
      <c r="H132" s="13"/>
      <c r="I132" s="12"/>
      <c r="J132" s="13"/>
      <c r="K132" s="14" t="str">
        <f>IF(C132="","",IFERROR(N('Fee Settings'!$C$5)*(E132+N(F132)-N(J132))+N('Fee Settings'!$C$6)*(E132+N(F132)+N(G132))+N('Fee Settings'!$C$7)+N('Fee Settings'!$C$10)*D132+IF(I132="Yes",MIN(N('Fee Settings'!$C$8)*(E132+N(F132)),N('Fee Settings'!$C$9)),0),""))</f>
        <v/>
      </c>
      <c r="L132" s="14" t="str">
        <f>IF(C132="","",IFERROR(D132*N(INDEX(Products!$C$5:$C$29,MATCH(C132,Lists!$A$2:$A$26,0))),""))</f>
        <v/>
      </c>
      <c r="M132" s="15" t="str">
        <f t="shared" si="1"/>
        <v/>
      </c>
    </row>
    <row r="133" spans="1:13" x14ac:dyDescent="0.35">
      <c r="A133" s="11"/>
      <c r="B133" s="12"/>
      <c r="C133" s="12"/>
      <c r="D133" s="12"/>
      <c r="E133" s="13"/>
      <c r="F133" s="13"/>
      <c r="G133" s="13"/>
      <c r="H133" s="13"/>
      <c r="I133" s="12"/>
      <c r="J133" s="13"/>
      <c r="K133" s="14" t="str">
        <f>IF(C133="","",IFERROR(N('Fee Settings'!$C$5)*(E133+N(F133)-N(J133))+N('Fee Settings'!$C$6)*(E133+N(F133)+N(G133))+N('Fee Settings'!$C$7)+N('Fee Settings'!$C$10)*D133+IF(I133="Yes",MIN(N('Fee Settings'!$C$8)*(E133+N(F133)),N('Fee Settings'!$C$9)),0),""))</f>
        <v/>
      </c>
      <c r="L133" s="14" t="str">
        <f>IF(C133="","",IFERROR(D133*N(INDEX(Products!$C$5:$C$29,MATCH(C133,Lists!$A$2:$A$26,0))),""))</f>
        <v/>
      </c>
      <c r="M133" s="15" t="str">
        <f t="shared" ref="M133:M196" si="2">IF(C133="","",IFERROR(E133+N(F133)-N(J133)-K133-L133-N(H133),""))</f>
        <v/>
      </c>
    </row>
    <row r="134" spans="1:13" x14ac:dyDescent="0.35">
      <c r="A134" s="11"/>
      <c r="B134" s="12"/>
      <c r="C134" s="12"/>
      <c r="D134" s="12"/>
      <c r="E134" s="13"/>
      <c r="F134" s="13"/>
      <c r="G134" s="13"/>
      <c r="H134" s="13"/>
      <c r="I134" s="12"/>
      <c r="J134" s="13"/>
      <c r="K134" s="14" t="str">
        <f>IF(C134="","",IFERROR(N('Fee Settings'!$C$5)*(E134+N(F134)-N(J134))+N('Fee Settings'!$C$6)*(E134+N(F134)+N(G134))+N('Fee Settings'!$C$7)+N('Fee Settings'!$C$10)*D134+IF(I134="Yes",MIN(N('Fee Settings'!$C$8)*(E134+N(F134)),N('Fee Settings'!$C$9)),0),""))</f>
        <v/>
      </c>
      <c r="L134" s="14" t="str">
        <f>IF(C134="","",IFERROR(D134*N(INDEX(Products!$C$5:$C$29,MATCH(C134,Lists!$A$2:$A$26,0))),""))</f>
        <v/>
      </c>
      <c r="M134" s="15" t="str">
        <f t="shared" si="2"/>
        <v/>
      </c>
    </row>
    <row r="135" spans="1:13" x14ac:dyDescent="0.35">
      <c r="A135" s="11"/>
      <c r="B135" s="12"/>
      <c r="C135" s="12"/>
      <c r="D135" s="12"/>
      <c r="E135" s="13"/>
      <c r="F135" s="13"/>
      <c r="G135" s="13"/>
      <c r="H135" s="13"/>
      <c r="I135" s="12"/>
      <c r="J135" s="13"/>
      <c r="K135" s="14" t="str">
        <f>IF(C135="","",IFERROR(N('Fee Settings'!$C$5)*(E135+N(F135)-N(J135))+N('Fee Settings'!$C$6)*(E135+N(F135)+N(G135))+N('Fee Settings'!$C$7)+N('Fee Settings'!$C$10)*D135+IF(I135="Yes",MIN(N('Fee Settings'!$C$8)*(E135+N(F135)),N('Fee Settings'!$C$9)),0),""))</f>
        <v/>
      </c>
      <c r="L135" s="14" t="str">
        <f>IF(C135="","",IFERROR(D135*N(INDEX(Products!$C$5:$C$29,MATCH(C135,Lists!$A$2:$A$26,0))),""))</f>
        <v/>
      </c>
      <c r="M135" s="15" t="str">
        <f t="shared" si="2"/>
        <v/>
      </c>
    </row>
    <row r="136" spans="1:13" x14ac:dyDescent="0.35">
      <c r="A136" s="11"/>
      <c r="B136" s="12"/>
      <c r="C136" s="12"/>
      <c r="D136" s="12"/>
      <c r="E136" s="13"/>
      <c r="F136" s="13"/>
      <c r="G136" s="13"/>
      <c r="H136" s="13"/>
      <c r="I136" s="12"/>
      <c r="J136" s="13"/>
      <c r="K136" s="14" t="str">
        <f>IF(C136="","",IFERROR(N('Fee Settings'!$C$5)*(E136+N(F136)-N(J136))+N('Fee Settings'!$C$6)*(E136+N(F136)+N(G136))+N('Fee Settings'!$C$7)+N('Fee Settings'!$C$10)*D136+IF(I136="Yes",MIN(N('Fee Settings'!$C$8)*(E136+N(F136)),N('Fee Settings'!$C$9)),0),""))</f>
        <v/>
      </c>
      <c r="L136" s="14" t="str">
        <f>IF(C136="","",IFERROR(D136*N(INDEX(Products!$C$5:$C$29,MATCH(C136,Lists!$A$2:$A$26,0))),""))</f>
        <v/>
      </c>
      <c r="M136" s="15" t="str">
        <f t="shared" si="2"/>
        <v/>
      </c>
    </row>
    <row r="137" spans="1:13" x14ac:dyDescent="0.35">
      <c r="A137" s="11"/>
      <c r="B137" s="12"/>
      <c r="C137" s="12"/>
      <c r="D137" s="12"/>
      <c r="E137" s="13"/>
      <c r="F137" s="13"/>
      <c r="G137" s="13"/>
      <c r="H137" s="13"/>
      <c r="I137" s="12"/>
      <c r="J137" s="13"/>
      <c r="K137" s="14" t="str">
        <f>IF(C137="","",IFERROR(N('Fee Settings'!$C$5)*(E137+N(F137)-N(J137))+N('Fee Settings'!$C$6)*(E137+N(F137)+N(G137))+N('Fee Settings'!$C$7)+N('Fee Settings'!$C$10)*D137+IF(I137="Yes",MIN(N('Fee Settings'!$C$8)*(E137+N(F137)),N('Fee Settings'!$C$9)),0),""))</f>
        <v/>
      </c>
      <c r="L137" s="14" t="str">
        <f>IF(C137="","",IFERROR(D137*N(INDEX(Products!$C$5:$C$29,MATCH(C137,Lists!$A$2:$A$26,0))),""))</f>
        <v/>
      </c>
      <c r="M137" s="15" t="str">
        <f t="shared" si="2"/>
        <v/>
      </c>
    </row>
    <row r="138" spans="1:13" x14ac:dyDescent="0.35">
      <c r="A138" s="11"/>
      <c r="B138" s="12"/>
      <c r="C138" s="12"/>
      <c r="D138" s="12"/>
      <c r="E138" s="13"/>
      <c r="F138" s="13"/>
      <c r="G138" s="13"/>
      <c r="H138" s="13"/>
      <c r="I138" s="12"/>
      <c r="J138" s="13"/>
      <c r="K138" s="14" t="str">
        <f>IF(C138="","",IFERROR(N('Fee Settings'!$C$5)*(E138+N(F138)-N(J138))+N('Fee Settings'!$C$6)*(E138+N(F138)+N(G138))+N('Fee Settings'!$C$7)+N('Fee Settings'!$C$10)*D138+IF(I138="Yes",MIN(N('Fee Settings'!$C$8)*(E138+N(F138)),N('Fee Settings'!$C$9)),0),""))</f>
        <v/>
      </c>
      <c r="L138" s="14" t="str">
        <f>IF(C138="","",IFERROR(D138*N(INDEX(Products!$C$5:$C$29,MATCH(C138,Lists!$A$2:$A$26,0))),""))</f>
        <v/>
      </c>
      <c r="M138" s="15" t="str">
        <f t="shared" si="2"/>
        <v/>
      </c>
    </row>
    <row r="139" spans="1:13" x14ac:dyDescent="0.35">
      <c r="A139" s="11"/>
      <c r="B139" s="12"/>
      <c r="C139" s="12"/>
      <c r="D139" s="12"/>
      <c r="E139" s="13"/>
      <c r="F139" s="13"/>
      <c r="G139" s="13"/>
      <c r="H139" s="13"/>
      <c r="I139" s="12"/>
      <c r="J139" s="13"/>
      <c r="K139" s="14" t="str">
        <f>IF(C139="","",IFERROR(N('Fee Settings'!$C$5)*(E139+N(F139)-N(J139))+N('Fee Settings'!$C$6)*(E139+N(F139)+N(G139))+N('Fee Settings'!$C$7)+N('Fee Settings'!$C$10)*D139+IF(I139="Yes",MIN(N('Fee Settings'!$C$8)*(E139+N(F139)),N('Fee Settings'!$C$9)),0),""))</f>
        <v/>
      </c>
      <c r="L139" s="14" t="str">
        <f>IF(C139="","",IFERROR(D139*N(INDEX(Products!$C$5:$C$29,MATCH(C139,Lists!$A$2:$A$26,0))),""))</f>
        <v/>
      </c>
      <c r="M139" s="15" t="str">
        <f t="shared" si="2"/>
        <v/>
      </c>
    </row>
    <row r="140" spans="1:13" x14ac:dyDescent="0.35">
      <c r="A140" s="11"/>
      <c r="B140" s="12"/>
      <c r="C140" s="12"/>
      <c r="D140" s="12"/>
      <c r="E140" s="13"/>
      <c r="F140" s="13"/>
      <c r="G140" s="13"/>
      <c r="H140" s="13"/>
      <c r="I140" s="12"/>
      <c r="J140" s="13"/>
      <c r="K140" s="14" t="str">
        <f>IF(C140="","",IFERROR(N('Fee Settings'!$C$5)*(E140+N(F140)-N(J140))+N('Fee Settings'!$C$6)*(E140+N(F140)+N(G140))+N('Fee Settings'!$C$7)+N('Fee Settings'!$C$10)*D140+IF(I140="Yes",MIN(N('Fee Settings'!$C$8)*(E140+N(F140)),N('Fee Settings'!$C$9)),0),""))</f>
        <v/>
      </c>
      <c r="L140" s="14" t="str">
        <f>IF(C140="","",IFERROR(D140*N(INDEX(Products!$C$5:$C$29,MATCH(C140,Lists!$A$2:$A$26,0))),""))</f>
        <v/>
      </c>
      <c r="M140" s="15" t="str">
        <f t="shared" si="2"/>
        <v/>
      </c>
    </row>
    <row r="141" spans="1:13" x14ac:dyDescent="0.35">
      <c r="A141" s="11"/>
      <c r="B141" s="12"/>
      <c r="C141" s="12"/>
      <c r="D141" s="12"/>
      <c r="E141" s="13"/>
      <c r="F141" s="13"/>
      <c r="G141" s="13"/>
      <c r="H141" s="13"/>
      <c r="I141" s="12"/>
      <c r="J141" s="13"/>
      <c r="K141" s="14" t="str">
        <f>IF(C141="","",IFERROR(N('Fee Settings'!$C$5)*(E141+N(F141)-N(J141))+N('Fee Settings'!$C$6)*(E141+N(F141)+N(G141))+N('Fee Settings'!$C$7)+N('Fee Settings'!$C$10)*D141+IF(I141="Yes",MIN(N('Fee Settings'!$C$8)*(E141+N(F141)),N('Fee Settings'!$C$9)),0),""))</f>
        <v/>
      </c>
      <c r="L141" s="14" t="str">
        <f>IF(C141="","",IFERROR(D141*N(INDEX(Products!$C$5:$C$29,MATCH(C141,Lists!$A$2:$A$26,0))),""))</f>
        <v/>
      </c>
      <c r="M141" s="15" t="str">
        <f t="shared" si="2"/>
        <v/>
      </c>
    </row>
    <row r="142" spans="1:13" x14ac:dyDescent="0.35">
      <c r="A142" s="11"/>
      <c r="B142" s="12"/>
      <c r="C142" s="12"/>
      <c r="D142" s="12"/>
      <c r="E142" s="13"/>
      <c r="F142" s="13"/>
      <c r="G142" s="13"/>
      <c r="H142" s="13"/>
      <c r="I142" s="12"/>
      <c r="J142" s="13"/>
      <c r="K142" s="14" t="str">
        <f>IF(C142="","",IFERROR(N('Fee Settings'!$C$5)*(E142+N(F142)-N(J142))+N('Fee Settings'!$C$6)*(E142+N(F142)+N(G142))+N('Fee Settings'!$C$7)+N('Fee Settings'!$C$10)*D142+IF(I142="Yes",MIN(N('Fee Settings'!$C$8)*(E142+N(F142)),N('Fee Settings'!$C$9)),0),""))</f>
        <v/>
      </c>
      <c r="L142" s="14" t="str">
        <f>IF(C142="","",IFERROR(D142*N(INDEX(Products!$C$5:$C$29,MATCH(C142,Lists!$A$2:$A$26,0))),""))</f>
        <v/>
      </c>
      <c r="M142" s="15" t="str">
        <f t="shared" si="2"/>
        <v/>
      </c>
    </row>
    <row r="143" spans="1:13" x14ac:dyDescent="0.35">
      <c r="A143" s="11"/>
      <c r="B143" s="12"/>
      <c r="C143" s="12"/>
      <c r="D143" s="12"/>
      <c r="E143" s="13"/>
      <c r="F143" s="13"/>
      <c r="G143" s="13"/>
      <c r="H143" s="13"/>
      <c r="I143" s="12"/>
      <c r="J143" s="13"/>
      <c r="K143" s="14" t="str">
        <f>IF(C143="","",IFERROR(N('Fee Settings'!$C$5)*(E143+N(F143)-N(J143))+N('Fee Settings'!$C$6)*(E143+N(F143)+N(G143))+N('Fee Settings'!$C$7)+N('Fee Settings'!$C$10)*D143+IF(I143="Yes",MIN(N('Fee Settings'!$C$8)*(E143+N(F143)),N('Fee Settings'!$C$9)),0),""))</f>
        <v/>
      </c>
      <c r="L143" s="14" t="str">
        <f>IF(C143="","",IFERROR(D143*N(INDEX(Products!$C$5:$C$29,MATCH(C143,Lists!$A$2:$A$26,0))),""))</f>
        <v/>
      </c>
      <c r="M143" s="15" t="str">
        <f t="shared" si="2"/>
        <v/>
      </c>
    </row>
    <row r="144" spans="1:13" x14ac:dyDescent="0.35">
      <c r="A144" s="11"/>
      <c r="B144" s="12"/>
      <c r="C144" s="12"/>
      <c r="D144" s="12"/>
      <c r="E144" s="13"/>
      <c r="F144" s="13"/>
      <c r="G144" s="13"/>
      <c r="H144" s="13"/>
      <c r="I144" s="12"/>
      <c r="J144" s="13"/>
      <c r="K144" s="14" t="str">
        <f>IF(C144="","",IFERROR(N('Fee Settings'!$C$5)*(E144+N(F144)-N(J144))+N('Fee Settings'!$C$6)*(E144+N(F144)+N(G144))+N('Fee Settings'!$C$7)+N('Fee Settings'!$C$10)*D144+IF(I144="Yes",MIN(N('Fee Settings'!$C$8)*(E144+N(F144)),N('Fee Settings'!$C$9)),0),""))</f>
        <v/>
      </c>
      <c r="L144" s="14" t="str">
        <f>IF(C144="","",IFERROR(D144*N(INDEX(Products!$C$5:$C$29,MATCH(C144,Lists!$A$2:$A$26,0))),""))</f>
        <v/>
      </c>
      <c r="M144" s="15" t="str">
        <f t="shared" si="2"/>
        <v/>
      </c>
    </row>
    <row r="145" spans="1:13" x14ac:dyDescent="0.35">
      <c r="A145" s="11"/>
      <c r="B145" s="12"/>
      <c r="C145" s="12"/>
      <c r="D145" s="12"/>
      <c r="E145" s="13"/>
      <c r="F145" s="13"/>
      <c r="G145" s="13"/>
      <c r="H145" s="13"/>
      <c r="I145" s="12"/>
      <c r="J145" s="13"/>
      <c r="K145" s="14" t="str">
        <f>IF(C145="","",IFERROR(N('Fee Settings'!$C$5)*(E145+N(F145)-N(J145))+N('Fee Settings'!$C$6)*(E145+N(F145)+N(G145))+N('Fee Settings'!$C$7)+N('Fee Settings'!$C$10)*D145+IF(I145="Yes",MIN(N('Fee Settings'!$C$8)*(E145+N(F145)),N('Fee Settings'!$C$9)),0),""))</f>
        <v/>
      </c>
      <c r="L145" s="14" t="str">
        <f>IF(C145="","",IFERROR(D145*N(INDEX(Products!$C$5:$C$29,MATCH(C145,Lists!$A$2:$A$26,0))),""))</f>
        <v/>
      </c>
      <c r="M145" s="15" t="str">
        <f t="shared" si="2"/>
        <v/>
      </c>
    </row>
    <row r="146" spans="1:13" x14ac:dyDescent="0.35">
      <c r="A146" s="11"/>
      <c r="B146" s="12"/>
      <c r="C146" s="12"/>
      <c r="D146" s="12"/>
      <c r="E146" s="13"/>
      <c r="F146" s="13"/>
      <c r="G146" s="13"/>
      <c r="H146" s="13"/>
      <c r="I146" s="12"/>
      <c r="J146" s="13"/>
      <c r="K146" s="14" t="str">
        <f>IF(C146="","",IFERROR(N('Fee Settings'!$C$5)*(E146+N(F146)-N(J146))+N('Fee Settings'!$C$6)*(E146+N(F146)+N(G146))+N('Fee Settings'!$C$7)+N('Fee Settings'!$C$10)*D146+IF(I146="Yes",MIN(N('Fee Settings'!$C$8)*(E146+N(F146)),N('Fee Settings'!$C$9)),0),""))</f>
        <v/>
      </c>
      <c r="L146" s="14" t="str">
        <f>IF(C146="","",IFERROR(D146*N(INDEX(Products!$C$5:$C$29,MATCH(C146,Lists!$A$2:$A$26,0))),""))</f>
        <v/>
      </c>
      <c r="M146" s="15" t="str">
        <f t="shared" si="2"/>
        <v/>
      </c>
    </row>
    <row r="147" spans="1:13" x14ac:dyDescent="0.35">
      <c r="A147" s="11"/>
      <c r="B147" s="12"/>
      <c r="C147" s="12"/>
      <c r="D147" s="12"/>
      <c r="E147" s="13"/>
      <c r="F147" s="13"/>
      <c r="G147" s="13"/>
      <c r="H147" s="13"/>
      <c r="I147" s="12"/>
      <c r="J147" s="13"/>
      <c r="K147" s="14" t="str">
        <f>IF(C147="","",IFERROR(N('Fee Settings'!$C$5)*(E147+N(F147)-N(J147))+N('Fee Settings'!$C$6)*(E147+N(F147)+N(G147))+N('Fee Settings'!$C$7)+N('Fee Settings'!$C$10)*D147+IF(I147="Yes",MIN(N('Fee Settings'!$C$8)*(E147+N(F147)),N('Fee Settings'!$C$9)),0),""))</f>
        <v/>
      </c>
      <c r="L147" s="14" t="str">
        <f>IF(C147="","",IFERROR(D147*N(INDEX(Products!$C$5:$C$29,MATCH(C147,Lists!$A$2:$A$26,0))),""))</f>
        <v/>
      </c>
      <c r="M147" s="15" t="str">
        <f t="shared" si="2"/>
        <v/>
      </c>
    </row>
    <row r="148" spans="1:13" x14ac:dyDescent="0.35">
      <c r="A148" s="11"/>
      <c r="B148" s="12"/>
      <c r="C148" s="12"/>
      <c r="D148" s="12"/>
      <c r="E148" s="13"/>
      <c r="F148" s="13"/>
      <c r="G148" s="13"/>
      <c r="H148" s="13"/>
      <c r="I148" s="12"/>
      <c r="J148" s="13"/>
      <c r="K148" s="14" t="str">
        <f>IF(C148="","",IFERROR(N('Fee Settings'!$C$5)*(E148+N(F148)-N(J148))+N('Fee Settings'!$C$6)*(E148+N(F148)+N(G148))+N('Fee Settings'!$C$7)+N('Fee Settings'!$C$10)*D148+IF(I148="Yes",MIN(N('Fee Settings'!$C$8)*(E148+N(F148)),N('Fee Settings'!$C$9)),0),""))</f>
        <v/>
      </c>
      <c r="L148" s="14" t="str">
        <f>IF(C148="","",IFERROR(D148*N(INDEX(Products!$C$5:$C$29,MATCH(C148,Lists!$A$2:$A$26,0))),""))</f>
        <v/>
      </c>
      <c r="M148" s="15" t="str">
        <f t="shared" si="2"/>
        <v/>
      </c>
    </row>
    <row r="149" spans="1:13" x14ac:dyDescent="0.35">
      <c r="A149" s="11"/>
      <c r="B149" s="12"/>
      <c r="C149" s="12"/>
      <c r="D149" s="12"/>
      <c r="E149" s="13"/>
      <c r="F149" s="13"/>
      <c r="G149" s="13"/>
      <c r="H149" s="13"/>
      <c r="I149" s="12"/>
      <c r="J149" s="13"/>
      <c r="K149" s="14" t="str">
        <f>IF(C149="","",IFERROR(N('Fee Settings'!$C$5)*(E149+N(F149)-N(J149))+N('Fee Settings'!$C$6)*(E149+N(F149)+N(G149))+N('Fee Settings'!$C$7)+N('Fee Settings'!$C$10)*D149+IF(I149="Yes",MIN(N('Fee Settings'!$C$8)*(E149+N(F149)),N('Fee Settings'!$C$9)),0),""))</f>
        <v/>
      </c>
      <c r="L149" s="14" t="str">
        <f>IF(C149="","",IFERROR(D149*N(INDEX(Products!$C$5:$C$29,MATCH(C149,Lists!$A$2:$A$26,0))),""))</f>
        <v/>
      </c>
      <c r="M149" s="15" t="str">
        <f t="shared" si="2"/>
        <v/>
      </c>
    </row>
    <row r="150" spans="1:13" x14ac:dyDescent="0.35">
      <c r="A150" s="11"/>
      <c r="B150" s="12"/>
      <c r="C150" s="12"/>
      <c r="D150" s="12"/>
      <c r="E150" s="13"/>
      <c r="F150" s="13"/>
      <c r="G150" s="13"/>
      <c r="H150" s="13"/>
      <c r="I150" s="12"/>
      <c r="J150" s="13"/>
      <c r="K150" s="14" t="str">
        <f>IF(C150="","",IFERROR(N('Fee Settings'!$C$5)*(E150+N(F150)-N(J150))+N('Fee Settings'!$C$6)*(E150+N(F150)+N(G150))+N('Fee Settings'!$C$7)+N('Fee Settings'!$C$10)*D150+IF(I150="Yes",MIN(N('Fee Settings'!$C$8)*(E150+N(F150)),N('Fee Settings'!$C$9)),0),""))</f>
        <v/>
      </c>
      <c r="L150" s="14" t="str">
        <f>IF(C150="","",IFERROR(D150*N(INDEX(Products!$C$5:$C$29,MATCH(C150,Lists!$A$2:$A$26,0))),""))</f>
        <v/>
      </c>
      <c r="M150" s="15" t="str">
        <f t="shared" si="2"/>
        <v/>
      </c>
    </row>
    <row r="151" spans="1:13" x14ac:dyDescent="0.35">
      <c r="A151" s="11"/>
      <c r="B151" s="12"/>
      <c r="C151" s="12"/>
      <c r="D151" s="12"/>
      <c r="E151" s="13"/>
      <c r="F151" s="13"/>
      <c r="G151" s="13"/>
      <c r="H151" s="13"/>
      <c r="I151" s="12"/>
      <c r="J151" s="13"/>
      <c r="K151" s="14" t="str">
        <f>IF(C151="","",IFERROR(N('Fee Settings'!$C$5)*(E151+N(F151)-N(J151))+N('Fee Settings'!$C$6)*(E151+N(F151)+N(G151))+N('Fee Settings'!$C$7)+N('Fee Settings'!$C$10)*D151+IF(I151="Yes",MIN(N('Fee Settings'!$C$8)*(E151+N(F151)),N('Fee Settings'!$C$9)),0),""))</f>
        <v/>
      </c>
      <c r="L151" s="14" t="str">
        <f>IF(C151="","",IFERROR(D151*N(INDEX(Products!$C$5:$C$29,MATCH(C151,Lists!$A$2:$A$26,0))),""))</f>
        <v/>
      </c>
      <c r="M151" s="15" t="str">
        <f t="shared" si="2"/>
        <v/>
      </c>
    </row>
    <row r="152" spans="1:13" x14ac:dyDescent="0.35">
      <c r="A152" s="11"/>
      <c r="B152" s="12"/>
      <c r="C152" s="12"/>
      <c r="D152" s="12"/>
      <c r="E152" s="13"/>
      <c r="F152" s="13"/>
      <c r="G152" s="13"/>
      <c r="H152" s="13"/>
      <c r="I152" s="12"/>
      <c r="J152" s="13"/>
      <c r="K152" s="14" t="str">
        <f>IF(C152="","",IFERROR(N('Fee Settings'!$C$5)*(E152+N(F152)-N(J152))+N('Fee Settings'!$C$6)*(E152+N(F152)+N(G152))+N('Fee Settings'!$C$7)+N('Fee Settings'!$C$10)*D152+IF(I152="Yes",MIN(N('Fee Settings'!$C$8)*(E152+N(F152)),N('Fee Settings'!$C$9)),0),""))</f>
        <v/>
      </c>
      <c r="L152" s="14" t="str">
        <f>IF(C152="","",IFERROR(D152*N(INDEX(Products!$C$5:$C$29,MATCH(C152,Lists!$A$2:$A$26,0))),""))</f>
        <v/>
      </c>
      <c r="M152" s="15" t="str">
        <f t="shared" si="2"/>
        <v/>
      </c>
    </row>
    <row r="153" spans="1:13" x14ac:dyDescent="0.35">
      <c r="A153" s="11"/>
      <c r="B153" s="12"/>
      <c r="C153" s="12"/>
      <c r="D153" s="12"/>
      <c r="E153" s="13"/>
      <c r="F153" s="13"/>
      <c r="G153" s="13"/>
      <c r="H153" s="13"/>
      <c r="I153" s="12"/>
      <c r="J153" s="13"/>
      <c r="K153" s="14" t="str">
        <f>IF(C153="","",IFERROR(N('Fee Settings'!$C$5)*(E153+N(F153)-N(J153))+N('Fee Settings'!$C$6)*(E153+N(F153)+N(G153))+N('Fee Settings'!$C$7)+N('Fee Settings'!$C$10)*D153+IF(I153="Yes",MIN(N('Fee Settings'!$C$8)*(E153+N(F153)),N('Fee Settings'!$C$9)),0),""))</f>
        <v/>
      </c>
      <c r="L153" s="14" t="str">
        <f>IF(C153="","",IFERROR(D153*N(INDEX(Products!$C$5:$C$29,MATCH(C153,Lists!$A$2:$A$26,0))),""))</f>
        <v/>
      </c>
      <c r="M153" s="15" t="str">
        <f t="shared" si="2"/>
        <v/>
      </c>
    </row>
    <row r="154" spans="1:13" x14ac:dyDescent="0.35">
      <c r="A154" s="11"/>
      <c r="B154" s="12"/>
      <c r="C154" s="12"/>
      <c r="D154" s="12"/>
      <c r="E154" s="13"/>
      <c r="F154" s="13"/>
      <c r="G154" s="13"/>
      <c r="H154" s="13"/>
      <c r="I154" s="12"/>
      <c r="J154" s="13"/>
      <c r="K154" s="14" t="str">
        <f>IF(C154="","",IFERROR(N('Fee Settings'!$C$5)*(E154+N(F154)-N(J154))+N('Fee Settings'!$C$6)*(E154+N(F154)+N(G154))+N('Fee Settings'!$C$7)+N('Fee Settings'!$C$10)*D154+IF(I154="Yes",MIN(N('Fee Settings'!$C$8)*(E154+N(F154)),N('Fee Settings'!$C$9)),0),""))</f>
        <v/>
      </c>
      <c r="L154" s="14" t="str">
        <f>IF(C154="","",IFERROR(D154*N(INDEX(Products!$C$5:$C$29,MATCH(C154,Lists!$A$2:$A$26,0))),""))</f>
        <v/>
      </c>
      <c r="M154" s="15" t="str">
        <f t="shared" si="2"/>
        <v/>
      </c>
    </row>
    <row r="155" spans="1:13" x14ac:dyDescent="0.35">
      <c r="A155" s="11"/>
      <c r="B155" s="12"/>
      <c r="C155" s="12"/>
      <c r="D155" s="12"/>
      <c r="E155" s="13"/>
      <c r="F155" s="13"/>
      <c r="G155" s="13"/>
      <c r="H155" s="13"/>
      <c r="I155" s="12"/>
      <c r="J155" s="13"/>
      <c r="K155" s="14" t="str">
        <f>IF(C155="","",IFERROR(N('Fee Settings'!$C$5)*(E155+N(F155)-N(J155))+N('Fee Settings'!$C$6)*(E155+N(F155)+N(G155))+N('Fee Settings'!$C$7)+N('Fee Settings'!$C$10)*D155+IF(I155="Yes",MIN(N('Fee Settings'!$C$8)*(E155+N(F155)),N('Fee Settings'!$C$9)),0),""))</f>
        <v/>
      </c>
      <c r="L155" s="14" t="str">
        <f>IF(C155="","",IFERROR(D155*N(INDEX(Products!$C$5:$C$29,MATCH(C155,Lists!$A$2:$A$26,0))),""))</f>
        <v/>
      </c>
      <c r="M155" s="15" t="str">
        <f t="shared" si="2"/>
        <v/>
      </c>
    </row>
    <row r="156" spans="1:13" x14ac:dyDescent="0.35">
      <c r="A156" s="11"/>
      <c r="B156" s="12"/>
      <c r="C156" s="12"/>
      <c r="D156" s="12"/>
      <c r="E156" s="13"/>
      <c r="F156" s="13"/>
      <c r="G156" s="13"/>
      <c r="H156" s="13"/>
      <c r="I156" s="12"/>
      <c r="J156" s="13"/>
      <c r="K156" s="14" t="str">
        <f>IF(C156="","",IFERROR(N('Fee Settings'!$C$5)*(E156+N(F156)-N(J156))+N('Fee Settings'!$C$6)*(E156+N(F156)+N(G156))+N('Fee Settings'!$C$7)+N('Fee Settings'!$C$10)*D156+IF(I156="Yes",MIN(N('Fee Settings'!$C$8)*(E156+N(F156)),N('Fee Settings'!$C$9)),0),""))</f>
        <v/>
      </c>
      <c r="L156" s="14" t="str">
        <f>IF(C156="","",IFERROR(D156*N(INDEX(Products!$C$5:$C$29,MATCH(C156,Lists!$A$2:$A$26,0))),""))</f>
        <v/>
      </c>
      <c r="M156" s="15" t="str">
        <f t="shared" si="2"/>
        <v/>
      </c>
    </row>
    <row r="157" spans="1:13" x14ac:dyDescent="0.35">
      <c r="A157" s="11"/>
      <c r="B157" s="12"/>
      <c r="C157" s="12"/>
      <c r="D157" s="12"/>
      <c r="E157" s="13"/>
      <c r="F157" s="13"/>
      <c r="G157" s="13"/>
      <c r="H157" s="13"/>
      <c r="I157" s="12"/>
      <c r="J157" s="13"/>
      <c r="K157" s="14" t="str">
        <f>IF(C157="","",IFERROR(N('Fee Settings'!$C$5)*(E157+N(F157)-N(J157))+N('Fee Settings'!$C$6)*(E157+N(F157)+N(G157))+N('Fee Settings'!$C$7)+N('Fee Settings'!$C$10)*D157+IF(I157="Yes",MIN(N('Fee Settings'!$C$8)*(E157+N(F157)),N('Fee Settings'!$C$9)),0),""))</f>
        <v/>
      </c>
      <c r="L157" s="14" t="str">
        <f>IF(C157="","",IFERROR(D157*N(INDEX(Products!$C$5:$C$29,MATCH(C157,Lists!$A$2:$A$26,0))),""))</f>
        <v/>
      </c>
      <c r="M157" s="15" t="str">
        <f t="shared" si="2"/>
        <v/>
      </c>
    </row>
    <row r="158" spans="1:13" x14ac:dyDescent="0.35">
      <c r="A158" s="11"/>
      <c r="B158" s="12"/>
      <c r="C158" s="12"/>
      <c r="D158" s="12"/>
      <c r="E158" s="13"/>
      <c r="F158" s="13"/>
      <c r="G158" s="13"/>
      <c r="H158" s="13"/>
      <c r="I158" s="12"/>
      <c r="J158" s="13"/>
      <c r="K158" s="14" t="str">
        <f>IF(C158="","",IFERROR(N('Fee Settings'!$C$5)*(E158+N(F158)-N(J158))+N('Fee Settings'!$C$6)*(E158+N(F158)+N(G158))+N('Fee Settings'!$C$7)+N('Fee Settings'!$C$10)*D158+IF(I158="Yes",MIN(N('Fee Settings'!$C$8)*(E158+N(F158)),N('Fee Settings'!$C$9)),0),""))</f>
        <v/>
      </c>
      <c r="L158" s="14" t="str">
        <f>IF(C158="","",IFERROR(D158*N(INDEX(Products!$C$5:$C$29,MATCH(C158,Lists!$A$2:$A$26,0))),""))</f>
        <v/>
      </c>
      <c r="M158" s="15" t="str">
        <f t="shared" si="2"/>
        <v/>
      </c>
    </row>
    <row r="159" spans="1:13" x14ac:dyDescent="0.35">
      <c r="A159" s="11"/>
      <c r="B159" s="12"/>
      <c r="C159" s="12"/>
      <c r="D159" s="12"/>
      <c r="E159" s="13"/>
      <c r="F159" s="13"/>
      <c r="G159" s="13"/>
      <c r="H159" s="13"/>
      <c r="I159" s="12"/>
      <c r="J159" s="13"/>
      <c r="K159" s="14" t="str">
        <f>IF(C159="","",IFERROR(N('Fee Settings'!$C$5)*(E159+N(F159)-N(J159))+N('Fee Settings'!$C$6)*(E159+N(F159)+N(G159))+N('Fee Settings'!$C$7)+N('Fee Settings'!$C$10)*D159+IF(I159="Yes",MIN(N('Fee Settings'!$C$8)*(E159+N(F159)),N('Fee Settings'!$C$9)),0),""))</f>
        <v/>
      </c>
      <c r="L159" s="14" t="str">
        <f>IF(C159="","",IFERROR(D159*N(INDEX(Products!$C$5:$C$29,MATCH(C159,Lists!$A$2:$A$26,0))),""))</f>
        <v/>
      </c>
      <c r="M159" s="15" t="str">
        <f t="shared" si="2"/>
        <v/>
      </c>
    </row>
    <row r="160" spans="1:13" x14ac:dyDescent="0.35">
      <c r="A160" s="11"/>
      <c r="B160" s="12"/>
      <c r="C160" s="12"/>
      <c r="D160" s="12"/>
      <c r="E160" s="13"/>
      <c r="F160" s="13"/>
      <c r="G160" s="13"/>
      <c r="H160" s="13"/>
      <c r="I160" s="12"/>
      <c r="J160" s="13"/>
      <c r="K160" s="14" t="str">
        <f>IF(C160="","",IFERROR(N('Fee Settings'!$C$5)*(E160+N(F160)-N(J160))+N('Fee Settings'!$C$6)*(E160+N(F160)+N(G160))+N('Fee Settings'!$C$7)+N('Fee Settings'!$C$10)*D160+IF(I160="Yes",MIN(N('Fee Settings'!$C$8)*(E160+N(F160)),N('Fee Settings'!$C$9)),0),""))</f>
        <v/>
      </c>
      <c r="L160" s="14" t="str">
        <f>IF(C160="","",IFERROR(D160*N(INDEX(Products!$C$5:$C$29,MATCH(C160,Lists!$A$2:$A$26,0))),""))</f>
        <v/>
      </c>
      <c r="M160" s="15" t="str">
        <f t="shared" si="2"/>
        <v/>
      </c>
    </row>
    <row r="161" spans="1:13" x14ac:dyDescent="0.35">
      <c r="A161" s="11"/>
      <c r="B161" s="12"/>
      <c r="C161" s="12"/>
      <c r="D161" s="12"/>
      <c r="E161" s="13"/>
      <c r="F161" s="13"/>
      <c r="G161" s="13"/>
      <c r="H161" s="13"/>
      <c r="I161" s="12"/>
      <c r="J161" s="13"/>
      <c r="K161" s="14" t="str">
        <f>IF(C161="","",IFERROR(N('Fee Settings'!$C$5)*(E161+N(F161)-N(J161))+N('Fee Settings'!$C$6)*(E161+N(F161)+N(G161))+N('Fee Settings'!$C$7)+N('Fee Settings'!$C$10)*D161+IF(I161="Yes",MIN(N('Fee Settings'!$C$8)*(E161+N(F161)),N('Fee Settings'!$C$9)),0),""))</f>
        <v/>
      </c>
      <c r="L161" s="14" t="str">
        <f>IF(C161="","",IFERROR(D161*N(INDEX(Products!$C$5:$C$29,MATCH(C161,Lists!$A$2:$A$26,0))),""))</f>
        <v/>
      </c>
      <c r="M161" s="15" t="str">
        <f t="shared" si="2"/>
        <v/>
      </c>
    </row>
    <row r="162" spans="1:13" x14ac:dyDescent="0.35">
      <c r="A162" s="11"/>
      <c r="B162" s="12"/>
      <c r="C162" s="12"/>
      <c r="D162" s="12"/>
      <c r="E162" s="13"/>
      <c r="F162" s="13"/>
      <c r="G162" s="13"/>
      <c r="H162" s="13"/>
      <c r="I162" s="12"/>
      <c r="J162" s="13"/>
      <c r="K162" s="14" t="str">
        <f>IF(C162="","",IFERROR(N('Fee Settings'!$C$5)*(E162+N(F162)-N(J162))+N('Fee Settings'!$C$6)*(E162+N(F162)+N(G162))+N('Fee Settings'!$C$7)+N('Fee Settings'!$C$10)*D162+IF(I162="Yes",MIN(N('Fee Settings'!$C$8)*(E162+N(F162)),N('Fee Settings'!$C$9)),0),""))</f>
        <v/>
      </c>
      <c r="L162" s="14" t="str">
        <f>IF(C162="","",IFERROR(D162*N(INDEX(Products!$C$5:$C$29,MATCH(C162,Lists!$A$2:$A$26,0))),""))</f>
        <v/>
      </c>
      <c r="M162" s="15" t="str">
        <f t="shared" si="2"/>
        <v/>
      </c>
    </row>
    <row r="163" spans="1:13" x14ac:dyDescent="0.35">
      <c r="A163" s="11"/>
      <c r="B163" s="12"/>
      <c r="C163" s="12"/>
      <c r="D163" s="12"/>
      <c r="E163" s="13"/>
      <c r="F163" s="13"/>
      <c r="G163" s="13"/>
      <c r="H163" s="13"/>
      <c r="I163" s="12"/>
      <c r="J163" s="13"/>
      <c r="K163" s="14" t="str">
        <f>IF(C163="","",IFERROR(N('Fee Settings'!$C$5)*(E163+N(F163)-N(J163))+N('Fee Settings'!$C$6)*(E163+N(F163)+N(G163))+N('Fee Settings'!$C$7)+N('Fee Settings'!$C$10)*D163+IF(I163="Yes",MIN(N('Fee Settings'!$C$8)*(E163+N(F163)),N('Fee Settings'!$C$9)),0),""))</f>
        <v/>
      </c>
      <c r="L163" s="14" t="str">
        <f>IF(C163="","",IFERROR(D163*N(INDEX(Products!$C$5:$C$29,MATCH(C163,Lists!$A$2:$A$26,0))),""))</f>
        <v/>
      </c>
      <c r="M163" s="15" t="str">
        <f t="shared" si="2"/>
        <v/>
      </c>
    </row>
    <row r="164" spans="1:13" x14ac:dyDescent="0.35">
      <c r="A164" s="11"/>
      <c r="B164" s="12"/>
      <c r="C164" s="12"/>
      <c r="D164" s="12"/>
      <c r="E164" s="13"/>
      <c r="F164" s="13"/>
      <c r="G164" s="13"/>
      <c r="H164" s="13"/>
      <c r="I164" s="12"/>
      <c r="J164" s="13"/>
      <c r="K164" s="14" t="str">
        <f>IF(C164="","",IFERROR(N('Fee Settings'!$C$5)*(E164+N(F164)-N(J164))+N('Fee Settings'!$C$6)*(E164+N(F164)+N(G164))+N('Fee Settings'!$C$7)+N('Fee Settings'!$C$10)*D164+IF(I164="Yes",MIN(N('Fee Settings'!$C$8)*(E164+N(F164)),N('Fee Settings'!$C$9)),0),""))</f>
        <v/>
      </c>
      <c r="L164" s="14" t="str">
        <f>IF(C164="","",IFERROR(D164*N(INDEX(Products!$C$5:$C$29,MATCH(C164,Lists!$A$2:$A$26,0))),""))</f>
        <v/>
      </c>
      <c r="M164" s="15" t="str">
        <f t="shared" si="2"/>
        <v/>
      </c>
    </row>
    <row r="165" spans="1:13" x14ac:dyDescent="0.35">
      <c r="A165" s="11"/>
      <c r="B165" s="12"/>
      <c r="C165" s="12"/>
      <c r="D165" s="12"/>
      <c r="E165" s="13"/>
      <c r="F165" s="13"/>
      <c r="G165" s="13"/>
      <c r="H165" s="13"/>
      <c r="I165" s="12"/>
      <c r="J165" s="13"/>
      <c r="K165" s="14" t="str">
        <f>IF(C165="","",IFERROR(N('Fee Settings'!$C$5)*(E165+N(F165)-N(J165))+N('Fee Settings'!$C$6)*(E165+N(F165)+N(G165))+N('Fee Settings'!$C$7)+N('Fee Settings'!$C$10)*D165+IF(I165="Yes",MIN(N('Fee Settings'!$C$8)*(E165+N(F165)),N('Fee Settings'!$C$9)),0),""))</f>
        <v/>
      </c>
      <c r="L165" s="14" t="str">
        <f>IF(C165="","",IFERROR(D165*N(INDEX(Products!$C$5:$C$29,MATCH(C165,Lists!$A$2:$A$26,0))),""))</f>
        <v/>
      </c>
      <c r="M165" s="15" t="str">
        <f t="shared" si="2"/>
        <v/>
      </c>
    </row>
    <row r="166" spans="1:13" x14ac:dyDescent="0.35">
      <c r="A166" s="11"/>
      <c r="B166" s="12"/>
      <c r="C166" s="12"/>
      <c r="D166" s="12"/>
      <c r="E166" s="13"/>
      <c r="F166" s="13"/>
      <c r="G166" s="13"/>
      <c r="H166" s="13"/>
      <c r="I166" s="12"/>
      <c r="J166" s="13"/>
      <c r="K166" s="14" t="str">
        <f>IF(C166="","",IFERROR(N('Fee Settings'!$C$5)*(E166+N(F166)-N(J166))+N('Fee Settings'!$C$6)*(E166+N(F166)+N(G166))+N('Fee Settings'!$C$7)+N('Fee Settings'!$C$10)*D166+IF(I166="Yes",MIN(N('Fee Settings'!$C$8)*(E166+N(F166)),N('Fee Settings'!$C$9)),0),""))</f>
        <v/>
      </c>
      <c r="L166" s="14" t="str">
        <f>IF(C166="","",IFERROR(D166*N(INDEX(Products!$C$5:$C$29,MATCH(C166,Lists!$A$2:$A$26,0))),""))</f>
        <v/>
      </c>
      <c r="M166" s="15" t="str">
        <f t="shared" si="2"/>
        <v/>
      </c>
    </row>
    <row r="167" spans="1:13" x14ac:dyDescent="0.35">
      <c r="A167" s="11"/>
      <c r="B167" s="12"/>
      <c r="C167" s="12"/>
      <c r="D167" s="12"/>
      <c r="E167" s="13"/>
      <c r="F167" s="13"/>
      <c r="G167" s="13"/>
      <c r="H167" s="13"/>
      <c r="I167" s="12"/>
      <c r="J167" s="13"/>
      <c r="K167" s="14" t="str">
        <f>IF(C167="","",IFERROR(N('Fee Settings'!$C$5)*(E167+N(F167)-N(J167))+N('Fee Settings'!$C$6)*(E167+N(F167)+N(G167))+N('Fee Settings'!$C$7)+N('Fee Settings'!$C$10)*D167+IF(I167="Yes",MIN(N('Fee Settings'!$C$8)*(E167+N(F167)),N('Fee Settings'!$C$9)),0),""))</f>
        <v/>
      </c>
      <c r="L167" s="14" t="str">
        <f>IF(C167="","",IFERROR(D167*N(INDEX(Products!$C$5:$C$29,MATCH(C167,Lists!$A$2:$A$26,0))),""))</f>
        <v/>
      </c>
      <c r="M167" s="15" t="str">
        <f t="shared" si="2"/>
        <v/>
      </c>
    </row>
    <row r="168" spans="1:13" x14ac:dyDescent="0.35">
      <c r="A168" s="11"/>
      <c r="B168" s="12"/>
      <c r="C168" s="12"/>
      <c r="D168" s="12"/>
      <c r="E168" s="13"/>
      <c r="F168" s="13"/>
      <c r="G168" s="13"/>
      <c r="H168" s="13"/>
      <c r="I168" s="12"/>
      <c r="J168" s="13"/>
      <c r="K168" s="14" t="str">
        <f>IF(C168="","",IFERROR(N('Fee Settings'!$C$5)*(E168+N(F168)-N(J168))+N('Fee Settings'!$C$6)*(E168+N(F168)+N(G168))+N('Fee Settings'!$C$7)+N('Fee Settings'!$C$10)*D168+IF(I168="Yes",MIN(N('Fee Settings'!$C$8)*(E168+N(F168)),N('Fee Settings'!$C$9)),0),""))</f>
        <v/>
      </c>
      <c r="L168" s="14" t="str">
        <f>IF(C168="","",IFERROR(D168*N(INDEX(Products!$C$5:$C$29,MATCH(C168,Lists!$A$2:$A$26,0))),""))</f>
        <v/>
      </c>
      <c r="M168" s="15" t="str">
        <f t="shared" si="2"/>
        <v/>
      </c>
    </row>
    <row r="169" spans="1:13" x14ac:dyDescent="0.35">
      <c r="A169" s="11"/>
      <c r="B169" s="12"/>
      <c r="C169" s="12"/>
      <c r="D169" s="12"/>
      <c r="E169" s="13"/>
      <c r="F169" s="13"/>
      <c r="G169" s="13"/>
      <c r="H169" s="13"/>
      <c r="I169" s="12"/>
      <c r="J169" s="13"/>
      <c r="K169" s="14" t="str">
        <f>IF(C169="","",IFERROR(N('Fee Settings'!$C$5)*(E169+N(F169)-N(J169))+N('Fee Settings'!$C$6)*(E169+N(F169)+N(G169))+N('Fee Settings'!$C$7)+N('Fee Settings'!$C$10)*D169+IF(I169="Yes",MIN(N('Fee Settings'!$C$8)*(E169+N(F169)),N('Fee Settings'!$C$9)),0),""))</f>
        <v/>
      </c>
      <c r="L169" s="14" t="str">
        <f>IF(C169="","",IFERROR(D169*N(INDEX(Products!$C$5:$C$29,MATCH(C169,Lists!$A$2:$A$26,0))),""))</f>
        <v/>
      </c>
      <c r="M169" s="15" t="str">
        <f t="shared" si="2"/>
        <v/>
      </c>
    </row>
    <row r="170" spans="1:13" x14ac:dyDescent="0.35">
      <c r="A170" s="11"/>
      <c r="B170" s="12"/>
      <c r="C170" s="12"/>
      <c r="D170" s="12"/>
      <c r="E170" s="13"/>
      <c r="F170" s="13"/>
      <c r="G170" s="13"/>
      <c r="H170" s="13"/>
      <c r="I170" s="12"/>
      <c r="J170" s="13"/>
      <c r="K170" s="14" t="str">
        <f>IF(C170="","",IFERROR(N('Fee Settings'!$C$5)*(E170+N(F170)-N(J170))+N('Fee Settings'!$C$6)*(E170+N(F170)+N(G170))+N('Fee Settings'!$C$7)+N('Fee Settings'!$C$10)*D170+IF(I170="Yes",MIN(N('Fee Settings'!$C$8)*(E170+N(F170)),N('Fee Settings'!$C$9)),0),""))</f>
        <v/>
      </c>
      <c r="L170" s="14" t="str">
        <f>IF(C170="","",IFERROR(D170*N(INDEX(Products!$C$5:$C$29,MATCH(C170,Lists!$A$2:$A$26,0))),""))</f>
        <v/>
      </c>
      <c r="M170" s="15" t="str">
        <f t="shared" si="2"/>
        <v/>
      </c>
    </row>
    <row r="171" spans="1:13" x14ac:dyDescent="0.35">
      <c r="A171" s="11"/>
      <c r="B171" s="12"/>
      <c r="C171" s="12"/>
      <c r="D171" s="12"/>
      <c r="E171" s="13"/>
      <c r="F171" s="13"/>
      <c r="G171" s="13"/>
      <c r="H171" s="13"/>
      <c r="I171" s="12"/>
      <c r="J171" s="13"/>
      <c r="K171" s="14" t="str">
        <f>IF(C171="","",IFERROR(N('Fee Settings'!$C$5)*(E171+N(F171)-N(J171))+N('Fee Settings'!$C$6)*(E171+N(F171)+N(G171))+N('Fee Settings'!$C$7)+N('Fee Settings'!$C$10)*D171+IF(I171="Yes",MIN(N('Fee Settings'!$C$8)*(E171+N(F171)),N('Fee Settings'!$C$9)),0),""))</f>
        <v/>
      </c>
      <c r="L171" s="14" t="str">
        <f>IF(C171="","",IFERROR(D171*N(INDEX(Products!$C$5:$C$29,MATCH(C171,Lists!$A$2:$A$26,0))),""))</f>
        <v/>
      </c>
      <c r="M171" s="15" t="str">
        <f t="shared" si="2"/>
        <v/>
      </c>
    </row>
    <row r="172" spans="1:13" x14ac:dyDescent="0.35">
      <c r="A172" s="11"/>
      <c r="B172" s="12"/>
      <c r="C172" s="12"/>
      <c r="D172" s="12"/>
      <c r="E172" s="13"/>
      <c r="F172" s="13"/>
      <c r="G172" s="13"/>
      <c r="H172" s="13"/>
      <c r="I172" s="12"/>
      <c r="J172" s="13"/>
      <c r="K172" s="14" t="str">
        <f>IF(C172="","",IFERROR(N('Fee Settings'!$C$5)*(E172+N(F172)-N(J172))+N('Fee Settings'!$C$6)*(E172+N(F172)+N(G172))+N('Fee Settings'!$C$7)+N('Fee Settings'!$C$10)*D172+IF(I172="Yes",MIN(N('Fee Settings'!$C$8)*(E172+N(F172)),N('Fee Settings'!$C$9)),0),""))</f>
        <v/>
      </c>
      <c r="L172" s="14" t="str">
        <f>IF(C172="","",IFERROR(D172*N(INDEX(Products!$C$5:$C$29,MATCH(C172,Lists!$A$2:$A$26,0))),""))</f>
        <v/>
      </c>
      <c r="M172" s="15" t="str">
        <f t="shared" si="2"/>
        <v/>
      </c>
    </row>
    <row r="173" spans="1:13" x14ac:dyDescent="0.35">
      <c r="A173" s="11"/>
      <c r="B173" s="12"/>
      <c r="C173" s="12"/>
      <c r="D173" s="12"/>
      <c r="E173" s="13"/>
      <c r="F173" s="13"/>
      <c r="G173" s="13"/>
      <c r="H173" s="13"/>
      <c r="I173" s="12"/>
      <c r="J173" s="13"/>
      <c r="K173" s="14" t="str">
        <f>IF(C173="","",IFERROR(N('Fee Settings'!$C$5)*(E173+N(F173)-N(J173))+N('Fee Settings'!$C$6)*(E173+N(F173)+N(G173))+N('Fee Settings'!$C$7)+N('Fee Settings'!$C$10)*D173+IF(I173="Yes",MIN(N('Fee Settings'!$C$8)*(E173+N(F173)),N('Fee Settings'!$C$9)),0),""))</f>
        <v/>
      </c>
      <c r="L173" s="14" t="str">
        <f>IF(C173="","",IFERROR(D173*N(INDEX(Products!$C$5:$C$29,MATCH(C173,Lists!$A$2:$A$26,0))),""))</f>
        <v/>
      </c>
      <c r="M173" s="15" t="str">
        <f t="shared" si="2"/>
        <v/>
      </c>
    </row>
    <row r="174" spans="1:13" x14ac:dyDescent="0.35">
      <c r="A174" s="11"/>
      <c r="B174" s="12"/>
      <c r="C174" s="12"/>
      <c r="D174" s="12"/>
      <c r="E174" s="13"/>
      <c r="F174" s="13"/>
      <c r="G174" s="13"/>
      <c r="H174" s="13"/>
      <c r="I174" s="12"/>
      <c r="J174" s="13"/>
      <c r="K174" s="14" t="str">
        <f>IF(C174="","",IFERROR(N('Fee Settings'!$C$5)*(E174+N(F174)-N(J174))+N('Fee Settings'!$C$6)*(E174+N(F174)+N(G174))+N('Fee Settings'!$C$7)+N('Fee Settings'!$C$10)*D174+IF(I174="Yes",MIN(N('Fee Settings'!$C$8)*(E174+N(F174)),N('Fee Settings'!$C$9)),0),""))</f>
        <v/>
      </c>
      <c r="L174" s="14" t="str">
        <f>IF(C174="","",IFERROR(D174*N(INDEX(Products!$C$5:$C$29,MATCH(C174,Lists!$A$2:$A$26,0))),""))</f>
        <v/>
      </c>
      <c r="M174" s="15" t="str">
        <f t="shared" si="2"/>
        <v/>
      </c>
    </row>
    <row r="175" spans="1:13" x14ac:dyDescent="0.35">
      <c r="A175" s="11"/>
      <c r="B175" s="12"/>
      <c r="C175" s="12"/>
      <c r="D175" s="12"/>
      <c r="E175" s="13"/>
      <c r="F175" s="13"/>
      <c r="G175" s="13"/>
      <c r="H175" s="13"/>
      <c r="I175" s="12"/>
      <c r="J175" s="13"/>
      <c r="K175" s="14" t="str">
        <f>IF(C175="","",IFERROR(N('Fee Settings'!$C$5)*(E175+N(F175)-N(J175))+N('Fee Settings'!$C$6)*(E175+N(F175)+N(G175))+N('Fee Settings'!$C$7)+N('Fee Settings'!$C$10)*D175+IF(I175="Yes",MIN(N('Fee Settings'!$C$8)*(E175+N(F175)),N('Fee Settings'!$C$9)),0),""))</f>
        <v/>
      </c>
      <c r="L175" s="14" t="str">
        <f>IF(C175="","",IFERROR(D175*N(INDEX(Products!$C$5:$C$29,MATCH(C175,Lists!$A$2:$A$26,0))),""))</f>
        <v/>
      </c>
      <c r="M175" s="15" t="str">
        <f t="shared" si="2"/>
        <v/>
      </c>
    </row>
    <row r="176" spans="1:13" x14ac:dyDescent="0.35">
      <c r="A176" s="11"/>
      <c r="B176" s="12"/>
      <c r="C176" s="12"/>
      <c r="D176" s="12"/>
      <c r="E176" s="13"/>
      <c r="F176" s="13"/>
      <c r="G176" s="13"/>
      <c r="H176" s="13"/>
      <c r="I176" s="12"/>
      <c r="J176" s="13"/>
      <c r="K176" s="14" t="str">
        <f>IF(C176="","",IFERROR(N('Fee Settings'!$C$5)*(E176+N(F176)-N(J176))+N('Fee Settings'!$C$6)*(E176+N(F176)+N(G176))+N('Fee Settings'!$C$7)+N('Fee Settings'!$C$10)*D176+IF(I176="Yes",MIN(N('Fee Settings'!$C$8)*(E176+N(F176)),N('Fee Settings'!$C$9)),0),""))</f>
        <v/>
      </c>
      <c r="L176" s="14" t="str">
        <f>IF(C176="","",IFERROR(D176*N(INDEX(Products!$C$5:$C$29,MATCH(C176,Lists!$A$2:$A$26,0))),""))</f>
        <v/>
      </c>
      <c r="M176" s="15" t="str">
        <f t="shared" si="2"/>
        <v/>
      </c>
    </row>
    <row r="177" spans="1:13" x14ac:dyDescent="0.35">
      <c r="A177" s="11"/>
      <c r="B177" s="12"/>
      <c r="C177" s="12"/>
      <c r="D177" s="12"/>
      <c r="E177" s="13"/>
      <c r="F177" s="13"/>
      <c r="G177" s="13"/>
      <c r="H177" s="13"/>
      <c r="I177" s="12"/>
      <c r="J177" s="13"/>
      <c r="K177" s="14" t="str">
        <f>IF(C177="","",IFERROR(N('Fee Settings'!$C$5)*(E177+N(F177)-N(J177))+N('Fee Settings'!$C$6)*(E177+N(F177)+N(G177))+N('Fee Settings'!$C$7)+N('Fee Settings'!$C$10)*D177+IF(I177="Yes",MIN(N('Fee Settings'!$C$8)*(E177+N(F177)),N('Fee Settings'!$C$9)),0),""))</f>
        <v/>
      </c>
      <c r="L177" s="14" t="str">
        <f>IF(C177="","",IFERROR(D177*N(INDEX(Products!$C$5:$C$29,MATCH(C177,Lists!$A$2:$A$26,0))),""))</f>
        <v/>
      </c>
      <c r="M177" s="15" t="str">
        <f t="shared" si="2"/>
        <v/>
      </c>
    </row>
    <row r="178" spans="1:13" x14ac:dyDescent="0.35">
      <c r="A178" s="11"/>
      <c r="B178" s="12"/>
      <c r="C178" s="12"/>
      <c r="D178" s="12"/>
      <c r="E178" s="13"/>
      <c r="F178" s="13"/>
      <c r="G178" s="13"/>
      <c r="H178" s="13"/>
      <c r="I178" s="12"/>
      <c r="J178" s="13"/>
      <c r="K178" s="14" t="str">
        <f>IF(C178="","",IFERROR(N('Fee Settings'!$C$5)*(E178+N(F178)-N(J178))+N('Fee Settings'!$C$6)*(E178+N(F178)+N(G178))+N('Fee Settings'!$C$7)+N('Fee Settings'!$C$10)*D178+IF(I178="Yes",MIN(N('Fee Settings'!$C$8)*(E178+N(F178)),N('Fee Settings'!$C$9)),0),""))</f>
        <v/>
      </c>
      <c r="L178" s="14" t="str">
        <f>IF(C178="","",IFERROR(D178*N(INDEX(Products!$C$5:$C$29,MATCH(C178,Lists!$A$2:$A$26,0))),""))</f>
        <v/>
      </c>
      <c r="M178" s="15" t="str">
        <f t="shared" si="2"/>
        <v/>
      </c>
    </row>
    <row r="179" spans="1:13" x14ac:dyDescent="0.35">
      <c r="A179" s="11"/>
      <c r="B179" s="12"/>
      <c r="C179" s="12"/>
      <c r="D179" s="12"/>
      <c r="E179" s="13"/>
      <c r="F179" s="13"/>
      <c r="G179" s="13"/>
      <c r="H179" s="13"/>
      <c r="I179" s="12"/>
      <c r="J179" s="13"/>
      <c r="K179" s="14" t="str">
        <f>IF(C179="","",IFERROR(N('Fee Settings'!$C$5)*(E179+N(F179)-N(J179))+N('Fee Settings'!$C$6)*(E179+N(F179)+N(G179))+N('Fee Settings'!$C$7)+N('Fee Settings'!$C$10)*D179+IF(I179="Yes",MIN(N('Fee Settings'!$C$8)*(E179+N(F179)),N('Fee Settings'!$C$9)),0),""))</f>
        <v/>
      </c>
      <c r="L179" s="14" t="str">
        <f>IF(C179="","",IFERROR(D179*N(INDEX(Products!$C$5:$C$29,MATCH(C179,Lists!$A$2:$A$26,0))),""))</f>
        <v/>
      </c>
      <c r="M179" s="15" t="str">
        <f t="shared" si="2"/>
        <v/>
      </c>
    </row>
    <row r="180" spans="1:13" x14ac:dyDescent="0.35">
      <c r="A180" s="11"/>
      <c r="B180" s="12"/>
      <c r="C180" s="12"/>
      <c r="D180" s="12"/>
      <c r="E180" s="13"/>
      <c r="F180" s="13"/>
      <c r="G180" s="13"/>
      <c r="H180" s="13"/>
      <c r="I180" s="12"/>
      <c r="J180" s="13"/>
      <c r="K180" s="14" t="str">
        <f>IF(C180="","",IFERROR(N('Fee Settings'!$C$5)*(E180+N(F180)-N(J180))+N('Fee Settings'!$C$6)*(E180+N(F180)+N(G180))+N('Fee Settings'!$C$7)+N('Fee Settings'!$C$10)*D180+IF(I180="Yes",MIN(N('Fee Settings'!$C$8)*(E180+N(F180)),N('Fee Settings'!$C$9)),0),""))</f>
        <v/>
      </c>
      <c r="L180" s="14" t="str">
        <f>IF(C180="","",IFERROR(D180*N(INDEX(Products!$C$5:$C$29,MATCH(C180,Lists!$A$2:$A$26,0))),""))</f>
        <v/>
      </c>
      <c r="M180" s="15" t="str">
        <f t="shared" si="2"/>
        <v/>
      </c>
    </row>
    <row r="181" spans="1:13" x14ac:dyDescent="0.35">
      <c r="A181" s="11"/>
      <c r="B181" s="12"/>
      <c r="C181" s="12"/>
      <c r="D181" s="12"/>
      <c r="E181" s="13"/>
      <c r="F181" s="13"/>
      <c r="G181" s="13"/>
      <c r="H181" s="13"/>
      <c r="I181" s="12"/>
      <c r="J181" s="13"/>
      <c r="K181" s="14" t="str">
        <f>IF(C181="","",IFERROR(N('Fee Settings'!$C$5)*(E181+N(F181)-N(J181))+N('Fee Settings'!$C$6)*(E181+N(F181)+N(G181))+N('Fee Settings'!$C$7)+N('Fee Settings'!$C$10)*D181+IF(I181="Yes",MIN(N('Fee Settings'!$C$8)*(E181+N(F181)),N('Fee Settings'!$C$9)),0),""))</f>
        <v/>
      </c>
      <c r="L181" s="14" t="str">
        <f>IF(C181="","",IFERROR(D181*N(INDEX(Products!$C$5:$C$29,MATCH(C181,Lists!$A$2:$A$26,0))),""))</f>
        <v/>
      </c>
      <c r="M181" s="15" t="str">
        <f t="shared" si="2"/>
        <v/>
      </c>
    </row>
    <row r="182" spans="1:13" x14ac:dyDescent="0.35">
      <c r="A182" s="11"/>
      <c r="B182" s="12"/>
      <c r="C182" s="12"/>
      <c r="D182" s="12"/>
      <c r="E182" s="13"/>
      <c r="F182" s="13"/>
      <c r="G182" s="13"/>
      <c r="H182" s="13"/>
      <c r="I182" s="12"/>
      <c r="J182" s="13"/>
      <c r="K182" s="14" t="str">
        <f>IF(C182="","",IFERROR(N('Fee Settings'!$C$5)*(E182+N(F182)-N(J182))+N('Fee Settings'!$C$6)*(E182+N(F182)+N(G182))+N('Fee Settings'!$C$7)+N('Fee Settings'!$C$10)*D182+IF(I182="Yes",MIN(N('Fee Settings'!$C$8)*(E182+N(F182)),N('Fee Settings'!$C$9)),0),""))</f>
        <v/>
      </c>
      <c r="L182" s="14" t="str">
        <f>IF(C182="","",IFERROR(D182*N(INDEX(Products!$C$5:$C$29,MATCH(C182,Lists!$A$2:$A$26,0))),""))</f>
        <v/>
      </c>
      <c r="M182" s="15" t="str">
        <f t="shared" si="2"/>
        <v/>
      </c>
    </row>
    <row r="183" spans="1:13" x14ac:dyDescent="0.35">
      <c r="A183" s="11"/>
      <c r="B183" s="12"/>
      <c r="C183" s="12"/>
      <c r="D183" s="12"/>
      <c r="E183" s="13"/>
      <c r="F183" s="13"/>
      <c r="G183" s="13"/>
      <c r="H183" s="13"/>
      <c r="I183" s="12"/>
      <c r="J183" s="13"/>
      <c r="K183" s="14" t="str">
        <f>IF(C183="","",IFERROR(N('Fee Settings'!$C$5)*(E183+N(F183)-N(J183))+N('Fee Settings'!$C$6)*(E183+N(F183)+N(G183))+N('Fee Settings'!$C$7)+N('Fee Settings'!$C$10)*D183+IF(I183="Yes",MIN(N('Fee Settings'!$C$8)*(E183+N(F183)),N('Fee Settings'!$C$9)),0),""))</f>
        <v/>
      </c>
      <c r="L183" s="14" t="str">
        <f>IF(C183="","",IFERROR(D183*N(INDEX(Products!$C$5:$C$29,MATCH(C183,Lists!$A$2:$A$26,0))),""))</f>
        <v/>
      </c>
      <c r="M183" s="15" t="str">
        <f t="shared" si="2"/>
        <v/>
      </c>
    </row>
    <row r="184" spans="1:13" x14ac:dyDescent="0.35">
      <c r="A184" s="11"/>
      <c r="B184" s="12"/>
      <c r="C184" s="12"/>
      <c r="D184" s="12"/>
      <c r="E184" s="13"/>
      <c r="F184" s="13"/>
      <c r="G184" s="13"/>
      <c r="H184" s="13"/>
      <c r="I184" s="12"/>
      <c r="J184" s="13"/>
      <c r="K184" s="14" t="str">
        <f>IF(C184="","",IFERROR(N('Fee Settings'!$C$5)*(E184+N(F184)-N(J184))+N('Fee Settings'!$C$6)*(E184+N(F184)+N(G184))+N('Fee Settings'!$C$7)+N('Fee Settings'!$C$10)*D184+IF(I184="Yes",MIN(N('Fee Settings'!$C$8)*(E184+N(F184)),N('Fee Settings'!$C$9)),0),""))</f>
        <v/>
      </c>
      <c r="L184" s="14" t="str">
        <f>IF(C184="","",IFERROR(D184*N(INDEX(Products!$C$5:$C$29,MATCH(C184,Lists!$A$2:$A$26,0))),""))</f>
        <v/>
      </c>
      <c r="M184" s="15" t="str">
        <f t="shared" si="2"/>
        <v/>
      </c>
    </row>
    <row r="185" spans="1:13" x14ac:dyDescent="0.35">
      <c r="A185" s="11"/>
      <c r="B185" s="12"/>
      <c r="C185" s="12"/>
      <c r="D185" s="12"/>
      <c r="E185" s="13"/>
      <c r="F185" s="13"/>
      <c r="G185" s="13"/>
      <c r="H185" s="13"/>
      <c r="I185" s="12"/>
      <c r="J185" s="13"/>
      <c r="K185" s="14" t="str">
        <f>IF(C185="","",IFERROR(N('Fee Settings'!$C$5)*(E185+N(F185)-N(J185))+N('Fee Settings'!$C$6)*(E185+N(F185)+N(G185))+N('Fee Settings'!$C$7)+N('Fee Settings'!$C$10)*D185+IF(I185="Yes",MIN(N('Fee Settings'!$C$8)*(E185+N(F185)),N('Fee Settings'!$C$9)),0),""))</f>
        <v/>
      </c>
      <c r="L185" s="14" t="str">
        <f>IF(C185="","",IFERROR(D185*N(INDEX(Products!$C$5:$C$29,MATCH(C185,Lists!$A$2:$A$26,0))),""))</f>
        <v/>
      </c>
      <c r="M185" s="15" t="str">
        <f t="shared" si="2"/>
        <v/>
      </c>
    </row>
    <row r="186" spans="1:13" x14ac:dyDescent="0.35">
      <c r="A186" s="11"/>
      <c r="B186" s="12"/>
      <c r="C186" s="12"/>
      <c r="D186" s="12"/>
      <c r="E186" s="13"/>
      <c r="F186" s="13"/>
      <c r="G186" s="13"/>
      <c r="H186" s="13"/>
      <c r="I186" s="12"/>
      <c r="J186" s="13"/>
      <c r="K186" s="14" t="str">
        <f>IF(C186="","",IFERROR(N('Fee Settings'!$C$5)*(E186+N(F186)-N(J186))+N('Fee Settings'!$C$6)*(E186+N(F186)+N(G186))+N('Fee Settings'!$C$7)+N('Fee Settings'!$C$10)*D186+IF(I186="Yes",MIN(N('Fee Settings'!$C$8)*(E186+N(F186)),N('Fee Settings'!$C$9)),0),""))</f>
        <v/>
      </c>
      <c r="L186" s="14" t="str">
        <f>IF(C186="","",IFERROR(D186*N(INDEX(Products!$C$5:$C$29,MATCH(C186,Lists!$A$2:$A$26,0))),""))</f>
        <v/>
      </c>
      <c r="M186" s="15" t="str">
        <f t="shared" si="2"/>
        <v/>
      </c>
    </row>
    <row r="187" spans="1:13" x14ac:dyDescent="0.35">
      <c r="A187" s="11"/>
      <c r="B187" s="12"/>
      <c r="C187" s="12"/>
      <c r="D187" s="12"/>
      <c r="E187" s="13"/>
      <c r="F187" s="13"/>
      <c r="G187" s="13"/>
      <c r="H187" s="13"/>
      <c r="I187" s="12"/>
      <c r="J187" s="13"/>
      <c r="K187" s="14" t="str">
        <f>IF(C187="","",IFERROR(N('Fee Settings'!$C$5)*(E187+N(F187)-N(J187))+N('Fee Settings'!$C$6)*(E187+N(F187)+N(G187))+N('Fee Settings'!$C$7)+N('Fee Settings'!$C$10)*D187+IF(I187="Yes",MIN(N('Fee Settings'!$C$8)*(E187+N(F187)),N('Fee Settings'!$C$9)),0),""))</f>
        <v/>
      </c>
      <c r="L187" s="14" t="str">
        <f>IF(C187="","",IFERROR(D187*N(INDEX(Products!$C$5:$C$29,MATCH(C187,Lists!$A$2:$A$26,0))),""))</f>
        <v/>
      </c>
      <c r="M187" s="15" t="str">
        <f t="shared" si="2"/>
        <v/>
      </c>
    </row>
    <row r="188" spans="1:13" x14ac:dyDescent="0.35">
      <c r="A188" s="11"/>
      <c r="B188" s="12"/>
      <c r="C188" s="12"/>
      <c r="D188" s="12"/>
      <c r="E188" s="13"/>
      <c r="F188" s="13"/>
      <c r="G188" s="13"/>
      <c r="H188" s="13"/>
      <c r="I188" s="12"/>
      <c r="J188" s="13"/>
      <c r="K188" s="14" t="str">
        <f>IF(C188="","",IFERROR(N('Fee Settings'!$C$5)*(E188+N(F188)-N(J188))+N('Fee Settings'!$C$6)*(E188+N(F188)+N(G188))+N('Fee Settings'!$C$7)+N('Fee Settings'!$C$10)*D188+IF(I188="Yes",MIN(N('Fee Settings'!$C$8)*(E188+N(F188)),N('Fee Settings'!$C$9)),0),""))</f>
        <v/>
      </c>
      <c r="L188" s="14" t="str">
        <f>IF(C188="","",IFERROR(D188*N(INDEX(Products!$C$5:$C$29,MATCH(C188,Lists!$A$2:$A$26,0))),""))</f>
        <v/>
      </c>
      <c r="M188" s="15" t="str">
        <f t="shared" si="2"/>
        <v/>
      </c>
    </row>
    <row r="189" spans="1:13" x14ac:dyDescent="0.35">
      <c r="A189" s="11"/>
      <c r="B189" s="12"/>
      <c r="C189" s="12"/>
      <c r="D189" s="12"/>
      <c r="E189" s="13"/>
      <c r="F189" s="13"/>
      <c r="G189" s="13"/>
      <c r="H189" s="13"/>
      <c r="I189" s="12"/>
      <c r="J189" s="13"/>
      <c r="K189" s="14" t="str">
        <f>IF(C189="","",IFERROR(N('Fee Settings'!$C$5)*(E189+N(F189)-N(J189))+N('Fee Settings'!$C$6)*(E189+N(F189)+N(G189))+N('Fee Settings'!$C$7)+N('Fee Settings'!$C$10)*D189+IF(I189="Yes",MIN(N('Fee Settings'!$C$8)*(E189+N(F189)),N('Fee Settings'!$C$9)),0),""))</f>
        <v/>
      </c>
      <c r="L189" s="14" t="str">
        <f>IF(C189="","",IFERROR(D189*N(INDEX(Products!$C$5:$C$29,MATCH(C189,Lists!$A$2:$A$26,0))),""))</f>
        <v/>
      </c>
      <c r="M189" s="15" t="str">
        <f t="shared" si="2"/>
        <v/>
      </c>
    </row>
    <row r="190" spans="1:13" x14ac:dyDescent="0.35">
      <c r="A190" s="11"/>
      <c r="B190" s="12"/>
      <c r="C190" s="12"/>
      <c r="D190" s="12"/>
      <c r="E190" s="13"/>
      <c r="F190" s="13"/>
      <c r="G190" s="13"/>
      <c r="H190" s="13"/>
      <c r="I190" s="12"/>
      <c r="J190" s="13"/>
      <c r="K190" s="14" t="str">
        <f>IF(C190="","",IFERROR(N('Fee Settings'!$C$5)*(E190+N(F190)-N(J190))+N('Fee Settings'!$C$6)*(E190+N(F190)+N(G190))+N('Fee Settings'!$C$7)+N('Fee Settings'!$C$10)*D190+IF(I190="Yes",MIN(N('Fee Settings'!$C$8)*(E190+N(F190)),N('Fee Settings'!$C$9)),0),""))</f>
        <v/>
      </c>
      <c r="L190" s="14" t="str">
        <f>IF(C190="","",IFERROR(D190*N(INDEX(Products!$C$5:$C$29,MATCH(C190,Lists!$A$2:$A$26,0))),""))</f>
        <v/>
      </c>
      <c r="M190" s="15" t="str">
        <f t="shared" si="2"/>
        <v/>
      </c>
    </row>
    <row r="191" spans="1:13" x14ac:dyDescent="0.35">
      <c r="A191" s="11"/>
      <c r="B191" s="12"/>
      <c r="C191" s="12"/>
      <c r="D191" s="12"/>
      <c r="E191" s="13"/>
      <c r="F191" s="13"/>
      <c r="G191" s="13"/>
      <c r="H191" s="13"/>
      <c r="I191" s="12"/>
      <c r="J191" s="13"/>
      <c r="K191" s="14" t="str">
        <f>IF(C191="","",IFERROR(N('Fee Settings'!$C$5)*(E191+N(F191)-N(J191))+N('Fee Settings'!$C$6)*(E191+N(F191)+N(G191))+N('Fee Settings'!$C$7)+N('Fee Settings'!$C$10)*D191+IF(I191="Yes",MIN(N('Fee Settings'!$C$8)*(E191+N(F191)),N('Fee Settings'!$C$9)),0),""))</f>
        <v/>
      </c>
      <c r="L191" s="14" t="str">
        <f>IF(C191="","",IFERROR(D191*N(INDEX(Products!$C$5:$C$29,MATCH(C191,Lists!$A$2:$A$26,0))),""))</f>
        <v/>
      </c>
      <c r="M191" s="15" t="str">
        <f t="shared" si="2"/>
        <v/>
      </c>
    </row>
    <row r="192" spans="1:13" x14ac:dyDescent="0.35">
      <c r="A192" s="11"/>
      <c r="B192" s="12"/>
      <c r="C192" s="12"/>
      <c r="D192" s="12"/>
      <c r="E192" s="13"/>
      <c r="F192" s="13"/>
      <c r="G192" s="13"/>
      <c r="H192" s="13"/>
      <c r="I192" s="12"/>
      <c r="J192" s="13"/>
      <c r="K192" s="14" t="str">
        <f>IF(C192="","",IFERROR(N('Fee Settings'!$C$5)*(E192+N(F192)-N(J192))+N('Fee Settings'!$C$6)*(E192+N(F192)+N(G192))+N('Fee Settings'!$C$7)+N('Fee Settings'!$C$10)*D192+IF(I192="Yes",MIN(N('Fee Settings'!$C$8)*(E192+N(F192)),N('Fee Settings'!$C$9)),0),""))</f>
        <v/>
      </c>
      <c r="L192" s="14" t="str">
        <f>IF(C192="","",IFERROR(D192*N(INDEX(Products!$C$5:$C$29,MATCH(C192,Lists!$A$2:$A$26,0))),""))</f>
        <v/>
      </c>
      <c r="M192" s="15" t="str">
        <f t="shared" si="2"/>
        <v/>
      </c>
    </row>
    <row r="193" spans="1:13" x14ac:dyDescent="0.35">
      <c r="A193" s="11"/>
      <c r="B193" s="12"/>
      <c r="C193" s="12"/>
      <c r="D193" s="12"/>
      <c r="E193" s="13"/>
      <c r="F193" s="13"/>
      <c r="G193" s="13"/>
      <c r="H193" s="13"/>
      <c r="I193" s="12"/>
      <c r="J193" s="13"/>
      <c r="K193" s="14" t="str">
        <f>IF(C193="","",IFERROR(N('Fee Settings'!$C$5)*(E193+N(F193)-N(J193))+N('Fee Settings'!$C$6)*(E193+N(F193)+N(G193))+N('Fee Settings'!$C$7)+N('Fee Settings'!$C$10)*D193+IF(I193="Yes",MIN(N('Fee Settings'!$C$8)*(E193+N(F193)),N('Fee Settings'!$C$9)),0),""))</f>
        <v/>
      </c>
      <c r="L193" s="14" t="str">
        <f>IF(C193="","",IFERROR(D193*N(INDEX(Products!$C$5:$C$29,MATCH(C193,Lists!$A$2:$A$26,0))),""))</f>
        <v/>
      </c>
      <c r="M193" s="15" t="str">
        <f t="shared" si="2"/>
        <v/>
      </c>
    </row>
    <row r="194" spans="1:13" x14ac:dyDescent="0.35">
      <c r="A194" s="11"/>
      <c r="B194" s="12"/>
      <c r="C194" s="12"/>
      <c r="D194" s="12"/>
      <c r="E194" s="13"/>
      <c r="F194" s="13"/>
      <c r="G194" s="13"/>
      <c r="H194" s="13"/>
      <c r="I194" s="12"/>
      <c r="J194" s="13"/>
      <c r="K194" s="14" t="str">
        <f>IF(C194="","",IFERROR(N('Fee Settings'!$C$5)*(E194+N(F194)-N(J194))+N('Fee Settings'!$C$6)*(E194+N(F194)+N(G194))+N('Fee Settings'!$C$7)+N('Fee Settings'!$C$10)*D194+IF(I194="Yes",MIN(N('Fee Settings'!$C$8)*(E194+N(F194)),N('Fee Settings'!$C$9)),0),""))</f>
        <v/>
      </c>
      <c r="L194" s="14" t="str">
        <f>IF(C194="","",IFERROR(D194*N(INDEX(Products!$C$5:$C$29,MATCH(C194,Lists!$A$2:$A$26,0))),""))</f>
        <v/>
      </c>
      <c r="M194" s="15" t="str">
        <f t="shared" si="2"/>
        <v/>
      </c>
    </row>
    <row r="195" spans="1:13" x14ac:dyDescent="0.35">
      <c r="A195" s="11"/>
      <c r="B195" s="12"/>
      <c r="C195" s="12"/>
      <c r="D195" s="12"/>
      <c r="E195" s="13"/>
      <c r="F195" s="13"/>
      <c r="G195" s="13"/>
      <c r="H195" s="13"/>
      <c r="I195" s="12"/>
      <c r="J195" s="13"/>
      <c r="K195" s="14" t="str">
        <f>IF(C195="","",IFERROR(N('Fee Settings'!$C$5)*(E195+N(F195)-N(J195))+N('Fee Settings'!$C$6)*(E195+N(F195)+N(G195))+N('Fee Settings'!$C$7)+N('Fee Settings'!$C$10)*D195+IF(I195="Yes",MIN(N('Fee Settings'!$C$8)*(E195+N(F195)),N('Fee Settings'!$C$9)),0),""))</f>
        <v/>
      </c>
      <c r="L195" s="14" t="str">
        <f>IF(C195="","",IFERROR(D195*N(INDEX(Products!$C$5:$C$29,MATCH(C195,Lists!$A$2:$A$26,0))),""))</f>
        <v/>
      </c>
      <c r="M195" s="15" t="str">
        <f t="shared" si="2"/>
        <v/>
      </c>
    </row>
    <row r="196" spans="1:13" x14ac:dyDescent="0.35">
      <c r="A196" s="11"/>
      <c r="B196" s="12"/>
      <c r="C196" s="12"/>
      <c r="D196" s="12"/>
      <c r="E196" s="13"/>
      <c r="F196" s="13"/>
      <c r="G196" s="13"/>
      <c r="H196" s="13"/>
      <c r="I196" s="12"/>
      <c r="J196" s="13"/>
      <c r="K196" s="14" t="str">
        <f>IF(C196="","",IFERROR(N('Fee Settings'!$C$5)*(E196+N(F196)-N(J196))+N('Fee Settings'!$C$6)*(E196+N(F196)+N(G196))+N('Fee Settings'!$C$7)+N('Fee Settings'!$C$10)*D196+IF(I196="Yes",MIN(N('Fee Settings'!$C$8)*(E196+N(F196)),N('Fee Settings'!$C$9)),0),""))</f>
        <v/>
      </c>
      <c r="L196" s="14" t="str">
        <f>IF(C196="","",IFERROR(D196*N(INDEX(Products!$C$5:$C$29,MATCH(C196,Lists!$A$2:$A$26,0))),""))</f>
        <v/>
      </c>
      <c r="M196" s="15" t="str">
        <f t="shared" si="2"/>
        <v/>
      </c>
    </row>
    <row r="197" spans="1:13" x14ac:dyDescent="0.35">
      <c r="A197" s="11"/>
      <c r="B197" s="12"/>
      <c r="C197" s="12"/>
      <c r="D197" s="12"/>
      <c r="E197" s="13"/>
      <c r="F197" s="13"/>
      <c r="G197" s="13"/>
      <c r="H197" s="13"/>
      <c r="I197" s="12"/>
      <c r="J197" s="13"/>
      <c r="K197" s="14" t="str">
        <f>IF(C197="","",IFERROR(N('Fee Settings'!$C$5)*(E197+N(F197)-N(J197))+N('Fee Settings'!$C$6)*(E197+N(F197)+N(G197))+N('Fee Settings'!$C$7)+N('Fee Settings'!$C$10)*D197+IF(I197="Yes",MIN(N('Fee Settings'!$C$8)*(E197+N(F197)),N('Fee Settings'!$C$9)),0),""))</f>
        <v/>
      </c>
      <c r="L197" s="14" t="str">
        <f>IF(C197="","",IFERROR(D197*N(INDEX(Products!$C$5:$C$29,MATCH(C197,Lists!$A$2:$A$26,0))),""))</f>
        <v/>
      </c>
      <c r="M197" s="15" t="str">
        <f t="shared" ref="M197:M260" si="3">IF(C197="","",IFERROR(E197+N(F197)-N(J197)-K197-L197-N(H197),""))</f>
        <v/>
      </c>
    </row>
    <row r="198" spans="1:13" x14ac:dyDescent="0.35">
      <c r="A198" s="11"/>
      <c r="B198" s="12"/>
      <c r="C198" s="12"/>
      <c r="D198" s="12"/>
      <c r="E198" s="13"/>
      <c r="F198" s="13"/>
      <c r="G198" s="13"/>
      <c r="H198" s="13"/>
      <c r="I198" s="12"/>
      <c r="J198" s="13"/>
      <c r="K198" s="14" t="str">
        <f>IF(C198="","",IFERROR(N('Fee Settings'!$C$5)*(E198+N(F198)-N(J198))+N('Fee Settings'!$C$6)*(E198+N(F198)+N(G198))+N('Fee Settings'!$C$7)+N('Fee Settings'!$C$10)*D198+IF(I198="Yes",MIN(N('Fee Settings'!$C$8)*(E198+N(F198)),N('Fee Settings'!$C$9)),0),""))</f>
        <v/>
      </c>
      <c r="L198" s="14" t="str">
        <f>IF(C198="","",IFERROR(D198*N(INDEX(Products!$C$5:$C$29,MATCH(C198,Lists!$A$2:$A$26,0))),""))</f>
        <v/>
      </c>
      <c r="M198" s="15" t="str">
        <f t="shared" si="3"/>
        <v/>
      </c>
    </row>
    <row r="199" spans="1:13" x14ac:dyDescent="0.35">
      <c r="A199" s="11"/>
      <c r="B199" s="12"/>
      <c r="C199" s="12"/>
      <c r="D199" s="12"/>
      <c r="E199" s="13"/>
      <c r="F199" s="13"/>
      <c r="G199" s="13"/>
      <c r="H199" s="13"/>
      <c r="I199" s="12"/>
      <c r="J199" s="13"/>
      <c r="K199" s="14" t="str">
        <f>IF(C199="","",IFERROR(N('Fee Settings'!$C$5)*(E199+N(F199)-N(J199))+N('Fee Settings'!$C$6)*(E199+N(F199)+N(G199))+N('Fee Settings'!$C$7)+N('Fee Settings'!$C$10)*D199+IF(I199="Yes",MIN(N('Fee Settings'!$C$8)*(E199+N(F199)),N('Fee Settings'!$C$9)),0),""))</f>
        <v/>
      </c>
      <c r="L199" s="14" t="str">
        <f>IF(C199="","",IFERROR(D199*N(INDEX(Products!$C$5:$C$29,MATCH(C199,Lists!$A$2:$A$26,0))),""))</f>
        <v/>
      </c>
      <c r="M199" s="15" t="str">
        <f t="shared" si="3"/>
        <v/>
      </c>
    </row>
    <row r="200" spans="1:13" x14ac:dyDescent="0.35">
      <c r="A200" s="11"/>
      <c r="B200" s="12"/>
      <c r="C200" s="12"/>
      <c r="D200" s="12"/>
      <c r="E200" s="13"/>
      <c r="F200" s="13"/>
      <c r="G200" s="13"/>
      <c r="H200" s="13"/>
      <c r="I200" s="12"/>
      <c r="J200" s="13"/>
      <c r="K200" s="14" t="str">
        <f>IF(C200="","",IFERROR(N('Fee Settings'!$C$5)*(E200+N(F200)-N(J200))+N('Fee Settings'!$C$6)*(E200+N(F200)+N(G200))+N('Fee Settings'!$C$7)+N('Fee Settings'!$C$10)*D200+IF(I200="Yes",MIN(N('Fee Settings'!$C$8)*(E200+N(F200)),N('Fee Settings'!$C$9)),0),""))</f>
        <v/>
      </c>
      <c r="L200" s="14" t="str">
        <f>IF(C200="","",IFERROR(D200*N(INDEX(Products!$C$5:$C$29,MATCH(C200,Lists!$A$2:$A$26,0))),""))</f>
        <v/>
      </c>
      <c r="M200" s="15" t="str">
        <f t="shared" si="3"/>
        <v/>
      </c>
    </row>
    <row r="201" spans="1:13" x14ac:dyDescent="0.35">
      <c r="A201" s="11"/>
      <c r="B201" s="12"/>
      <c r="C201" s="12"/>
      <c r="D201" s="12"/>
      <c r="E201" s="13"/>
      <c r="F201" s="13"/>
      <c r="G201" s="13"/>
      <c r="H201" s="13"/>
      <c r="I201" s="12"/>
      <c r="J201" s="13"/>
      <c r="K201" s="14" t="str">
        <f>IF(C201="","",IFERROR(N('Fee Settings'!$C$5)*(E201+N(F201)-N(J201))+N('Fee Settings'!$C$6)*(E201+N(F201)+N(G201))+N('Fee Settings'!$C$7)+N('Fee Settings'!$C$10)*D201+IF(I201="Yes",MIN(N('Fee Settings'!$C$8)*(E201+N(F201)),N('Fee Settings'!$C$9)),0),""))</f>
        <v/>
      </c>
      <c r="L201" s="14" t="str">
        <f>IF(C201="","",IFERROR(D201*N(INDEX(Products!$C$5:$C$29,MATCH(C201,Lists!$A$2:$A$26,0))),""))</f>
        <v/>
      </c>
      <c r="M201" s="15" t="str">
        <f t="shared" si="3"/>
        <v/>
      </c>
    </row>
    <row r="202" spans="1:13" x14ac:dyDescent="0.35">
      <c r="A202" s="11"/>
      <c r="B202" s="12"/>
      <c r="C202" s="12"/>
      <c r="D202" s="12"/>
      <c r="E202" s="13"/>
      <c r="F202" s="13"/>
      <c r="G202" s="13"/>
      <c r="H202" s="13"/>
      <c r="I202" s="12"/>
      <c r="J202" s="13"/>
      <c r="K202" s="14" t="str">
        <f>IF(C202="","",IFERROR(N('Fee Settings'!$C$5)*(E202+N(F202)-N(J202))+N('Fee Settings'!$C$6)*(E202+N(F202)+N(G202))+N('Fee Settings'!$C$7)+N('Fee Settings'!$C$10)*D202+IF(I202="Yes",MIN(N('Fee Settings'!$C$8)*(E202+N(F202)),N('Fee Settings'!$C$9)),0),""))</f>
        <v/>
      </c>
      <c r="L202" s="14" t="str">
        <f>IF(C202="","",IFERROR(D202*N(INDEX(Products!$C$5:$C$29,MATCH(C202,Lists!$A$2:$A$26,0))),""))</f>
        <v/>
      </c>
      <c r="M202" s="15" t="str">
        <f t="shared" si="3"/>
        <v/>
      </c>
    </row>
    <row r="203" spans="1:13" x14ac:dyDescent="0.35">
      <c r="A203" s="11"/>
      <c r="B203" s="12"/>
      <c r="C203" s="12"/>
      <c r="D203" s="12"/>
      <c r="E203" s="13"/>
      <c r="F203" s="13"/>
      <c r="G203" s="13"/>
      <c r="H203" s="13"/>
      <c r="I203" s="12"/>
      <c r="J203" s="13"/>
      <c r="K203" s="14" t="str">
        <f>IF(C203="","",IFERROR(N('Fee Settings'!$C$5)*(E203+N(F203)-N(J203))+N('Fee Settings'!$C$6)*(E203+N(F203)+N(G203))+N('Fee Settings'!$C$7)+N('Fee Settings'!$C$10)*D203+IF(I203="Yes",MIN(N('Fee Settings'!$C$8)*(E203+N(F203)),N('Fee Settings'!$C$9)),0),""))</f>
        <v/>
      </c>
      <c r="L203" s="14" t="str">
        <f>IF(C203="","",IFERROR(D203*N(INDEX(Products!$C$5:$C$29,MATCH(C203,Lists!$A$2:$A$26,0))),""))</f>
        <v/>
      </c>
      <c r="M203" s="15" t="str">
        <f t="shared" si="3"/>
        <v/>
      </c>
    </row>
    <row r="204" spans="1:13" x14ac:dyDescent="0.35">
      <c r="A204" s="11"/>
      <c r="B204" s="12"/>
      <c r="C204" s="12"/>
      <c r="D204" s="12"/>
      <c r="E204" s="13"/>
      <c r="F204" s="13"/>
      <c r="G204" s="13"/>
      <c r="H204" s="13"/>
      <c r="I204" s="12"/>
      <c r="J204" s="13"/>
      <c r="K204" s="14" t="str">
        <f>IF(C204="","",IFERROR(N('Fee Settings'!$C$5)*(E204+N(F204)-N(J204))+N('Fee Settings'!$C$6)*(E204+N(F204)+N(G204))+N('Fee Settings'!$C$7)+N('Fee Settings'!$C$10)*D204+IF(I204="Yes",MIN(N('Fee Settings'!$C$8)*(E204+N(F204)),N('Fee Settings'!$C$9)),0),""))</f>
        <v/>
      </c>
      <c r="L204" s="14" t="str">
        <f>IF(C204="","",IFERROR(D204*N(INDEX(Products!$C$5:$C$29,MATCH(C204,Lists!$A$2:$A$26,0))),""))</f>
        <v/>
      </c>
      <c r="M204" s="15" t="str">
        <f t="shared" si="3"/>
        <v/>
      </c>
    </row>
    <row r="205" spans="1:13" x14ac:dyDescent="0.35">
      <c r="A205" s="11"/>
      <c r="B205" s="12"/>
      <c r="C205" s="12"/>
      <c r="D205" s="12"/>
      <c r="E205" s="13"/>
      <c r="F205" s="13"/>
      <c r="G205" s="13"/>
      <c r="H205" s="13"/>
      <c r="I205" s="12"/>
      <c r="J205" s="13"/>
      <c r="K205" s="14" t="str">
        <f>IF(C205="","",IFERROR(N('Fee Settings'!$C$5)*(E205+N(F205)-N(J205))+N('Fee Settings'!$C$6)*(E205+N(F205)+N(G205))+N('Fee Settings'!$C$7)+N('Fee Settings'!$C$10)*D205+IF(I205="Yes",MIN(N('Fee Settings'!$C$8)*(E205+N(F205)),N('Fee Settings'!$C$9)),0),""))</f>
        <v/>
      </c>
      <c r="L205" s="14" t="str">
        <f>IF(C205="","",IFERROR(D205*N(INDEX(Products!$C$5:$C$29,MATCH(C205,Lists!$A$2:$A$26,0))),""))</f>
        <v/>
      </c>
      <c r="M205" s="15" t="str">
        <f t="shared" si="3"/>
        <v/>
      </c>
    </row>
    <row r="206" spans="1:13" x14ac:dyDescent="0.35">
      <c r="A206" s="11"/>
      <c r="B206" s="12"/>
      <c r="C206" s="12"/>
      <c r="D206" s="12"/>
      <c r="E206" s="13"/>
      <c r="F206" s="13"/>
      <c r="G206" s="13"/>
      <c r="H206" s="13"/>
      <c r="I206" s="12"/>
      <c r="J206" s="13"/>
      <c r="K206" s="14" t="str">
        <f>IF(C206="","",IFERROR(N('Fee Settings'!$C$5)*(E206+N(F206)-N(J206))+N('Fee Settings'!$C$6)*(E206+N(F206)+N(G206))+N('Fee Settings'!$C$7)+N('Fee Settings'!$C$10)*D206+IF(I206="Yes",MIN(N('Fee Settings'!$C$8)*(E206+N(F206)),N('Fee Settings'!$C$9)),0),""))</f>
        <v/>
      </c>
      <c r="L206" s="14" t="str">
        <f>IF(C206="","",IFERROR(D206*N(INDEX(Products!$C$5:$C$29,MATCH(C206,Lists!$A$2:$A$26,0))),""))</f>
        <v/>
      </c>
      <c r="M206" s="15" t="str">
        <f t="shared" si="3"/>
        <v/>
      </c>
    </row>
    <row r="207" spans="1:13" x14ac:dyDescent="0.35">
      <c r="A207" s="11"/>
      <c r="B207" s="12"/>
      <c r="C207" s="12"/>
      <c r="D207" s="12"/>
      <c r="E207" s="13"/>
      <c r="F207" s="13"/>
      <c r="G207" s="13"/>
      <c r="H207" s="13"/>
      <c r="I207" s="12"/>
      <c r="J207" s="13"/>
      <c r="K207" s="14" t="str">
        <f>IF(C207="","",IFERROR(N('Fee Settings'!$C$5)*(E207+N(F207)-N(J207))+N('Fee Settings'!$C$6)*(E207+N(F207)+N(G207))+N('Fee Settings'!$C$7)+N('Fee Settings'!$C$10)*D207+IF(I207="Yes",MIN(N('Fee Settings'!$C$8)*(E207+N(F207)),N('Fee Settings'!$C$9)),0),""))</f>
        <v/>
      </c>
      <c r="L207" s="14" t="str">
        <f>IF(C207="","",IFERROR(D207*N(INDEX(Products!$C$5:$C$29,MATCH(C207,Lists!$A$2:$A$26,0))),""))</f>
        <v/>
      </c>
      <c r="M207" s="15" t="str">
        <f t="shared" si="3"/>
        <v/>
      </c>
    </row>
    <row r="208" spans="1:13" x14ac:dyDescent="0.35">
      <c r="A208" s="11"/>
      <c r="B208" s="12"/>
      <c r="C208" s="12"/>
      <c r="D208" s="12"/>
      <c r="E208" s="13"/>
      <c r="F208" s="13"/>
      <c r="G208" s="13"/>
      <c r="H208" s="13"/>
      <c r="I208" s="12"/>
      <c r="J208" s="13"/>
      <c r="K208" s="14" t="str">
        <f>IF(C208="","",IFERROR(N('Fee Settings'!$C$5)*(E208+N(F208)-N(J208))+N('Fee Settings'!$C$6)*(E208+N(F208)+N(G208))+N('Fee Settings'!$C$7)+N('Fee Settings'!$C$10)*D208+IF(I208="Yes",MIN(N('Fee Settings'!$C$8)*(E208+N(F208)),N('Fee Settings'!$C$9)),0),""))</f>
        <v/>
      </c>
      <c r="L208" s="14" t="str">
        <f>IF(C208="","",IFERROR(D208*N(INDEX(Products!$C$5:$C$29,MATCH(C208,Lists!$A$2:$A$26,0))),""))</f>
        <v/>
      </c>
      <c r="M208" s="15" t="str">
        <f t="shared" si="3"/>
        <v/>
      </c>
    </row>
    <row r="209" spans="1:13" x14ac:dyDescent="0.35">
      <c r="A209" s="11"/>
      <c r="B209" s="12"/>
      <c r="C209" s="12"/>
      <c r="D209" s="12"/>
      <c r="E209" s="13"/>
      <c r="F209" s="13"/>
      <c r="G209" s="13"/>
      <c r="H209" s="13"/>
      <c r="I209" s="12"/>
      <c r="J209" s="13"/>
      <c r="K209" s="14" t="str">
        <f>IF(C209="","",IFERROR(N('Fee Settings'!$C$5)*(E209+N(F209)-N(J209))+N('Fee Settings'!$C$6)*(E209+N(F209)+N(G209))+N('Fee Settings'!$C$7)+N('Fee Settings'!$C$10)*D209+IF(I209="Yes",MIN(N('Fee Settings'!$C$8)*(E209+N(F209)),N('Fee Settings'!$C$9)),0),""))</f>
        <v/>
      </c>
      <c r="L209" s="14" t="str">
        <f>IF(C209="","",IFERROR(D209*N(INDEX(Products!$C$5:$C$29,MATCH(C209,Lists!$A$2:$A$26,0))),""))</f>
        <v/>
      </c>
      <c r="M209" s="15" t="str">
        <f t="shared" si="3"/>
        <v/>
      </c>
    </row>
    <row r="210" spans="1:13" x14ac:dyDescent="0.35">
      <c r="A210" s="11"/>
      <c r="B210" s="12"/>
      <c r="C210" s="12"/>
      <c r="D210" s="12"/>
      <c r="E210" s="13"/>
      <c r="F210" s="13"/>
      <c r="G210" s="13"/>
      <c r="H210" s="13"/>
      <c r="I210" s="12"/>
      <c r="J210" s="13"/>
      <c r="K210" s="14" t="str">
        <f>IF(C210="","",IFERROR(N('Fee Settings'!$C$5)*(E210+N(F210)-N(J210))+N('Fee Settings'!$C$6)*(E210+N(F210)+N(G210))+N('Fee Settings'!$C$7)+N('Fee Settings'!$C$10)*D210+IF(I210="Yes",MIN(N('Fee Settings'!$C$8)*(E210+N(F210)),N('Fee Settings'!$C$9)),0),""))</f>
        <v/>
      </c>
      <c r="L210" s="14" t="str">
        <f>IF(C210="","",IFERROR(D210*N(INDEX(Products!$C$5:$C$29,MATCH(C210,Lists!$A$2:$A$26,0))),""))</f>
        <v/>
      </c>
      <c r="M210" s="15" t="str">
        <f t="shared" si="3"/>
        <v/>
      </c>
    </row>
    <row r="211" spans="1:13" x14ac:dyDescent="0.35">
      <c r="A211" s="11"/>
      <c r="B211" s="12"/>
      <c r="C211" s="12"/>
      <c r="D211" s="12"/>
      <c r="E211" s="13"/>
      <c r="F211" s="13"/>
      <c r="G211" s="13"/>
      <c r="H211" s="13"/>
      <c r="I211" s="12"/>
      <c r="J211" s="13"/>
      <c r="K211" s="14" t="str">
        <f>IF(C211="","",IFERROR(N('Fee Settings'!$C$5)*(E211+N(F211)-N(J211))+N('Fee Settings'!$C$6)*(E211+N(F211)+N(G211))+N('Fee Settings'!$C$7)+N('Fee Settings'!$C$10)*D211+IF(I211="Yes",MIN(N('Fee Settings'!$C$8)*(E211+N(F211)),N('Fee Settings'!$C$9)),0),""))</f>
        <v/>
      </c>
      <c r="L211" s="14" t="str">
        <f>IF(C211="","",IFERROR(D211*N(INDEX(Products!$C$5:$C$29,MATCH(C211,Lists!$A$2:$A$26,0))),""))</f>
        <v/>
      </c>
      <c r="M211" s="15" t="str">
        <f t="shared" si="3"/>
        <v/>
      </c>
    </row>
    <row r="212" spans="1:13" x14ac:dyDescent="0.35">
      <c r="A212" s="11"/>
      <c r="B212" s="12"/>
      <c r="C212" s="12"/>
      <c r="D212" s="12"/>
      <c r="E212" s="13"/>
      <c r="F212" s="13"/>
      <c r="G212" s="13"/>
      <c r="H212" s="13"/>
      <c r="I212" s="12"/>
      <c r="J212" s="13"/>
      <c r="K212" s="14" t="str">
        <f>IF(C212="","",IFERROR(N('Fee Settings'!$C$5)*(E212+N(F212)-N(J212))+N('Fee Settings'!$C$6)*(E212+N(F212)+N(G212))+N('Fee Settings'!$C$7)+N('Fee Settings'!$C$10)*D212+IF(I212="Yes",MIN(N('Fee Settings'!$C$8)*(E212+N(F212)),N('Fee Settings'!$C$9)),0),""))</f>
        <v/>
      </c>
      <c r="L212" s="14" t="str">
        <f>IF(C212="","",IFERROR(D212*N(INDEX(Products!$C$5:$C$29,MATCH(C212,Lists!$A$2:$A$26,0))),""))</f>
        <v/>
      </c>
      <c r="M212" s="15" t="str">
        <f t="shared" si="3"/>
        <v/>
      </c>
    </row>
    <row r="213" spans="1:13" x14ac:dyDescent="0.35">
      <c r="A213" s="11"/>
      <c r="B213" s="12"/>
      <c r="C213" s="12"/>
      <c r="D213" s="12"/>
      <c r="E213" s="13"/>
      <c r="F213" s="13"/>
      <c r="G213" s="13"/>
      <c r="H213" s="13"/>
      <c r="I213" s="12"/>
      <c r="J213" s="13"/>
      <c r="K213" s="14" t="str">
        <f>IF(C213="","",IFERROR(N('Fee Settings'!$C$5)*(E213+N(F213)-N(J213))+N('Fee Settings'!$C$6)*(E213+N(F213)+N(G213))+N('Fee Settings'!$C$7)+N('Fee Settings'!$C$10)*D213+IF(I213="Yes",MIN(N('Fee Settings'!$C$8)*(E213+N(F213)),N('Fee Settings'!$C$9)),0),""))</f>
        <v/>
      </c>
      <c r="L213" s="14" t="str">
        <f>IF(C213="","",IFERROR(D213*N(INDEX(Products!$C$5:$C$29,MATCH(C213,Lists!$A$2:$A$26,0))),""))</f>
        <v/>
      </c>
      <c r="M213" s="15" t="str">
        <f t="shared" si="3"/>
        <v/>
      </c>
    </row>
    <row r="214" spans="1:13" x14ac:dyDescent="0.35">
      <c r="A214" s="11"/>
      <c r="B214" s="12"/>
      <c r="C214" s="12"/>
      <c r="D214" s="12"/>
      <c r="E214" s="13"/>
      <c r="F214" s="13"/>
      <c r="G214" s="13"/>
      <c r="H214" s="13"/>
      <c r="I214" s="12"/>
      <c r="J214" s="13"/>
      <c r="K214" s="14" t="str">
        <f>IF(C214="","",IFERROR(N('Fee Settings'!$C$5)*(E214+N(F214)-N(J214))+N('Fee Settings'!$C$6)*(E214+N(F214)+N(G214))+N('Fee Settings'!$C$7)+N('Fee Settings'!$C$10)*D214+IF(I214="Yes",MIN(N('Fee Settings'!$C$8)*(E214+N(F214)),N('Fee Settings'!$C$9)),0),""))</f>
        <v/>
      </c>
      <c r="L214" s="14" t="str">
        <f>IF(C214="","",IFERROR(D214*N(INDEX(Products!$C$5:$C$29,MATCH(C214,Lists!$A$2:$A$26,0))),""))</f>
        <v/>
      </c>
      <c r="M214" s="15" t="str">
        <f t="shared" si="3"/>
        <v/>
      </c>
    </row>
    <row r="215" spans="1:13" x14ac:dyDescent="0.35">
      <c r="A215" s="11"/>
      <c r="B215" s="12"/>
      <c r="C215" s="12"/>
      <c r="D215" s="12"/>
      <c r="E215" s="13"/>
      <c r="F215" s="13"/>
      <c r="G215" s="13"/>
      <c r="H215" s="13"/>
      <c r="I215" s="12"/>
      <c r="J215" s="13"/>
      <c r="K215" s="14" t="str">
        <f>IF(C215="","",IFERROR(N('Fee Settings'!$C$5)*(E215+N(F215)-N(J215))+N('Fee Settings'!$C$6)*(E215+N(F215)+N(G215))+N('Fee Settings'!$C$7)+N('Fee Settings'!$C$10)*D215+IF(I215="Yes",MIN(N('Fee Settings'!$C$8)*(E215+N(F215)),N('Fee Settings'!$C$9)),0),""))</f>
        <v/>
      </c>
      <c r="L215" s="14" t="str">
        <f>IF(C215="","",IFERROR(D215*N(INDEX(Products!$C$5:$C$29,MATCH(C215,Lists!$A$2:$A$26,0))),""))</f>
        <v/>
      </c>
      <c r="M215" s="15" t="str">
        <f t="shared" si="3"/>
        <v/>
      </c>
    </row>
    <row r="216" spans="1:13" x14ac:dyDescent="0.35">
      <c r="A216" s="11"/>
      <c r="B216" s="12"/>
      <c r="C216" s="12"/>
      <c r="D216" s="12"/>
      <c r="E216" s="13"/>
      <c r="F216" s="13"/>
      <c r="G216" s="13"/>
      <c r="H216" s="13"/>
      <c r="I216" s="12"/>
      <c r="J216" s="13"/>
      <c r="K216" s="14" t="str">
        <f>IF(C216="","",IFERROR(N('Fee Settings'!$C$5)*(E216+N(F216)-N(J216))+N('Fee Settings'!$C$6)*(E216+N(F216)+N(G216))+N('Fee Settings'!$C$7)+N('Fee Settings'!$C$10)*D216+IF(I216="Yes",MIN(N('Fee Settings'!$C$8)*(E216+N(F216)),N('Fee Settings'!$C$9)),0),""))</f>
        <v/>
      </c>
      <c r="L216" s="14" t="str">
        <f>IF(C216="","",IFERROR(D216*N(INDEX(Products!$C$5:$C$29,MATCH(C216,Lists!$A$2:$A$26,0))),""))</f>
        <v/>
      </c>
      <c r="M216" s="15" t="str">
        <f t="shared" si="3"/>
        <v/>
      </c>
    </row>
    <row r="217" spans="1:13" x14ac:dyDescent="0.35">
      <c r="A217" s="11"/>
      <c r="B217" s="12"/>
      <c r="C217" s="12"/>
      <c r="D217" s="12"/>
      <c r="E217" s="13"/>
      <c r="F217" s="13"/>
      <c r="G217" s="13"/>
      <c r="H217" s="13"/>
      <c r="I217" s="12"/>
      <c r="J217" s="13"/>
      <c r="K217" s="14" t="str">
        <f>IF(C217="","",IFERROR(N('Fee Settings'!$C$5)*(E217+N(F217)-N(J217))+N('Fee Settings'!$C$6)*(E217+N(F217)+N(G217))+N('Fee Settings'!$C$7)+N('Fee Settings'!$C$10)*D217+IF(I217="Yes",MIN(N('Fee Settings'!$C$8)*(E217+N(F217)),N('Fee Settings'!$C$9)),0),""))</f>
        <v/>
      </c>
      <c r="L217" s="14" t="str">
        <f>IF(C217="","",IFERROR(D217*N(INDEX(Products!$C$5:$C$29,MATCH(C217,Lists!$A$2:$A$26,0))),""))</f>
        <v/>
      </c>
      <c r="M217" s="15" t="str">
        <f t="shared" si="3"/>
        <v/>
      </c>
    </row>
    <row r="218" spans="1:13" x14ac:dyDescent="0.35">
      <c r="A218" s="11"/>
      <c r="B218" s="12"/>
      <c r="C218" s="12"/>
      <c r="D218" s="12"/>
      <c r="E218" s="13"/>
      <c r="F218" s="13"/>
      <c r="G218" s="13"/>
      <c r="H218" s="13"/>
      <c r="I218" s="12"/>
      <c r="J218" s="13"/>
      <c r="K218" s="14" t="str">
        <f>IF(C218="","",IFERROR(N('Fee Settings'!$C$5)*(E218+N(F218)-N(J218))+N('Fee Settings'!$C$6)*(E218+N(F218)+N(G218))+N('Fee Settings'!$C$7)+N('Fee Settings'!$C$10)*D218+IF(I218="Yes",MIN(N('Fee Settings'!$C$8)*(E218+N(F218)),N('Fee Settings'!$C$9)),0),""))</f>
        <v/>
      </c>
      <c r="L218" s="14" t="str">
        <f>IF(C218="","",IFERROR(D218*N(INDEX(Products!$C$5:$C$29,MATCH(C218,Lists!$A$2:$A$26,0))),""))</f>
        <v/>
      </c>
      <c r="M218" s="15" t="str">
        <f t="shared" si="3"/>
        <v/>
      </c>
    </row>
    <row r="219" spans="1:13" x14ac:dyDescent="0.35">
      <c r="A219" s="11"/>
      <c r="B219" s="12"/>
      <c r="C219" s="12"/>
      <c r="D219" s="12"/>
      <c r="E219" s="13"/>
      <c r="F219" s="13"/>
      <c r="G219" s="13"/>
      <c r="H219" s="13"/>
      <c r="I219" s="12"/>
      <c r="J219" s="13"/>
      <c r="K219" s="14" t="str">
        <f>IF(C219="","",IFERROR(N('Fee Settings'!$C$5)*(E219+N(F219)-N(J219))+N('Fee Settings'!$C$6)*(E219+N(F219)+N(G219))+N('Fee Settings'!$C$7)+N('Fee Settings'!$C$10)*D219+IF(I219="Yes",MIN(N('Fee Settings'!$C$8)*(E219+N(F219)),N('Fee Settings'!$C$9)),0),""))</f>
        <v/>
      </c>
      <c r="L219" s="14" t="str">
        <f>IF(C219="","",IFERROR(D219*N(INDEX(Products!$C$5:$C$29,MATCH(C219,Lists!$A$2:$A$26,0))),""))</f>
        <v/>
      </c>
      <c r="M219" s="15" t="str">
        <f t="shared" si="3"/>
        <v/>
      </c>
    </row>
    <row r="220" spans="1:13" x14ac:dyDescent="0.35">
      <c r="A220" s="11"/>
      <c r="B220" s="12"/>
      <c r="C220" s="12"/>
      <c r="D220" s="12"/>
      <c r="E220" s="13"/>
      <c r="F220" s="13"/>
      <c r="G220" s="13"/>
      <c r="H220" s="13"/>
      <c r="I220" s="12"/>
      <c r="J220" s="13"/>
      <c r="K220" s="14" t="str">
        <f>IF(C220="","",IFERROR(N('Fee Settings'!$C$5)*(E220+N(F220)-N(J220))+N('Fee Settings'!$C$6)*(E220+N(F220)+N(G220))+N('Fee Settings'!$C$7)+N('Fee Settings'!$C$10)*D220+IF(I220="Yes",MIN(N('Fee Settings'!$C$8)*(E220+N(F220)),N('Fee Settings'!$C$9)),0),""))</f>
        <v/>
      </c>
      <c r="L220" s="14" t="str">
        <f>IF(C220="","",IFERROR(D220*N(INDEX(Products!$C$5:$C$29,MATCH(C220,Lists!$A$2:$A$26,0))),""))</f>
        <v/>
      </c>
      <c r="M220" s="15" t="str">
        <f t="shared" si="3"/>
        <v/>
      </c>
    </row>
    <row r="221" spans="1:13" x14ac:dyDescent="0.35">
      <c r="A221" s="11"/>
      <c r="B221" s="12"/>
      <c r="C221" s="12"/>
      <c r="D221" s="12"/>
      <c r="E221" s="13"/>
      <c r="F221" s="13"/>
      <c r="G221" s="13"/>
      <c r="H221" s="13"/>
      <c r="I221" s="12"/>
      <c r="J221" s="13"/>
      <c r="K221" s="14" t="str">
        <f>IF(C221="","",IFERROR(N('Fee Settings'!$C$5)*(E221+N(F221)-N(J221))+N('Fee Settings'!$C$6)*(E221+N(F221)+N(G221))+N('Fee Settings'!$C$7)+N('Fee Settings'!$C$10)*D221+IF(I221="Yes",MIN(N('Fee Settings'!$C$8)*(E221+N(F221)),N('Fee Settings'!$C$9)),0),""))</f>
        <v/>
      </c>
      <c r="L221" s="14" t="str">
        <f>IF(C221="","",IFERROR(D221*N(INDEX(Products!$C$5:$C$29,MATCH(C221,Lists!$A$2:$A$26,0))),""))</f>
        <v/>
      </c>
      <c r="M221" s="15" t="str">
        <f t="shared" si="3"/>
        <v/>
      </c>
    </row>
    <row r="222" spans="1:13" x14ac:dyDescent="0.35">
      <c r="A222" s="11"/>
      <c r="B222" s="12"/>
      <c r="C222" s="12"/>
      <c r="D222" s="12"/>
      <c r="E222" s="13"/>
      <c r="F222" s="13"/>
      <c r="G222" s="13"/>
      <c r="H222" s="13"/>
      <c r="I222" s="12"/>
      <c r="J222" s="13"/>
      <c r="K222" s="14" t="str">
        <f>IF(C222="","",IFERROR(N('Fee Settings'!$C$5)*(E222+N(F222)-N(J222))+N('Fee Settings'!$C$6)*(E222+N(F222)+N(G222))+N('Fee Settings'!$C$7)+N('Fee Settings'!$C$10)*D222+IF(I222="Yes",MIN(N('Fee Settings'!$C$8)*(E222+N(F222)),N('Fee Settings'!$C$9)),0),""))</f>
        <v/>
      </c>
      <c r="L222" s="14" t="str">
        <f>IF(C222="","",IFERROR(D222*N(INDEX(Products!$C$5:$C$29,MATCH(C222,Lists!$A$2:$A$26,0))),""))</f>
        <v/>
      </c>
      <c r="M222" s="15" t="str">
        <f t="shared" si="3"/>
        <v/>
      </c>
    </row>
    <row r="223" spans="1:13" x14ac:dyDescent="0.35">
      <c r="A223" s="11"/>
      <c r="B223" s="12"/>
      <c r="C223" s="12"/>
      <c r="D223" s="12"/>
      <c r="E223" s="13"/>
      <c r="F223" s="13"/>
      <c r="G223" s="13"/>
      <c r="H223" s="13"/>
      <c r="I223" s="12"/>
      <c r="J223" s="13"/>
      <c r="K223" s="14" t="str">
        <f>IF(C223="","",IFERROR(N('Fee Settings'!$C$5)*(E223+N(F223)-N(J223))+N('Fee Settings'!$C$6)*(E223+N(F223)+N(G223))+N('Fee Settings'!$C$7)+N('Fee Settings'!$C$10)*D223+IF(I223="Yes",MIN(N('Fee Settings'!$C$8)*(E223+N(F223)),N('Fee Settings'!$C$9)),0),""))</f>
        <v/>
      </c>
      <c r="L223" s="14" t="str">
        <f>IF(C223="","",IFERROR(D223*N(INDEX(Products!$C$5:$C$29,MATCH(C223,Lists!$A$2:$A$26,0))),""))</f>
        <v/>
      </c>
      <c r="M223" s="15" t="str">
        <f t="shared" si="3"/>
        <v/>
      </c>
    </row>
    <row r="224" spans="1:13" x14ac:dyDescent="0.35">
      <c r="A224" s="11"/>
      <c r="B224" s="12"/>
      <c r="C224" s="12"/>
      <c r="D224" s="12"/>
      <c r="E224" s="13"/>
      <c r="F224" s="13"/>
      <c r="G224" s="13"/>
      <c r="H224" s="13"/>
      <c r="I224" s="12"/>
      <c r="J224" s="13"/>
      <c r="K224" s="14" t="str">
        <f>IF(C224="","",IFERROR(N('Fee Settings'!$C$5)*(E224+N(F224)-N(J224))+N('Fee Settings'!$C$6)*(E224+N(F224)+N(G224))+N('Fee Settings'!$C$7)+N('Fee Settings'!$C$10)*D224+IF(I224="Yes",MIN(N('Fee Settings'!$C$8)*(E224+N(F224)),N('Fee Settings'!$C$9)),0),""))</f>
        <v/>
      </c>
      <c r="L224" s="14" t="str">
        <f>IF(C224="","",IFERROR(D224*N(INDEX(Products!$C$5:$C$29,MATCH(C224,Lists!$A$2:$A$26,0))),""))</f>
        <v/>
      </c>
      <c r="M224" s="15" t="str">
        <f t="shared" si="3"/>
        <v/>
      </c>
    </row>
    <row r="225" spans="1:13" x14ac:dyDescent="0.35">
      <c r="A225" s="11"/>
      <c r="B225" s="12"/>
      <c r="C225" s="12"/>
      <c r="D225" s="12"/>
      <c r="E225" s="13"/>
      <c r="F225" s="13"/>
      <c r="G225" s="13"/>
      <c r="H225" s="13"/>
      <c r="I225" s="12"/>
      <c r="J225" s="13"/>
      <c r="K225" s="14" t="str">
        <f>IF(C225="","",IFERROR(N('Fee Settings'!$C$5)*(E225+N(F225)-N(J225))+N('Fee Settings'!$C$6)*(E225+N(F225)+N(G225))+N('Fee Settings'!$C$7)+N('Fee Settings'!$C$10)*D225+IF(I225="Yes",MIN(N('Fee Settings'!$C$8)*(E225+N(F225)),N('Fee Settings'!$C$9)),0),""))</f>
        <v/>
      </c>
      <c r="L225" s="14" t="str">
        <f>IF(C225="","",IFERROR(D225*N(INDEX(Products!$C$5:$C$29,MATCH(C225,Lists!$A$2:$A$26,0))),""))</f>
        <v/>
      </c>
      <c r="M225" s="15" t="str">
        <f t="shared" si="3"/>
        <v/>
      </c>
    </row>
    <row r="226" spans="1:13" x14ac:dyDescent="0.35">
      <c r="A226" s="11"/>
      <c r="B226" s="12"/>
      <c r="C226" s="12"/>
      <c r="D226" s="12"/>
      <c r="E226" s="13"/>
      <c r="F226" s="13"/>
      <c r="G226" s="13"/>
      <c r="H226" s="13"/>
      <c r="I226" s="12"/>
      <c r="J226" s="13"/>
      <c r="K226" s="14" t="str">
        <f>IF(C226="","",IFERROR(N('Fee Settings'!$C$5)*(E226+N(F226)-N(J226))+N('Fee Settings'!$C$6)*(E226+N(F226)+N(G226))+N('Fee Settings'!$C$7)+N('Fee Settings'!$C$10)*D226+IF(I226="Yes",MIN(N('Fee Settings'!$C$8)*(E226+N(F226)),N('Fee Settings'!$C$9)),0),""))</f>
        <v/>
      </c>
      <c r="L226" s="14" t="str">
        <f>IF(C226="","",IFERROR(D226*N(INDEX(Products!$C$5:$C$29,MATCH(C226,Lists!$A$2:$A$26,0))),""))</f>
        <v/>
      </c>
      <c r="M226" s="15" t="str">
        <f t="shared" si="3"/>
        <v/>
      </c>
    </row>
    <row r="227" spans="1:13" x14ac:dyDescent="0.35">
      <c r="A227" s="11"/>
      <c r="B227" s="12"/>
      <c r="C227" s="12"/>
      <c r="D227" s="12"/>
      <c r="E227" s="13"/>
      <c r="F227" s="13"/>
      <c r="G227" s="13"/>
      <c r="H227" s="13"/>
      <c r="I227" s="12"/>
      <c r="J227" s="13"/>
      <c r="K227" s="14" t="str">
        <f>IF(C227="","",IFERROR(N('Fee Settings'!$C$5)*(E227+N(F227)-N(J227))+N('Fee Settings'!$C$6)*(E227+N(F227)+N(G227))+N('Fee Settings'!$C$7)+N('Fee Settings'!$C$10)*D227+IF(I227="Yes",MIN(N('Fee Settings'!$C$8)*(E227+N(F227)),N('Fee Settings'!$C$9)),0),""))</f>
        <v/>
      </c>
      <c r="L227" s="14" t="str">
        <f>IF(C227="","",IFERROR(D227*N(INDEX(Products!$C$5:$C$29,MATCH(C227,Lists!$A$2:$A$26,0))),""))</f>
        <v/>
      </c>
      <c r="M227" s="15" t="str">
        <f t="shared" si="3"/>
        <v/>
      </c>
    </row>
    <row r="228" spans="1:13" x14ac:dyDescent="0.35">
      <c r="A228" s="11"/>
      <c r="B228" s="12"/>
      <c r="C228" s="12"/>
      <c r="D228" s="12"/>
      <c r="E228" s="13"/>
      <c r="F228" s="13"/>
      <c r="G228" s="13"/>
      <c r="H228" s="13"/>
      <c r="I228" s="12"/>
      <c r="J228" s="13"/>
      <c r="K228" s="14" t="str">
        <f>IF(C228="","",IFERROR(N('Fee Settings'!$C$5)*(E228+N(F228)-N(J228))+N('Fee Settings'!$C$6)*(E228+N(F228)+N(G228))+N('Fee Settings'!$C$7)+N('Fee Settings'!$C$10)*D228+IF(I228="Yes",MIN(N('Fee Settings'!$C$8)*(E228+N(F228)),N('Fee Settings'!$C$9)),0),""))</f>
        <v/>
      </c>
      <c r="L228" s="14" t="str">
        <f>IF(C228="","",IFERROR(D228*N(INDEX(Products!$C$5:$C$29,MATCH(C228,Lists!$A$2:$A$26,0))),""))</f>
        <v/>
      </c>
      <c r="M228" s="15" t="str">
        <f t="shared" si="3"/>
        <v/>
      </c>
    </row>
    <row r="229" spans="1:13" x14ac:dyDescent="0.35">
      <c r="A229" s="11"/>
      <c r="B229" s="12"/>
      <c r="C229" s="12"/>
      <c r="D229" s="12"/>
      <c r="E229" s="13"/>
      <c r="F229" s="13"/>
      <c r="G229" s="13"/>
      <c r="H229" s="13"/>
      <c r="I229" s="12"/>
      <c r="J229" s="13"/>
      <c r="K229" s="14" t="str">
        <f>IF(C229="","",IFERROR(N('Fee Settings'!$C$5)*(E229+N(F229)-N(J229))+N('Fee Settings'!$C$6)*(E229+N(F229)+N(G229))+N('Fee Settings'!$C$7)+N('Fee Settings'!$C$10)*D229+IF(I229="Yes",MIN(N('Fee Settings'!$C$8)*(E229+N(F229)),N('Fee Settings'!$C$9)),0),""))</f>
        <v/>
      </c>
      <c r="L229" s="14" t="str">
        <f>IF(C229="","",IFERROR(D229*N(INDEX(Products!$C$5:$C$29,MATCH(C229,Lists!$A$2:$A$26,0))),""))</f>
        <v/>
      </c>
      <c r="M229" s="15" t="str">
        <f t="shared" si="3"/>
        <v/>
      </c>
    </row>
    <row r="230" spans="1:13" x14ac:dyDescent="0.35">
      <c r="A230" s="11"/>
      <c r="B230" s="12"/>
      <c r="C230" s="12"/>
      <c r="D230" s="12"/>
      <c r="E230" s="13"/>
      <c r="F230" s="13"/>
      <c r="G230" s="13"/>
      <c r="H230" s="13"/>
      <c r="I230" s="12"/>
      <c r="J230" s="13"/>
      <c r="K230" s="14" t="str">
        <f>IF(C230="","",IFERROR(N('Fee Settings'!$C$5)*(E230+N(F230)-N(J230))+N('Fee Settings'!$C$6)*(E230+N(F230)+N(G230))+N('Fee Settings'!$C$7)+N('Fee Settings'!$C$10)*D230+IF(I230="Yes",MIN(N('Fee Settings'!$C$8)*(E230+N(F230)),N('Fee Settings'!$C$9)),0),""))</f>
        <v/>
      </c>
      <c r="L230" s="14" t="str">
        <f>IF(C230="","",IFERROR(D230*N(INDEX(Products!$C$5:$C$29,MATCH(C230,Lists!$A$2:$A$26,0))),""))</f>
        <v/>
      </c>
      <c r="M230" s="15" t="str">
        <f t="shared" si="3"/>
        <v/>
      </c>
    </row>
    <row r="231" spans="1:13" x14ac:dyDescent="0.35">
      <c r="A231" s="11"/>
      <c r="B231" s="12"/>
      <c r="C231" s="12"/>
      <c r="D231" s="12"/>
      <c r="E231" s="13"/>
      <c r="F231" s="13"/>
      <c r="G231" s="13"/>
      <c r="H231" s="13"/>
      <c r="I231" s="12"/>
      <c r="J231" s="13"/>
      <c r="K231" s="14" t="str">
        <f>IF(C231="","",IFERROR(N('Fee Settings'!$C$5)*(E231+N(F231)-N(J231))+N('Fee Settings'!$C$6)*(E231+N(F231)+N(G231))+N('Fee Settings'!$C$7)+N('Fee Settings'!$C$10)*D231+IF(I231="Yes",MIN(N('Fee Settings'!$C$8)*(E231+N(F231)),N('Fee Settings'!$C$9)),0),""))</f>
        <v/>
      </c>
      <c r="L231" s="14" t="str">
        <f>IF(C231="","",IFERROR(D231*N(INDEX(Products!$C$5:$C$29,MATCH(C231,Lists!$A$2:$A$26,0))),""))</f>
        <v/>
      </c>
      <c r="M231" s="15" t="str">
        <f t="shared" si="3"/>
        <v/>
      </c>
    </row>
    <row r="232" spans="1:13" x14ac:dyDescent="0.35">
      <c r="A232" s="11"/>
      <c r="B232" s="12"/>
      <c r="C232" s="12"/>
      <c r="D232" s="12"/>
      <c r="E232" s="13"/>
      <c r="F232" s="13"/>
      <c r="G232" s="13"/>
      <c r="H232" s="13"/>
      <c r="I232" s="12"/>
      <c r="J232" s="13"/>
      <c r="K232" s="14" t="str">
        <f>IF(C232="","",IFERROR(N('Fee Settings'!$C$5)*(E232+N(F232)-N(J232))+N('Fee Settings'!$C$6)*(E232+N(F232)+N(G232))+N('Fee Settings'!$C$7)+N('Fee Settings'!$C$10)*D232+IF(I232="Yes",MIN(N('Fee Settings'!$C$8)*(E232+N(F232)),N('Fee Settings'!$C$9)),0),""))</f>
        <v/>
      </c>
      <c r="L232" s="14" t="str">
        <f>IF(C232="","",IFERROR(D232*N(INDEX(Products!$C$5:$C$29,MATCH(C232,Lists!$A$2:$A$26,0))),""))</f>
        <v/>
      </c>
      <c r="M232" s="15" t="str">
        <f t="shared" si="3"/>
        <v/>
      </c>
    </row>
    <row r="233" spans="1:13" x14ac:dyDescent="0.35">
      <c r="A233" s="11"/>
      <c r="B233" s="12"/>
      <c r="C233" s="12"/>
      <c r="D233" s="12"/>
      <c r="E233" s="13"/>
      <c r="F233" s="13"/>
      <c r="G233" s="13"/>
      <c r="H233" s="13"/>
      <c r="I233" s="12"/>
      <c r="J233" s="13"/>
      <c r="K233" s="14" t="str">
        <f>IF(C233="","",IFERROR(N('Fee Settings'!$C$5)*(E233+N(F233)-N(J233))+N('Fee Settings'!$C$6)*(E233+N(F233)+N(G233))+N('Fee Settings'!$C$7)+N('Fee Settings'!$C$10)*D233+IF(I233="Yes",MIN(N('Fee Settings'!$C$8)*(E233+N(F233)),N('Fee Settings'!$C$9)),0),""))</f>
        <v/>
      </c>
      <c r="L233" s="14" t="str">
        <f>IF(C233="","",IFERROR(D233*N(INDEX(Products!$C$5:$C$29,MATCH(C233,Lists!$A$2:$A$26,0))),""))</f>
        <v/>
      </c>
      <c r="M233" s="15" t="str">
        <f t="shared" si="3"/>
        <v/>
      </c>
    </row>
    <row r="234" spans="1:13" x14ac:dyDescent="0.35">
      <c r="A234" s="11"/>
      <c r="B234" s="12"/>
      <c r="C234" s="12"/>
      <c r="D234" s="12"/>
      <c r="E234" s="13"/>
      <c r="F234" s="13"/>
      <c r="G234" s="13"/>
      <c r="H234" s="13"/>
      <c r="I234" s="12"/>
      <c r="J234" s="13"/>
      <c r="K234" s="14" t="str">
        <f>IF(C234="","",IFERROR(N('Fee Settings'!$C$5)*(E234+N(F234)-N(J234))+N('Fee Settings'!$C$6)*(E234+N(F234)+N(G234))+N('Fee Settings'!$C$7)+N('Fee Settings'!$C$10)*D234+IF(I234="Yes",MIN(N('Fee Settings'!$C$8)*(E234+N(F234)),N('Fee Settings'!$C$9)),0),""))</f>
        <v/>
      </c>
      <c r="L234" s="14" t="str">
        <f>IF(C234="","",IFERROR(D234*N(INDEX(Products!$C$5:$C$29,MATCH(C234,Lists!$A$2:$A$26,0))),""))</f>
        <v/>
      </c>
      <c r="M234" s="15" t="str">
        <f t="shared" si="3"/>
        <v/>
      </c>
    </row>
    <row r="235" spans="1:13" x14ac:dyDescent="0.35">
      <c r="A235" s="11"/>
      <c r="B235" s="12"/>
      <c r="C235" s="12"/>
      <c r="D235" s="12"/>
      <c r="E235" s="13"/>
      <c r="F235" s="13"/>
      <c r="G235" s="13"/>
      <c r="H235" s="13"/>
      <c r="I235" s="12"/>
      <c r="J235" s="13"/>
      <c r="K235" s="14" t="str">
        <f>IF(C235="","",IFERROR(N('Fee Settings'!$C$5)*(E235+N(F235)-N(J235))+N('Fee Settings'!$C$6)*(E235+N(F235)+N(G235))+N('Fee Settings'!$C$7)+N('Fee Settings'!$C$10)*D235+IF(I235="Yes",MIN(N('Fee Settings'!$C$8)*(E235+N(F235)),N('Fee Settings'!$C$9)),0),""))</f>
        <v/>
      </c>
      <c r="L235" s="14" t="str">
        <f>IF(C235="","",IFERROR(D235*N(INDEX(Products!$C$5:$C$29,MATCH(C235,Lists!$A$2:$A$26,0))),""))</f>
        <v/>
      </c>
      <c r="M235" s="15" t="str">
        <f t="shared" si="3"/>
        <v/>
      </c>
    </row>
    <row r="236" spans="1:13" x14ac:dyDescent="0.35">
      <c r="A236" s="11"/>
      <c r="B236" s="12"/>
      <c r="C236" s="12"/>
      <c r="D236" s="12"/>
      <c r="E236" s="13"/>
      <c r="F236" s="13"/>
      <c r="G236" s="13"/>
      <c r="H236" s="13"/>
      <c r="I236" s="12"/>
      <c r="J236" s="13"/>
      <c r="K236" s="14" t="str">
        <f>IF(C236="","",IFERROR(N('Fee Settings'!$C$5)*(E236+N(F236)-N(J236))+N('Fee Settings'!$C$6)*(E236+N(F236)+N(G236))+N('Fee Settings'!$C$7)+N('Fee Settings'!$C$10)*D236+IF(I236="Yes",MIN(N('Fee Settings'!$C$8)*(E236+N(F236)),N('Fee Settings'!$C$9)),0),""))</f>
        <v/>
      </c>
      <c r="L236" s="14" t="str">
        <f>IF(C236="","",IFERROR(D236*N(INDEX(Products!$C$5:$C$29,MATCH(C236,Lists!$A$2:$A$26,0))),""))</f>
        <v/>
      </c>
      <c r="M236" s="15" t="str">
        <f t="shared" si="3"/>
        <v/>
      </c>
    </row>
    <row r="237" spans="1:13" x14ac:dyDescent="0.35">
      <c r="A237" s="11"/>
      <c r="B237" s="12"/>
      <c r="C237" s="12"/>
      <c r="D237" s="12"/>
      <c r="E237" s="13"/>
      <c r="F237" s="13"/>
      <c r="G237" s="13"/>
      <c r="H237" s="13"/>
      <c r="I237" s="12"/>
      <c r="J237" s="13"/>
      <c r="K237" s="14" t="str">
        <f>IF(C237="","",IFERROR(N('Fee Settings'!$C$5)*(E237+N(F237)-N(J237))+N('Fee Settings'!$C$6)*(E237+N(F237)+N(G237))+N('Fee Settings'!$C$7)+N('Fee Settings'!$C$10)*D237+IF(I237="Yes",MIN(N('Fee Settings'!$C$8)*(E237+N(F237)),N('Fee Settings'!$C$9)),0),""))</f>
        <v/>
      </c>
      <c r="L237" s="14" t="str">
        <f>IF(C237="","",IFERROR(D237*N(INDEX(Products!$C$5:$C$29,MATCH(C237,Lists!$A$2:$A$26,0))),""))</f>
        <v/>
      </c>
      <c r="M237" s="15" t="str">
        <f t="shared" si="3"/>
        <v/>
      </c>
    </row>
    <row r="238" spans="1:13" x14ac:dyDescent="0.35">
      <c r="A238" s="11"/>
      <c r="B238" s="12"/>
      <c r="C238" s="12"/>
      <c r="D238" s="12"/>
      <c r="E238" s="13"/>
      <c r="F238" s="13"/>
      <c r="G238" s="13"/>
      <c r="H238" s="13"/>
      <c r="I238" s="12"/>
      <c r="J238" s="13"/>
      <c r="K238" s="14" t="str">
        <f>IF(C238="","",IFERROR(N('Fee Settings'!$C$5)*(E238+N(F238)-N(J238))+N('Fee Settings'!$C$6)*(E238+N(F238)+N(G238))+N('Fee Settings'!$C$7)+N('Fee Settings'!$C$10)*D238+IF(I238="Yes",MIN(N('Fee Settings'!$C$8)*(E238+N(F238)),N('Fee Settings'!$C$9)),0),""))</f>
        <v/>
      </c>
      <c r="L238" s="14" t="str">
        <f>IF(C238="","",IFERROR(D238*N(INDEX(Products!$C$5:$C$29,MATCH(C238,Lists!$A$2:$A$26,0))),""))</f>
        <v/>
      </c>
      <c r="M238" s="15" t="str">
        <f t="shared" si="3"/>
        <v/>
      </c>
    </row>
    <row r="239" spans="1:13" x14ac:dyDescent="0.35">
      <c r="A239" s="11"/>
      <c r="B239" s="12"/>
      <c r="C239" s="12"/>
      <c r="D239" s="12"/>
      <c r="E239" s="13"/>
      <c r="F239" s="13"/>
      <c r="G239" s="13"/>
      <c r="H239" s="13"/>
      <c r="I239" s="12"/>
      <c r="J239" s="13"/>
      <c r="K239" s="14" t="str">
        <f>IF(C239="","",IFERROR(N('Fee Settings'!$C$5)*(E239+N(F239)-N(J239))+N('Fee Settings'!$C$6)*(E239+N(F239)+N(G239))+N('Fee Settings'!$C$7)+N('Fee Settings'!$C$10)*D239+IF(I239="Yes",MIN(N('Fee Settings'!$C$8)*(E239+N(F239)),N('Fee Settings'!$C$9)),0),""))</f>
        <v/>
      </c>
      <c r="L239" s="14" t="str">
        <f>IF(C239="","",IFERROR(D239*N(INDEX(Products!$C$5:$C$29,MATCH(C239,Lists!$A$2:$A$26,0))),""))</f>
        <v/>
      </c>
      <c r="M239" s="15" t="str">
        <f t="shared" si="3"/>
        <v/>
      </c>
    </row>
    <row r="240" spans="1:13" x14ac:dyDescent="0.35">
      <c r="A240" s="11"/>
      <c r="B240" s="12"/>
      <c r="C240" s="12"/>
      <c r="D240" s="12"/>
      <c r="E240" s="13"/>
      <c r="F240" s="13"/>
      <c r="G240" s="13"/>
      <c r="H240" s="13"/>
      <c r="I240" s="12"/>
      <c r="J240" s="13"/>
      <c r="K240" s="14" t="str">
        <f>IF(C240="","",IFERROR(N('Fee Settings'!$C$5)*(E240+N(F240)-N(J240))+N('Fee Settings'!$C$6)*(E240+N(F240)+N(G240))+N('Fee Settings'!$C$7)+N('Fee Settings'!$C$10)*D240+IF(I240="Yes",MIN(N('Fee Settings'!$C$8)*(E240+N(F240)),N('Fee Settings'!$C$9)),0),""))</f>
        <v/>
      </c>
      <c r="L240" s="14" t="str">
        <f>IF(C240="","",IFERROR(D240*N(INDEX(Products!$C$5:$C$29,MATCH(C240,Lists!$A$2:$A$26,0))),""))</f>
        <v/>
      </c>
      <c r="M240" s="15" t="str">
        <f t="shared" si="3"/>
        <v/>
      </c>
    </row>
    <row r="241" spans="1:13" x14ac:dyDescent="0.35">
      <c r="A241" s="11"/>
      <c r="B241" s="12"/>
      <c r="C241" s="12"/>
      <c r="D241" s="12"/>
      <c r="E241" s="13"/>
      <c r="F241" s="13"/>
      <c r="G241" s="13"/>
      <c r="H241" s="13"/>
      <c r="I241" s="12"/>
      <c r="J241" s="13"/>
      <c r="K241" s="14" t="str">
        <f>IF(C241="","",IFERROR(N('Fee Settings'!$C$5)*(E241+N(F241)-N(J241))+N('Fee Settings'!$C$6)*(E241+N(F241)+N(G241))+N('Fee Settings'!$C$7)+N('Fee Settings'!$C$10)*D241+IF(I241="Yes",MIN(N('Fee Settings'!$C$8)*(E241+N(F241)),N('Fee Settings'!$C$9)),0),""))</f>
        <v/>
      </c>
      <c r="L241" s="14" t="str">
        <f>IF(C241="","",IFERROR(D241*N(INDEX(Products!$C$5:$C$29,MATCH(C241,Lists!$A$2:$A$26,0))),""))</f>
        <v/>
      </c>
      <c r="M241" s="15" t="str">
        <f t="shared" si="3"/>
        <v/>
      </c>
    </row>
    <row r="242" spans="1:13" x14ac:dyDescent="0.35">
      <c r="A242" s="11"/>
      <c r="B242" s="12"/>
      <c r="C242" s="12"/>
      <c r="D242" s="12"/>
      <c r="E242" s="13"/>
      <c r="F242" s="13"/>
      <c r="G242" s="13"/>
      <c r="H242" s="13"/>
      <c r="I242" s="12"/>
      <c r="J242" s="13"/>
      <c r="K242" s="14" t="str">
        <f>IF(C242="","",IFERROR(N('Fee Settings'!$C$5)*(E242+N(F242)-N(J242))+N('Fee Settings'!$C$6)*(E242+N(F242)+N(G242))+N('Fee Settings'!$C$7)+N('Fee Settings'!$C$10)*D242+IF(I242="Yes",MIN(N('Fee Settings'!$C$8)*(E242+N(F242)),N('Fee Settings'!$C$9)),0),""))</f>
        <v/>
      </c>
      <c r="L242" s="14" t="str">
        <f>IF(C242="","",IFERROR(D242*N(INDEX(Products!$C$5:$C$29,MATCH(C242,Lists!$A$2:$A$26,0))),""))</f>
        <v/>
      </c>
      <c r="M242" s="15" t="str">
        <f t="shared" si="3"/>
        <v/>
      </c>
    </row>
    <row r="243" spans="1:13" x14ac:dyDescent="0.35">
      <c r="A243" s="11"/>
      <c r="B243" s="12"/>
      <c r="C243" s="12"/>
      <c r="D243" s="12"/>
      <c r="E243" s="13"/>
      <c r="F243" s="13"/>
      <c r="G243" s="13"/>
      <c r="H243" s="13"/>
      <c r="I243" s="12"/>
      <c r="J243" s="13"/>
      <c r="K243" s="14" t="str">
        <f>IF(C243="","",IFERROR(N('Fee Settings'!$C$5)*(E243+N(F243)-N(J243))+N('Fee Settings'!$C$6)*(E243+N(F243)+N(G243))+N('Fee Settings'!$C$7)+N('Fee Settings'!$C$10)*D243+IF(I243="Yes",MIN(N('Fee Settings'!$C$8)*(E243+N(F243)),N('Fee Settings'!$C$9)),0),""))</f>
        <v/>
      </c>
      <c r="L243" s="14" t="str">
        <f>IF(C243="","",IFERROR(D243*N(INDEX(Products!$C$5:$C$29,MATCH(C243,Lists!$A$2:$A$26,0))),""))</f>
        <v/>
      </c>
      <c r="M243" s="15" t="str">
        <f t="shared" si="3"/>
        <v/>
      </c>
    </row>
    <row r="244" spans="1:13" x14ac:dyDescent="0.35">
      <c r="A244" s="11"/>
      <c r="B244" s="12"/>
      <c r="C244" s="12"/>
      <c r="D244" s="12"/>
      <c r="E244" s="13"/>
      <c r="F244" s="13"/>
      <c r="G244" s="13"/>
      <c r="H244" s="13"/>
      <c r="I244" s="12"/>
      <c r="J244" s="13"/>
      <c r="K244" s="14" t="str">
        <f>IF(C244="","",IFERROR(N('Fee Settings'!$C$5)*(E244+N(F244)-N(J244))+N('Fee Settings'!$C$6)*(E244+N(F244)+N(G244))+N('Fee Settings'!$C$7)+N('Fee Settings'!$C$10)*D244+IF(I244="Yes",MIN(N('Fee Settings'!$C$8)*(E244+N(F244)),N('Fee Settings'!$C$9)),0),""))</f>
        <v/>
      </c>
      <c r="L244" s="14" t="str">
        <f>IF(C244="","",IFERROR(D244*N(INDEX(Products!$C$5:$C$29,MATCH(C244,Lists!$A$2:$A$26,0))),""))</f>
        <v/>
      </c>
      <c r="M244" s="15" t="str">
        <f t="shared" si="3"/>
        <v/>
      </c>
    </row>
    <row r="245" spans="1:13" x14ac:dyDescent="0.35">
      <c r="A245" s="11"/>
      <c r="B245" s="12"/>
      <c r="C245" s="12"/>
      <c r="D245" s="12"/>
      <c r="E245" s="13"/>
      <c r="F245" s="13"/>
      <c r="G245" s="13"/>
      <c r="H245" s="13"/>
      <c r="I245" s="12"/>
      <c r="J245" s="13"/>
      <c r="K245" s="14" t="str">
        <f>IF(C245="","",IFERROR(N('Fee Settings'!$C$5)*(E245+N(F245)-N(J245))+N('Fee Settings'!$C$6)*(E245+N(F245)+N(G245))+N('Fee Settings'!$C$7)+N('Fee Settings'!$C$10)*D245+IF(I245="Yes",MIN(N('Fee Settings'!$C$8)*(E245+N(F245)),N('Fee Settings'!$C$9)),0),""))</f>
        <v/>
      </c>
      <c r="L245" s="14" t="str">
        <f>IF(C245="","",IFERROR(D245*N(INDEX(Products!$C$5:$C$29,MATCH(C245,Lists!$A$2:$A$26,0))),""))</f>
        <v/>
      </c>
      <c r="M245" s="15" t="str">
        <f t="shared" si="3"/>
        <v/>
      </c>
    </row>
    <row r="246" spans="1:13" x14ac:dyDescent="0.35">
      <c r="A246" s="11"/>
      <c r="B246" s="12"/>
      <c r="C246" s="12"/>
      <c r="D246" s="12"/>
      <c r="E246" s="13"/>
      <c r="F246" s="13"/>
      <c r="G246" s="13"/>
      <c r="H246" s="13"/>
      <c r="I246" s="12"/>
      <c r="J246" s="13"/>
      <c r="K246" s="14" t="str">
        <f>IF(C246="","",IFERROR(N('Fee Settings'!$C$5)*(E246+N(F246)-N(J246))+N('Fee Settings'!$C$6)*(E246+N(F246)+N(G246))+N('Fee Settings'!$C$7)+N('Fee Settings'!$C$10)*D246+IF(I246="Yes",MIN(N('Fee Settings'!$C$8)*(E246+N(F246)),N('Fee Settings'!$C$9)),0),""))</f>
        <v/>
      </c>
      <c r="L246" s="14" t="str">
        <f>IF(C246="","",IFERROR(D246*N(INDEX(Products!$C$5:$C$29,MATCH(C246,Lists!$A$2:$A$26,0))),""))</f>
        <v/>
      </c>
      <c r="M246" s="15" t="str">
        <f t="shared" si="3"/>
        <v/>
      </c>
    </row>
    <row r="247" spans="1:13" x14ac:dyDescent="0.35">
      <c r="A247" s="11"/>
      <c r="B247" s="12"/>
      <c r="C247" s="12"/>
      <c r="D247" s="12"/>
      <c r="E247" s="13"/>
      <c r="F247" s="13"/>
      <c r="G247" s="13"/>
      <c r="H247" s="13"/>
      <c r="I247" s="12"/>
      <c r="J247" s="13"/>
      <c r="K247" s="14" t="str">
        <f>IF(C247="","",IFERROR(N('Fee Settings'!$C$5)*(E247+N(F247)-N(J247))+N('Fee Settings'!$C$6)*(E247+N(F247)+N(G247))+N('Fee Settings'!$C$7)+N('Fee Settings'!$C$10)*D247+IF(I247="Yes",MIN(N('Fee Settings'!$C$8)*(E247+N(F247)),N('Fee Settings'!$C$9)),0),""))</f>
        <v/>
      </c>
      <c r="L247" s="14" t="str">
        <f>IF(C247="","",IFERROR(D247*N(INDEX(Products!$C$5:$C$29,MATCH(C247,Lists!$A$2:$A$26,0))),""))</f>
        <v/>
      </c>
      <c r="M247" s="15" t="str">
        <f t="shared" si="3"/>
        <v/>
      </c>
    </row>
    <row r="248" spans="1:13" x14ac:dyDescent="0.35">
      <c r="A248" s="11"/>
      <c r="B248" s="12"/>
      <c r="C248" s="12"/>
      <c r="D248" s="12"/>
      <c r="E248" s="13"/>
      <c r="F248" s="13"/>
      <c r="G248" s="13"/>
      <c r="H248" s="13"/>
      <c r="I248" s="12"/>
      <c r="J248" s="13"/>
      <c r="K248" s="14" t="str">
        <f>IF(C248="","",IFERROR(N('Fee Settings'!$C$5)*(E248+N(F248)-N(J248))+N('Fee Settings'!$C$6)*(E248+N(F248)+N(G248))+N('Fee Settings'!$C$7)+N('Fee Settings'!$C$10)*D248+IF(I248="Yes",MIN(N('Fee Settings'!$C$8)*(E248+N(F248)),N('Fee Settings'!$C$9)),0),""))</f>
        <v/>
      </c>
      <c r="L248" s="14" t="str">
        <f>IF(C248="","",IFERROR(D248*N(INDEX(Products!$C$5:$C$29,MATCH(C248,Lists!$A$2:$A$26,0))),""))</f>
        <v/>
      </c>
      <c r="M248" s="15" t="str">
        <f t="shared" si="3"/>
        <v/>
      </c>
    </row>
    <row r="249" spans="1:13" x14ac:dyDescent="0.35">
      <c r="A249" s="11"/>
      <c r="B249" s="12"/>
      <c r="C249" s="12"/>
      <c r="D249" s="12"/>
      <c r="E249" s="13"/>
      <c r="F249" s="13"/>
      <c r="G249" s="13"/>
      <c r="H249" s="13"/>
      <c r="I249" s="12"/>
      <c r="J249" s="13"/>
      <c r="K249" s="14" t="str">
        <f>IF(C249="","",IFERROR(N('Fee Settings'!$C$5)*(E249+N(F249)-N(J249))+N('Fee Settings'!$C$6)*(E249+N(F249)+N(G249))+N('Fee Settings'!$C$7)+N('Fee Settings'!$C$10)*D249+IF(I249="Yes",MIN(N('Fee Settings'!$C$8)*(E249+N(F249)),N('Fee Settings'!$C$9)),0),""))</f>
        <v/>
      </c>
      <c r="L249" s="14" t="str">
        <f>IF(C249="","",IFERROR(D249*N(INDEX(Products!$C$5:$C$29,MATCH(C249,Lists!$A$2:$A$26,0))),""))</f>
        <v/>
      </c>
      <c r="M249" s="15" t="str">
        <f t="shared" si="3"/>
        <v/>
      </c>
    </row>
    <row r="250" spans="1:13" x14ac:dyDescent="0.35">
      <c r="A250" s="11"/>
      <c r="B250" s="12"/>
      <c r="C250" s="12"/>
      <c r="D250" s="12"/>
      <c r="E250" s="13"/>
      <c r="F250" s="13"/>
      <c r="G250" s="13"/>
      <c r="H250" s="13"/>
      <c r="I250" s="12"/>
      <c r="J250" s="13"/>
      <c r="K250" s="14" t="str">
        <f>IF(C250="","",IFERROR(N('Fee Settings'!$C$5)*(E250+N(F250)-N(J250))+N('Fee Settings'!$C$6)*(E250+N(F250)+N(G250))+N('Fee Settings'!$C$7)+N('Fee Settings'!$C$10)*D250+IF(I250="Yes",MIN(N('Fee Settings'!$C$8)*(E250+N(F250)),N('Fee Settings'!$C$9)),0),""))</f>
        <v/>
      </c>
      <c r="L250" s="14" t="str">
        <f>IF(C250="","",IFERROR(D250*N(INDEX(Products!$C$5:$C$29,MATCH(C250,Lists!$A$2:$A$26,0))),""))</f>
        <v/>
      </c>
      <c r="M250" s="15" t="str">
        <f t="shared" si="3"/>
        <v/>
      </c>
    </row>
    <row r="251" spans="1:13" x14ac:dyDescent="0.35">
      <c r="A251" s="11"/>
      <c r="B251" s="12"/>
      <c r="C251" s="12"/>
      <c r="D251" s="12"/>
      <c r="E251" s="13"/>
      <c r="F251" s="13"/>
      <c r="G251" s="13"/>
      <c r="H251" s="13"/>
      <c r="I251" s="12"/>
      <c r="J251" s="13"/>
      <c r="K251" s="14" t="str">
        <f>IF(C251="","",IFERROR(N('Fee Settings'!$C$5)*(E251+N(F251)-N(J251))+N('Fee Settings'!$C$6)*(E251+N(F251)+N(G251))+N('Fee Settings'!$C$7)+N('Fee Settings'!$C$10)*D251+IF(I251="Yes",MIN(N('Fee Settings'!$C$8)*(E251+N(F251)),N('Fee Settings'!$C$9)),0),""))</f>
        <v/>
      </c>
      <c r="L251" s="14" t="str">
        <f>IF(C251="","",IFERROR(D251*N(INDEX(Products!$C$5:$C$29,MATCH(C251,Lists!$A$2:$A$26,0))),""))</f>
        <v/>
      </c>
      <c r="M251" s="15" t="str">
        <f t="shared" si="3"/>
        <v/>
      </c>
    </row>
    <row r="252" spans="1:13" x14ac:dyDescent="0.35">
      <c r="A252" s="11"/>
      <c r="B252" s="12"/>
      <c r="C252" s="12"/>
      <c r="D252" s="12"/>
      <c r="E252" s="13"/>
      <c r="F252" s="13"/>
      <c r="G252" s="13"/>
      <c r="H252" s="13"/>
      <c r="I252" s="12"/>
      <c r="J252" s="13"/>
      <c r="K252" s="14" t="str">
        <f>IF(C252="","",IFERROR(N('Fee Settings'!$C$5)*(E252+N(F252)-N(J252))+N('Fee Settings'!$C$6)*(E252+N(F252)+N(G252))+N('Fee Settings'!$C$7)+N('Fee Settings'!$C$10)*D252+IF(I252="Yes",MIN(N('Fee Settings'!$C$8)*(E252+N(F252)),N('Fee Settings'!$C$9)),0),""))</f>
        <v/>
      </c>
      <c r="L252" s="14" t="str">
        <f>IF(C252="","",IFERROR(D252*N(INDEX(Products!$C$5:$C$29,MATCH(C252,Lists!$A$2:$A$26,0))),""))</f>
        <v/>
      </c>
      <c r="M252" s="15" t="str">
        <f t="shared" si="3"/>
        <v/>
      </c>
    </row>
    <row r="253" spans="1:13" x14ac:dyDescent="0.35">
      <c r="A253" s="11"/>
      <c r="B253" s="12"/>
      <c r="C253" s="12"/>
      <c r="D253" s="12"/>
      <c r="E253" s="13"/>
      <c r="F253" s="13"/>
      <c r="G253" s="13"/>
      <c r="H253" s="13"/>
      <c r="I253" s="12"/>
      <c r="J253" s="13"/>
      <c r="K253" s="14" t="str">
        <f>IF(C253="","",IFERROR(N('Fee Settings'!$C$5)*(E253+N(F253)-N(J253))+N('Fee Settings'!$C$6)*(E253+N(F253)+N(G253))+N('Fee Settings'!$C$7)+N('Fee Settings'!$C$10)*D253+IF(I253="Yes",MIN(N('Fee Settings'!$C$8)*(E253+N(F253)),N('Fee Settings'!$C$9)),0),""))</f>
        <v/>
      </c>
      <c r="L253" s="14" t="str">
        <f>IF(C253="","",IFERROR(D253*N(INDEX(Products!$C$5:$C$29,MATCH(C253,Lists!$A$2:$A$26,0))),""))</f>
        <v/>
      </c>
      <c r="M253" s="15" t="str">
        <f t="shared" si="3"/>
        <v/>
      </c>
    </row>
    <row r="254" spans="1:13" x14ac:dyDescent="0.35">
      <c r="A254" s="11"/>
      <c r="B254" s="12"/>
      <c r="C254" s="12"/>
      <c r="D254" s="12"/>
      <c r="E254" s="13"/>
      <c r="F254" s="13"/>
      <c r="G254" s="13"/>
      <c r="H254" s="13"/>
      <c r="I254" s="12"/>
      <c r="J254" s="13"/>
      <c r="K254" s="14" t="str">
        <f>IF(C254="","",IFERROR(N('Fee Settings'!$C$5)*(E254+N(F254)-N(J254))+N('Fee Settings'!$C$6)*(E254+N(F254)+N(G254))+N('Fee Settings'!$C$7)+N('Fee Settings'!$C$10)*D254+IF(I254="Yes",MIN(N('Fee Settings'!$C$8)*(E254+N(F254)),N('Fee Settings'!$C$9)),0),""))</f>
        <v/>
      </c>
      <c r="L254" s="14" t="str">
        <f>IF(C254="","",IFERROR(D254*N(INDEX(Products!$C$5:$C$29,MATCH(C254,Lists!$A$2:$A$26,0))),""))</f>
        <v/>
      </c>
      <c r="M254" s="15" t="str">
        <f t="shared" si="3"/>
        <v/>
      </c>
    </row>
    <row r="255" spans="1:13" x14ac:dyDescent="0.35">
      <c r="A255" s="11"/>
      <c r="B255" s="12"/>
      <c r="C255" s="12"/>
      <c r="D255" s="12"/>
      <c r="E255" s="13"/>
      <c r="F255" s="13"/>
      <c r="G255" s="13"/>
      <c r="H255" s="13"/>
      <c r="I255" s="12"/>
      <c r="J255" s="13"/>
      <c r="K255" s="14" t="str">
        <f>IF(C255="","",IFERROR(N('Fee Settings'!$C$5)*(E255+N(F255)-N(J255))+N('Fee Settings'!$C$6)*(E255+N(F255)+N(G255))+N('Fee Settings'!$C$7)+N('Fee Settings'!$C$10)*D255+IF(I255="Yes",MIN(N('Fee Settings'!$C$8)*(E255+N(F255)),N('Fee Settings'!$C$9)),0),""))</f>
        <v/>
      </c>
      <c r="L255" s="14" t="str">
        <f>IF(C255="","",IFERROR(D255*N(INDEX(Products!$C$5:$C$29,MATCH(C255,Lists!$A$2:$A$26,0))),""))</f>
        <v/>
      </c>
      <c r="M255" s="15" t="str">
        <f t="shared" si="3"/>
        <v/>
      </c>
    </row>
    <row r="256" spans="1:13" x14ac:dyDescent="0.35">
      <c r="A256" s="11"/>
      <c r="B256" s="12"/>
      <c r="C256" s="12"/>
      <c r="D256" s="12"/>
      <c r="E256" s="13"/>
      <c r="F256" s="13"/>
      <c r="G256" s="13"/>
      <c r="H256" s="13"/>
      <c r="I256" s="12"/>
      <c r="J256" s="13"/>
      <c r="K256" s="14" t="str">
        <f>IF(C256="","",IFERROR(N('Fee Settings'!$C$5)*(E256+N(F256)-N(J256))+N('Fee Settings'!$C$6)*(E256+N(F256)+N(G256))+N('Fee Settings'!$C$7)+N('Fee Settings'!$C$10)*D256+IF(I256="Yes",MIN(N('Fee Settings'!$C$8)*(E256+N(F256)),N('Fee Settings'!$C$9)),0),""))</f>
        <v/>
      </c>
      <c r="L256" s="14" t="str">
        <f>IF(C256="","",IFERROR(D256*N(INDEX(Products!$C$5:$C$29,MATCH(C256,Lists!$A$2:$A$26,0))),""))</f>
        <v/>
      </c>
      <c r="M256" s="15" t="str">
        <f t="shared" si="3"/>
        <v/>
      </c>
    </row>
    <row r="257" spans="1:13" x14ac:dyDescent="0.35">
      <c r="A257" s="11"/>
      <c r="B257" s="12"/>
      <c r="C257" s="12"/>
      <c r="D257" s="12"/>
      <c r="E257" s="13"/>
      <c r="F257" s="13"/>
      <c r="G257" s="13"/>
      <c r="H257" s="13"/>
      <c r="I257" s="12"/>
      <c r="J257" s="13"/>
      <c r="K257" s="14" t="str">
        <f>IF(C257="","",IFERROR(N('Fee Settings'!$C$5)*(E257+N(F257)-N(J257))+N('Fee Settings'!$C$6)*(E257+N(F257)+N(G257))+N('Fee Settings'!$C$7)+N('Fee Settings'!$C$10)*D257+IF(I257="Yes",MIN(N('Fee Settings'!$C$8)*(E257+N(F257)),N('Fee Settings'!$C$9)),0),""))</f>
        <v/>
      </c>
      <c r="L257" s="14" t="str">
        <f>IF(C257="","",IFERROR(D257*N(INDEX(Products!$C$5:$C$29,MATCH(C257,Lists!$A$2:$A$26,0))),""))</f>
        <v/>
      </c>
      <c r="M257" s="15" t="str">
        <f t="shared" si="3"/>
        <v/>
      </c>
    </row>
    <row r="258" spans="1:13" x14ac:dyDescent="0.35">
      <c r="A258" s="11"/>
      <c r="B258" s="12"/>
      <c r="C258" s="12"/>
      <c r="D258" s="12"/>
      <c r="E258" s="13"/>
      <c r="F258" s="13"/>
      <c r="G258" s="13"/>
      <c r="H258" s="13"/>
      <c r="I258" s="12"/>
      <c r="J258" s="13"/>
      <c r="K258" s="14" t="str">
        <f>IF(C258="","",IFERROR(N('Fee Settings'!$C$5)*(E258+N(F258)-N(J258))+N('Fee Settings'!$C$6)*(E258+N(F258)+N(G258))+N('Fee Settings'!$C$7)+N('Fee Settings'!$C$10)*D258+IF(I258="Yes",MIN(N('Fee Settings'!$C$8)*(E258+N(F258)),N('Fee Settings'!$C$9)),0),""))</f>
        <v/>
      </c>
      <c r="L258" s="14" t="str">
        <f>IF(C258="","",IFERROR(D258*N(INDEX(Products!$C$5:$C$29,MATCH(C258,Lists!$A$2:$A$26,0))),""))</f>
        <v/>
      </c>
      <c r="M258" s="15" t="str">
        <f t="shared" si="3"/>
        <v/>
      </c>
    </row>
    <row r="259" spans="1:13" x14ac:dyDescent="0.35">
      <c r="A259" s="11"/>
      <c r="B259" s="12"/>
      <c r="C259" s="12"/>
      <c r="D259" s="12"/>
      <c r="E259" s="13"/>
      <c r="F259" s="13"/>
      <c r="G259" s="13"/>
      <c r="H259" s="13"/>
      <c r="I259" s="12"/>
      <c r="J259" s="13"/>
      <c r="K259" s="14" t="str">
        <f>IF(C259="","",IFERROR(N('Fee Settings'!$C$5)*(E259+N(F259)-N(J259))+N('Fee Settings'!$C$6)*(E259+N(F259)+N(G259))+N('Fee Settings'!$C$7)+N('Fee Settings'!$C$10)*D259+IF(I259="Yes",MIN(N('Fee Settings'!$C$8)*(E259+N(F259)),N('Fee Settings'!$C$9)),0),""))</f>
        <v/>
      </c>
      <c r="L259" s="14" t="str">
        <f>IF(C259="","",IFERROR(D259*N(INDEX(Products!$C$5:$C$29,MATCH(C259,Lists!$A$2:$A$26,0))),""))</f>
        <v/>
      </c>
      <c r="M259" s="15" t="str">
        <f t="shared" si="3"/>
        <v/>
      </c>
    </row>
    <row r="260" spans="1:13" x14ac:dyDescent="0.35">
      <c r="A260" s="11"/>
      <c r="B260" s="12"/>
      <c r="C260" s="12"/>
      <c r="D260" s="12"/>
      <c r="E260" s="13"/>
      <c r="F260" s="13"/>
      <c r="G260" s="13"/>
      <c r="H260" s="13"/>
      <c r="I260" s="12"/>
      <c r="J260" s="13"/>
      <c r="K260" s="14" t="str">
        <f>IF(C260="","",IFERROR(N('Fee Settings'!$C$5)*(E260+N(F260)-N(J260))+N('Fee Settings'!$C$6)*(E260+N(F260)+N(G260))+N('Fee Settings'!$C$7)+N('Fee Settings'!$C$10)*D260+IF(I260="Yes",MIN(N('Fee Settings'!$C$8)*(E260+N(F260)),N('Fee Settings'!$C$9)),0),""))</f>
        <v/>
      </c>
      <c r="L260" s="14" t="str">
        <f>IF(C260="","",IFERROR(D260*N(INDEX(Products!$C$5:$C$29,MATCH(C260,Lists!$A$2:$A$26,0))),""))</f>
        <v/>
      </c>
      <c r="M260" s="15" t="str">
        <f t="shared" si="3"/>
        <v/>
      </c>
    </row>
    <row r="261" spans="1:13" x14ac:dyDescent="0.35">
      <c r="A261" s="11"/>
      <c r="B261" s="12"/>
      <c r="C261" s="12"/>
      <c r="D261" s="12"/>
      <c r="E261" s="13"/>
      <c r="F261" s="13"/>
      <c r="G261" s="13"/>
      <c r="H261" s="13"/>
      <c r="I261" s="12"/>
      <c r="J261" s="13"/>
      <c r="K261" s="14" t="str">
        <f>IF(C261="","",IFERROR(N('Fee Settings'!$C$5)*(E261+N(F261)-N(J261))+N('Fee Settings'!$C$6)*(E261+N(F261)+N(G261))+N('Fee Settings'!$C$7)+N('Fee Settings'!$C$10)*D261+IF(I261="Yes",MIN(N('Fee Settings'!$C$8)*(E261+N(F261)),N('Fee Settings'!$C$9)),0),""))</f>
        <v/>
      </c>
      <c r="L261" s="14" t="str">
        <f>IF(C261="","",IFERROR(D261*N(INDEX(Products!$C$5:$C$29,MATCH(C261,Lists!$A$2:$A$26,0))),""))</f>
        <v/>
      </c>
      <c r="M261" s="15" t="str">
        <f t="shared" ref="M261:M324" si="4">IF(C261="","",IFERROR(E261+N(F261)-N(J261)-K261-L261-N(H261),""))</f>
        <v/>
      </c>
    </row>
    <row r="262" spans="1:13" x14ac:dyDescent="0.35">
      <c r="A262" s="11"/>
      <c r="B262" s="12"/>
      <c r="C262" s="12"/>
      <c r="D262" s="12"/>
      <c r="E262" s="13"/>
      <c r="F262" s="13"/>
      <c r="G262" s="13"/>
      <c r="H262" s="13"/>
      <c r="I262" s="12"/>
      <c r="J262" s="13"/>
      <c r="K262" s="14" t="str">
        <f>IF(C262="","",IFERROR(N('Fee Settings'!$C$5)*(E262+N(F262)-N(J262))+N('Fee Settings'!$C$6)*(E262+N(F262)+N(G262))+N('Fee Settings'!$C$7)+N('Fee Settings'!$C$10)*D262+IF(I262="Yes",MIN(N('Fee Settings'!$C$8)*(E262+N(F262)),N('Fee Settings'!$C$9)),0),""))</f>
        <v/>
      </c>
      <c r="L262" s="14" t="str">
        <f>IF(C262="","",IFERROR(D262*N(INDEX(Products!$C$5:$C$29,MATCH(C262,Lists!$A$2:$A$26,0))),""))</f>
        <v/>
      </c>
      <c r="M262" s="15" t="str">
        <f t="shared" si="4"/>
        <v/>
      </c>
    </row>
    <row r="263" spans="1:13" x14ac:dyDescent="0.35">
      <c r="A263" s="11"/>
      <c r="B263" s="12"/>
      <c r="C263" s="12"/>
      <c r="D263" s="12"/>
      <c r="E263" s="13"/>
      <c r="F263" s="13"/>
      <c r="G263" s="13"/>
      <c r="H263" s="13"/>
      <c r="I263" s="12"/>
      <c r="J263" s="13"/>
      <c r="K263" s="14" t="str">
        <f>IF(C263="","",IFERROR(N('Fee Settings'!$C$5)*(E263+N(F263)-N(J263))+N('Fee Settings'!$C$6)*(E263+N(F263)+N(G263))+N('Fee Settings'!$C$7)+N('Fee Settings'!$C$10)*D263+IF(I263="Yes",MIN(N('Fee Settings'!$C$8)*(E263+N(F263)),N('Fee Settings'!$C$9)),0),""))</f>
        <v/>
      </c>
      <c r="L263" s="14" t="str">
        <f>IF(C263="","",IFERROR(D263*N(INDEX(Products!$C$5:$C$29,MATCH(C263,Lists!$A$2:$A$26,0))),""))</f>
        <v/>
      </c>
      <c r="M263" s="15" t="str">
        <f t="shared" si="4"/>
        <v/>
      </c>
    </row>
    <row r="264" spans="1:13" x14ac:dyDescent="0.35">
      <c r="A264" s="11"/>
      <c r="B264" s="12"/>
      <c r="C264" s="12"/>
      <c r="D264" s="12"/>
      <c r="E264" s="13"/>
      <c r="F264" s="13"/>
      <c r="G264" s="13"/>
      <c r="H264" s="13"/>
      <c r="I264" s="12"/>
      <c r="J264" s="13"/>
      <c r="K264" s="14" t="str">
        <f>IF(C264="","",IFERROR(N('Fee Settings'!$C$5)*(E264+N(F264)-N(J264))+N('Fee Settings'!$C$6)*(E264+N(F264)+N(G264))+N('Fee Settings'!$C$7)+N('Fee Settings'!$C$10)*D264+IF(I264="Yes",MIN(N('Fee Settings'!$C$8)*(E264+N(F264)),N('Fee Settings'!$C$9)),0),""))</f>
        <v/>
      </c>
      <c r="L264" s="14" t="str">
        <f>IF(C264="","",IFERROR(D264*N(INDEX(Products!$C$5:$C$29,MATCH(C264,Lists!$A$2:$A$26,0))),""))</f>
        <v/>
      </c>
      <c r="M264" s="15" t="str">
        <f t="shared" si="4"/>
        <v/>
      </c>
    </row>
    <row r="265" spans="1:13" x14ac:dyDescent="0.35">
      <c r="A265" s="11"/>
      <c r="B265" s="12"/>
      <c r="C265" s="12"/>
      <c r="D265" s="12"/>
      <c r="E265" s="13"/>
      <c r="F265" s="13"/>
      <c r="G265" s="13"/>
      <c r="H265" s="13"/>
      <c r="I265" s="12"/>
      <c r="J265" s="13"/>
      <c r="K265" s="14" t="str">
        <f>IF(C265="","",IFERROR(N('Fee Settings'!$C$5)*(E265+N(F265)-N(J265))+N('Fee Settings'!$C$6)*(E265+N(F265)+N(G265))+N('Fee Settings'!$C$7)+N('Fee Settings'!$C$10)*D265+IF(I265="Yes",MIN(N('Fee Settings'!$C$8)*(E265+N(F265)),N('Fee Settings'!$C$9)),0),""))</f>
        <v/>
      </c>
      <c r="L265" s="14" t="str">
        <f>IF(C265="","",IFERROR(D265*N(INDEX(Products!$C$5:$C$29,MATCH(C265,Lists!$A$2:$A$26,0))),""))</f>
        <v/>
      </c>
      <c r="M265" s="15" t="str">
        <f t="shared" si="4"/>
        <v/>
      </c>
    </row>
    <row r="266" spans="1:13" x14ac:dyDescent="0.35">
      <c r="A266" s="11"/>
      <c r="B266" s="12"/>
      <c r="C266" s="12"/>
      <c r="D266" s="12"/>
      <c r="E266" s="13"/>
      <c r="F266" s="13"/>
      <c r="G266" s="13"/>
      <c r="H266" s="13"/>
      <c r="I266" s="12"/>
      <c r="J266" s="13"/>
      <c r="K266" s="14" t="str">
        <f>IF(C266="","",IFERROR(N('Fee Settings'!$C$5)*(E266+N(F266)-N(J266))+N('Fee Settings'!$C$6)*(E266+N(F266)+N(G266))+N('Fee Settings'!$C$7)+N('Fee Settings'!$C$10)*D266+IF(I266="Yes",MIN(N('Fee Settings'!$C$8)*(E266+N(F266)),N('Fee Settings'!$C$9)),0),""))</f>
        <v/>
      </c>
      <c r="L266" s="14" t="str">
        <f>IF(C266="","",IFERROR(D266*N(INDEX(Products!$C$5:$C$29,MATCH(C266,Lists!$A$2:$A$26,0))),""))</f>
        <v/>
      </c>
      <c r="M266" s="15" t="str">
        <f t="shared" si="4"/>
        <v/>
      </c>
    </row>
    <row r="267" spans="1:13" x14ac:dyDescent="0.35">
      <c r="A267" s="11"/>
      <c r="B267" s="12"/>
      <c r="C267" s="12"/>
      <c r="D267" s="12"/>
      <c r="E267" s="13"/>
      <c r="F267" s="13"/>
      <c r="G267" s="13"/>
      <c r="H267" s="13"/>
      <c r="I267" s="12"/>
      <c r="J267" s="13"/>
      <c r="K267" s="14" t="str">
        <f>IF(C267="","",IFERROR(N('Fee Settings'!$C$5)*(E267+N(F267)-N(J267))+N('Fee Settings'!$C$6)*(E267+N(F267)+N(G267))+N('Fee Settings'!$C$7)+N('Fee Settings'!$C$10)*D267+IF(I267="Yes",MIN(N('Fee Settings'!$C$8)*(E267+N(F267)),N('Fee Settings'!$C$9)),0),""))</f>
        <v/>
      </c>
      <c r="L267" s="14" t="str">
        <f>IF(C267="","",IFERROR(D267*N(INDEX(Products!$C$5:$C$29,MATCH(C267,Lists!$A$2:$A$26,0))),""))</f>
        <v/>
      </c>
      <c r="M267" s="15" t="str">
        <f t="shared" si="4"/>
        <v/>
      </c>
    </row>
    <row r="268" spans="1:13" x14ac:dyDescent="0.35">
      <c r="A268" s="11"/>
      <c r="B268" s="12"/>
      <c r="C268" s="12"/>
      <c r="D268" s="12"/>
      <c r="E268" s="13"/>
      <c r="F268" s="13"/>
      <c r="G268" s="13"/>
      <c r="H268" s="13"/>
      <c r="I268" s="12"/>
      <c r="J268" s="13"/>
      <c r="K268" s="14" t="str">
        <f>IF(C268="","",IFERROR(N('Fee Settings'!$C$5)*(E268+N(F268)-N(J268))+N('Fee Settings'!$C$6)*(E268+N(F268)+N(G268))+N('Fee Settings'!$C$7)+N('Fee Settings'!$C$10)*D268+IF(I268="Yes",MIN(N('Fee Settings'!$C$8)*(E268+N(F268)),N('Fee Settings'!$C$9)),0),""))</f>
        <v/>
      </c>
      <c r="L268" s="14" t="str">
        <f>IF(C268="","",IFERROR(D268*N(INDEX(Products!$C$5:$C$29,MATCH(C268,Lists!$A$2:$A$26,0))),""))</f>
        <v/>
      </c>
      <c r="M268" s="15" t="str">
        <f t="shared" si="4"/>
        <v/>
      </c>
    </row>
    <row r="269" spans="1:13" x14ac:dyDescent="0.35">
      <c r="A269" s="11"/>
      <c r="B269" s="12"/>
      <c r="C269" s="12"/>
      <c r="D269" s="12"/>
      <c r="E269" s="13"/>
      <c r="F269" s="13"/>
      <c r="G269" s="13"/>
      <c r="H269" s="13"/>
      <c r="I269" s="12"/>
      <c r="J269" s="13"/>
      <c r="K269" s="14" t="str">
        <f>IF(C269="","",IFERROR(N('Fee Settings'!$C$5)*(E269+N(F269)-N(J269))+N('Fee Settings'!$C$6)*(E269+N(F269)+N(G269))+N('Fee Settings'!$C$7)+N('Fee Settings'!$C$10)*D269+IF(I269="Yes",MIN(N('Fee Settings'!$C$8)*(E269+N(F269)),N('Fee Settings'!$C$9)),0),""))</f>
        <v/>
      </c>
      <c r="L269" s="14" t="str">
        <f>IF(C269="","",IFERROR(D269*N(INDEX(Products!$C$5:$C$29,MATCH(C269,Lists!$A$2:$A$26,0))),""))</f>
        <v/>
      </c>
      <c r="M269" s="15" t="str">
        <f t="shared" si="4"/>
        <v/>
      </c>
    </row>
    <row r="270" spans="1:13" x14ac:dyDescent="0.35">
      <c r="A270" s="11"/>
      <c r="B270" s="12"/>
      <c r="C270" s="12"/>
      <c r="D270" s="12"/>
      <c r="E270" s="13"/>
      <c r="F270" s="13"/>
      <c r="G270" s="13"/>
      <c r="H270" s="13"/>
      <c r="I270" s="12"/>
      <c r="J270" s="13"/>
      <c r="K270" s="14" t="str">
        <f>IF(C270="","",IFERROR(N('Fee Settings'!$C$5)*(E270+N(F270)-N(J270))+N('Fee Settings'!$C$6)*(E270+N(F270)+N(G270))+N('Fee Settings'!$C$7)+N('Fee Settings'!$C$10)*D270+IF(I270="Yes",MIN(N('Fee Settings'!$C$8)*(E270+N(F270)),N('Fee Settings'!$C$9)),0),""))</f>
        <v/>
      </c>
      <c r="L270" s="14" t="str">
        <f>IF(C270="","",IFERROR(D270*N(INDEX(Products!$C$5:$C$29,MATCH(C270,Lists!$A$2:$A$26,0))),""))</f>
        <v/>
      </c>
      <c r="M270" s="15" t="str">
        <f t="shared" si="4"/>
        <v/>
      </c>
    </row>
    <row r="271" spans="1:13" x14ac:dyDescent="0.35">
      <c r="A271" s="11"/>
      <c r="B271" s="12"/>
      <c r="C271" s="12"/>
      <c r="D271" s="12"/>
      <c r="E271" s="13"/>
      <c r="F271" s="13"/>
      <c r="G271" s="13"/>
      <c r="H271" s="13"/>
      <c r="I271" s="12"/>
      <c r="J271" s="13"/>
      <c r="K271" s="14" t="str">
        <f>IF(C271="","",IFERROR(N('Fee Settings'!$C$5)*(E271+N(F271)-N(J271))+N('Fee Settings'!$C$6)*(E271+N(F271)+N(G271))+N('Fee Settings'!$C$7)+N('Fee Settings'!$C$10)*D271+IF(I271="Yes",MIN(N('Fee Settings'!$C$8)*(E271+N(F271)),N('Fee Settings'!$C$9)),0),""))</f>
        <v/>
      </c>
      <c r="L271" s="14" t="str">
        <f>IF(C271="","",IFERROR(D271*N(INDEX(Products!$C$5:$C$29,MATCH(C271,Lists!$A$2:$A$26,0))),""))</f>
        <v/>
      </c>
      <c r="M271" s="15" t="str">
        <f t="shared" si="4"/>
        <v/>
      </c>
    </row>
    <row r="272" spans="1:13" x14ac:dyDescent="0.35">
      <c r="A272" s="11"/>
      <c r="B272" s="12"/>
      <c r="C272" s="12"/>
      <c r="D272" s="12"/>
      <c r="E272" s="13"/>
      <c r="F272" s="13"/>
      <c r="G272" s="13"/>
      <c r="H272" s="13"/>
      <c r="I272" s="12"/>
      <c r="J272" s="13"/>
      <c r="K272" s="14" t="str">
        <f>IF(C272="","",IFERROR(N('Fee Settings'!$C$5)*(E272+N(F272)-N(J272))+N('Fee Settings'!$C$6)*(E272+N(F272)+N(G272))+N('Fee Settings'!$C$7)+N('Fee Settings'!$C$10)*D272+IF(I272="Yes",MIN(N('Fee Settings'!$C$8)*(E272+N(F272)),N('Fee Settings'!$C$9)),0),""))</f>
        <v/>
      </c>
      <c r="L272" s="14" t="str">
        <f>IF(C272="","",IFERROR(D272*N(INDEX(Products!$C$5:$C$29,MATCH(C272,Lists!$A$2:$A$26,0))),""))</f>
        <v/>
      </c>
      <c r="M272" s="15" t="str">
        <f t="shared" si="4"/>
        <v/>
      </c>
    </row>
    <row r="273" spans="1:13" x14ac:dyDescent="0.35">
      <c r="A273" s="11"/>
      <c r="B273" s="12"/>
      <c r="C273" s="12"/>
      <c r="D273" s="12"/>
      <c r="E273" s="13"/>
      <c r="F273" s="13"/>
      <c r="G273" s="13"/>
      <c r="H273" s="13"/>
      <c r="I273" s="12"/>
      <c r="J273" s="13"/>
      <c r="K273" s="14" t="str">
        <f>IF(C273="","",IFERROR(N('Fee Settings'!$C$5)*(E273+N(F273)-N(J273))+N('Fee Settings'!$C$6)*(E273+N(F273)+N(G273))+N('Fee Settings'!$C$7)+N('Fee Settings'!$C$10)*D273+IF(I273="Yes",MIN(N('Fee Settings'!$C$8)*(E273+N(F273)),N('Fee Settings'!$C$9)),0),""))</f>
        <v/>
      </c>
      <c r="L273" s="14" t="str">
        <f>IF(C273="","",IFERROR(D273*N(INDEX(Products!$C$5:$C$29,MATCH(C273,Lists!$A$2:$A$26,0))),""))</f>
        <v/>
      </c>
      <c r="M273" s="15" t="str">
        <f t="shared" si="4"/>
        <v/>
      </c>
    </row>
    <row r="274" spans="1:13" x14ac:dyDescent="0.35">
      <c r="A274" s="11"/>
      <c r="B274" s="12"/>
      <c r="C274" s="12"/>
      <c r="D274" s="12"/>
      <c r="E274" s="13"/>
      <c r="F274" s="13"/>
      <c r="G274" s="13"/>
      <c r="H274" s="13"/>
      <c r="I274" s="12"/>
      <c r="J274" s="13"/>
      <c r="K274" s="14" t="str">
        <f>IF(C274="","",IFERROR(N('Fee Settings'!$C$5)*(E274+N(F274)-N(J274))+N('Fee Settings'!$C$6)*(E274+N(F274)+N(G274))+N('Fee Settings'!$C$7)+N('Fee Settings'!$C$10)*D274+IF(I274="Yes",MIN(N('Fee Settings'!$C$8)*(E274+N(F274)),N('Fee Settings'!$C$9)),0),""))</f>
        <v/>
      </c>
      <c r="L274" s="14" t="str">
        <f>IF(C274="","",IFERROR(D274*N(INDEX(Products!$C$5:$C$29,MATCH(C274,Lists!$A$2:$A$26,0))),""))</f>
        <v/>
      </c>
      <c r="M274" s="15" t="str">
        <f t="shared" si="4"/>
        <v/>
      </c>
    </row>
    <row r="275" spans="1:13" x14ac:dyDescent="0.35">
      <c r="A275" s="11"/>
      <c r="B275" s="12"/>
      <c r="C275" s="12"/>
      <c r="D275" s="12"/>
      <c r="E275" s="13"/>
      <c r="F275" s="13"/>
      <c r="G275" s="13"/>
      <c r="H275" s="13"/>
      <c r="I275" s="12"/>
      <c r="J275" s="13"/>
      <c r="K275" s="14" t="str">
        <f>IF(C275="","",IFERROR(N('Fee Settings'!$C$5)*(E275+N(F275)-N(J275))+N('Fee Settings'!$C$6)*(E275+N(F275)+N(G275))+N('Fee Settings'!$C$7)+N('Fee Settings'!$C$10)*D275+IF(I275="Yes",MIN(N('Fee Settings'!$C$8)*(E275+N(F275)),N('Fee Settings'!$C$9)),0),""))</f>
        <v/>
      </c>
      <c r="L275" s="14" t="str">
        <f>IF(C275="","",IFERROR(D275*N(INDEX(Products!$C$5:$C$29,MATCH(C275,Lists!$A$2:$A$26,0))),""))</f>
        <v/>
      </c>
      <c r="M275" s="15" t="str">
        <f t="shared" si="4"/>
        <v/>
      </c>
    </row>
    <row r="276" spans="1:13" x14ac:dyDescent="0.35">
      <c r="A276" s="11"/>
      <c r="B276" s="12"/>
      <c r="C276" s="12"/>
      <c r="D276" s="12"/>
      <c r="E276" s="13"/>
      <c r="F276" s="13"/>
      <c r="G276" s="13"/>
      <c r="H276" s="13"/>
      <c r="I276" s="12"/>
      <c r="J276" s="13"/>
      <c r="K276" s="14" t="str">
        <f>IF(C276="","",IFERROR(N('Fee Settings'!$C$5)*(E276+N(F276)-N(J276))+N('Fee Settings'!$C$6)*(E276+N(F276)+N(G276))+N('Fee Settings'!$C$7)+N('Fee Settings'!$C$10)*D276+IF(I276="Yes",MIN(N('Fee Settings'!$C$8)*(E276+N(F276)),N('Fee Settings'!$C$9)),0),""))</f>
        <v/>
      </c>
      <c r="L276" s="14" t="str">
        <f>IF(C276="","",IFERROR(D276*N(INDEX(Products!$C$5:$C$29,MATCH(C276,Lists!$A$2:$A$26,0))),""))</f>
        <v/>
      </c>
      <c r="M276" s="15" t="str">
        <f t="shared" si="4"/>
        <v/>
      </c>
    </row>
    <row r="277" spans="1:13" x14ac:dyDescent="0.35">
      <c r="A277" s="11"/>
      <c r="B277" s="12"/>
      <c r="C277" s="12"/>
      <c r="D277" s="12"/>
      <c r="E277" s="13"/>
      <c r="F277" s="13"/>
      <c r="G277" s="13"/>
      <c r="H277" s="13"/>
      <c r="I277" s="12"/>
      <c r="J277" s="13"/>
      <c r="K277" s="14" t="str">
        <f>IF(C277="","",IFERROR(N('Fee Settings'!$C$5)*(E277+N(F277)-N(J277))+N('Fee Settings'!$C$6)*(E277+N(F277)+N(G277))+N('Fee Settings'!$C$7)+N('Fee Settings'!$C$10)*D277+IF(I277="Yes",MIN(N('Fee Settings'!$C$8)*(E277+N(F277)),N('Fee Settings'!$C$9)),0),""))</f>
        <v/>
      </c>
      <c r="L277" s="14" t="str">
        <f>IF(C277="","",IFERROR(D277*N(INDEX(Products!$C$5:$C$29,MATCH(C277,Lists!$A$2:$A$26,0))),""))</f>
        <v/>
      </c>
      <c r="M277" s="15" t="str">
        <f t="shared" si="4"/>
        <v/>
      </c>
    </row>
    <row r="278" spans="1:13" x14ac:dyDescent="0.35">
      <c r="A278" s="11"/>
      <c r="B278" s="12"/>
      <c r="C278" s="12"/>
      <c r="D278" s="12"/>
      <c r="E278" s="13"/>
      <c r="F278" s="13"/>
      <c r="G278" s="13"/>
      <c r="H278" s="13"/>
      <c r="I278" s="12"/>
      <c r="J278" s="13"/>
      <c r="K278" s="14" t="str">
        <f>IF(C278="","",IFERROR(N('Fee Settings'!$C$5)*(E278+N(F278)-N(J278))+N('Fee Settings'!$C$6)*(E278+N(F278)+N(G278))+N('Fee Settings'!$C$7)+N('Fee Settings'!$C$10)*D278+IF(I278="Yes",MIN(N('Fee Settings'!$C$8)*(E278+N(F278)),N('Fee Settings'!$C$9)),0),""))</f>
        <v/>
      </c>
      <c r="L278" s="14" t="str">
        <f>IF(C278="","",IFERROR(D278*N(INDEX(Products!$C$5:$C$29,MATCH(C278,Lists!$A$2:$A$26,0))),""))</f>
        <v/>
      </c>
      <c r="M278" s="15" t="str">
        <f t="shared" si="4"/>
        <v/>
      </c>
    </row>
    <row r="279" spans="1:13" x14ac:dyDescent="0.35">
      <c r="A279" s="11"/>
      <c r="B279" s="12"/>
      <c r="C279" s="12"/>
      <c r="D279" s="12"/>
      <c r="E279" s="13"/>
      <c r="F279" s="13"/>
      <c r="G279" s="13"/>
      <c r="H279" s="13"/>
      <c r="I279" s="12"/>
      <c r="J279" s="13"/>
      <c r="K279" s="14" t="str">
        <f>IF(C279="","",IFERROR(N('Fee Settings'!$C$5)*(E279+N(F279)-N(J279))+N('Fee Settings'!$C$6)*(E279+N(F279)+N(G279))+N('Fee Settings'!$C$7)+N('Fee Settings'!$C$10)*D279+IF(I279="Yes",MIN(N('Fee Settings'!$C$8)*(E279+N(F279)),N('Fee Settings'!$C$9)),0),""))</f>
        <v/>
      </c>
      <c r="L279" s="14" t="str">
        <f>IF(C279="","",IFERROR(D279*N(INDEX(Products!$C$5:$C$29,MATCH(C279,Lists!$A$2:$A$26,0))),""))</f>
        <v/>
      </c>
      <c r="M279" s="15" t="str">
        <f t="shared" si="4"/>
        <v/>
      </c>
    </row>
    <row r="280" spans="1:13" x14ac:dyDescent="0.35">
      <c r="A280" s="11"/>
      <c r="B280" s="12"/>
      <c r="C280" s="12"/>
      <c r="D280" s="12"/>
      <c r="E280" s="13"/>
      <c r="F280" s="13"/>
      <c r="G280" s="13"/>
      <c r="H280" s="13"/>
      <c r="I280" s="12"/>
      <c r="J280" s="13"/>
      <c r="K280" s="14" t="str">
        <f>IF(C280="","",IFERROR(N('Fee Settings'!$C$5)*(E280+N(F280)-N(J280))+N('Fee Settings'!$C$6)*(E280+N(F280)+N(G280))+N('Fee Settings'!$C$7)+N('Fee Settings'!$C$10)*D280+IF(I280="Yes",MIN(N('Fee Settings'!$C$8)*(E280+N(F280)),N('Fee Settings'!$C$9)),0),""))</f>
        <v/>
      </c>
      <c r="L280" s="14" t="str">
        <f>IF(C280="","",IFERROR(D280*N(INDEX(Products!$C$5:$C$29,MATCH(C280,Lists!$A$2:$A$26,0))),""))</f>
        <v/>
      </c>
      <c r="M280" s="15" t="str">
        <f t="shared" si="4"/>
        <v/>
      </c>
    </row>
    <row r="281" spans="1:13" x14ac:dyDescent="0.35">
      <c r="A281" s="11"/>
      <c r="B281" s="12"/>
      <c r="C281" s="12"/>
      <c r="D281" s="12"/>
      <c r="E281" s="13"/>
      <c r="F281" s="13"/>
      <c r="G281" s="13"/>
      <c r="H281" s="13"/>
      <c r="I281" s="12"/>
      <c r="J281" s="13"/>
      <c r="K281" s="14" t="str">
        <f>IF(C281="","",IFERROR(N('Fee Settings'!$C$5)*(E281+N(F281)-N(J281))+N('Fee Settings'!$C$6)*(E281+N(F281)+N(G281))+N('Fee Settings'!$C$7)+N('Fee Settings'!$C$10)*D281+IF(I281="Yes",MIN(N('Fee Settings'!$C$8)*(E281+N(F281)),N('Fee Settings'!$C$9)),0),""))</f>
        <v/>
      </c>
      <c r="L281" s="14" t="str">
        <f>IF(C281="","",IFERROR(D281*N(INDEX(Products!$C$5:$C$29,MATCH(C281,Lists!$A$2:$A$26,0))),""))</f>
        <v/>
      </c>
      <c r="M281" s="15" t="str">
        <f t="shared" si="4"/>
        <v/>
      </c>
    </row>
    <row r="282" spans="1:13" x14ac:dyDescent="0.35">
      <c r="A282" s="11"/>
      <c r="B282" s="12"/>
      <c r="C282" s="12"/>
      <c r="D282" s="12"/>
      <c r="E282" s="13"/>
      <c r="F282" s="13"/>
      <c r="G282" s="13"/>
      <c r="H282" s="13"/>
      <c r="I282" s="12"/>
      <c r="J282" s="13"/>
      <c r="K282" s="14" t="str">
        <f>IF(C282="","",IFERROR(N('Fee Settings'!$C$5)*(E282+N(F282)-N(J282))+N('Fee Settings'!$C$6)*(E282+N(F282)+N(G282))+N('Fee Settings'!$C$7)+N('Fee Settings'!$C$10)*D282+IF(I282="Yes",MIN(N('Fee Settings'!$C$8)*(E282+N(F282)),N('Fee Settings'!$C$9)),0),""))</f>
        <v/>
      </c>
      <c r="L282" s="14" t="str">
        <f>IF(C282="","",IFERROR(D282*N(INDEX(Products!$C$5:$C$29,MATCH(C282,Lists!$A$2:$A$26,0))),""))</f>
        <v/>
      </c>
      <c r="M282" s="15" t="str">
        <f t="shared" si="4"/>
        <v/>
      </c>
    </row>
    <row r="283" spans="1:13" x14ac:dyDescent="0.35">
      <c r="A283" s="11"/>
      <c r="B283" s="12"/>
      <c r="C283" s="12"/>
      <c r="D283" s="12"/>
      <c r="E283" s="13"/>
      <c r="F283" s="13"/>
      <c r="G283" s="13"/>
      <c r="H283" s="13"/>
      <c r="I283" s="12"/>
      <c r="J283" s="13"/>
      <c r="K283" s="14" t="str">
        <f>IF(C283="","",IFERROR(N('Fee Settings'!$C$5)*(E283+N(F283)-N(J283))+N('Fee Settings'!$C$6)*(E283+N(F283)+N(G283))+N('Fee Settings'!$C$7)+N('Fee Settings'!$C$10)*D283+IF(I283="Yes",MIN(N('Fee Settings'!$C$8)*(E283+N(F283)),N('Fee Settings'!$C$9)),0),""))</f>
        <v/>
      </c>
      <c r="L283" s="14" t="str">
        <f>IF(C283="","",IFERROR(D283*N(INDEX(Products!$C$5:$C$29,MATCH(C283,Lists!$A$2:$A$26,0))),""))</f>
        <v/>
      </c>
      <c r="M283" s="15" t="str">
        <f t="shared" si="4"/>
        <v/>
      </c>
    </row>
    <row r="284" spans="1:13" x14ac:dyDescent="0.35">
      <c r="A284" s="11"/>
      <c r="B284" s="12"/>
      <c r="C284" s="12"/>
      <c r="D284" s="12"/>
      <c r="E284" s="13"/>
      <c r="F284" s="13"/>
      <c r="G284" s="13"/>
      <c r="H284" s="13"/>
      <c r="I284" s="12"/>
      <c r="J284" s="13"/>
      <c r="K284" s="14" t="str">
        <f>IF(C284="","",IFERROR(N('Fee Settings'!$C$5)*(E284+N(F284)-N(J284))+N('Fee Settings'!$C$6)*(E284+N(F284)+N(G284))+N('Fee Settings'!$C$7)+N('Fee Settings'!$C$10)*D284+IF(I284="Yes",MIN(N('Fee Settings'!$C$8)*(E284+N(F284)),N('Fee Settings'!$C$9)),0),""))</f>
        <v/>
      </c>
      <c r="L284" s="14" t="str">
        <f>IF(C284="","",IFERROR(D284*N(INDEX(Products!$C$5:$C$29,MATCH(C284,Lists!$A$2:$A$26,0))),""))</f>
        <v/>
      </c>
      <c r="M284" s="15" t="str">
        <f t="shared" si="4"/>
        <v/>
      </c>
    </row>
    <row r="285" spans="1:13" x14ac:dyDescent="0.35">
      <c r="A285" s="11"/>
      <c r="B285" s="12"/>
      <c r="C285" s="12"/>
      <c r="D285" s="12"/>
      <c r="E285" s="13"/>
      <c r="F285" s="13"/>
      <c r="G285" s="13"/>
      <c r="H285" s="13"/>
      <c r="I285" s="12"/>
      <c r="J285" s="13"/>
      <c r="K285" s="14" t="str">
        <f>IF(C285="","",IFERROR(N('Fee Settings'!$C$5)*(E285+N(F285)-N(J285))+N('Fee Settings'!$C$6)*(E285+N(F285)+N(G285))+N('Fee Settings'!$C$7)+N('Fee Settings'!$C$10)*D285+IF(I285="Yes",MIN(N('Fee Settings'!$C$8)*(E285+N(F285)),N('Fee Settings'!$C$9)),0),""))</f>
        <v/>
      </c>
      <c r="L285" s="14" t="str">
        <f>IF(C285="","",IFERROR(D285*N(INDEX(Products!$C$5:$C$29,MATCH(C285,Lists!$A$2:$A$26,0))),""))</f>
        <v/>
      </c>
      <c r="M285" s="15" t="str">
        <f t="shared" si="4"/>
        <v/>
      </c>
    </row>
    <row r="286" spans="1:13" x14ac:dyDescent="0.35">
      <c r="A286" s="11"/>
      <c r="B286" s="12"/>
      <c r="C286" s="12"/>
      <c r="D286" s="12"/>
      <c r="E286" s="13"/>
      <c r="F286" s="13"/>
      <c r="G286" s="13"/>
      <c r="H286" s="13"/>
      <c r="I286" s="12"/>
      <c r="J286" s="13"/>
      <c r="K286" s="14" t="str">
        <f>IF(C286="","",IFERROR(N('Fee Settings'!$C$5)*(E286+N(F286)-N(J286))+N('Fee Settings'!$C$6)*(E286+N(F286)+N(G286))+N('Fee Settings'!$C$7)+N('Fee Settings'!$C$10)*D286+IF(I286="Yes",MIN(N('Fee Settings'!$C$8)*(E286+N(F286)),N('Fee Settings'!$C$9)),0),""))</f>
        <v/>
      </c>
      <c r="L286" s="14" t="str">
        <f>IF(C286="","",IFERROR(D286*N(INDEX(Products!$C$5:$C$29,MATCH(C286,Lists!$A$2:$A$26,0))),""))</f>
        <v/>
      </c>
      <c r="M286" s="15" t="str">
        <f t="shared" si="4"/>
        <v/>
      </c>
    </row>
    <row r="287" spans="1:13" x14ac:dyDescent="0.35">
      <c r="A287" s="11"/>
      <c r="B287" s="12"/>
      <c r="C287" s="12"/>
      <c r="D287" s="12"/>
      <c r="E287" s="13"/>
      <c r="F287" s="13"/>
      <c r="G287" s="13"/>
      <c r="H287" s="13"/>
      <c r="I287" s="12"/>
      <c r="J287" s="13"/>
      <c r="K287" s="14" t="str">
        <f>IF(C287="","",IFERROR(N('Fee Settings'!$C$5)*(E287+N(F287)-N(J287))+N('Fee Settings'!$C$6)*(E287+N(F287)+N(G287))+N('Fee Settings'!$C$7)+N('Fee Settings'!$C$10)*D287+IF(I287="Yes",MIN(N('Fee Settings'!$C$8)*(E287+N(F287)),N('Fee Settings'!$C$9)),0),""))</f>
        <v/>
      </c>
      <c r="L287" s="14" t="str">
        <f>IF(C287="","",IFERROR(D287*N(INDEX(Products!$C$5:$C$29,MATCH(C287,Lists!$A$2:$A$26,0))),""))</f>
        <v/>
      </c>
      <c r="M287" s="15" t="str">
        <f t="shared" si="4"/>
        <v/>
      </c>
    </row>
    <row r="288" spans="1:13" x14ac:dyDescent="0.35">
      <c r="A288" s="11"/>
      <c r="B288" s="12"/>
      <c r="C288" s="12"/>
      <c r="D288" s="12"/>
      <c r="E288" s="13"/>
      <c r="F288" s="13"/>
      <c r="G288" s="13"/>
      <c r="H288" s="13"/>
      <c r="I288" s="12"/>
      <c r="J288" s="13"/>
      <c r="K288" s="14" t="str">
        <f>IF(C288="","",IFERROR(N('Fee Settings'!$C$5)*(E288+N(F288)-N(J288))+N('Fee Settings'!$C$6)*(E288+N(F288)+N(G288))+N('Fee Settings'!$C$7)+N('Fee Settings'!$C$10)*D288+IF(I288="Yes",MIN(N('Fee Settings'!$C$8)*(E288+N(F288)),N('Fee Settings'!$C$9)),0),""))</f>
        <v/>
      </c>
      <c r="L288" s="14" t="str">
        <f>IF(C288="","",IFERROR(D288*N(INDEX(Products!$C$5:$C$29,MATCH(C288,Lists!$A$2:$A$26,0))),""))</f>
        <v/>
      </c>
      <c r="M288" s="15" t="str">
        <f t="shared" si="4"/>
        <v/>
      </c>
    </row>
    <row r="289" spans="1:13" x14ac:dyDescent="0.35">
      <c r="A289" s="11"/>
      <c r="B289" s="12"/>
      <c r="C289" s="12"/>
      <c r="D289" s="12"/>
      <c r="E289" s="13"/>
      <c r="F289" s="13"/>
      <c r="G289" s="13"/>
      <c r="H289" s="13"/>
      <c r="I289" s="12"/>
      <c r="J289" s="13"/>
      <c r="K289" s="14" t="str">
        <f>IF(C289="","",IFERROR(N('Fee Settings'!$C$5)*(E289+N(F289)-N(J289))+N('Fee Settings'!$C$6)*(E289+N(F289)+N(G289))+N('Fee Settings'!$C$7)+N('Fee Settings'!$C$10)*D289+IF(I289="Yes",MIN(N('Fee Settings'!$C$8)*(E289+N(F289)),N('Fee Settings'!$C$9)),0),""))</f>
        <v/>
      </c>
      <c r="L289" s="14" t="str">
        <f>IF(C289="","",IFERROR(D289*N(INDEX(Products!$C$5:$C$29,MATCH(C289,Lists!$A$2:$A$26,0))),""))</f>
        <v/>
      </c>
      <c r="M289" s="15" t="str">
        <f t="shared" si="4"/>
        <v/>
      </c>
    </row>
    <row r="290" spans="1:13" x14ac:dyDescent="0.35">
      <c r="A290" s="11"/>
      <c r="B290" s="12"/>
      <c r="C290" s="12"/>
      <c r="D290" s="12"/>
      <c r="E290" s="13"/>
      <c r="F290" s="13"/>
      <c r="G290" s="13"/>
      <c r="H290" s="13"/>
      <c r="I290" s="12"/>
      <c r="J290" s="13"/>
      <c r="K290" s="14" t="str">
        <f>IF(C290="","",IFERROR(N('Fee Settings'!$C$5)*(E290+N(F290)-N(J290))+N('Fee Settings'!$C$6)*(E290+N(F290)+N(G290))+N('Fee Settings'!$C$7)+N('Fee Settings'!$C$10)*D290+IF(I290="Yes",MIN(N('Fee Settings'!$C$8)*(E290+N(F290)),N('Fee Settings'!$C$9)),0),""))</f>
        <v/>
      </c>
      <c r="L290" s="14" t="str">
        <f>IF(C290="","",IFERROR(D290*N(INDEX(Products!$C$5:$C$29,MATCH(C290,Lists!$A$2:$A$26,0))),""))</f>
        <v/>
      </c>
      <c r="M290" s="15" t="str">
        <f t="shared" si="4"/>
        <v/>
      </c>
    </row>
    <row r="291" spans="1:13" x14ac:dyDescent="0.35">
      <c r="A291" s="11"/>
      <c r="B291" s="12"/>
      <c r="C291" s="12"/>
      <c r="D291" s="12"/>
      <c r="E291" s="13"/>
      <c r="F291" s="13"/>
      <c r="G291" s="13"/>
      <c r="H291" s="13"/>
      <c r="I291" s="12"/>
      <c r="J291" s="13"/>
      <c r="K291" s="14" t="str">
        <f>IF(C291="","",IFERROR(N('Fee Settings'!$C$5)*(E291+N(F291)-N(J291))+N('Fee Settings'!$C$6)*(E291+N(F291)+N(G291))+N('Fee Settings'!$C$7)+N('Fee Settings'!$C$10)*D291+IF(I291="Yes",MIN(N('Fee Settings'!$C$8)*(E291+N(F291)),N('Fee Settings'!$C$9)),0),""))</f>
        <v/>
      </c>
      <c r="L291" s="14" t="str">
        <f>IF(C291="","",IFERROR(D291*N(INDEX(Products!$C$5:$C$29,MATCH(C291,Lists!$A$2:$A$26,0))),""))</f>
        <v/>
      </c>
      <c r="M291" s="15" t="str">
        <f t="shared" si="4"/>
        <v/>
      </c>
    </row>
    <row r="292" spans="1:13" x14ac:dyDescent="0.35">
      <c r="A292" s="11"/>
      <c r="B292" s="12"/>
      <c r="C292" s="12"/>
      <c r="D292" s="12"/>
      <c r="E292" s="13"/>
      <c r="F292" s="13"/>
      <c r="G292" s="13"/>
      <c r="H292" s="13"/>
      <c r="I292" s="12"/>
      <c r="J292" s="13"/>
      <c r="K292" s="14" t="str">
        <f>IF(C292="","",IFERROR(N('Fee Settings'!$C$5)*(E292+N(F292)-N(J292))+N('Fee Settings'!$C$6)*(E292+N(F292)+N(G292))+N('Fee Settings'!$C$7)+N('Fee Settings'!$C$10)*D292+IF(I292="Yes",MIN(N('Fee Settings'!$C$8)*(E292+N(F292)),N('Fee Settings'!$C$9)),0),""))</f>
        <v/>
      </c>
      <c r="L292" s="14" t="str">
        <f>IF(C292="","",IFERROR(D292*N(INDEX(Products!$C$5:$C$29,MATCH(C292,Lists!$A$2:$A$26,0))),""))</f>
        <v/>
      </c>
      <c r="M292" s="15" t="str">
        <f t="shared" si="4"/>
        <v/>
      </c>
    </row>
    <row r="293" spans="1:13" x14ac:dyDescent="0.35">
      <c r="A293" s="11"/>
      <c r="B293" s="12"/>
      <c r="C293" s="12"/>
      <c r="D293" s="12"/>
      <c r="E293" s="13"/>
      <c r="F293" s="13"/>
      <c r="G293" s="13"/>
      <c r="H293" s="13"/>
      <c r="I293" s="12"/>
      <c r="J293" s="13"/>
      <c r="K293" s="14" t="str">
        <f>IF(C293="","",IFERROR(N('Fee Settings'!$C$5)*(E293+N(F293)-N(J293))+N('Fee Settings'!$C$6)*(E293+N(F293)+N(G293))+N('Fee Settings'!$C$7)+N('Fee Settings'!$C$10)*D293+IF(I293="Yes",MIN(N('Fee Settings'!$C$8)*(E293+N(F293)),N('Fee Settings'!$C$9)),0),""))</f>
        <v/>
      </c>
      <c r="L293" s="14" t="str">
        <f>IF(C293="","",IFERROR(D293*N(INDEX(Products!$C$5:$C$29,MATCH(C293,Lists!$A$2:$A$26,0))),""))</f>
        <v/>
      </c>
      <c r="M293" s="15" t="str">
        <f t="shared" si="4"/>
        <v/>
      </c>
    </row>
    <row r="294" spans="1:13" x14ac:dyDescent="0.35">
      <c r="A294" s="11"/>
      <c r="B294" s="12"/>
      <c r="C294" s="12"/>
      <c r="D294" s="12"/>
      <c r="E294" s="13"/>
      <c r="F294" s="13"/>
      <c r="G294" s="13"/>
      <c r="H294" s="13"/>
      <c r="I294" s="12"/>
      <c r="J294" s="13"/>
      <c r="K294" s="14" t="str">
        <f>IF(C294="","",IFERROR(N('Fee Settings'!$C$5)*(E294+N(F294)-N(J294))+N('Fee Settings'!$C$6)*(E294+N(F294)+N(G294))+N('Fee Settings'!$C$7)+N('Fee Settings'!$C$10)*D294+IF(I294="Yes",MIN(N('Fee Settings'!$C$8)*(E294+N(F294)),N('Fee Settings'!$C$9)),0),""))</f>
        <v/>
      </c>
      <c r="L294" s="14" t="str">
        <f>IF(C294="","",IFERROR(D294*N(INDEX(Products!$C$5:$C$29,MATCH(C294,Lists!$A$2:$A$26,0))),""))</f>
        <v/>
      </c>
      <c r="M294" s="15" t="str">
        <f t="shared" si="4"/>
        <v/>
      </c>
    </row>
    <row r="295" spans="1:13" x14ac:dyDescent="0.35">
      <c r="A295" s="11"/>
      <c r="B295" s="12"/>
      <c r="C295" s="12"/>
      <c r="D295" s="12"/>
      <c r="E295" s="13"/>
      <c r="F295" s="13"/>
      <c r="G295" s="13"/>
      <c r="H295" s="13"/>
      <c r="I295" s="12"/>
      <c r="J295" s="13"/>
      <c r="K295" s="14" t="str">
        <f>IF(C295="","",IFERROR(N('Fee Settings'!$C$5)*(E295+N(F295)-N(J295))+N('Fee Settings'!$C$6)*(E295+N(F295)+N(G295))+N('Fee Settings'!$C$7)+N('Fee Settings'!$C$10)*D295+IF(I295="Yes",MIN(N('Fee Settings'!$C$8)*(E295+N(F295)),N('Fee Settings'!$C$9)),0),""))</f>
        <v/>
      </c>
      <c r="L295" s="14" t="str">
        <f>IF(C295="","",IFERROR(D295*N(INDEX(Products!$C$5:$C$29,MATCH(C295,Lists!$A$2:$A$26,0))),""))</f>
        <v/>
      </c>
      <c r="M295" s="15" t="str">
        <f t="shared" si="4"/>
        <v/>
      </c>
    </row>
    <row r="296" spans="1:13" x14ac:dyDescent="0.35">
      <c r="A296" s="11"/>
      <c r="B296" s="12"/>
      <c r="C296" s="12"/>
      <c r="D296" s="12"/>
      <c r="E296" s="13"/>
      <c r="F296" s="13"/>
      <c r="G296" s="13"/>
      <c r="H296" s="13"/>
      <c r="I296" s="12"/>
      <c r="J296" s="13"/>
      <c r="K296" s="14" t="str">
        <f>IF(C296="","",IFERROR(N('Fee Settings'!$C$5)*(E296+N(F296)-N(J296))+N('Fee Settings'!$C$6)*(E296+N(F296)+N(G296))+N('Fee Settings'!$C$7)+N('Fee Settings'!$C$10)*D296+IF(I296="Yes",MIN(N('Fee Settings'!$C$8)*(E296+N(F296)),N('Fee Settings'!$C$9)),0),""))</f>
        <v/>
      </c>
      <c r="L296" s="14" t="str">
        <f>IF(C296="","",IFERROR(D296*N(INDEX(Products!$C$5:$C$29,MATCH(C296,Lists!$A$2:$A$26,0))),""))</f>
        <v/>
      </c>
      <c r="M296" s="15" t="str">
        <f t="shared" si="4"/>
        <v/>
      </c>
    </row>
    <row r="297" spans="1:13" x14ac:dyDescent="0.35">
      <c r="A297" s="11"/>
      <c r="B297" s="12"/>
      <c r="C297" s="12"/>
      <c r="D297" s="12"/>
      <c r="E297" s="13"/>
      <c r="F297" s="13"/>
      <c r="G297" s="13"/>
      <c r="H297" s="13"/>
      <c r="I297" s="12"/>
      <c r="J297" s="13"/>
      <c r="K297" s="14" t="str">
        <f>IF(C297="","",IFERROR(N('Fee Settings'!$C$5)*(E297+N(F297)-N(J297))+N('Fee Settings'!$C$6)*(E297+N(F297)+N(G297))+N('Fee Settings'!$C$7)+N('Fee Settings'!$C$10)*D297+IF(I297="Yes",MIN(N('Fee Settings'!$C$8)*(E297+N(F297)),N('Fee Settings'!$C$9)),0),""))</f>
        <v/>
      </c>
      <c r="L297" s="14" t="str">
        <f>IF(C297="","",IFERROR(D297*N(INDEX(Products!$C$5:$C$29,MATCH(C297,Lists!$A$2:$A$26,0))),""))</f>
        <v/>
      </c>
      <c r="M297" s="15" t="str">
        <f t="shared" si="4"/>
        <v/>
      </c>
    </row>
    <row r="298" spans="1:13" x14ac:dyDescent="0.35">
      <c r="A298" s="11"/>
      <c r="B298" s="12"/>
      <c r="C298" s="12"/>
      <c r="D298" s="12"/>
      <c r="E298" s="13"/>
      <c r="F298" s="13"/>
      <c r="G298" s="13"/>
      <c r="H298" s="13"/>
      <c r="I298" s="12"/>
      <c r="J298" s="13"/>
      <c r="K298" s="14" t="str">
        <f>IF(C298="","",IFERROR(N('Fee Settings'!$C$5)*(E298+N(F298)-N(J298))+N('Fee Settings'!$C$6)*(E298+N(F298)+N(G298))+N('Fee Settings'!$C$7)+N('Fee Settings'!$C$10)*D298+IF(I298="Yes",MIN(N('Fee Settings'!$C$8)*(E298+N(F298)),N('Fee Settings'!$C$9)),0),""))</f>
        <v/>
      </c>
      <c r="L298" s="14" t="str">
        <f>IF(C298="","",IFERROR(D298*N(INDEX(Products!$C$5:$C$29,MATCH(C298,Lists!$A$2:$A$26,0))),""))</f>
        <v/>
      </c>
      <c r="M298" s="15" t="str">
        <f t="shared" si="4"/>
        <v/>
      </c>
    </row>
    <row r="299" spans="1:13" x14ac:dyDescent="0.35">
      <c r="A299" s="11"/>
      <c r="B299" s="12"/>
      <c r="C299" s="12"/>
      <c r="D299" s="12"/>
      <c r="E299" s="13"/>
      <c r="F299" s="13"/>
      <c r="G299" s="13"/>
      <c r="H299" s="13"/>
      <c r="I299" s="12"/>
      <c r="J299" s="13"/>
      <c r="K299" s="14" t="str">
        <f>IF(C299="","",IFERROR(N('Fee Settings'!$C$5)*(E299+N(F299)-N(J299))+N('Fee Settings'!$C$6)*(E299+N(F299)+N(G299))+N('Fee Settings'!$C$7)+N('Fee Settings'!$C$10)*D299+IF(I299="Yes",MIN(N('Fee Settings'!$C$8)*(E299+N(F299)),N('Fee Settings'!$C$9)),0),""))</f>
        <v/>
      </c>
      <c r="L299" s="14" t="str">
        <f>IF(C299="","",IFERROR(D299*N(INDEX(Products!$C$5:$C$29,MATCH(C299,Lists!$A$2:$A$26,0))),""))</f>
        <v/>
      </c>
      <c r="M299" s="15" t="str">
        <f t="shared" si="4"/>
        <v/>
      </c>
    </row>
    <row r="300" spans="1:13" x14ac:dyDescent="0.35">
      <c r="A300" s="11"/>
      <c r="B300" s="12"/>
      <c r="C300" s="12"/>
      <c r="D300" s="12"/>
      <c r="E300" s="13"/>
      <c r="F300" s="13"/>
      <c r="G300" s="13"/>
      <c r="H300" s="13"/>
      <c r="I300" s="12"/>
      <c r="J300" s="13"/>
      <c r="K300" s="14" t="str">
        <f>IF(C300="","",IFERROR(N('Fee Settings'!$C$5)*(E300+N(F300)-N(J300))+N('Fee Settings'!$C$6)*(E300+N(F300)+N(G300))+N('Fee Settings'!$C$7)+N('Fee Settings'!$C$10)*D300+IF(I300="Yes",MIN(N('Fee Settings'!$C$8)*(E300+N(F300)),N('Fee Settings'!$C$9)),0),""))</f>
        <v/>
      </c>
      <c r="L300" s="14" t="str">
        <f>IF(C300="","",IFERROR(D300*N(INDEX(Products!$C$5:$C$29,MATCH(C300,Lists!$A$2:$A$26,0))),""))</f>
        <v/>
      </c>
      <c r="M300" s="15" t="str">
        <f t="shared" si="4"/>
        <v/>
      </c>
    </row>
    <row r="301" spans="1:13" x14ac:dyDescent="0.35">
      <c r="A301" s="11"/>
      <c r="B301" s="12"/>
      <c r="C301" s="12"/>
      <c r="D301" s="12"/>
      <c r="E301" s="13"/>
      <c r="F301" s="13"/>
      <c r="G301" s="13"/>
      <c r="H301" s="13"/>
      <c r="I301" s="12"/>
      <c r="J301" s="13"/>
      <c r="K301" s="14" t="str">
        <f>IF(C301="","",IFERROR(N('Fee Settings'!$C$5)*(E301+N(F301)-N(J301))+N('Fee Settings'!$C$6)*(E301+N(F301)+N(G301))+N('Fee Settings'!$C$7)+N('Fee Settings'!$C$10)*D301+IF(I301="Yes",MIN(N('Fee Settings'!$C$8)*(E301+N(F301)),N('Fee Settings'!$C$9)),0),""))</f>
        <v/>
      </c>
      <c r="L301" s="14" t="str">
        <f>IF(C301="","",IFERROR(D301*N(INDEX(Products!$C$5:$C$29,MATCH(C301,Lists!$A$2:$A$26,0))),""))</f>
        <v/>
      </c>
      <c r="M301" s="15" t="str">
        <f t="shared" si="4"/>
        <v/>
      </c>
    </row>
    <row r="302" spans="1:13" x14ac:dyDescent="0.35">
      <c r="A302" s="11"/>
      <c r="B302" s="12"/>
      <c r="C302" s="12"/>
      <c r="D302" s="12"/>
      <c r="E302" s="13"/>
      <c r="F302" s="13"/>
      <c r="G302" s="13"/>
      <c r="H302" s="13"/>
      <c r="I302" s="12"/>
      <c r="J302" s="13"/>
      <c r="K302" s="14" t="str">
        <f>IF(C302="","",IFERROR(N('Fee Settings'!$C$5)*(E302+N(F302)-N(J302))+N('Fee Settings'!$C$6)*(E302+N(F302)+N(G302))+N('Fee Settings'!$C$7)+N('Fee Settings'!$C$10)*D302+IF(I302="Yes",MIN(N('Fee Settings'!$C$8)*(E302+N(F302)),N('Fee Settings'!$C$9)),0),""))</f>
        <v/>
      </c>
      <c r="L302" s="14" t="str">
        <f>IF(C302="","",IFERROR(D302*N(INDEX(Products!$C$5:$C$29,MATCH(C302,Lists!$A$2:$A$26,0))),""))</f>
        <v/>
      </c>
      <c r="M302" s="15" t="str">
        <f t="shared" si="4"/>
        <v/>
      </c>
    </row>
    <row r="303" spans="1:13" x14ac:dyDescent="0.35">
      <c r="A303" s="11"/>
      <c r="B303" s="12"/>
      <c r="C303" s="12"/>
      <c r="D303" s="12"/>
      <c r="E303" s="13"/>
      <c r="F303" s="13"/>
      <c r="G303" s="13"/>
      <c r="H303" s="13"/>
      <c r="I303" s="12"/>
      <c r="J303" s="13"/>
      <c r="K303" s="14" t="str">
        <f>IF(C303="","",IFERROR(N('Fee Settings'!$C$5)*(E303+N(F303)-N(J303))+N('Fee Settings'!$C$6)*(E303+N(F303)+N(G303))+N('Fee Settings'!$C$7)+N('Fee Settings'!$C$10)*D303+IF(I303="Yes",MIN(N('Fee Settings'!$C$8)*(E303+N(F303)),N('Fee Settings'!$C$9)),0),""))</f>
        <v/>
      </c>
      <c r="L303" s="14" t="str">
        <f>IF(C303="","",IFERROR(D303*N(INDEX(Products!$C$5:$C$29,MATCH(C303,Lists!$A$2:$A$26,0))),""))</f>
        <v/>
      </c>
      <c r="M303" s="15" t="str">
        <f t="shared" si="4"/>
        <v/>
      </c>
    </row>
    <row r="304" spans="1:13" x14ac:dyDescent="0.35">
      <c r="A304" s="11"/>
      <c r="B304" s="12"/>
      <c r="C304" s="12"/>
      <c r="D304" s="12"/>
      <c r="E304" s="13"/>
      <c r="F304" s="13"/>
      <c r="G304" s="13"/>
      <c r="H304" s="13"/>
      <c r="I304" s="12"/>
      <c r="J304" s="13"/>
      <c r="K304" s="14" t="str">
        <f>IF(C304="","",IFERROR(N('Fee Settings'!$C$5)*(E304+N(F304)-N(J304))+N('Fee Settings'!$C$6)*(E304+N(F304)+N(G304))+N('Fee Settings'!$C$7)+N('Fee Settings'!$C$10)*D304+IF(I304="Yes",MIN(N('Fee Settings'!$C$8)*(E304+N(F304)),N('Fee Settings'!$C$9)),0),""))</f>
        <v/>
      </c>
      <c r="L304" s="14" t="str">
        <f>IF(C304="","",IFERROR(D304*N(INDEX(Products!$C$5:$C$29,MATCH(C304,Lists!$A$2:$A$26,0))),""))</f>
        <v/>
      </c>
      <c r="M304" s="15" t="str">
        <f t="shared" si="4"/>
        <v/>
      </c>
    </row>
    <row r="305" spans="1:13" x14ac:dyDescent="0.35">
      <c r="A305" s="11"/>
      <c r="B305" s="12"/>
      <c r="C305" s="12"/>
      <c r="D305" s="12"/>
      <c r="E305" s="13"/>
      <c r="F305" s="13"/>
      <c r="G305" s="13"/>
      <c r="H305" s="13"/>
      <c r="I305" s="12"/>
      <c r="J305" s="13"/>
      <c r="K305" s="14" t="str">
        <f>IF(C305="","",IFERROR(N('Fee Settings'!$C$5)*(E305+N(F305)-N(J305))+N('Fee Settings'!$C$6)*(E305+N(F305)+N(G305))+N('Fee Settings'!$C$7)+N('Fee Settings'!$C$10)*D305+IF(I305="Yes",MIN(N('Fee Settings'!$C$8)*(E305+N(F305)),N('Fee Settings'!$C$9)),0),""))</f>
        <v/>
      </c>
      <c r="L305" s="14" t="str">
        <f>IF(C305="","",IFERROR(D305*N(INDEX(Products!$C$5:$C$29,MATCH(C305,Lists!$A$2:$A$26,0))),""))</f>
        <v/>
      </c>
      <c r="M305" s="15" t="str">
        <f t="shared" si="4"/>
        <v/>
      </c>
    </row>
    <row r="306" spans="1:13" x14ac:dyDescent="0.35">
      <c r="A306" s="11"/>
      <c r="B306" s="12"/>
      <c r="C306" s="12"/>
      <c r="D306" s="12"/>
      <c r="E306" s="13"/>
      <c r="F306" s="13"/>
      <c r="G306" s="13"/>
      <c r="H306" s="13"/>
      <c r="I306" s="12"/>
      <c r="J306" s="13"/>
      <c r="K306" s="14" t="str">
        <f>IF(C306="","",IFERROR(N('Fee Settings'!$C$5)*(E306+N(F306)-N(J306))+N('Fee Settings'!$C$6)*(E306+N(F306)+N(G306))+N('Fee Settings'!$C$7)+N('Fee Settings'!$C$10)*D306+IF(I306="Yes",MIN(N('Fee Settings'!$C$8)*(E306+N(F306)),N('Fee Settings'!$C$9)),0),""))</f>
        <v/>
      </c>
      <c r="L306" s="14" t="str">
        <f>IF(C306="","",IFERROR(D306*N(INDEX(Products!$C$5:$C$29,MATCH(C306,Lists!$A$2:$A$26,0))),""))</f>
        <v/>
      </c>
      <c r="M306" s="15" t="str">
        <f t="shared" si="4"/>
        <v/>
      </c>
    </row>
    <row r="307" spans="1:13" x14ac:dyDescent="0.35">
      <c r="A307" s="11"/>
      <c r="B307" s="12"/>
      <c r="C307" s="12"/>
      <c r="D307" s="12"/>
      <c r="E307" s="13"/>
      <c r="F307" s="13"/>
      <c r="G307" s="13"/>
      <c r="H307" s="13"/>
      <c r="I307" s="12"/>
      <c r="J307" s="13"/>
      <c r="K307" s="14" t="str">
        <f>IF(C307="","",IFERROR(N('Fee Settings'!$C$5)*(E307+N(F307)-N(J307))+N('Fee Settings'!$C$6)*(E307+N(F307)+N(G307))+N('Fee Settings'!$C$7)+N('Fee Settings'!$C$10)*D307+IF(I307="Yes",MIN(N('Fee Settings'!$C$8)*(E307+N(F307)),N('Fee Settings'!$C$9)),0),""))</f>
        <v/>
      </c>
      <c r="L307" s="14" t="str">
        <f>IF(C307="","",IFERROR(D307*N(INDEX(Products!$C$5:$C$29,MATCH(C307,Lists!$A$2:$A$26,0))),""))</f>
        <v/>
      </c>
      <c r="M307" s="15" t="str">
        <f t="shared" si="4"/>
        <v/>
      </c>
    </row>
    <row r="308" spans="1:13" x14ac:dyDescent="0.35">
      <c r="A308" s="11"/>
      <c r="B308" s="12"/>
      <c r="C308" s="12"/>
      <c r="D308" s="12"/>
      <c r="E308" s="13"/>
      <c r="F308" s="13"/>
      <c r="G308" s="13"/>
      <c r="H308" s="13"/>
      <c r="I308" s="12"/>
      <c r="J308" s="13"/>
      <c r="K308" s="14" t="str">
        <f>IF(C308="","",IFERROR(N('Fee Settings'!$C$5)*(E308+N(F308)-N(J308))+N('Fee Settings'!$C$6)*(E308+N(F308)+N(G308))+N('Fee Settings'!$C$7)+N('Fee Settings'!$C$10)*D308+IF(I308="Yes",MIN(N('Fee Settings'!$C$8)*(E308+N(F308)),N('Fee Settings'!$C$9)),0),""))</f>
        <v/>
      </c>
      <c r="L308" s="14" t="str">
        <f>IF(C308="","",IFERROR(D308*N(INDEX(Products!$C$5:$C$29,MATCH(C308,Lists!$A$2:$A$26,0))),""))</f>
        <v/>
      </c>
      <c r="M308" s="15" t="str">
        <f t="shared" si="4"/>
        <v/>
      </c>
    </row>
    <row r="309" spans="1:13" x14ac:dyDescent="0.35">
      <c r="A309" s="11"/>
      <c r="B309" s="12"/>
      <c r="C309" s="12"/>
      <c r="D309" s="12"/>
      <c r="E309" s="13"/>
      <c r="F309" s="13"/>
      <c r="G309" s="13"/>
      <c r="H309" s="13"/>
      <c r="I309" s="12"/>
      <c r="J309" s="13"/>
      <c r="K309" s="14" t="str">
        <f>IF(C309="","",IFERROR(N('Fee Settings'!$C$5)*(E309+N(F309)-N(J309))+N('Fee Settings'!$C$6)*(E309+N(F309)+N(G309))+N('Fee Settings'!$C$7)+N('Fee Settings'!$C$10)*D309+IF(I309="Yes",MIN(N('Fee Settings'!$C$8)*(E309+N(F309)),N('Fee Settings'!$C$9)),0),""))</f>
        <v/>
      </c>
      <c r="L309" s="14" t="str">
        <f>IF(C309="","",IFERROR(D309*N(INDEX(Products!$C$5:$C$29,MATCH(C309,Lists!$A$2:$A$26,0))),""))</f>
        <v/>
      </c>
      <c r="M309" s="15" t="str">
        <f t="shared" si="4"/>
        <v/>
      </c>
    </row>
    <row r="310" spans="1:13" x14ac:dyDescent="0.35">
      <c r="A310" s="11"/>
      <c r="B310" s="12"/>
      <c r="C310" s="12"/>
      <c r="D310" s="12"/>
      <c r="E310" s="13"/>
      <c r="F310" s="13"/>
      <c r="G310" s="13"/>
      <c r="H310" s="13"/>
      <c r="I310" s="12"/>
      <c r="J310" s="13"/>
      <c r="K310" s="14" t="str">
        <f>IF(C310="","",IFERROR(N('Fee Settings'!$C$5)*(E310+N(F310)-N(J310))+N('Fee Settings'!$C$6)*(E310+N(F310)+N(G310))+N('Fee Settings'!$C$7)+N('Fee Settings'!$C$10)*D310+IF(I310="Yes",MIN(N('Fee Settings'!$C$8)*(E310+N(F310)),N('Fee Settings'!$C$9)),0),""))</f>
        <v/>
      </c>
      <c r="L310" s="14" t="str">
        <f>IF(C310="","",IFERROR(D310*N(INDEX(Products!$C$5:$C$29,MATCH(C310,Lists!$A$2:$A$26,0))),""))</f>
        <v/>
      </c>
      <c r="M310" s="15" t="str">
        <f t="shared" si="4"/>
        <v/>
      </c>
    </row>
    <row r="311" spans="1:13" x14ac:dyDescent="0.35">
      <c r="A311" s="11"/>
      <c r="B311" s="12"/>
      <c r="C311" s="12"/>
      <c r="D311" s="12"/>
      <c r="E311" s="13"/>
      <c r="F311" s="13"/>
      <c r="G311" s="13"/>
      <c r="H311" s="13"/>
      <c r="I311" s="12"/>
      <c r="J311" s="13"/>
      <c r="K311" s="14" t="str">
        <f>IF(C311="","",IFERROR(N('Fee Settings'!$C$5)*(E311+N(F311)-N(J311))+N('Fee Settings'!$C$6)*(E311+N(F311)+N(G311))+N('Fee Settings'!$C$7)+N('Fee Settings'!$C$10)*D311+IF(I311="Yes",MIN(N('Fee Settings'!$C$8)*(E311+N(F311)),N('Fee Settings'!$C$9)),0),""))</f>
        <v/>
      </c>
      <c r="L311" s="14" t="str">
        <f>IF(C311="","",IFERROR(D311*N(INDEX(Products!$C$5:$C$29,MATCH(C311,Lists!$A$2:$A$26,0))),""))</f>
        <v/>
      </c>
      <c r="M311" s="15" t="str">
        <f t="shared" si="4"/>
        <v/>
      </c>
    </row>
    <row r="312" spans="1:13" x14ac:dyDescent="0.35">
      <c r="A312" s="11"/>
      <c r="B312" s="12"/>
      <c r="C312" s="12"/>
      <c r="D312" s="12"/>
      <c r="E312" s="13"/>
      <c r="F312" s="13"/>
      <c r="G312" s="13"/>
      <c r="H312" s="13"/>
      <c r="I312" s="12"/>
      <c r="J312" s="13"/>
      <c r="K312" s="14" t="str">
        <f>IF(C312="","",IFERROR(N('Fee Settings'!$C$5)*(E312+N(F312)-N(J312))+N('Fee Settings'!$C$6)*(E312+N(F312)+N(G312))+N('Fee Settings'!$C$7)+N('Fee Settings'!$C$10)*D312+IF(I312="Yes",MIN(N('Fee Settings'!$C$8)*(E312+N(F312)),N('Fee Settings'!$C$9)),0),""))</f>
        <v/>
      </c>
      <c r="L312" s="14" t="str">
        <f>IF(C312="","",IFERROR(D312*N(INDEX(Products!$C$5:$C$29,MATCH(C312,Lists!$A$2:$A$26,0))),""))</f>
        <v/>
      </c>
      <c r="M312" s="15" t="str">
        <f t="shared" si="4"/>
        <v/>
      </c>
    </row>
    <row r="313" spans="1:13" x14ac:dyDescent="0.35">
      <c r="A313" s="11"/>
      <c r="B313" s="12"/>
      <c r="C313" s="12"/>
      <c r="D313" s="12"/>
      <c r="E313" s="13"/>
      <c r="F313" s="13"/>
      <c r="G313" s="13"/>
      <c r="H313" s="13"/>
      <c r="I313" s="12"/>
      <c r="J313" s="13"/>
      <c r="K313" s="14" t="str">
        <f>IF(C313="","",IFERROR(N('Fee Settings'!$C$5)*(E313+N(F313)-N(J313))+N('Fee Settings'!$C$6)*(E313+N(F313)+N(G313))+N('Fee Settings'!$C$7)+N('Fee Settings'!$C$10)*D313+IF(I313="Yes",MIN(N('Fee Settings'!$C$8)*(E313+N(F313)),N('Fee Settings'!$C$9)),0),""))</f>
        <v/>
      </c>
      <c r="L313" s="14" t="str">
        <f>IF(C313="","",IFERROR(D313*N(INDEX(Products!$C$5:$C$29,MATCH(C313,Lists!$A$2:$A$26,0))),""))</f>
        <v/>
      </c>
      <c r="M313" s="15" t="str">
        <f t="shared" si="4"/>
        <v/>
      </c>
    </row>
    <row r="314" spans="1:13" x14ac:dyDescent="0.35">
      <c r="A314" s="11"/>
      <c r="B314" s="12"/>
      <c r="C314" s="12"/>
      <c r="D314" s="12"/>
      <c r="E314" s="13"/>
      <c r="F314" s="13"/>
      <c r="G314" s="13"/>
      <c r="H314" s="13"/>
      <c r="I314" s="12"/>
      <c r="J314" s="13"/>
      <c r="K314" s="14" t="str">
        <f>IF(C314="","",IFERROR(N('Fee Settings'!$C$5)*(E314+N(F314)-N(J314))+N('Fee Settings'!$C$6)*(E314+N(F314)+N(G314))+N('Fee Settings'!$C$7)+N('Fee Settings'!$C$10)*D314+IF(I314="Yes",MIN(N('Fee Settings'!$C$8)*(E314+N(F314)),N('Fee Settings'!$C$9)),0),""))</f>
        <v/>
      </c>
      <c r="L314" s="14" t="str">
        <f>IF(C314="","",IFERROR(D314*N(INDEX(Products!$C$5:$C$29,MATCH(C314,Lists!$A$2:$A$26,0))),""))</f>
        <v/>
      </c>
      <c r="M314" s="15" t="str">
        <f t="shared" si="4"/>
        <v/>
      </c>
    </row>
    <row r="315" spans="1:13" x14ac:dyDescent="0.35">
      <c r="A315" s="11"/>
      <c r="B315" s="12"/>
      <c r="C315" s="12"/>
      <c r="D315" s="12"/>
      <c r="E315" s="13"/>
      <c r="F315" s="13"/>
      <c r="G315" s="13"/>
      <c r="H315" s="13"/>
      <c r="I315" s="12"/>
      <c r="J315" s="13"/>
      <c r="K315" s="14" t="str">
        <f>IF(C315="","",IFERROR(N('Fee Settings'!$C$5)*(E315+N(F315)-N(J315))+N('Fee Settings'!$C$6)*(E315+N(F315)+N(G315))+N('Fee Settings'!$C$7)+N('Fee Settings'!$C$10)*D315+IF(I315="Yes",MIN(N('Fee Settings'!$C$8)*(E315+N(F315)),N('Fee Settings'!$C$9)),0),""))</f>
        <v/>
      </c>
      <c r="L315" s="14" t="str">
        <f>IF(C315="","",IFERROR(D315*N(INDEX(Products!$C$5:$C$29,MATCH(C315,Lists!$A$2:$A$26,0))),""))</f>
        <v/>
      </c>
      <c r="M315" s="15" t="str">
        <f t="shared" si="4"/>
        <v/>
      </c>
    </row>
    <row r="316" spans="1:13" x14ac:dyDescent="0.35">
      <c r="A316" s="11"/>
      <c r="B316" s="12"/>
      <c r="C316" s="12"/>
      <c r="D316" s="12"/>
      <c r="E316" s="13"/>
      <c r="F316" s="13"/>
      <c r="G316" s="13"/>
      <c r="H316" s="13"/>
      <c r="I316" s="12"/>
      <c r="J316" s="13"/>
      <c r="K316" s="14" t="str">
        <f>IF(C316="","",IFERROR(N('Fee Settings'!$C$5)*(E316+N(F316)-N(J316))+N('Fee Settings'!$C$6)*(E316+N(F316)+N(G316))+N('Fee Settings'!$C$7)+N('Fee Settings'!$C$10)*D316+IF(I316="Yes",MIN(N('Fee Settings'!$C$8)*(E316+N(F316)),N('Fee Settings'!$C$9)),0),""))</f>
        <v/>
      </c>
      <c r="L316" s="14" t="str">
        <f>IF(C316="","",IFERROR(D316*N(INDEX(Products!$C$5:$C$29,MATCH(C316,Lists!$A$2:$A$26,0))),""))</f>
        <v/>
      </c>
      <c r="M316" s="15" t="str">
        <f t="shared" si="4"/>
        <v/>
      </c>
    </row>
    <row r="317" spans="1:13" x14ac:dyDescent="0.35">
      <c r="A317" s="11"/>
      <c r="B317" s="12"/>
      <c r="C317" s="12"/>
      <c r="D317" s="12"/>
      <c r="E317" s="13"/>
      <c r="F317" s="13"/>
      <c r="G317" s="13"/>
      <c r="H317" s="13"/>
      <c r="I317" s="12"/>
      <c r="J317" s="13"/>
      <c r="K317" s="14" t="str">
        <f>IF(C317="","",IFERROR(N('Fee Settings'!$C$5)*(E317+N(F317)-N(J317))+N('Fee Settings'!$C$6)*(E317+N(F317)+N(G317))+N('Fee Settings'!$C$7)+N('Fee Settings'!$C$10)*D317+IF(I317="Yes",MIN(N('Fee Settings'!$C$8)*(E317+N(F317)),N('Fee Settings'!$C$9)),0),""))</f>
        <v/>
      </c>
      <c r="L317" s="14" t="str">
        <f>IF(C317="","",IFERROR(D317*N(INDEX(Products!$C$5:$C$29,MATCH(C317,Lists!$A$2:$A$26,0))),""))</f>
        <v/>
      </c>
      <c r="M317" s="15" t="str">
        <f t="shared" si="4"/>
        <v/>
      </c>
    </row>
    <row r="318" spans="1:13" x14ac:dyDescent="0.35">
      <c r="A318" s="11"/>
      <c r="B318" s="12"/>
      <c r="C318" s="12"/>
      <c r="D318" s="12"/>
      <c r="E318" s="13"/>
      <c r="F318" s="13"/>
      <c r="G318" s="13"/>
      <c r="H318" s="13"/>
      <c r="I318" s="12"/>
      <c r="J318" s="13"/>
      <c r="K318" s="14" t="str">
        <f>IF(C318="","",IFERROR(N('Fee Settings'!$C$5)*(E318+N(F318)-N(J318))+N('Fee Settings'!$C$6)*(E318+N(F318)+N(G318))+N('Fee Settings'!$C$7)+N('Fee Settings'!$C$10)*D318+IF(I318="Yes",MIN(N('Fee Settings'!$C$8)*(E318+N(F318)),N('Fee Settings'!$C$9)),0),""))</f>
        <v/>
      </c>
      <c r="L318" s="14" t="str">
        <f>IF(C318="","",IFERROR(D318*N(INDEX(Products!$C$5:$C$29,MATCH(C318,Lists!$A$2:$A$26,0))),""))</f>
        <v/>
      </c>
      <c r="M318" s="15" t="str">
        <f t="shared" si="4"/>
        <v/>
      </c>
    </row>
    <row r="319" spans="1:13" x14ac:dyDescent="0.35">
      <c r="A319" s="11"/>
      <c r="B319" s="12"/>
      <c r="C319" s="12"/>
      <c r="D319" s="12"/>
      <c r="E319" s="13"/>
      <c r="F319" s="13"/>
      <c r="G319" s="13"/>
      <c r="H319" s="13"/>
      <c r="I319" s="12"/>
      <c r="J319" s="13"/>
      <c r="K319" s="14" t="str">
        <f>IF(C319="","",IFERROR(N('Fee Settings'!$C$5)*(E319+N(F319)-N(J319))+N('Fee Settings'!$C$6)*(E319+N(F319)+N(G319))+N('Fee Settings'!$C$7)+N('Fee Settings'!$C$10)*D319+IF(I319="Yes",MIN(N('Fee Settings'!$C$8)*(E319+N(F319)),N('Fee Settings'!$C$9)),0),""))</f>
        <v/>
      </c>
      <c r="L319" s="14" t="str">
        <f>IF(C319="","",IFERROR(D319*N(INDEX(Products!$C$5:$C$29,MATCH(C319,Lists!$A$2:$A$26,0))),""))</f>
        <v/>
      </c>
      <c r="M319" s="15" t="str">
        <f t="shared" si="4"/>
        <v/>
      </c>
    </row>
    <row r="320" spans="1:13" x14ac:dyDescent="0.35">
      <c r="A320" s="11"/>
      <c r="B320" s="12"/>
      <c r="C320" s="12"/>
      <c r="D320" s="12"/>
      <c r="E320" s="13"/>
      <c r="F320" s="13"/>
      <c r="G320" s="13"/>
      <c r="H320" s="13"/>
      <c r="I320" s="12"/>
      <c r="J320" s="13"/>
      <c r="K320" s="14" t="str">
        <f>IF(C320="","",IFERROR(N('Fee Settings'!$C$5)*(E320+N(F320)-N(J320))+N('Fee Settings'!$C$6)*(E320+N(F320)+N(G320))+N('Fee Settings'!$C$7)+N('Fee Settings'!$C$10)*D320+IF(I320="Yes",MIN(N('Fee Settings'!$C$8)*(E320+N(F320)),N('Fee Settings'!$C$9)),0),""))</f>
        <v/>
      </c>
      <c r="L320" s="14" t="str">
        <f>IF(C320="","",IFERROR(D320*N(INDEX(Products!$C$5:$C$29,MATCH(C320,Lists!$A$2:$A$26,0))),""))</f>
        <v/>
      </c>
      <c r="M320" s="15" t="str">
        <f t="shared" si="4"/>
        <v/>
      </c>
    </row>
    <row r="321" spans="1:13" x14ac:dyDescent="0.35">
      <c r="A321" s="11"/>
      <c r="B321" s="12"/>
      <c r="C321" s="12"/>
      <c r="D321" s="12"/>
      <c r="E321" s="13"/>
      <c r="F321" s="13"/>
      <c r="G321" s="13"/>
      <c r="H321" s="13"/>
      <c r="I321" s="12"/>
      <c r="J321" s="13"/>
      <c r="K321" s="14" t="str">
        <f>IF(C321="","",IFERROR(N('Fee Settings'!$C$5)*(E321+N(F321)-N(J321))+N('Fee Settings'!$C$6)*(E321+N(F321)+N(G321))+N('Fee Settings'!$C$7)+N('Fee Settings'!$C$10)*D321+IF(I321="Yes",MIN(N('Fee Settings'!$C$8)*(E321+N(F321)),N('Fee Settings'!$C$9)),0),""))</f>
        <v/>
      </c>
      <c r="L321" s="14" t="str">
        <f>IF(C321="","",IFERROR(D321*N(INDEX(Products!$C$5:$C$29,MATCH(C321,Lists!$A$2:$A$26,0))),""))</f>
        <v/>
      </c>
      <c r="M321" s="15" t="str">
        <f t="shared" si="4"/>
        <v/>
      </c>
    </row>
    <row r="322" spans="1:13" x14ac:dyDescent="0.35">
      <c r="A322" s="11"/>
      <c r="B322" s="12"/>
      <c r="C322" s="12"/>
      <c r="D322" s="12"/>
      <c r="E322" s="13"/>
      <c r="F322" s="13"/>
      <c r="G322" s="13"/>
      <c r="H322" s="13"/>
      <c r="I322" s="12"/>
      <c r="J322" s="13"/>
      <c r="K322" s="14" t="str">
        <f>IF(C322="","",IFERROR(N('Fee Settings'!$C$5)*(E322+N(F322)-N(J322))+N('Fee Settings'!$C$6)*(E322+N(F322)+N(G322))+N('Fee Settings'!$C$7)+N('Fee Settings'!$C$10)*D322+IF(I322="Yes",MIN(N('Fee Settings'!$C$8)*(E322+N(F322)),N('Fee Settings'!$C$9)),0),""))</f>
        <v/>
      </c>
      <c r="L322" s="14" t="str">
        <f>IF(C322="","",IFERROR(D322*N(INDEX(Products!$C$5:$C$29,MATCH(C322,Lists!$A$2:$A$26,0))),""))</f>
        <v/>
      </c>
      <c r="M322" s="15" t="str">
        <f t="shared" si="4"/>
        <v/>
      </c>
    </row>
    <row r="323" spans="1:13" x14ac:dyDescent="0.35">
      <c r="A323" s="11"/>
      <c r="B323" s="12"/>
      <c r="C323" s="12"/>
      <c r="D323" s="12"/>
      <c r="E323" s="13"/>
      <c r="F323" s="13"/>
      <c r="G323" s="13"/>
      <c r="H323" s="13"/>
      <c r="I323" s="12"/>
      <c r="J323" s="13"/>
      <c r="K323" s="14" t="str">
        <f>IF(C323="","",IFERROR(N('Fee Settings'!$C$5)*(E323+N(F323)-N(J323))+N('Fee Settings'!$C$6)*(E323+N(F323)+N(G323))+N('Fee Settings'!$C$7)+N('Fee Settings'!$C$10)*D323+IF(I323="Yes",MIN(N('Fee Settings'!$C$8)*(E323+N(F323)),N('Fee Settings'!$C$9)),0),""))</f>
        <v/>
      </c>
      <c r="L323" s="14" t="str">
        <f>IF(C323="","",IFERROR(D323*N(INDEX(Products!$C$5:$C$29,MATCH(C323,Lists!$A$2:$A$26,0))),""))</f>
        <v/>
      </c>
      <c r="M323" s="15" t="str">
        <f t="shared" si="4"/>
        <v/>
      </c>
    </row>
    <row r="324" spans="1:13" x14ac:dyDescent="0.35">
      <c r="A324" s="11"/>
      <c r="B324" s="12"/>
      <c r="C324" s="12"/>
      <c r="D324" s="12"/>
      <c r="E324" s="13"/>
      <c r="F324" s="13"/>
      <c r="G324" s="13"/>
      <c r="H324" s="13"/>
      <c r="I324" s="12"/>
      <c r="J324" s="13"/>
      <c r="K324" s="14" t="str">
        <f>IF(C324="","",IFERROR(N('Fee Settings'!$C$5)*(E324+N(F324)-N(J324))+N('Fee Settings'!$C$6)*(E324+N(F324)+N(G324))+N('Fee Settings'!$C$7)+N('Fee Settings'!$C$10)*D324+IF(I324="Yes",MIN(N('Fee Settings'!$C$8)*(E324+N(F324)),N('Fee Settings'!$C$9)),0),""))</f>
        <v/>
      </c>
      <c r="L324" s="14" t="str">
        <f>IF(C324="","",IFERROR(D324*N(INDEX(Products!$C$5:$C$29,MATCH(C324,Lists!$A$2:$A$26,0))),""))</f>
        <v/>
      </c>
      <c r="M324" s="15" t="str">
        <f t="shared" si="4"/>
        <v/>
      </c>
    </row>
    <row r="325" spans="1:13" x14ac:dyDescent="0.35">
      <c r="A325" s="11"/>
      <c r="B325" s="12"/>
      <c r="C325" s="12"/>
      <c r="D325" s="12"/>
      <c r="E325" s="13"/>
      <c r="F325" s="13"/>
      <c r="G325" s="13"/>
      <c r="H325" s="13"/>
      <c r="I325" s="12"/>
      <c r="J325" s="13"/>
      <c r="K325" s="14" t="str">
        <f>IF(C325="","",IFERROR(N('Fee Settings'!$C$5)*(E325+N(F325)-N(J325))+N('Fee Settings'!$C$6)*(E325+N(F325)+N(G325))+N('Fee Settings'!$C$7)+N('Fee Settings'!$C$10)*D325+IF(I325="Yes",MIN(N('Fee Settings'!$C$8)*(E325+N(F325)),N('Fee Settings'!$C$9)),0),""))</f>
        <v/>
      </c>
      <c r="L325" s="14" t="str">
        <f>IF(C325="","",IFERROR(D325*N(INDEX(Products!$C$5:$C$29,MATCH(C325,Lists!$A$2:$A$26,0))),""))</f>
        <v/>
      </c>
      <c r="M325" s="15" t="str">
        <f t="shared" ref="M325:M388" si="5">IF(C325="","",IFERROR(E325+N(F325)-N(J325)-K325-L325-N(H325),""))</f>
        <v/>
      </c>
    </row>
    <row r="326" spans="1:13" x14ac:dyDescent="0.35">
      <c r="A326" s="11"/>
      <c r="B326" s="12"/>
      <c r="C326" s="12"/>
      <c r="D326" s="12"/>
      <c r="E326" s="13"/>
      <c r="F326" s="13"/>
      <c r="G326" s="13"/>
      <c r="H326" s="13"/>
      <c r="I326" s="12"/>
      <c r="J326" s="13"/>
      <c r="K326" s="14" t="str">
        <f>IF(C326="","",IFERROR(N('Fee Settings'!$C$5)*(E326+N(F326)-N(J326))+N('Fee Settings'!$C$6)*(E326+N(F326)+N(G326))+N('Fee Settings'!$C$7)+N('Fee Settings'!$C$10)*D326+IF(I326="Yes",MIN(N('Fee Settings'!$C$8)*(E326+N(F326)),N('Fee Settings'!$C$9)),0),""))</f>
        <v/>
      </c>
      <c r="L326" s="14" t="str">
        <f>IF(C326="","",IFERROR(D326*N(INDEX(Products!$C$5:$C$29,MATCH(C326,Lists!$A$2:$A$26,0))),""))</f>
        <v/>
      </c>
      <c r="M326" s="15" t="str">
        <f t="shared" si="5"/>
        <v/>
      </c>
    </row>
    <row r="327" spans="1:13" x14ac:dyDescent="0.35">
      <c r="A327" s="11"/>
      <c r="B327" s="12"/>
      <c r="C327" s="12"/>
      <c r="D327" s="12"/>
      <c r="E327" s="13"/>
      <c r="F327" s="13"/>
      <c r="G327" s="13"/>
      <c r="H327" s="13"/>
      <c r="I327" s="12"/>
      <c r="J327" s="13"/>
      <c r="K327" s="14" t="str">
        <f>IF(C327="","",IFERROR(N('Fee Settings'!$C$5)*(E327+N(F327)-N(J327))+N('Fee Settings'!$C$6)*(E327+N(F327)+N(G327))+N('Fee Settings'!$C$7)+N('Fee Settings'!$C$10)*D327+IF(I327="Yes",MIN(N('Fee Settings'!$C$8)*(E327+N(F327)),N('Fee Settings'!$C$9)),0),""))</f>
        <v/>
      </c>
      <c r="L327" s="14" t="str">
        <f>IF(C327="","",IFERROR(D327*N(INDEX(Products!$C$5:$C$29,MATCH(C327,Lists!$A$2:$A$26,0))),""))</f>
        <v/>
      </c>
      <c r="M327" s="15" t="str">
        <f t="shared" si="5"/>
        <v/>
      </c>
    </row>
    <row r="328" spans="1:13" x14ac:dyDescent="0.35">
      <c r="A328" s="11"/>
      <c r="B328" s="12"/>
      <c r="C328" s="12"/>
      <c r="D328" s="12"/>
      <c r="E328" s="13"/>
      <c r="F328" s="13"/>
      <c r="G328" s="13"/>
      <c r="H328" s="13"/>
      <c r="I328" s="12"/>
      <c r="J328" s="13"/>
      <c r="K328" s="14" t="str">
        <f>IF(C328="","",IFERROR(N('Fee Settings'!$C$5)*(E328+N(F328)-N(J328))+N('Fee Settings'!$C$6)*(E328+N(F328)+N(G328))+N('Fee Settings'!$C$7)+N('Fee Settings'!$C$10)*D328+IF(I328="Yes",MIN(N('Fee Settings'!$C$8)*(E328+N(F328)),N('Fee Settings'!$C$9)),0),""))</f>
        <v/>
      </c>
      <c r="L328" s="14" t="str">
        <f>IF(C328="","",IFERROR(D328*N(INDEX(Products!$C$5:$C$29,MATCH(C328,Lists!$A$2:$A$26,0))),""))</f>
        <v/>
      </c>
      <c r="M328" s="15" t="str">
        <f t="shared" si="5"/>
        <v/>
      </c>
    </row>
    <row r="329" spans="1:13" x14ac:dyDescent="0.35">
      <c r="A329" s="11"/>
      <c r="B329" s="12"/>
      <c r="C329" s="12"/>
      <c r="D329" s="12"/>
      <c r="E329" s="13"/>
      <c r="F329" s="13"/>
      <c r="G329" s="13"/>
      <c r="H329" s="13"/>
      <c r="I329" s="12"/>
      <c r="J329" s="13"/>
      <c r="K329" s="14" t="str">
        <f>IF(C329="","",IFERROR(N('Fee Settings'!$C$5)*(E329+N(F329)-N(J329))+N('Fee Settings'!$C$6)*(E329+N(F329)+N(G329))+N('Fee Settings'!$C$7)+N('Fee Settings'!$C$10)*D329+IF(I329="Yes",MIN(N('Fee Settings'!$C$8)*(E329+N(F329)),N('Fee Settings'!$C$9)),0),""))</f>
        <v/>
      </c>
      <c r="L329" s="14" t="str">
        <f>IF(C329="","",IFERROR(D329*N(INDEX(Products!$C$5:$C$29,MATCH(C329,Lists!$A$2:$A$26,0))),""))</f>
        <v/>
      </c>
      <c r="M329" s="15" t="str">
        <f t="shared" si="5"/>
        <v/>
      </c>
    </row>
    <row r="330" spans="1:13" x14ac:dyDescent="0.35">
      <c r="A330" s="11"/>
      <c r="B330" s="12"/>
      <c r="C330" s="12"/>
      <c r="D330" s="12"/>
      <c r="E330" s="13"/>
      <c r="F330" s="13"/>
      <c r="G330" s="13"/>
      <c r="H330" s="13"/>
      <c r="I330" s="12"/>
      <c r="J330" s="13"/>
      <c r="K330" s="14" t="str">
        <f>IF(C330="","",IFERROR(N('Fee Settings'!$C$5)*(E330+N(F330)-N(J330))+N('Fee Settings'!$C$6)*(E330+N(F330)+N(G330))+N('Fee Settings'!$C$7)+N('Fee Settings'!$C$10)*D330+IF(I330="Yes",MIN(N('Fee Settings'!$C$8)*(E330+N(F330)),N('Fee Settings'!$C$9)),0),""))</f>
        <v/>
      </c>
      <c r="L330" s="14" t="str">
        <f>IF(C330="","",IFERROR(D330*N(INDEX(Products!$C$5:$C$29,MATCH(C330,Lists!$A$2:$A$26,0))),""))</f>
        <v/>
      </c>
      <c r="M330" s="15" t="str">
        <f t="shared" si="5"/>
        <v/>
      </c>
    </row>
    <row r="331" spans="1:13" x14ac:dyDescent="0.35">
      <c r="A331" s="11"/>
      <c r="B331" s="12"/>
      <c r="C331" s="12"/>
      <c r="D331" s="12"/>
      <c r="E331" s="13"/>
      <c r="F331" s="13"/>
      <c r="G331" s="13"/>
      <c r="H331" s="13"/>
      <c r="I331" s="12"/>
      <c r="J331" s="13"/>
      <c r="K331" s="14" t="str">
        <f>IF(C331="","",IFERROR(N('Fee Settings'!$C$5)*(E331+N(F331)-N(J331))+N('Fee Settings'!$C$6)*(E331+N(F331)+N(G331))+N('Fee Settings'!$C$7)+N('Fee Settings'!$C$10)*D331+IF(I331="Yes",MIN(N('Fee Settings'!$C$8)*(E331+N(F331)),N('Fee Settings'!$C$9)),0),""))</f>
        <v/>
      </c>
      <c r="L331" s="14" t="str">
        <f>IF(C331="","",IFERROR(D331*N(INDEX(Products!$C$5:$C$29,MATCH(C331,Lists!$A$2:$A$26,0))),""))</f>
        <v/>
      </c>
      <c r="M331" s="15" t="str">
        <f t="shared" si="5"/>
        <v/>
      </c>
    </row>
    <row r="332" spans="1:13" x14ac:dyDescent="0.35">
      <c r="A332" s="11"/>
      <c r="B332" s="12"/>
      <c r="C332" s="12"/>
      <c r="D332" s="12"/>
      <c r="E332" s="13"/>
      <c r="F332" s="13"/>
      <c r="G332" s="13"/>
      <c r="H332" s="13"/>
      <c r="I332" s="12"/>
      <c r="J332" s="13"/>
      <c r="K332" s="14" t="str">
        <f>IF(C332="","",IFERROR(N('Fee Settings'!$C$5)*(E332+N(F332)-N(J332))+N('Fee Settings'!$C$6)*(E332+N(F332)+N(G332))+N('Fee Settings'!$C$7)+N('Fee Settings'!$C$10)*D332+IF(I332="Yes",MIN(N('Fee Settings'!$C$8)*(E332+N(F332)),N('Fee Settings'!$C$9)),0),""))</f>
        <v/>
      </c>
      <c r="L332" s="14" t="str">
        <f>IF(C332="","",IFERROR(D332*N(INDEX(Products!$C$5:$C$29,MATCH(C332,Lists!$A$2:$A$26,0))),""))</f>
        <v/>
      </c>
      <c r="M332" s="15" t="str">
        <f t="shared" si="5"/>
        <v/>
      </c>
    </row>
    <row r="333" spans="1:13" x14ac:dyDescent="0.35">
      <c r="A333" s="11"/>
      <c r="B333" s="12"/>
      <c r="C333" s="12"/>
      <c r="D333" s="12"/>
      <c r="E333" s="13"/>
      <c r="F333" s="13"/>
      <c r="G333" s="13"/>
      <c r="H333" s="13"/>
      <c r="I333" s="12"/>
      <c r="J333" s="13"/>
      <c r="K333" s="14" t="str">
        <f>IF(C333="","",IFERROR(N('Fee Settings'!$C$5)*(E333+N(F333)-N(J333))+N('Fee Settings'!$C$6)*(E333+N(F333)+N(G333))+N('Fee Settings'!$C$7)+N('Fee Settings'!$C$10)*D333+IF(I333="Yes",MIN(N('Fee Settings'!$C$8)*(E333+N(F333)),N('Fee Settings'!$C$9)),0),""))</f>
        <v/>
      </c>
      <c r="L333" s="14" t="str">
        <f>IF(C333="","",IFERROR(D333*N(INDEX(Products!$C$5:$C$29,MATCH(C333,Lists!$A$2:$A$26,0))),""))</f>
        <v/>
      </c>
      <c r="M333" s="15" t="str">
        <f t="shared" si="5"/>
        <v/>
      </c>
    </row>
    <row r="334" spans="1:13" x14ac:dyDescent="0.35">
      <c r="A334" s="11"/>
      <c r="B334" s="12"/>
      <c r="C334" s="12"/>
      <c r="D334" s="12"/>
      <c r="E334" s="13"/>
      <c r="F334" s="13"/>
      <c r="G334" s="13"/>
      <c r="H334" s="13"/>
      <c r="I334" s="12"/>
      <c r="J334" s="13"/>
      <c r="K334" s="14" t="str">
        <f>IF(C334="","",IFERROR(N('Fee Settings'!$C$5)*(E334+N(F334)-N(J334))+N('Fee Settings'!$C$6)*(E334+N(F334)+N(G334))+N('Fee Settings'!$C$7)+N('Fee Settings'!$C$10)*D334+IF(I334="Yes",MIN(N('Fee Settings'!$C$8)*(E334+N(F334)),N('Fee Settings'!$C$9)),0),""))</f>
        <v/>
      </c>
      <c r="L334" s="14" t="str">
        <f>IF(C334="","",IFERROR(D334*N(INDEX(Products!$C$5:$C$29,MATCH(C334,Lists!$A$2:$A$26,0))),""))</f>
        <v/>
      </c>
      <c r="M334" s="15" t="str">
        <f t="shared" si="5"/>
        <v/>
      </c>
    </row>
    <row r="335" spans="1:13" x14ac:dyDescent="0.35">
      <c r="A335" s="11"/>
      <c r="B335" s="12"/>
      <c r="C335" s="12"/>
      <c r="D335" s="12"/>
      <c r="E335" s="13"/>
      <c r="F335" s="13"/>
      <c r="G335" s="13"/>
      <c r="H335" s="13"/>
      <c r="I335" s="12"/>
      <c r="J335" s="13"/>
      <c r="K335" s="14" t="str">
        <f>IF(C335="","",IFERROR(N('Fee Settings'!$C$5)*(E335+N(F335)-N(J335))+N('Fee Settings'!$C$6)*(E335+N(F335)+N(G335))+N('Fee Settings'!$C$7)+N('Fee Settings'!$C$10)*D335+IF(I335="Yes",MIN(N('Fee Settings'!$C$8)*(E335+N(F335)),N('Fee Settings'!$C$9)),0),""))</f>
        <v/>
      </c>
      <c r="L335" s="14" t="str">
        <f>IF(C335="","",IFERROR(D335*N(INDEX(Products!$C$5:$C$29,MATCH(C335,Lists!$A$2:$A$26,0))),""))</f>
        <v/>
      </c>
      <c r="M335" s="15" t="str">
        <f t="shared" si="5"/>
        <v/>
      </c>
    </row>
    <row r="336" spans="1:13" x14ac:dyDescent="0.35">
      <c r="A336" s="11"/>
      <c r="B336" s="12"/>
      <c r="C336" s="12"/>
      <c r="D336" s="12"/>
      <c r="E336" s="13"/>
      <c r="F336" s="13"/>
      <c r="G336" s="13"/>
      <c r="H336" s="13"/>
      <c r="I336" s="12"/>
      <c r="J336" s="13"/>
      <c r="K336" s="14" t="str">
        <f>IF(C336="","",IFERROR(N('Fee Settings'!$C$5)*(E336+N(F336)-N(J336))+N('Fee Settings'!$C$6)*(E336+N(F336)+N(G336))+N('Fee Settings'!$C$7)+N('Fee Settings'!$C$10)*D336+IF(I336="Yes",MIN(N('Fee Settings'!$C$8)*(E336+N(F336)),N('Fee Settings'!$C$9)),0),""))</f>
        <v/>
      </c>
      <c r="L336" s="14" t="str">
        <f>IF(C336="","",IFERROR(D336*N(INDEX(Products!$C$5:$C$29,MATCH(C336,Lists!$A$2:$A$26,0))),""))</f>
        <v/>
      </c>
      <c r="M336" s="15" t="str">
        <f t="shared" si="5"/>
        <v/>
      </c>
    </row>
    <row r="337" spans="1:13" x14ac:dyDescent="0.35">
      <c r="A337" s="11"/>
      <c r="B337" s="12"/>
      <c r="C337" s="12"/>
      <c r="D337" s="12"/>
      <c r="E337" s="13"/>
      <c r="F337" s="13"/>
      <c r="G337" s="13"/>
      <c r="H337" s="13"/>
      <c r="I337" s="12"/>
      <c r="J337" s="13"/>
      <c r="K337" s="14" t="str">
        <f>IF(C337="","",IFERROR(N('Fee Settings'!$C$5)*(E337+N(F337)-N(J337))+N('Fee Settings'!$C$6)*(E337+N(F337)+N(G337))+N('Fee Settings'!$C$7)+N('Fee Settings'!$C$10)*D337+IF(I337="Yes",MIN(N('Fee Settings'!$C$8)*(E337+N(F337)),N('Fee Settings'!$C$9)),0),""))</f>
        <v/>
      </c>
      <c r="L337" s="14" t="str">
        <f>IF(C337="","",IFERROR(D337*N(INDEX(Products!$C$5:$C$29,MATCH(C337,Lists!$A$2:$A$26,0))),""))</f>
        <v/>
      </c>
      <c r="M337" s="15" t="str">
        <f t="shared" si="5"/>
        <v/>
      </c>
    </row>
    <row r="338" spans="1:13" x14ac:dyDescent="0.35">
      <c r="A338" s="11"/>
      <c r="B338" s="12"/>
      <c r="C338" s="12"/>
      <c r="D338" s="12"/>
      <c r="E338" s="13"/>
      <c r="F338" s="13"/>
      <c r="G338" s="13"/>
      <c r="H338" s="13"/>
      <c r="I338" s="12"/>
      <c r="J338" s="13"/>
      <c r="K338" s="14" t="str">
        <f>IF(C338="","",IFERROR(N('Fee Settings'!$C$5)*(E338+N(F338)-N(J338))+N('Fee Settings'!$C$6)*(E338+N(F338)+N(G338))+N('Fee Settings'!$C$7)+N('Fee Settings'!$C$10)*D338+IF(I338="Yes",MIN(N('Fee Settings'!$C$8)*(E338+N(F338)),N('Fee Settings'!$C$9)),0),""))</f>
        <v/>
      </c>
      <c r="L338" s="14" t="str">
        <f>IF(C338="","",IFERROR(D338*N(INDEX(Products!$C$5:$C$29,MATCH(C338,Lists!$A$2:$A$26,0))),""))</f>
        <v/>
      </c>
      <c r="M338" s="15" t="str">
        <f t="shared" si="5"/>
        <v/>
      </c>
    </row>
    <row r="339" spans="1:13" x14ac:dyDescent="0.35">
      <c r="A339" s="11"/>
      <c r="B339" s="12"/>
      <c r="C339" s="12"/>
      <c r="D339" s="12"/>
      <c r="E339" s="13"/>
      <c r="F339" s="13"/>
      <c r="G339" s="13"/>
      <c r="H339" s="13"/>
      <c r="I339" s="12"/>
      <c r="J339" s="13"/>
      <c r="K339" s="14" t="str">
        <f>IF(C339="","",IFERROR(N('Fee Settings'!$C$5)*(E339+N(F339)-N(J339))+N('Fee Settings'!$C$6)*(E339+N(F339)+N(G339))+N('Fee Settings'!$C$7)+N('Fee Settings'!$C$10)*D339+IF(I339="Yes",MIN(N('Fee Settings'!$C$8)*(E339+N(F339)),N('Fee Settings'!$C$9)),0),""))</f>
        <v/>
      </c>
      <c r="L339" s="14" t="str">
        <f>IF(C339="","",IFERROR(D339*N(INDEX(Products!$C$5:$C$29,MATCH(C339,Lists!$A$2:$A$26,0))),""))</f>
        <v/>
      </c>
      <c r="M339" s="15" t="str">
        <f t="shared" si="5"/>
        <v/>
      </c>
    </row>
    <row r="340" spans="1:13" x14ac:dyDescent="0.35">
      <c r="A340" s="11"/>
      <c r="B340" s="12"/>
      <c r="C340" s="12"/>
      <c r="D340" s="12"/>
      <c r="E340" s="13"/>
      <c r="F340" s="13"/>
      <c r="G340" s="13"/>
      <c r="H340" s="13"/>
      <c r="I340" s="12"/>
      <c r="J340" s="13"/>
      <c r="K340" s="14" t="str">
        <f>IF(C340="","",IFERROR(N('Fee Settings'!$C$5)*(E340+N(F340)-N(J340))+N('Fee Settings'!$C$6)*(E340+N(F340)+N(G340))+N('Fee Settings'!$C$7)+N('Fee Settings'!$C$10)*D340+IF(I340="Yes",MIN(N('Fee Settings'!$C$8)*(E340+N(F340)),N('Fee Settings'!$C$9)),0),""))</f>
        <v/>
      </c>
      <c r="L340" s="14" t="str">
        <f>IF(C340="","",IFERROR(D340*N(INDEX(Products!$C$5:$C$29,MATCH(C340,Lists!$A$2:$A$26,0))),""))</f>
        <v/>
      </c>
      <c r="M340" s="15" t="str">
        <f t="shared" si="5"/>
        <v/>
      </c>
    </row>
    <row r="341" spans="1:13" x14ac:dyDescent="0.35">
      <c r="A341" s="11"/>
      <c r="B341" s="12"/>
      <c r="C341" s="12"/>
      <c r="D341" s="12"/>
      <c r="E341" s="13"/>
      <c r="F341" s="13"/>
      <c r="G341" s="13"/>
      <c r="H341" s="13"/>
      <c r="I341" s="12"/>
      <c r="J341" s="13"/>
      <c r="K341" s="14" t="str">
        <f>IF(C341="","",IFERROR(N('Fee Settings'!$C$5)*(E341+N(F341)-N(J341))+N('Fee Settings'!$C$6)*(E341+N(F341)+N(G341))+N('Fee Settings'!$C$7)+N('Fee Settings'!$C$10)*D341+IF(I341="Yes",MIN(N('Fee Settings'!$C$8)*(E341+N(F341)),N('Fee Settings'!$C$9)),0),""))</f>
        <v/>
      </c>
      <c r="L341" s="14" t="str">
        <f>IF(C341="","",IFERROR(D341*N(INDEX(Products!$C$5:$C$29,MATCH(C341,Lists!$A$2:$A$26,0))),""))</f>
        <v/>
      </c>
      <c r="M341" s="15" t="str">
        <f t="shared" si="5"/>
        <v/>
      </c>
    </row>
    <row r="342" spans="1:13" x14ac:dyDescent="0.35">
      <c r="A342" s="11"/>
      <c r="B342" s="12"/>
      <c r="C342" s="12"/>
      <c r="D342" s="12"/>
      <c r="E342" s="13"/>
      <c r="F342" s="13"/>
      <c r="G342" s="13"/>
      <c r="H342" s="13"/>
      <c r="I342" s="12"/>
      <c r="J342" s="13"/>
      <c r="K342" s="14" t="str">
        <f>IF(C342="","",IFERROR(N('Fee Settings'!$C$5)*(E342+N(F342)-N(J342))+N('Fee Settings'!$C$6)*(E342+N(F342)+N(G342))+N('Fee Settings'!$C$7)+N('Fee Settings'!$C$10)*D342+IF(I342="Yes",MIN(N('Fee Settings'!$C$8)*(E342+N(F342)),N('Fee Settings'!$C$9)),0),""))</f>
        <v/>
      </c>
      <c r="L342" s="14" t="str">
        <f>IF(C342="","",IFERROR(D342*N(INDEX(Products!$C$5:$C$29,MATCH(C342,Lists!$A$2:$A$26,0))),""))</f>
        <v/>
      </c>
      <c r="M342" s="15" t="str">
        <f t="shared" si="5"/>
        <v/>
      </c>
    </row>
    <row r="343" spans="1:13" x14ac:dyDescent="0.35">
      <c r="A343" s="11"/>
      <c r="B343" s="12"/>
      <c r="C343" s="12"/>
      <c r="D343" s="12"/>
      <c r="E343" s="13"/>
      <c r="F343" s="13"/>
      <c r="G343" s="13"/>
      <c r="H343" s="13"/>
      <c r="I343" s="12"/>
      <c r="J343" s="13"/>
      <c r="K343" s="14" t="str">
        <f>IF(C343="","",IFERROR(N('Fee Settings'!$C$5)*(E343+N(F343)-N(J343))+N('Fee Settings'!$C$6)*(E343+N(F343)+N(G343))+N('Fee Settings'!$C$7)+N('Fee Settings'!$C$10)*D343+IF(I343="Yes",MIN(N('Fee Settings'!$C$8)*(E343+N(F343)),N('Fee Settings'!$C$9)),0),""))</f>
        <v/>
      </c>
      <c r="L343" s="14" t="str">
        <f>IF(C343="","",IFERROR(D343*N(INDEX(Products!$C$5:$C$29,MATCH(C343,Lists!$A$2:$A$26,0))),""))</f>
        <v/>
      </c>
      <c r="M343" s="15" t="str">
        <f t="shared" si="5"/>
        <v/>
      </c>
    </row>
    <row r="344" spans="1:13" x14ac:dyDescent="0.35">
      <c r="A344" s="11"/>
      <c r="B344" s="12"/>
      <c r="C344" s="12"/>
      <c r="D344" s="12"/>
      <c r="E344" s="13"/>
      <c r="F344" s="13"/>
      <c r="G344" s="13"/>
      <c r="H344" s="13"/>
      <c r="I344" s="12"/>
      <c r="J344" s="13"/>
      <c r="K344" s="14" t="str">
        <f>IF(C344="","",IFERROR(N('Fee Settings'!$C$5)*(E344+N(F344)-N(J344))+N('Fee Settings'!$C$6)*(E344+N(F344)+N(G344))+N('Fee Settings'!$C$7)+N('Fee Settings'!$C$10)*D344+IF(I344="Yes",MIN(N('Fee Settings'!$C$8)*(E344+N(F344)),N('Fee Settings'!$C$9)),0),""))</f>
        <v/>
      </c>
      <c r="L344" s="14" t="str">
        <f>IF(C344="","",IFERROR(D344*N(INDEX(Products!$C$5:$C$29,MATCH(C344,Lists!$A$2:$A$26,0))),""))</f>
        <v/>
      </c>
      <c r="M344" s="15" t="str">
        <f t="shared" si="5"/>
        <v/>
      </c>
    </row>
    <row r="345" spans="1:13" x14ac:dyDescent="0.35">
      <c r="A345" s="11"/>
      <c r="B345" s="12"/>
      <c r="C345" s="12"/>
      <c r="D345" s="12"/>
      <c r="E345" s="13"/>
      <c r="F345" s="13"/>
      <c r="G345" s="13"/>
      <c r="H345" s="13"/>
      <c r="I345" s="12"/>
      <c r="J345" s="13"/>
      <c r="K345" s="14" t="str">
        <f>IF(C345="","",IFERROR(N('Fee Settings'!$C$5)*(E345+N(F345)-N(J345))+N('Fee Settings'!$C$6)*(E345+N(F345)+N(G345))+N('Fee Settings'!$C$7)+N('Fee Settings'!$C$10)*D345+IF(I345="Yes",MIN(N('Fee Settings'!$C$8)*(E345+N(F345)),N('Fee Settings'!$C$9)),0),""))</f>
        <v/>
      </c>
      <c r="L345" s="14" t="str">
        <f>IF(C345="","",IFERROR(D345*N(INDEX(Products!$C$5:$C$29,MATCH(C345,Lists!$A$2:$A$26,0))),""))</f>
        <v/>
      </c>
      <c r="M345" s="15" t="str">
        <f t="shared" si="5"/>
        <v/>
      </c>
    </row>
    <row r="346" spans="1:13" x14ac:dyDescent="0.35">
      <c r="A346" s="11"/>
      <c r="B346" s="12"/>
      <c r="C346" s="12"/>
      <c r="D346" s="12"/>
      <c r="E346" s="13"/>
      <c r="F346" s="13"/>
      <c r="G346" s="13"/>
      <c r="H346" s="13"/>
      <c r="I346" s="12"/>
      <c r="J346" s="13"/>
      <c r="K346" s="14" t="str">
        <f>IF(C346="","",IFERROR(N('Fee Settings'!$C$5)*(E346+N(F346)-N(J346))+N('Fee Settings'!$C$6)*(E346+N(F346)+N(G346))+N('Fee Settings'!$C$7)+N('Fee Settings'!$C$10)*D346+IF(I346="Yes",MIN(N('Fee Settings'!$C$8)*(E346+N(F346)),N('Fee Settings'!$C$9)),0),""))</f>
        <v/>
      </c>
      <c r="L346" s="14" t="str">
        <f>IF(C346="","",IFERROR(D346*N(INDEX(Products!$C$5:$C$29,MATCH(C346,Lists!$A$2:$A$26,0))),""))</f>
        <v/>
      </c>
      <c r="M346" s="15" t="str">
        <f t="shared" si="5"/>
        <v/>
      </c>
    </row>
    <row r="347" spans="1:13" x14ac:dyDescent="0.35">
      <c r="A347" s="11"/>
      <c r="B347" s="12"/>
      <c r="C347" s="12"/>
      <c r="D347" s="12"/>
      <c r="E347" s="13"/>
      <c r="F347" s="13"/>
      <c r="G347" s="13"/>
      <c r="H347" s="13"/>
      <c r="I347" s="12"/>
      <c r="J347" s="13"/>
      <c r="K347" s="14" t="str">
        <f>IF(C347="","",IFERROR(N('Fee Settings'!$C$5)*(E347+N(F347)-N(J347))+N('Fee Settings'!$C$6)*(E347+N(F347)+N(G347))+N('Fee Settings'!$C$7)+N('Fee Settings'!$C$10)*D347+IF(I347="Yes",MIN(N('Fee Settings'!$C$8)*(E347+N(F347)),N('Fee Settings'!$C$9)),0),""))</f>
        <v/>
      </c>
      <c r="L347" s="14" t="str">
        <f>IF(C347="","",IFERROR(D347*N(INDEX(Products!$C$5:$C$29,MATCH(C347,Lists!$A$2:$A$26,0))),""))</f>
        <v/>
      </c>
      <c r="M347" s="15" t="str">
        <f t="shared" si="5"/>
        <v/>
      </c>
    </row>
    <row r="348" spans="1:13" x14ac:dyDescent="0.35">
      <c r="A348" s="11"/>
      <c r="B348" s="12"/>
      <c r="C348" s="12"/>
      <c r="D348" s="12"/>
      <c r="E348" s="13"/>
      <c r="F348" s="13"/>
      <c r="G348" s="13"/>
      <c r="H348" s="13"/>
      <c r="I348" s="12"/>
      <c r="J348" s="13"/>
      <c r="K348" s="14" t="str">
        <f>IF(C348="","",IFERROR(N('Fee Settings'!$C$5)*(E348+N(F348)-N(J348))+N('Fee Settings'!$C$6)*(E348+N(F348)+N(G348))+N('Fee Settings'!$C$7)+N('Fee Settings'!$C$10)*D348+IF(I348="Yes",MIN(N('Fee Settings'!$C$8)*(E348+N(F348)),N('Fee Settings'!$C$9)),0),""))</f>
        <v/>
      </c>
      <c r="L348" s="14" t="str">
        <f>IF(C348="","",IFERROR(D348*N(INDEX(Products!$C$5:$C$29,MATCH(C348,Lists!$A$2:$A$26,0))),""))</f>
        <v/>
      </c>
      <c r="M348" s="15" t="str">
        <f t="shared" si="5"/>
        <v/>
      </c>
    </row>
    <row r="349" spans="1:13" x14ac:dyDescent="0.35">
      <c r="A349" s="11"/>
      <c r="B349" s="12"/>
      <c r="C349" s="12"/>
      <c r="D349" s="12"/>
      <c r="E349" s="13"/>
      <c r="F349" s="13"/>
      <c r="G349" s="13"/>
      <c r="H349" s="13"/>
      <c r="I349" s="12"/>
      <c r="J349" s="13"/>
      <c r="K349" s="14" t="str">
        <f>IF(C349="","",IFERROR(N('Fee Settings'!$C$5)*(E349+N(F349)-N(J349))+N('Fee Settings'!$C$6)*(E349+N(F349)+N(G349))+N('Fee Settings'!$C$7)+N('Fee Settings'!$C$10)*D349+IF(I349="Yes",MIN(N('Fee Settings'!$C$8)*(E349+N(F349)),N('Fee Settings'!$C$9)),0),""))</f>
        <v/>
      </c>
      <c r="L349" s="14" t="str">
        <f>IF(C349="","",IFERROR(D349*N(INDEX(Products!$C$5:$C$29,MATCH(C349,Lists!$A$2:$A$26,0))),""))</f>
        <v/>
      </c>
      <c r="M349" s="15" t="str">
        <f t="shared" si="5"/>
        <v/>
      </c>
    </row>
    <row r="350" spans="1:13" x14ac:dyDescent="0.35">
      <c r="A350" s="11"/>
      <c r="B350" s="12"/>
      <c r="C350" s="12"/>
      <c r="D350" s="12"/>
      <c r="E350" s="13"/>
      <c r="F350" s="13"/>
      <c r="G350" s="13"/>
      <c r="H350" s="13"/>
      <c r="I350" s="12"/>
      <c r="J350" s="13"/>
      <c r="K350" s="14" t="str">
        <f>IF(C350="","",IFERROR(N('Fee Settings'!$C$5)*(E350+N(F350)-N(J350))+N('Fee Settings'!$C$6)*(E350+N(F350)+N(G350))+N('Fee Settings'!$C$7)+N('Fee Settings'!$C$10)*D350+IF(I350="Yes",MIN(N('Fee Settings'!$C$8)*(E350+N(F350)),N('Fee Settings'!$C$9)),0),""))</f>
        <v/>
      </c>
      <c r="L350" s="14" t="str">
        <f>IF(C350="","",IFERROR(D350*N(INDEX(Products!$C$5:$C$29,MATCH(C350,Lists!$A$2:$A$26,0))),""))</f>
        <v/>
      </c>
      <c r="M350" s="15" t="str">
        <f t="shared" si="5"/>
        <v/>
      </c>
    </row>
    <row r="351" spans="1:13" x14ac:dyDescent="0.35">
      <c r="A351" s="11"/>
      <c r="B351" s="12"/>
      <c r="C351" s="12"/>
      <c r="D351" s="12"/>
      <c r="E351" s="13"/>
      <c r="F351" s="13"/>
      <c r="G351" s="13"/>
      <c r="H351" s="13"/>
      <c r="I351" s="12"/>
      <c r="J351" s="13"/>
      <c r="K351" s="14" t="str">
        <f>IF(C351="","",IFERROR(N('Fee Settings'!$C$5)*(E351+N(F351)-N(J351))+N('Fee Settings'!$C$6)*(E351+N(F351)+N(G351))+N('Fee Settings'!$C$7)+N('Fee Settings'!$C$10)*D351+IF(I351="Yes",MIN(N('Fee Settings'!$C$8)*(E351+N(F351)),N('Fee Settings'!$C$9)),0),""))</f>
        <v/>
      </c>
      <c r="L351" s="14" t="str">
        <f>IF(C351="","",IFERROR(D351*N(INDEX(Products!$C$5:$C$29,MATCH(C351,Lists!$A$2:$A$26,0))),""))</f>
        <v/>
      </c>
      <c r="M351" s="15" t="str">
        <f t="shared" si="5"/>
        <v/>
      </c>
    </row>
    <row r="352" spans="1:13" x14ac:dyDescent="0.35">
      <c r="A352" s="11"/>
      <c r="B352" s="12"/>
      <c r="C352" s="12"/>
      <c r="D352" s="12"/>
      <c r="E352" s="13"/>
      <c r="F352" s="13"/>
      <c r="G352" s="13"/>
      <c r="H352" s="13"/>
      <c r="I352" s="12"/>
      <c r="J352" s="13"/>
      <c r="K352" s="14" t="str">
        <f>IF(C352="","",IFERROR(N('Fee Settings'!$C$5)*(E352+N(F352)-N(J352))+N('Fee Settings'!$C$6)*(E352+N(F352)+N(G352))+N('Fee Settings'!$C$7)+N('Fee Settings'!$C$10)*D352+IF(I352="Yes",MIN(N('Fee Settings'!$C$8)*(E352+N(F352)),N('Fee Settings'!$C$9)),0),""))</f>
        <v/>
      </c>
      <c r="L352" s="14" t="str">
        <f>IF(C352="","",IFERROR(D352*N(INDEX(Products!$C$5:$C$29,MATCH(C352,Lists!$A$2:$A$26,0))),""))</f>
        <v/>
      </c>
      <c r="M352" s="15" t="str">
        <f t="shared" si="5"/>
        <v/>
      </c>
    </row>
    <row r="353" spans="1:13" x14ac:dyDescent="0.35">
      <c r="A353" s="11"/>
      <c r="B353" s="12"/>
      <c r="C353" s="12"/>
      <c r="D353" s="12"/>
      <c r="E353" s="13"/>
      <c r="F353" s="13"/>
      <c r="G353" s="13"/>
      <c r="H353" s="13"/>
      <c r="I353" s="12"/>
      <c r="J353" s="13"/>
      <c r="K353" s="14" t="str">
        <f>IF(C353="","",IFERROR(N('Fee Settings'!$C$5)*(E353+N(F353)-N(J353))+N('Fee Settings'!$C$6)*(E353+N(F353)+N(G353))+N('Fee Settings'!$C$7)+N('Fee Settings'!$C$10)*D353+IF(I353="Yes",MIN(N('Fee Settings'!$C$8)*(E353+N(F353)),N('Fee Settings'!$C$9)),0),""))</f>
        <v/>
      </c>
      <c r="L353" s="14" t="str">
        <f>IF(C353="","",IFERROR(D353*N(INDEX(Products!$C$5:$C$29,MATCH(C353,Lists!$A$2:$A$26,0))),""))</f>
        <v/>
      </c>
      <c r="M353" s="15" t="str">
        <f t="shared" si="5"/>
        <v/>
      </c>
    </row>
    <row r="354" spans="1:13" x14ac:dyDescent="0.35">
      <c r="A354" s="11"/>
      <c r="B354" s="12"/>
      <c r="C354" s="12"/>
      <c r="D354" s="12"/>
      <c r="E354" s="13"/>
      <c r="F354" s="13"/>
      <c r="G354" s="13"/>
      <c r="H354" s="13"/>
      <c r="I354" s="12"/>
      <c r="J354" s="13"/>
      <c r="K354" s="14" t="str">
        <f>IF(C354="","",IFERROR(N('Fee Settings'!$C$5)*(E354+N(F354)-N(J354))+N('Fee Settings'!$C$6)*(E354+N(F354)+N(G354))+N('Fee Settings'!$C$7)+N('Fee Settings'!$C$10)*D354+IF(I354="Yes",MIN(N('Fee Settings'!$C$8)*(E354+N(F354)),N('Fee Settings'!$C$9)),0),""))</f>
        <v/>
      </c>
      <c r="L354" s="14" t="str">
        <f>IF(C354="","",IFERROR(D354*N(INDEX(Products!$C$5:$C$29,MATCH(C354,Lists!$A$2:$A$26,0))),""))</f>
        <v/>
      </c>
      <c r="M354" s="15" t="str">
        <f t="shared" si="5"/>
        <v/>
      </c>
    </row>
    <row r="355" spans="1:13" x14ac:dyDescent="0.35">
      <c r="A355" s="11"/>
      <c r="B355" s="12"/>
      <c r="C355" s="12"/>
      <c r="D355" s="12"/>
      <c r="E355" s="13"/>
      <c r="F355" s="13"/>
      <c r="G355" s="13"/>
      <c r="H355" s="13"/>
      <c r="I355" s="12"/>
      <c r="J355" s="13"/>
      <c r="K355" s="14" t="str">
        <f>IF(C355="","",IFERROR(N('Fee Settings'!$C$5)*(E355+N(F355)-N(J355))+N('Fee Settings'!$C$6)*(E355+N(F355)+N(G355))+N('Fee Settings'!$C$7)+N('Fee Settings'!$C$10)*D355+IF(I355="Yes",MIN(N('Fee Settings'!$C$8)*(E355+N(F355)),N('Fee Settings'!$C$9)),0),""))</f>
        <v/>
      </c>
      <c r="L355" s="14" t="str">
        <f>IF(C355="","",IFERROR(D355*N(INDEX(Products!$C$5:$C$29,MATCH(C355,Lists!$A$2:$A$26,0))),""))</f>
        <v/>
      </c>
      <c r="M355" s="15" t="str">
        <f t="shared" si="5"/>
        <v/>
      </c>
    </row>
    <row r="356" spans="1:13" x14ac:dyDescent="0.35">
      <c r="A356" s="11"/>
      <c r="B356" s="12"/>
      <c r="C356" s="12"/>
      <c r="D356" s="12"/>
      <c r="E356" s="13"/>
      <c r="F356" s="13"/>
      <c r="G356" s="13"/>
      <c r="H356" s="13"/>
      <c r="I356" s="12"/>
      <c r="J356" s="13"/>
      <c r="K356" s="14" t="str">
        <f>IF(C356="","",IFERROR(N('Fee Settings'!$C$5)*(E356+N(F356)-N(J356))+N('Fee Settings'!$C$6)*(E356+N(F356)+N(G356))+N('Fee Settings'!$C$7)+N('Fee Settings'!$C$10)*D356+IF(I356="Yes",MIN(N('Fee Settings'!$C$8)*(E356+N(F356)),N('Fee Settings'!$C$9)),0),""))</f>
        <v/>
      </c>
      <c r="L356" s="14" t="str">
        <f>IF(C356="","",IFERROR(D356*N(INDEX(Products!$C$5:$C$29,MATCH(C356,Lists!$A$2:$A$26,0))),""))</f>
        <v/>
      </c>
      <c r="M356" s="15" t="str">
        <f t="shared" si="5"/>
        <v/>
      </c>
    </row>
    <row r="357" spans="1:13" x14ac:dyDescent="0.35">
      <c r="A357" s="11"/>
      <c r="B357" s="12"/>
      <c r="C357" s="12"/>
      <c r="D357" s="12"/>
      <c r="E357" s="13"/>
      <c r="F357" s="13"/>
      <c r="G357" s="13"/>
      <c r="H357" s="13"/>
      <c r="I357" s="12"/>
      <c r="J357" s="13"/>
      <c r="K357" s="14" t="str">
        <f>IF(C357="","",IFERROR(N('Fee Settings'!$C$5)*(E357+N(F357)-N(J357))+N('Fee Settings'!$C$6)*(E357+N(F357)+N(G357))+N('Fee Settings'!$C$7)+N('Fee Settings'!$C$10)*D357+IF(I357="Yes",MIN(N('Fee Settings'!$C$8)*(E357+N(F357)),N('Fee Settings'!$C$9)),0),""))</f>
        <v/>
      </c>
      <c r="L357" s="14" t="str">
        <f>IF(C357="","",IFERROR(D357*N(INDEX(Products!$C$5:$C$29,MATCH(C357,Lists!$A$2:$A$26,0))),""))</f>
        <v/>
      </c>
      <c r="M357" s="15" t="str">
        <f t="shared" si="5"/>
        <v/>
      </c>
    </row>
    <row r="358" spans="1:13" x14ac:dyDescent="0.35">
      <c r="A358" s="11"/>
      <c r="B358" s="12"/>
      <c r="C358" s="12"/>
      <c r="D358" s="12"/>
      <c r="E358" s="13"/>
      <c r="F358" s="13"/>
      <c r="G358" s="13"/>
      <c r="H358" s="13"/>
      <c r="I358" s="12"/>
      <c r="J358" s="13"/>
      <c r="K358" s="14" t="str">
        <f>IF(C358="","",IFERROR(N('Fee Settings'!$C$5)*(E358+N(F358)-N(J358))+N('Fee Settings'!$C$6)*(E358+N(F358)+N(G358))+N('Fee Settings'!$C$7)+N('Fee Settings'!$C$10)*D358+IF(I358="Yes",MIN(N('Fee Settings'!$C$8)*(E358+N(F358)),N('Fee Settings'!$C$9)),0),""))</f>
        <v/>
      </c>
      <c r="L358" s="14" t="str">
        <f>IF(C358="","",IFERROR(D358*N(INDEX(Products!$C$5:$C$29,MATCH(C358,Lists!$A$2:$A$26,0))),""))</f>
        <v/>
      </c>
      <c r="M358" s="15" t="str">
        <f t="shared" si="5"/>
        <v/>
      </c>
    </row>
    <row r="359" spans="1:13" x14ac:dyDescent="0.35">
      <c r="A359" s="11"/>
      <c r="B359" s="12"/>
      <c r="C359" s="12"/>
      <c r="D359" s="12"/>
      <c r="E359" s="13"/>
      <c r="F359" s="13"/>
      <c r="G359" s="13"/>
      <c r="H359" s="13"/>
      <c r="I359" s="12"/>
      <c r="J359" s="13"/>
      <c r="K359" s="14" t="str">
        <f>IF(C359="","",IFERROR(N('Fee Settings'!$C$5)*(E359+N(F359)-N(J359))+N('Fee Settings'!$C$6)*(E359+N(F359)+N(G359))+N('Fee Settings'!$C$7)+N('Fee Settings'!$C$10)*D359+IF(I359="Yes",MIN(N('Fee Settings'!$C$8)*(E359+N(F359)),N('Fee Settings'!$C$9)),0),""))</f>
        <v/>
      </c>
      <c r="L359" s="14" t="str">
        <f>IF(C359="","",IFERROR(D359*N(INDEX(Products!$C$5:$C$29,MATCH(C359,Lists!$A$2:$A$26,0))),""))</f>
        <v/>
      </c>
      <c r="M359" s="15" t="str">
        <f t="shared" si="5"/>
        <v/>
      </c>
    </row>
    <row r="360" spans="1:13" x14ac:dyDescent="0.35">
      <c r="A360" s="11"/>
      <c r="B360" s="12"/>
      <c r="C360" s="12"/>
      <c r="D360" s="12"/>
      <c r="E360" s="13"/>
      <c r="F360" s="13"/>
      <c r="G360" s="13"/>
      <c r="H360" s="13"/>
      <c r="I360" s="12"/>
      <c r="J360" s="13"/>
      <c r="K360" s="14" t="str">
        <f>IF(C360="","",IFERROR(N('Fee Settings'!$C$5)*(E360+N(F360)-N(J360))+N('Fee Settings'!$C$6)*(E360+N(F360)+N(G360))+N('Fee Settings'!$C$7)+N('Fee Settings'!$C$10)*D360+IF(I360="Yes",MIN(N('Fee Settings'!$C$8)*(E360+N(F360)),N('Fee Settings'!$C$9)),0),""))</f>
        <v/>
      </c>
      <c r="L360" s="14" t="str">
        <f>IF(C360="","",IFERROR(D360*N(INDEX(Products!$C$5:$C$29,MATCH(C360,Lists!$A$2:$A$26,0))),""))</f>
        <v/>
      </c>
      <c r="M360" s="15" t="str">
        <f t="shared" si="5"/>
        <v/>
      </c>
    </row>
    <row r="361" spans="1:13" x14ac:dyDescent="0.35">
      <c r="A361" s="11"/>
      <c r="B361" s="12"/>
      <c r="C361" s="12"/>
      <c r="D361" s="12"/>
      <c r="E361" s="13"/>
      <c r="F361" s="13"/>
      <c r="G361" s="13"/>
      <c r="H361" s="13"/>
      <c r="I361" s="12"/>
      <c r="J361" s="13"/>
      <c r="K361" s="14" t="str">
        <f>IF(C361="","",IFERROR(N('Fee Settings'!$C$5)*(E361+N(F361)-N(J361))+N('Fee Settings'!$C$6)*(E361+N(F361)+N(G361))+N('Fee Settings'!$C$7)+N('Fee Settings'!$C$10)*D361+IF(I361="Yes",MIN(N('Fee Settings'!$C$8)*(E361+N(F361)),N('Fee Settings'!$C$9)),0),""))</f>
        <v/>
      </c>
      <c r="L361" s="14" t="str">
        <f>IF(C361="","",IFERROR(D361*N(INDEX(Products!$C$5:$C$29,MATCH(C361,Lists!$A$2:$A$26,0))),""))</f>
        <v/>
      </c>
      <c r="M361" s="15" t="str">
        <f t="shared" si="5"/>
        <v/>
      </c>
    </row>
    <row r="362" spans="1:13" x14ac:dyDescent="0.35">
      <c r="A362" s="11"/>
      <c r="B362" s="12"/>
      <c r="C362" s="12"/>
      <c r="D362" s="12"/>
      <c r="E362" s="13"/>
      <c r="F362" s="13"/>
      <c r="G362" s="13"/>
      <c r="H362" s="13"/>
      <c r="I362" s="12"/>
      <c r="J362" s="13"/>
      <c r="K362" s="14" t="str">
        <f>IF(C362="","",IFERROR(N('Fee Settings'!$C$5)*(E362+N(F362)-N(J362))+N('Fee Settings'!$C$6)*(E362+N(F362)+N(G362))+N('Fee Settings'!$C$7)+N('Fee Settings'!$C$10)*D362+IF(I362="Yes",MIN(N('Fee Settings'!$C$8)*(E362+N(F362)),N('Fee Settings'!$C$9)),0),""))</f>
        <v/>
      </c>
      <c r="L362" s="14" t="str">
        <f>IF(C362="","",IFERROR(D362*N(INDEX(Products!$C$5:$C$29,MATCH(C362,Lists!$A$2:$A$26,0))),""))</f>
        <v/>
      </c>
      <c r="M362" s="15" t="str">
        <f t="shared" si="5"/>
        <v/>
      </c>
    </row>
    <row r="363" spans="1:13" x14ac:dyDescent="0.35">
      <c r="A363" s="11"/>
      <c r="B363" s="12"/>
      <c r="C363" s="12"/>
      <c r="D363" s="12"/>
      <c r="E363" s="13"/>
      <c r="F363" s="13"/>
      <c r="G363" s="13"/>
      <c r="H363" s="13"/>
      <c r="I363" s="12"/>
      <c r="J363" s="13"/>
      <c r="K363" s="14" t="str">
        <f>IF(C363="","",IFERROR(N('Fee Settings'!$C$5)*(E363+N(F363)-N(J363))+N('Fee Settings'!$C$6)*(E363+N(F363)+N(G363))+N('Fee Settings'!$C$7)+N('Fee Settings'!$C$10)*D363+IF(I363="Yes",MIN(N('Fee Settings'!$C$8)*(E363+N(F363)),N('Fee Settings'!$C$9)),0),""))</f>
        <v/>
      </c>
      <c r="L363" s="14" t="str">
        <f>IF(C363="","",IFERROR(D363*N(INDEX(Products!$C$5:$C$29,MATCH(C363,Lists!$A$2:$A$26,0))),""))</f>
        <v/>
      </c>
      <c r="M363" s="15" t="str">
        <f t="shared" si="5"/>
        <v/>
      </c>
    </row>
    <row r="364" spans="1:13" x14ac:dyDescent="0.35">
      <c r="A364" s="11"/>
      <c r="B364" s="12"/>
      <c r="C364" s="12"/>
      <c r="D364" s="12"/>
      <c r="E364" s="13"/>
      <c r="F364" s="13"/>
      <c r="G364" s="13"/>
      <c r="H364" s="13"/>
      <c r="I364" s="12"/>
      <c r="J364" s="13"/>
      <c r="K364" s="14" t="str">
        <f>IF(C364="","",IFERROR(N('Fee Settings'!$C$5)*(E364+N(F364)-N(J364))+N('Fee Settings'!$C$6)*(E364+N(F364)+N(G364))+N('Fee Settings'!$C$7)+N('Fee Settings'!$C$10)*D364+IF(I364="Yes",MIN(N('Fee Settings'!$C$8)*(E364+N(F364)),N('Fee Settings'!$C$9)),0),""))</f>
        <v/>
      </c>
      <c r="L364" s="14" t="str">
        <f>IF(C364="","",IFERROR(D364*N(INDEX(Products!$C$5:$C$29,MATCH(C364,Lists!$A$2:$A$26,0))),""))</f>
        <v/>
      </c>
      <c r="M364" s="15" t="str">
        <f t="shared" si="5"/>
        <v/>
      </c>
    </row>
    <row r="365" spans="1:13" x14ac:dyDescent="0.35">
      <c r="A365" s="11"/>
      <c r="B365" s="12"/>
      <c r="C365" s="12"/>
      <c r="D365" s="12"/>
      <c r="E365" s="13"/>
      <c r="F365" s="13"/>
      <c r="G365" s="13"/>
      <c r="H365" s="13"/>
      <c r="I365" s="12"/>
      <c r="J365" s="13"/>
      <c r="K365" s="14" t="str">
        <f>IF(C365="","",IFERROR(N('Fee Settings'!$C$5)*(E365+N(F365)-N(J365))+N('Fee Settings'!$C$6)*(E365+N(F365)+N(G365))+N('Fee Settings'!$C$7)+N('Fee Settings'!$C$10)*D365+IF(I365="Yes",MIN(N('Fee Settings'!$C$8)*(E365+N(F365)),N('Fee Settings'!$C$9)),0),""))</f>
        <v/>
      </c>
      <c r="L365" s="14" t="str">
        <f>IF(C365="","",IFERROR(D365*N(INDEX(Products!$C$5:$C$29,MATCH(C365,Lists!$A$2:$A$26,0))),""))</f>
        <v/>
      </c>
      <c r="M365" s="15" t="str">
        <f t="shared" si="5"/>
        <v/>
      </c>
    </row>
    <row r="366" spans="1:13" x14ac:dyDescent="0.35">
      <c r="A366" s="11"/>
      <c r="B366" s="12"/>
      <c r="C366" s="12"/>
      <c r="D366" s="12"/>
      <c r="E366" s="13"/>
      <c r="F366" s="13"/>
      <c r="G366" s="13"/>
      <c r="H366" s="13"/>
      <c r="I366" s="12"/>
      <c r="J366" s="13"/>
      <c r="K366" s="14" t="str">
        <f>IF(C366="","",IFERROR(N('Fee Settings'!$C$5)*(E366+N(F366)-N(J366))+N('Fee Settings'!$C$6)*(E366+N(F366)+N(G366))+N('Fee Settings'!$C$7)+N('Fee Settings'!$C$10)*D366+IF(I366="Yes",MIN(N('Fee Settings'!$C$8)*(E366+N(F366)),N('Fee Settings'!$C$9)),0),""))</f>
        <v/>
      </c>
      <c r="L366" s="14" t="str">
        <f>IF(C366="","",IFERROR(D366*N(INDEX(Products!$C$5:$C$29,MATCH(C366,Lists!$A$2:$A$26,0))),""))</f>
        <v/>
      </c>
      <c r="M366" s="15" t="str">
        <f t="shared" si="5"/>
        <v/>
      </c>
    </row>
    <row r="367" spans="1:13" x14ac:dyDescent="0.35">
      <c r="A367" s="11"/>
      <c r="B367" s="12"/>
      <c r="C367" s="12"/>
      <c r="D367" s="12"/>
      <c r="E367" s="13"/>
      <c r="F367" s="13"/>
      <c r="G367" s="13"/>
      <c r="H367" s="13"/>
      <c r="I367" s="12"/>
      <c r="J367" s="13"/>
      <c r="K367" s="14" t="str">
        <f>IF(C367="","",IFERROR(N('Fee Settings'!$C$5)*(E367+N(F367)-N(J367))+N('Fee Settings'!$C$6)*(E367+N(F367)+N(G367))+N('Fee Settings'!$C$7)+N('Fee Settings'!$C$10)*D367+IF(I367="Yes",MIN(N('Fee Settings'!$C$8)*(E367+N(F367)),N('Fee Settings'!$C$9)),0),""))</f>
        <v/>
      </c>
      <c r="L367" s="14" t="str">
        <f>IF(C367="","",IFERROR(D367*N(INDEX(Products!$C$5:$C$29,MATCH(C367,Lists!$A$2:$A$26,0))),""))</f>
        <v/>
      </c>
      <c r="M367" s="15" t="str">
        <f t="shared" si="5"/>
        <v/>
      </c>
    </row>
    <row r="368" spans="1:13" x14ac:dyDescent="0.35">
      <c r="A368" s="11"/>
      <c r="B368" s="12"/>
      <c r="C368" s="12"/>
      <c r="D368" s="12"/>
      <c r="E368" s="13"/>
      <c r="F368" s="13"/>
      <c r="G368" s="13"/>
      <c r="H368" s="13"/>
      <c r="I368" s="12"/>
      <c r="J368" s="13"/>
      <c r="K368" s="14" t="str">
        <f>IF(C368="","",IFERROR(N('Fee Settings'!$C$5)*(E368+N(F368)-N(J368))+N('Fee Settings'!$C$6)*(E368+N(F368)+N(G368))+N('Fee Settings'!$C$7)+N('Fee Settings'!$C$10)*D368+IF(I368="Yes",MIN(N('Fee Settings'!$C$8)*(E368+N(F368)),N('Fee Settings'!$C$9)),0),""))</f>
        <v/>
      </c>
      <c r="L368" s="14" t="str">
        <f>IF(C368="","",IFERROR(D368*N(INDEX(Products!$C$5:$C$29,MATCH(C368,Lists!$A$2:$A$26,0))),""))</f>
        <v/>
      </c>
      <c r="M368" s="15" t="str">
        <f t="shared" si="5"/>
        <v/>
      </c>
    </row>
    <row r="369" spans="1:13" x14ac:dyDescent="0.35">
      <c r="A369" s="11"/>
      <c r="B369" s="12"/>
      <c r="C369" s="12"/>
      <c r="D369" s="12"/>
      <c r="E369" s="13"/>
      <c r="F369" s="13"/>
      <c r="G369" s="13"/>
      <c r="H369" s="13"/>
      <c r="I369" s="12"/>
      <c r="J369" s="13"/>
      <c r="K369" s="14" t="str">
        <f>IF(C369="","",IFERROR(N('Fee Settings'!$C$5)*(E369+N(F369)-N(J369))+N('Fee Settings'!$C$6)*(E369+N(F369)+N(G369))+N('Fee Settings'!$C$7)+N('Fee Settings'!$C$10)*D369+IF(I369="Yes",MIN(N('Fee Settings'!$C$8)*(E369+N(F369)),N('Fee Settings'!$C$9)),0),""))</f>
        <v/>
      </c>
      <c r="L369" s="14" t="str">
        <f>IF(C369="","",IFERROR(D369*N(INDEX(Products!$C$5:$C$29,MATCH(C369,Lists!$A$2:$A$26,0))),""))</f>
        <v/>
      </c>
      <c r="M369" s="15" t="str">
        <f t="shared" si="5"/>
        <v/>
      </c>
    </row>
    <row r="370" spans="1:13" x14ac:dyDescent="0.35">
      <c r="A370" s="11"/>
      <c r="B370" s="12"/>
      <c r="C370" s="12"/>
      <c r="D370" s="12"/>
      <c r="E370" s="13"/>
      <c r="F370" s="13"/>
      <c r="G370" s="13"/>
      <c r="H370" s="13"/>
      <c r="I370" s="12"/>
      <c r="J370" s="13"/>
      <c r="K370" s="14" t="str">
        <f>IF(C370="","",IFERROR(N('Fee Settings'!$C$5)*(E370+N(F370)-N(J370))+N('Fee Settings'!$C$6)*(E370+N(F370)+N(G370))+N('Fee Settings'!$C$7)+N('Fee Settings'!$C$10)*D370+IF(I370="Yes",MIN(N('Fee Settings'!$C$8)*(E370+N(F370)),N('Fee Settings'!$C$9)),0),""))</f>
        <v/>
      </c>
      <c r="L370" s="14" t="str">
        <f>IF(C370="","",IFERROR(D370*N(INDEX(Products!$C$5:$C$29,MATCH(C370,Lists!$A$2:$A$26,0))),""))</f>
        <v/>
      </c>
      <c r="M370" s="15" t="str">
        <f t="shared" si="5"/>
        <v/>
      </c>
    </row>
    <row r="371" spans="1:13" x14ac:dyDescent="0.35">
      <c r="A371" s="11"/>
      <c r="B371" s="12"/>
      <c r="C371" s="12"/>
      <c r="D371" s="12"/>
      <c r="E371" s="13"/>
      <c r="F371" s="13"/>
      <c r="G371" s="13"/>
      <c r="H371" s="13"/>
      <c r="I371" s="12"/>
      <c r="J371" s="13"/>
      <c r="K371" s="14" t="str">
        <f>IF(C371="","",IFERROR(N('Fee Settings'!$C$5)*(E371+N(F371)-N(J371))+N('Fee Settings'!$C$6)*(E371+N(F371)+N(G371))+N('Fee Settings'!$C$7)+N('Fee Settings'!$C$10)*D371+IF(I371="Yes",MIN(N('Fee Settings'!$C$8)*(E371+N(F371)),N('Fee Settings'!$C$9)),0),""))</f>
        <v/>
      </c>
      <c r="L371" s="14" t="str">
        <f>IF(C371="","",IFERROR(D371*N(INDEX(Products!$C$5:$C$29,MATCH(C371,Lists!$A$2:$A$26,0))),""))</f>
        <v/>
      </c>
      <c r="M371" s="15" t="str">
        <f t="shared" si="5"/>
        <v/>
      </c>
    </row>
    <row r="372" spans="1:13" x14ac:dyDescent="0.35">
      <c r="A372" s="11"/>
      <c r="B372" s="12"/>
      <c r="C372" s="12"/>
      <c r="D372" s="12"/>
      <c r="E372" s="13"/>
      <c r="F372" s="13"/>
      <c r="G372" s="13"/>
      <c r="H372" s="13"/>
      <c r="I372" s="12"/>
      <c r="J372" s="13"/>
      <c r="K372" s="14" t="str">
        <f>IF(C372="","",IFERROR(N('Fee Settings'!$C$5)*(E372+N(F372)-N(J372))+N('Fee Settings'!$C$6)*(E372+N(F372)+N(G372))+N('Fee Settings'!$C$7)+N('Fee Settings'!$C$10)*D372+IF(I372="Yes",MIN(N('Fee Settings'!$C$8)*(E372+N(F372)),N('Fee Settings'!$C$9)),0),""))</f>
        <v/>
      </c>
      <c r="L372" s="14" t="str">
        <f>IF(C372="","",IFERROR(D372*N(INDEX(Products!$C$5:$C$29,MATCH(C372,Lists!$A$2:$A$26,0))),""))</f>
        <v/>
      </c>
      <c r="M372" s="15" t="str">
        <f t="shared" si="5"/>
        <v/>
      </c>
    </row>
    <row r="373" spans="1:13" x14ac:dyDescent="0.35">
      <c r="A373" s="11"/>
      <c r="B373" s="12"/>
      <c r="C373" s="12"/>
      <c r="D373" s="12"/>
      <c r="E373" s="13"/>
      <c r="F373" s="13"/>
      <c r="G373" s="13"/>
      <c r="H373" s="13"/>
      <c r="I373" s="12"/>
      <c r="J373" s="13"/>
      <c r="K373" s="14" t="str">
        <f>IF(C373="","",IFERROR(N('Fee Settings'!$C$5)*(E373+N(F373)-N(J373))+N('Fee Settings'!$C$6)*(E373+N(F373)+N(G373))+N('Fee Settings'!$C$7)+N('Fee Settings'!$C$10)*D373+IF(I373="Yes",MIN(N('Fee Settings'!$C$8)*(E373+N(F373)),N('Fee Settings'!$C$9)),0),""))</f>
        <v/>
      </c>
      <c r="L373" s="14" t="str">
        <f>IF(C373="","",IFERROR(D373*N(INDEX(Products!$C$5:$C$29,MATCH(C373,Lists!$A$2:$A$26,0))),""))</f>
        <v/>
      </c>
      <c r="M373" s="15" t="str">
        <f t="shared" si="5"/>
        <v/>
      </c>
    </row>
    <row r="374" spans="1:13" x14ac:dyDescent="0.35">
      <c r="A374" s="11"/>
      <c r="B374" s="12"/>
      <c r="C374" s="12"/>
      <c r="D374" s="12"/>
      <c r="E374" s="13"/>
      <c r="F374" s="13"/>
      <c r="G374" s="13"/>
      <c r="H374" s="13"/>
      <c r="I374" s="12"/>
      <c r="J374" s="13"/>
      <c r="K374" s="14" t="str">
        <f>IF(C374="","",IFERROR(N('Fee Settings'!$C$5)*(E374+N(F374)-N(J374))+N('Fee Settings'!$C$6)*(E374+N(F374)+N(G374))+N('Fee Settings'!$C$7)+N('Fee Settings'!$C$10)*D374+IF(I374="Yes",MIN(N('Fee Settings'!$C$8)*(E374+N(F374)),N('Fee Settings'!$C$9)),0),""))</f>
        <v/>
      </c>
      <c r="L374" s="14" t="str">
        <f>IF(C374="","",IFERROR(D374*N(INDEX(Products!$C$5:$C$29,MATCH(C374,Lists!$A$2:$A$26,0))),""))</f>
        <v/>
      </c>
      <c r="M374" s="15" t="str">
        <f t="shared" si="5"/>
        <v/>
      </c>
    </row>
    <row r="375" spans="1:13" x14ac:dyDescent="0.35">
      <c r="A375" s="11"/>
      <c r="B375" s="12"/>
      <c r="C375" s="12"/>
      <c r="D375" s="12"/>
      <c r="E375" s="13"/>
      <c r="F375" s="13"/>
      <c r="G375" s="13"/>
      <c r="H375" s="13"/>
      <c r="I375" s="12"/>
      <c r="J375" s="13"/>
      <c r="K375" s="14" t="str">
        <f>IF(C375="","",IFERROR(N('Fee Settings'!$C$5)*(E375+N(F375)-N(J375))+N('Fee Settings'!$C$6)*(E375+N(F375)+N(G375))+N('Fee Settings'!$C$7)+N('Fee Settings'!$C$10)*D375+IF(I375="Yes",MIN(N('Fee Settings'!$C$8)*(E375+N(F375)),N('Fee Settings'!$C$9)),0),""))</f>
        <v/>
      </c>
      <c r="L375" s="14" t="str">
        <f>IF(C375="","",IFERROR(D375*N(INDEX(Products!$C$5:$C$29,MATCH(C375,Lists!$A$2:$A$26,0))),""))</f>
        <v/>
      </c>
      <c r="M375" s="15" t="str">
        <f t="shared" si="5"/>
        <v/>
      </c>
    </row>
    <row r="376" spans="1:13" x14ac:dyDescent="0.35">
      <c r="A376" s="11"/>
      <c r="B376" s="12"/>
      <c r="C376" s="12"/>
      <c r="D376" s="12"/>
      <c r="E376" s="13"/>
      <c r="F376" s="13"/>
      <c r="G376" s="13"/>
      <c r="H376" s="13"/>
      <c r="I376" s="12"/>
      <c r="J376" s="13"/>
      <c r="K376" s="14" t="str">
        <f>IF(C376="","",IFERROR(N('Fee Settings'!$C$5)*(E376+N(F376)-N(J376))+N('Fee Settings'!$C$6)*(E376+N(F376)+N(G376))+N('Fee Settings'!$C$7)+N('Fee Settings'!$C$10)*D376+IF(I376="Yes",MIN(N('Fee Settings'!$C$8)*(E376+N(F376)),N('Fee Settings'!$C$9)),0),""))</f>
        <v/>
      </c>
      <c r="L376" s="14" t="str">
        <f>IF(C376="","",IFERROR(D376*N(INDEX(Products!$C$5:$C$29,MATCH(C376,Lists!$A$2:$A$26,0))),""))</f>
        <v/>
      </c>
      <c r="M376" s="15" t="str">
        <f t="shared" si="5"/>
        <v/>
      </c>
    </row>
    <row r="377" spans="1:13" x14ac:dyDescent="0.35">
      <c r="A377" s="11"/>
      <c r="B377" s="12"/>
      <c r="C377" s="12"/>
      <c r="D377" s="12"/>
      <c r="E377" s="13"/>
      <c r="F377" s="13"/>
      <c r="G377" s="13"/>
      <c r="H377" s="13"/>
      <c r="I377" s="12"/>
      <c r="J377" s="13"/>
      <c r="K377" s="14" t="str">
        <f>IF(C377="","",IFERROR(N('Fee Settings'!$C$5)*(E377+N(F377)-N(J377))+N('Fee Settings'!$C$6)*(E377+N(F377)+N(G377))+N('Fee Settings'!$C$7)+N('Fee Settings'!$C$10)*D377+IF(I377="Yes",MIN(N('Fee Settings'!$C$8)*(E377+N(F377)),N('Fee Settings'!$C$9)),0),""))</f>
        <v/>
      </c>
      <c r="L377" s="14" t="str">
        <f>IF(C377="","",IFERROR(D377*N(INDEX(Products!$C$5:$C$29,MATCH(C377,Lists!$A$2:$A$26,0))),""))</f>
        <v/>
      </c>
      <c r="M377" s="15" t="str">
        <f t="shared" si="5"/>
        <v/>
      </c>
    </row>
    <row r="378" spans="1:13" x14ac:dyDescent="0.35">
      <c r="A378" s="11"/>
      <c r="B378" s="12"/>
      <c r="C378" s="12"/>
      <c r="D378" s="12"/>
      <c r="E378" s="13"/>
      <c r="F378" s="13"/>
      <c r="G378" s="13"/>
      <c r="H378" s="13"/>
      <c r="I378" s="12"/>
      <c r="J378" s="13"/>
      <c r="K378" s="14" t="str">
        <f>IF(C378="","",IFERROR(N('Fee Settings'!$C$5)*(E378+N(F378)-N(J378))+N('Fee Settings'!$C$6)*(E378+N(F378)+N(G378))+N('Fee Settings'!$C$7)+N('Fee Settings'!$C$10)*D378+IF(I378="Yes",MIN(N('Fee Settings'!$C$8)*(E378+N(F378)),N('Fee Settings'!$C$9)),0),""))</f>
        <v/>
      </c>
      <c r="L378" s="14" t="str">
        <f>IF(C378="","",IFERROR(D378*N(INDEX(Products!$C$5:$C$29,MATCH(C378,Lists!$A$2:$A$26,0))),""))</f>
        <v/>
      </c>
      <c r="M378" s="15" t="str">
        <f t="shared" si="5"/>
        <v/>
      </c>
    </row>
    <row r="379" spans="1:13" x14ac:dyDescent="0.35">
      <c r="A379" s="11"/>
      <c r="B379" s="12"/>
      <c r="C379" s="12"/>
      <c r="D379" s="12"/>
      <c r="E379" s="13"/>
      <c r="F379" s="13"/>
      <c r="G379" s="13"/>
      <c r="H379" s="13"/>
      <c r="I379" s="12"/>
      <c r="J379" s="13"/>
      <c r="K379" s="14" t="str">
        <f>IF(C379="","",IFERROR(N('Fee Settings'!$C$5)*(E379+N(F379)-N(J379))+N('Fee Settings'!$C$6)*(E379+N(F379)+N(G379))+N('Fee Settings'!$C$7)+N('Fee Settings'!$C$10)*D379+IF(I379="Yes",MIN(N('Fee Settings'!$C$8)*(E379+N(F379)),N('Fee Settings'!$C$9)),0),""))</f>
        <v/>
      </c>
      <c r="L379" s="14" t="str">
        <f>IF(C379="","",IFERROR(D379*N(INDEX(Products!$C$5:$C$29,MATCH(C379,Lists!$A$2:$A$26,0))),""))</f>
        <v/>
      </c>
      <c r="M379" s="15" t="str">
        <f t="shared" si="5"/>
        <v/>
      </c>
    </row>
    <row r="380" spans="1:13" x14ac:dyDescent="0.35">
      <c r="A380" s="11"/>
      <c r="B380" s="12"/>
      <c r="C380" s="12"/>
      <c r="D380" s="12"/>
      <c r="E380" s="13"/>
      <c r="F380" s="13"/>
      <c r="G380" s="13"/>
      <c r="H380" s="13"/>
      <c r="I380" s="12"/>
      <c r="J380" s="13"/>
      <c r="K380" s="14" t="str">
        <f>IF(C380="","",IFERROR(N('Fee Settings'!$C$5)*(E380+N(F380)-N(J380))+N('Fee Settings'!$C$6)*(E380+N(F380)+N(G380))+N('Fee Settings'!$C$7)+N('Fee Settings'!$C$10)*D380+IF(I380="Yes",MIN(N('Fee Settings'!$C$8)*(E380+N(F380)),N('Fee Settings'!$C$9)),0),""))</f>
        <v/>
      </c>
      <c r="L380" s="14" t="str">
        <f>IF(C380="","",IFERROR(D380*N(INDEX(Products!$C$5:$C$29,MATCH(C380,Lists!$A$2:$A$26,0))),""))</f>
        <v/>
      </c>
      <c r="M380" s="15" t="str">
        <f t="shared" si="5"/>
        <v/>
      </c>
    </row>
    <row r="381" spans="1:13" x14ac:dyDescent="0.35">
      <c r="A381" s="11"/>
      <c r="B381" s="12"/>
      <c r="C381" s="12"/>
      <c r="D381" s="12"/>
      <c r="E381" s="13"/>
      <c r="F381" s="13"/>
      <c r="G381" s="13"/>
      <c r="H381" s="13"/>
      <c r="I381" s="12"/>
      <c r="J381" s="13"/>
      <c r="K381" s="14" t="str">
        <f>IF(C381="","",IFERROR(N('Fee Settings'!$C$5)*(E381+N(F381)-N(J381))+N('Fee Settings'!$C$6)*(E381+N(F381)+N(G381))+N('Fee Settings'!$C$7)+N('Fee Settings'!$C$10)*D381+IF(I381="Yes",MIN(N('Fee Settings'!$C$8)*(E381+N(F381)),N('Fee Settings'!$C$9)),0),""))</f>
        <v/>
      </c>
      <c r="L381" s="14" t="str">
        <f>IF(C381="","",IFERROR(D381*N(INDEX(Products!$C$5:$C$29,MATCH(C381,Lists!$A$2:$A$26,0))),""))</f>
        <v/>
      </c>
      <c r="M381" s="15" t="str">
        <f t="shared" si="5"/>
        <v/>
      </c>
    </row>
    <row r="382" spans="1:13" x14ac:dyDescent="0.35">
      <c r="A382" s="11"/>
      <c r="B382" s="12"/>
      <c r="C382" s="12"/>
      <c r="D382" s="12"/>
      <c r="E382" s="13"/>
      <c r="F382" s="13"/>
      <c r="G382" s="13"/>
      <c r="H382" s="13"/>
      <c r="I382" s="12"/>
      <c r="J382" s="13"/>
      <c r="K382" s="14" t="str">
        <f>IF(C382="","",IFERROR(N('Fee Settings'!$C$5)*(E382+N(F382)-N(J382))+N('Fee Settings'!$C$6)*(E382+N(F382)+N(G382))+N('Fee Settings'!$C$7)+N('Fee Settings'!$C$10)*D382+IF(I382="Yes",MIN(N('Fee Settings'!$C$8)*(E382+N(F382)),N('Fee Settings'!$C$9)),0),""))</f>
        <v/>
      </c>
      <c r="L382" s="14" t="str">
        <f>IF(C382="","",IFERROR(D382*N(INDEX(Products!$C$5:$C$29,MATCH(C382,Lists!$A$2:$A$26,0))),""))</f>
        <v/>
      </c>
      <c r="M382" s="15" t="str">
        <f t="shared" si="5"/>
        <v/>
      </c>
    </row>
    <row r="383" spans="1:13" x14ac:dyDescent="0.35">
      <c r="A383" s="11"/>
      <c r="B383" s="12"/>
      <c r="C383" s="12"/>
      <c r="D383" s="12"/>
      <c r="E383" s="13"/>
      <c r="F383" s="13"/>
      <c r="G383" s="13"/>
      <c r="H383" s="13"/>
      <c r="I383" s="12"/>
      <c r="J383" s="13"/>
      <c r="K383" s="14" t="str">
        <f>IF(C383="","",IFERROR(N('Fee Settings'!$C$5)*(E383+N(F383)-N(J383))+N('Fee Settings'!$C$6)*(E383+N(F383)+N(G383))+N('Fee Settings'!$C$7)+N('Fee Settings'!$C$10)*D383+IF(I383="Yes",MIN(N('Fee Settings'!$C$8)*(E383+N(F383)),N('Fee Settings'!$C$9)),0),""))</f>
        <v/>
      </c>
      <c r="L383" s="14" t="str">
        <f>IF(C383="","",IFERROR(D383*N(INDEX(Products!$C$5:$C$29,MATCH(C383,Lists!$A$2:$A$26,0))),""))</f>
        <v/>
      </c>
      <c r="M383" s="15" t="str">
        <f t="shared" si="5"/>
        <v/>
      </c>
    </row>
    <row r="384" spans="1:13" x14ac:dyDescent="0.35">
      <c r="A384" s="11"/>
      <c r="B384" s="12"/>
      <c r="C384" s="12"/>
      <c r="D384" s="12"/>
      <c r="E384" s="13"/>
      <c r="F384" s="13"/>
      <c r="G384" s="13"/>
      <c r="H384" s="13"/>
      <c r="I384" s="12"/>
      <c r="J384" s="13"/>
      <c r="K384" s="14" t="str">
        <f>IF(C384="","",IFERROR(N('Fee Settings'!$C$5)*(E384+N(F384)-N(J384))+N('Fee Settings'!$C$6)*(E384+N(F384)+N(G384))+N('Fee Settings'!$C$7)+N('Fee Settings'!$C$10)*D384+IF(I384="Yes",MIN(N('Fee Settings'!$C$8)*(E384+N(F384)),N('Fee Settings'!$C$9)),0),""))</f>
        <v/>
      </c>
      <c r="L384" s="14" t="str">
        <f>IF(C384="","",IFERROR(D384*N(INDEX(Products!$C$5:$C$29,MATCH(C384,Lists!$A$2:$A$26,0))),""))</f>
        <v/>
      </c>
      <c r="M384" s="15" t="str">
        <f t="shared" si="5"/>
        <v/>
      </c>
    </row>
    <row r="385" spans="1:13" x14ac:dyDescent="0.35">
      <c r="A385" s="11"/>
      <c r="B385" s="12"/>
      <c r="C385" s="12"/>
      <c r="D385" s="12"/>
      <c r="E385" s="13"/>
      <c r="F385" s="13"/>
      <c r="G385" s="13"/>
      <c r="H385" s="13"/>
      <c r="I385" s="12"/>
      <c r="J385" s="13"/>
      <c r="K385" s="14" t="str">
        <f>IF(C385="","",IFERROR(N('Fee Settings'!$C$5)*(E385+N(F385)-N(J385))+N('Fee Settings'!$C$6)*(E385+N(F385)+N(G385))+N('Fee Settings'!$C$7)+N('Fee Settings'!$C$10)*D385+IF(I385="Yes",MIN(N('Fee Settings'!$C$8)*(E385+N(F385)),N('Fee Settings'!$C$9)),0),""))</f>
        <v/>
      </c>
      <c r="L385" s="14" t="str">
        <f>IF(C385="","",IFERROR(D385*N(INDEX(Products!$C$5:$C$29,MATCH(C385,Lists!$A$2:$A$26,0))),""))</f>
        <v/>
      </c>
      <c r="M385" s="15" t="str">
        <f t="shared" si="5"/>
        <v/>
      </c>
    </row>
    <row r="386" spans="1:13" x14ac:dyDescent="0.35">
      <c r="A386" s="11"/>
      <c r="B386" s="12"/>
      <c r="C386" s="12"/>
      <c r="D386" s="12"/>
      <c r="E386" s="13"/>
      <c r="F386" s="13"/>
      <c r="G386" s="13"/>
      <c r="H386" s="13"/>
      <c r="I386" s="12"/>
      <c r="J386" s="13"/>
      <c r="K386" s="14" t="str">
        <f>IF(C386="","",IFERROR(N('Fee Settings'!$C$5)*(E386+N(F386)-N(J386))+N('Fee Settings'!$C$6)*(E386+N(F386)+N(G386))+N('Fee Settings'!$C$7)+N('Fee Settings'!$C$10)*D386+IF(I386="Yes",MIN(N('Fee Settings'!$C$8)*(E386+N(F386)),N('Fee Settings'!$C$9)),0),""))</f>
        <v/>
      </c>
      <c r="L386" s="14" t="str">
        <f>IF(C386="","",IFERROR(D386*N(INDEX(Products!$C$5:$C$29,MATCH(C386,Lists!$A$2:$A$26,0))),""))</f>
        <v/>
      </c>
      <c r="M386" s="15" t="str">
        <f t="shared" si="5"/>
        <v/>
      </c>
    </row>
    <row r="387" spans="1:13" x14ac:dyDescent="0.35">
      <c r="A387" s="11"/>
      <c r="B387" s="12"/>
      <c r="C387" s="12"/>
      <c r="D387" s="12"/>
      <c r="E387" s="13"/>
      <c r="F387" s="13"/>
      <c r="G387" s="13"/>
      <c r="H387" s="13"/>
      <c r="I387" s="12"/>
      <c r="J387" s="13"/>
      <c r="K387" s="14" t="str">
        <f>IF(C387="","",IFERROR(N('Fee Settings'!$C$5)*(E387+N(F387)-N(J387))+N('Fee Settings'!$C$6)*(E387+N(F387)+N(G387))+N('Fee Settings'!$C$7)+N('Fee Settings'!$C$10)*D387+IF(I387="Yes",MIN(N('Fee Settings'!$C$8)*(E387+N(F387)),N('Fee Settings'!$C$9)),0),""))</f>
        <v/>
      </c>
      <c r="L387" s="14" t="str">
        <f>IF(C387="","",IFERROR(D387*N(INDEX(Products!$C$5:$C$29,MATCH(C387,Lists!$A$2:$A$26,0))),""))</f>
        <v/>
      </c>
      <c r="M387" s="15" t="str">
        <f t="shared" si="5"/>
        <v/>
      </c>
    </row>
    <row r="388" spans="1:13" x14ac:dyDescent="0.35">
      <c r="A388" s="11"/>
      <c r="B388" s="12"/>
      <c r="C388" s="12"/>
      <c r="D388" s="12"/>
      <c r="E388" s="13"/>
      <c r="F388" s="13"/>
      <c r="G388" s="13"/>
      <c r="H388" s="13"/>
      <c r="I388" s="12"/>
      <c r="J388" s="13"/>
      <c r="K388" s="14" t="str">
        <f>IF(C388="","",IFERROR(N('Fee Settings'!$C$5)*(E388+N(F388)-N(J388))+N('Fee Settings'!$C$6)*(E388+N(F388)+N(G388))+N('Fee Settings'!$C$7)+N('Fee Settings'!$C$10)*D388+IF(I388="Yes",MIN(N('Fee Settings'!$C$8)*(E388+N(F388)),N('Fee Settings'!$C$9)),0),""))</f>
        <v/>
      </c>
      <c r="L388" s="14" t="str">
        <f>IF(C388="","",IFERROR(D388*N(INDEX(Products!$C$5:$C$29,MATCH(C388,Lists!$A$2:$A$26,0))),""))</f>
        <v/>
      </c>
      <c r="M388" s="15" t="str">
        <f t="shared" si="5"/>
        <v/>
      </c>
    </row>
    <row r="389" spans="1:13" x14ac:dyDescent="0.35">
      <c r="A389" s="11"/>
      <c r="B389" s="12"/>
      <c r="C389" s="12"/>
      <c r="D389" s="12"/>
      <c r="E389" s="13"/>
      <c r="F389" s="13"/>
      <c r="G389" s="13"/>
      <c r="H389" s="13"/>
      <c r="I389" s="12"/>
      <c r="J389" s="13"/>
      <c r="K389" s="14" t="str">
        <f>IF(C389="","",IFERROR(N('Fee Settings'!$C$5)*(E389+N(F389)-N(J389))+N('Fee Settings'!$C$6)*(E389+N(F389)+N(G389))+N('Fee Settings'!$C$7)+N('Fee Settings'!$C$10)*D389+IF(I389="Yes",MIN(N('Fee Settings'!$C$8)*(E389+N(F389)),N('Fee Settings'!$C$9)),0),""))</f>
        <v/>
      </c>
      <c r="L389" s="14" t="str">
        <f>IF(C389="","",IFERROR(D389*N(INDEX(Products!$C$5:$C$29,MATCH(C389,Lists!$A$2:$A$26,0))),""))</f>
        <v/>
      </c>
      <c r="M389" s="15" t="str">
        <f t="shared" ref="M389:M452" si="6">IF(C389="","",IFERROR(E389+N(F389)-N(J389)-K389-L389-N(H389),""))</f>
        <v/>
      </c>
    </row>
    <row r="390" spans="1:13" x14ac:dyDescent="0.35">
      <c r="A390" s="11"/>
      <c r="B390" s="12"/>
      <c r="C390" s="12"/>
      <c r="D390" s="12"/>
      <c r="E390" s="13"/>
      <c r="F390" s="13"/>
      <c r="G390" s="13"/>
      <c r="H390" s="13"/>
      <c r="I390" s="12"/>
      <c r="J390" s="13"/>
      <c r="K390" s="14" t="str">
        <f>IF(C390="","",IFERROR(N('Fee Settings'!$C$5)*(E390+N(F390)-N(J390))+N('Fee Settings'!$C$6)*(E390+N(F390)+N(G390))+N('Fee Settings'!$C$7)+N('Fee Settings'!$C$10)*D390+IF(I390="Yes",MIN(N('Fee Settings'!$C$8)*(E390+N(F390)),N('Fee Settings'!$C$9)),0),""))</f>
        <v/>
      </c>
      <c r="L390" s="14" t="str">
        <f>IF(C390="","",IFERROR(D390*N(INDEX(Products!$C$5:$C$29,MATCH(C390,Lists!$A$2:$A$26,0))),""))</f>
        <v/>
      </c>
      <c r="M390" s="15" t="str">
        <f t="shared" si="6"/>
        <v/>
      </c>
    </row>
    <row r="391" spans="1:13" x14ac:dyDescent="0.35">
      <c r="A391" s="11"/>
      <c r="B391" s="12"/>
      <c r="C391" s="12"/>
      <c r="D391" s="12"/>
      <c r="E391" s="13"/>
      <c r="F391" s="13"/>
      <c r="G391" s="13"/>
      <c r="H391" s="13"/>
      <c r="I391" s="12"/>
      <c r="J391" s="13"/>
      <c r="K391" s="14" t="str">
        <f>IF(C391="","",IFERROR(N('Fee Settings'!$C$5)*(E391+N(F391)-N(J391))+N('Fee Settings'!$C$6)*(E391+N(F391)+N(G391))+N('Fee Settings'!$C$7)+N('Fee Settings'!$C$10)*D391+IF(I391="Yes",MIN(N('Fee Settings'!$C$8)*(E391+N(F391)),N('Fee Settings'!$C$9)),0),""))</f>
        <v/>
      </c>
      <c r="L391" s="14" t="str">
        <f>IF(C391="","",IFERROR(D391*N(INDEX(Products!$C$5:$C$29,MATCH(C391,Lists!$A$2:$A$26,0))),""))</f>
        <v/>
      </c>
      <c r="M391" s="15" t="str">
        <f t="shared" si="6"/>
        <v/>
      </c>
    </row>
    <row r="392" spans="1:13" x14ac:dyDescent="0.35">
      <c r="A392" s="11"/>
      <c r="B392" s="12"/>
      <c r="C392" s="12"/>
      <c r="D392" s="12"/>
      <c r="E392" s="13"/>
      <c r="F392" s="13"/>
      <c r="G392" s="13"/>
      <c r="H392" s="13"/>
      <c r="I392" s="12"/>
      <c r="J392" s="13"/>
      <c r="K392" s="14" t="str">
        <f>IF(C392="","",IFERROR(N('Fee Settings'!$C$5)*(E392+N(F392)-N(J392))+N('Fee Settings'!$C$6)*(E392+N(F392)+N(G392))+N('Fee Settings'!$C$7)+N('Fee Settings'!$C$10)*D392+IF(I392="Yes",MIN(N('Fee Settings'!$C$8)*(E392+N(F392)),N('Fee Settings'!$C$9)),0),""))</f>
        <v/>
      </c>
      <c r="L392" s="14" t="str">
        <f>IF(C392="","",IFERROR(D392*N(INDEX(Products!$C$5:$C$29,MATCH(C392,Lists!$A$2:$A$26,0))),""))</f>
        <v/>
      </c>
      <c r="M392" s="15" t="str">
        <f t="shared" si="6"/>
        <v/>
      </c>
    </row>
    <row r="393" spans="1:13" x14ac:dyDescent="0.35">
      <c r="A393" s="11"/>
      <c r="B393" s="12"/>
      <c r="C393" s="12"/>
      <c r="D393" s="12"/>
      <c r="E393" s="13"/>
      <c r="F393" s="13"/>
      <c r="G393" s="13"/>
      <c r="H393" s="13"/>
      <c r="I393" s="12"/>
      <c r="J393" s="13"/>
      <c r="K393" s="14" t="str">
        <f>IF(C393="","",IFERROR(N('Fee Settings'!$C$5)*(E393+N(F393)-N(J393))+N('Fee Settings'!$C$6)*(E393+N(F393)+N(G393))+N('Fee Settings'!$C$7)+N('Fee Settings'!$C$10)*D393+IF(I393="Yes",MIN(N('Fee Settings'!$C$8)*(E393+N(F393)),N('Fee Settings'!$C$9)),0),""))</f>
        <v/>
      </c>
      <c r="L393" s="14" t="str">
        <f>IF(C393="","",IFERROR(D393*N(INDEX(Products!$C$5:$C$29,MATCH(C393,Lists!$A$2:$A$26,0))),""))</f>
        <v/>
      </c>
      <c r="M393" s="15" t="str">
        <f t="shared" si="6"/>
        <v/>
      </c>
    </row>
    <row r="394" spans="1:13" x14ac:dyDescent="0.35">
      <c r="A394" s="11"/>
      <c r="B394" s="12"/>
      <c r="C394" s="12"/>
      <c r="D394" s="12"/>
      <c r="E394" s="13"/>
      <c r="F394" s="13"/>
      <c r="G394" s="13"/>
      <c r="H394" s="13"/>
      <c r="I394" s="12"/>
      <c r="J394" s="13"/>
      <c r="K394" s="14" t="str">
        <f>IF(C394="","",IFERROR(N('Fee Settings'!$C$5)*(E394+N(F394)-N(J394))+N('Fee Settings'!$C$6)*(E394+N(F394)+N(G394))+N('Fee Settings'!$C$7)+N('Fee Settings'!$C$10)*D394+IF(I394="Yes",MIN(N('Fee Settings'!$C$8)*(E394+N(F394)),N('Fee Settings'!$C$9)),0),""))</f>
        <v/>
      </c>
      <c r="L394" s="14" t="str">
        <f>IF(C394="","",IFERROR(D394*N(INDEX(Products!$C$5:$C$29,MATCH(C394,Lists!$A$2:$A$26,0))),""))</f>
        <v/>
      </c>
      <c r="M394" s="15" t="str">
        <f t="shared" si="6"/>
        <v/>
      </c>
    </row>
    <row r="395" spans="1:13" x14ac:dyDescent="0.35">
      <c r="A395" s="11"/>
      <c r="B395" s="12"/>
      <c r="C395" s="12"/>
      <c r="D395" s="12"/>
      <c r="E395" s="13"/>
      <c r="F395" s="13"/>
      <c r="G395" s="13"/>
      <c r="H395" s="13"/>
      <c r="I395" s="12"/>
      <c r="J395" s="13"/>
      <c r="K395" s="14" t="str">
        <f>IF(C395="","",IFERROR(N('Fee Settings'!$C$5)*(E395+N(F395)-N(J395))+N('Fee Settings'!$C$6)*(E395+N(F395)+N(G395))+N('Fee Settings'!$C$7)+N('Fee Settings'!$C$10)*D395+IF(I395="Yes",MIN(N('Fee Settings'!$C$8)*(E395+N(F395)),N('Fee Settings'!$C$9)),0),""))</f>
        <v/>
      </c>
      <c r="L395" s="14" t="str">
        <f>IF(C395="","",IFERROR(D395*N(INDEX(Products!$C$5:$C$29,MATCH(C395,Lists!$A$2:$A$26,0))),""))</f>
        <v/>
      </c>
      <c r="M395" s="15" t="str">
        <f t="shared" si="6"/>
        <v/>
      </c>
    </row>
    <row r="396" spans="1:13" x14ac:dyDescent="0.35">
      <c r="A396" s="11"/>
      <c r="B396" s="12"/>
      <c r="C396" s="12"/>
      <c r="D396" s="12"/>
      <c r="E396" s="13"/>
      <c r="F396" s="13"/>
      <c r="G396" s="13"/>
      <c r="H396" s="13"/>
      <c r="I396" s="12"/>
      <c r="J396" s="13"/>
      <c r="K396" s="14" t="str">
        <f>IF(C396="","",IFERROR(N('Fee Settings'!$C$5)*(E396+N(F396)-N(J396))+N('Fee Settings'!$C$6)*(E396+N(F396)+N(G396))+N('Fee Settings'!$C$7)+N('Fee Settings'!$C$10)*D396+IF(I396="Yes",MIN(N('Fee Settings'!$C$8)*(E396+N(F396)),N('Fee Settings'!$C$9)),0),""))</f>
        <v/>
      </c>
      <c r="L396" s="14" t="str">
        <f>IF(C396="","",IFERROR(D396*N(INDEX(Products!$C$5:$C$29,MATCH(C396,Lists!$A$2:$A$26,0))),""))</f>
        <v/>
      </c>
      <c r="M396" s="15" t="str">
        <f t="shared" si="6"/>
        <v/>
      </c>
    </row>
    <row r="397" spans="1:13" x14ac:dyDescent="0.35">
      <c r="A397" s="11"/>
      <c r="B397" s="12"/>
      <c r="C397" s="12"/>
      <c r="D397" s="12"/>
      <c r="E397" s="13"/>
      <c r="F397" s="13"/>
      <c r="G397" s="13"/>
      <c r="H397" s="13"/>
      <c r="I397" s="12"/>
      <c r="J397" s="13"/>
      <c r="K397" s="14" t="str">
        <f>IF(C397="","",IFERROR(N('Fee Settings'!$C$5)*(E397+N(F397)-N(J397))+N('Fee Settings'!$C$6)*(E397+N(F397)+N(G397))+N('Fee Settings'!$C$7)+N('Fee Settings'!$C$10)*D397+IF(I397="Yes",MIN(N('Fee Settings'!$C$8)*(E397+N(F397)),N('Fee Settings'!$C$9)),0),""))</f>
        <v/>
      </c>
      <c r="L397" s="14" t="str">
        <f>IF(C397="","",IFERROR(D397*N(INDEX(Products!$C$5:$C$29,MATCH(C397,Lists!$A$2:$A$26,0))),""))</f>
        <v/>
      </c>
      <c r="M397" s="15" t="str">
        <f t="shared" si="6"/>
        <v/>
      </c>
    </row>
    <row r="398" spans="1:13" x14ac:dyDescent="0.35">
      <c r="A398" s="11"/>
      <c r="B398" s="12"/>
      <c r="C398" s="12"/>
      <c r="D398" s="12"/>
      <c r="E398" s="13"/>
      <c r="F398" s="13"/>
      <c r="G398" s="13"/>
      <c r="H398" s="13"/>
      <c r="I398" s="12"/>
      <c r="J398" s="13"/>
      <c r="K398" s="14" t="str">
        <f>IF(C398="","",IFERROR(N('Fee Settings'!$C$5)*(E398+N(F398)-N(J398))+N('Fee Settings'!$C$6)*(E398+N(F398)+N(G398))+N('Fee Settings'!$C$7)+N('Fee Settings'!$C$10)*D398+IF(I398="Yes",MIN(N('Fee Settings'!$C$8)*(E398+N(F398)),N('Fee Settings'!$C$9)),0),""))</f>
        <v/>
      </c>
      <c r="L398" s="14" t="str">
        <f>IF(C398="","",IFERROR(D398*N(INDEX(Products!$C$5:$C$29,MATCH(C398,Lists!$A$2:$A$26,0))),""))</f>
        <v/>
      </c>
      <c r="M398" s="15" t="str">
        <f t="shared" si="6"/>
        <v/>
      </c>
    </row>
    <row r="399" spans="1:13" x14ac:dyDescent="0.35">
      <c r="A399" s="11"/>
      <c r="B399" s="12"/>
      <c r="C399" s="12"/>
      <c r="D399" s="12"/>
      <c r="E399" s="13"/>
      <c r="F399" s="13"/>
      <c r="G399" s="13"/>
      <c r="H399" s="13"/>
      <c r="I399" s="12"/>
      <c r="J399" s="13"/>
      <c r="K399" s="14" t="str">
        <f>IF(C399="","",IFERROR(N('Fee Settings'!$C$5)*(E399+N(F399)-N(J399))+N('Fee Settings'!$C$6)*(E399+N(F399)+N(G399))+N('Fee Settings'!$C$7)+N('Fee Settings'!$C$10)*D399+IF(I399="Yes",MIN(N('Fee Settings'!$C$8)*(E399+N(F399)),N('Fee Settings'!$C$9)),0),""))</f>
        <v/>
      </c>
      <c r="L399" s="14" t="str">
        <f>IF(C399="","",IFERROR(D399*N(INDEX(Products!$C$5:$C$29,MATCH(C399,Lists!$A$2:$A$26,0))),""))</f>
        <v/>
      </c>
      <c r="M399" s="15" t="str">
        <f t="shared" si="6"/>
        <v/>
      </c>
    </row>
    <row r="400" spans="1:13" x14ac:dyDescent="0.35">
      <c r="A400" s="11"/>
      <c r="B400" s="12"/>
      <c r="C400" s="12"/>
      <c r="D400" s="12"/>
      <c r="E400" s="13"/>
      <c r="F400" s="13"/>
      <c r="G400" s="13"/>
      <c r="H400" s="13"/>
      <c r="I400" s="12"/>
      <c r="J400" s="13"/>
      <c r="K400" s="14" t="str">
        <f>IF(C400="","",IFERROR(N('Fee Settings'!$C$5)*(E400+N(F400)-N(J400))+N('Fee Settings'!$C$6)*(E400+N(F400)+N(G400))+N('Fee Settings'!$C$7)+N('Fee Settings'!$C$10)*D400+IF(I400="Yes",MIN(N('Fee Settings'!$C$8)*(E400+N(F400)),N('Fee Settings'!$C$9)),0),""))</f>
        <v/>
      </c>
      <c r="L400" s="14" t="str">
        <f>IF(C400="","",IFERROR(D400*N(INDEX(Products!$C$5:$C$29,MATCH(C400,Lists!$A$2:$A$26,0))),""))</f>
        <v/>
      </c>
      <c r="M400" s="15" t="str">
        <f t="shared" si="6"/>
        <v/>
      </c>
    </row>
    <row r="401" spans="1:13" x14ac:dyDescent="0.35">
      <c r="A401" s="11"/>
      <c r="B401" s="12"/>
      <c r="C401" s="12"/>
      <c r="D401" s="12"/>
      <c r="E401" s="13"/>
      <c r="F401" s="13"/>
      <c r="G401" s="13"/>
      <c r="H401" s="13"/>
      <c r="I401" s="12"/>
      <c r="J401" s="13"/>
      <c r="K401" s="14" t="str">
        <f>IF(C401="","",IFERROR(N('Fee Settings'!$C$5)*(E401+N(F401)-N(J401))+N('Fee Settings'!$C$6)*(E401+N(F401)+N(G401))+N('Fee Settings'!$C$7)+N('Fee Settings'!$C$10)*D401+IF(I401="Yes",MIN(N('Fee Settings'!$C$8)*(E401+N(F401)),N('Fee Settings'!$C$9)),0),""))</f>
        <v/>
      </c>
      <c r="L401" s="14" t="str">
        <f>IF(C401="","",IFERROR(D401*N(INDEX(Products!$C$5:$C$29,MATCH(C401,Lists!$A$2:$A$26,0))),""))</f>
        <v/>
      </c>
      <c r="M401" s="15" t="str">
        <f t="shared" si="6"/>
        <v/>
      </c>
    </row>
    <row r="402" spans="1:13" x14ac:dyDescent="0.35">
      <c r="A402" s="11"/>
      <c r="B402" s="12"/>
      <c r="C402" s="12"/>
      <c r="D402" s="12"/>
      <c r="E402" s="13"/>
      <c r="F402" s="13"/>
      <c r="G402" s="13"/>
      <c r="H402" s="13"/>
      <c r="I402" s="12"/>
      <c r="J402" s="13"/>
      <c r="K402" s="14" t="str">
        <f>IF(C402="","",IFERROR(N('Fee Settings'!$C$5)*(E402+N(F402)-N(J402))+N('Fee Settings'!$C$6)*(E402+N(F402)+N(G402))+N('Fee Settings'!$C$7)+N('Fee Settings'!$C$10)*D402+IF(I402="Yes",MIN(N('Fee Settings'!$C$8)*(E402+N(F402)),N('Fee Settings'!$C$9)),0),""))</f>
        <v/>
      </c>
      <c r="L402" s="14" t="str">
        <f>IF(C402="","",IFERROR(D402*N(INDEX(Products!$C$5:$C$29,MATCH(C402,Lists!$A$2:$A$26,0))),""))</f>
        <v/>
      </c>
      <c r="M402" s="15" t="str">
        <f t="shared" si="6"/>
        <v/>
      </c>
    </row>
    <row r="403" spans="1:13" x14ac:dyDescent="0.35">
      <c r="A403" s="11"/>
      <c r="B403" s="12"/>
      <c r="C403" s="12"/>
      <c r="D403" s="12"/>
      <c r="E403" s="13"/>
      <c r="F403" s="13"/>
      <c r="G403" s="13"/>
      <c r="H403" s="13"/>
      <c r="I403" s="12"/>
      <c r="J403" s="13"/>
      <c r="K403" s="14" t="str">
        <f>IF(C403="","",IFERROR(N('Fee Settings'!$C$5)*(E403+N(F403)-N(J403))+N('Fee Settings'!$C$6)*(E403+N(F403)+N(G403))+N('Fee Settings'!$C$7)+N('Fee Settings'!$C$10)*D403+IF(I403="Yes",MIN(N('Fee Settings'!$C$8)*(E403+N(F403)),N('Fee Settings'!$C$9)),0),""))</f>
        <v/>
      </c>
      <c r="L403" s="14" t="str">
        <f>IF(C403="","",IFERROR(D403*N(INDEX(Products!$C$5:$C$29,MATCH(C403,Lists!$A$2:$A$26,0))),""))</f>
        <v/>
      </c>
      <c r="M403" s="15" t="str">
        <f t="shared" si="6"/>
        <v/>
      </c>
    </row>
    <row r="404" spans="1:13" x14ac:dyDescent="0.35">
      <c r="A404" s="11"/>
      <c r="B404" s="12"/>
      <c r="C404" s="12"/>
      <c r="D404" s="12"/>
      <c r="E404" s="13"/>
      <c r="F404" s="13"/>
      <c r="G404" s="13"/>
      <c r="H404" s="13"/>
      <c r="I404" s="12"/>
      <c r="J404" s="13"/>
      <c r="K404" s="14" t="str">
        <f>IF(C404="","",IFERROR(N('Fee Settings'!$C$5)*(E404+N(F404)-N(J404))+N('Fee Settings'!$C$6)*(E404+N(F404)+N(G404))+N('Fee Settings'!$C$7)+N('Fee Settings'!$C$10)*D404+IF(I404="Yes",MIN(N('Fee Settings'!$C$8)*(E404+N(F404)),N('Fee Settings'!$C$9)),0),""))</f>
        <v/>
      </c>
      <c r="L404" s="14" t="str">
        <f>IF(C404="","",IFERROR(D404*N(INDEX(Products!$C$5:$C$29,MATCH(C404,Lists!$A$2:$A$26,0))),""))</f>
        <v/>
      </c>
      <c r="M404" s="15" t="str">
        <f t="shared" si="6"/>
        <v/>
      </c>
    </row>
    <row r="405" spans="1:13" x14ac:dyDescent="0.35">
      <c r="A405" s="11"/>
      <c r="B405" s="12"/>
      <c r="C405" s="12"/>
      <c r="D405" s="12"/>
      <c r="E405" s="13"/>
      <c r="F405" s="13"/>
      <c r="G405" s="13"/>
      <c r="H405" s="13"/>
      <c r="I405" s="12"/>
      <c r="J405" s="13"/>
      <c r="K405" s="14" t="str">
        <f>IF(C405="","",IFERROR(N('Fee Settings'!$C$5)*(E405+N(F405)-N(J405))+N('Fee Settings'!$C$6)*(E405+N(F405)+N(G405))+N('Fee Settings'!$C$7)+N('Fee Settings'!$C$10)*D405+IF(I405="Yes",MIN(N('Fee Settings'!$C$8)*(E405+N(F405)),N('Fee Settings'!$C$9)),0),""))</f>
        <v/>
      </c>
      <c r="L405" s="14" t="str">
        <f>IF(C405="","",IFERROR(D405*N(INDEX(Products!$C$5:$C$29,MATCH(C405,Lists!$A$2:$A$26,0))),""))</f>
        <v/>
      </c>
      <c r="M405" s="15" t="str">
        <f t="shared" si="6"/>
        <v/>
      </c>
    </row>
    <row r="406" spans="1:13" x14ac:dyDescent="0.35">
      <c r="A406" s="11"/>
      <c r="B406" s="12"/>
      <c r="C406" s="12"/>
      <c r="D406" s="12"/>
      <c r="E406" s="13"/>
      <c r="F406" s="13"/>
      <c r="G406" s="13"/>
      <c r="H406" s="13"/>
      <c r="I406" s="12"/>
      <c r="J406" s="13"/>
      <c r="K406" s="14" t="str">
        <f>IF(C406="","",IFERROR(N('Fee Settings'!$C$5)*(E406+N(F406)-N(J406))+N('Fee Settings'!$C$6)*(E406+N(F406)+N(G406))+N('Fee Settings'!$C$7)+N('Fee Settings'!$C$10)*D406+IF(I406="Yes",MIN(N('Fee Settings'!$C$8)*(E406+N(F406)),N('Fee Settings'!$C$9)),0),""))</f>
        <v/>
      </c>
      <c r="L406" s="14" t="str">
        <f>IF(C406="","",IFERROR(D406*N(INDEX(Products!$C$5:$C$29,MATCH(C406,Lists!$A$2:$A$26,0))),""))</f>
        <v/>
      </c>
      <c r="M406" s="15" t="str">
        <f t="shared" si="6"/>
        <v/>
      </c>
    </row>
    <row r="407" spans="1:13" x14ac:dyDescent="0.35">
      <c r="A407" s="11"/>
      <c r="B407" s="12"/>
      <c r="C407" s="12"/>
      <c r="D407" s="12"/>
      <c r="E407" s="13"/>
      <c r="F407" s="13"/>
      <c r="G407" s="13"/>
      <c r="H407" s="13"/>
      <c r="I407" s="12"/>
      <c r="J407" s="13"/>
      <c r="K407" s="14" t="str">
        <f>IF(C407="","",IFERROR(N('Fee Settings'!$C$5)*(E407+N(F407)-N(J407))+N('Fee Settings'!$C$6)*(E407+N(F407)+N(G407))+N('Fee Settings'!$C$7)+N('Fee Settings'!$C$10)*D407+IF(I407="Yes",MIN(N('Fee Settings'!$C$8)*(E407+N(F407)),N('Fee Settings'!$C$9)),0),""))</f>
        <v/>
      </c>
      <c r="L407" s="14" t="str">
        <f>IF(C407="","",IFERROR(D407*N(INDEX(Products!$C$5:$C$29,MATCH(C407,Lists!$A$2:$A$26,0))),""))</f>
        <v/>
      </c>
      <c r="M407" s="15" t="str">
        <f t="shared" si="6"/>
        <v/>
      </c>
    </row>
    <row r="408" spans="1:13" x14ac:dyDescent="0.35">
      <c r="A408" s="11"/>
      <c r="B408" s="12"/>
      <c r="C408" s="12"/>
      <c r="D408" s="12"/>
      <c r="E408" s="13"/>
      <c r="F408" s="13"/>
      <c r="G408" s="13"/>
      <c r="H408" s="13"/>
      <c r="I408" s="12"/>
      <c r="J408" s="13"/>
      <c r="K408" s="14" t="str">
        <f>IF(C408="","",IFERROR(N('Fee Settings'!$C$5)*(E408+N(F408)-N(J408))+N('Fee Settings'!$C$6)*(E408+N(F408)+N(G408))+N('Fee Settings'!$C$7)+N('Fee Settings'!$C$10)*D408+IF(I408="Yes",MIN(N('Fee Settings'!$C$8)*(E408+N(F408)),N('Fee Settings'!$C$9)),0),""))</f>
        <v/>
      </c>
      <c r="L408" s="14" t="str">
        <f>IF(C408="","",IFERROR(D408*N(INDEX(Products!$C$5:$C$29,MATCH(C408,Lists!$A$2:$A$26,0))),""))</f>
        <v/>
      </c>
      <c r="M408" s="15" t="str">
        <f t="shared" si="6"/>
        <v/>
      </c>
    </row>
    <row r="409" spans="1:13" x14ac:dyDescent="0.35">
      <c r="A409" s="11"/>
      <c r="B409" s="12"/>
      <c r="C409" s="12"/>
      <c r="D409" s="12"/>
      <c r="E409" s="13"/>
      <c r="F409" s="13"/>
      <c r="G409" s="13"/>
      <c r="H409" s="13"/>
      <c r="I409" s="12"/>
      <c r="J409" s="13"/>
      <c r="K409" s="14" t="str">
        <f>IF(C409="","",IFERROR(N('Fee Settings'!$C$5)*(E409+N(F409)-N(J409))+N('Fee Settings'!$C$6)*(E409+N(F409)+N(G409))+N('Fee Settings'!$C$7)+N('Fee Settings'!$C$10)*D409+IF(I409="Yes",MIN(N('Fee Settings'!$C$8)*(E409+N(F409)),N('Fee Settings'!$C$9)),0),""))</f>
        <v/>
      </c>
      <c r="L409" s="14" t="str">
        <f>IF(C409="","",IFERROR(D409*N(INDEX(Products!$C$5:$C$29,MATCH(C409,Lists!$A$2:$A$26,0))),""))</f>
        <v/>
      </c>
      <c r="M409" s="15" t="str">
        <f t="shared" si="6"/>
        <v/>
      </c>
    </row>
    <row r="410" spans="1:13" x14ac:dyDescent="0.35">
      <c r="A410" s="11"/>
      <c r="B410" s="12"/>
      <c r="C410" s="12"/>
      <c r="D410" s="12"/>
      <c r="E410" s="13"/>
      <c r="F410" s="13"/>
      <c r="G410" s="13"/>
      <c r="H410" s="13"/>
      <c r="I410" s="12"/>
      <c r="J410" s="13"/>
      <c r="K410" s="14" t="str">
        <f>IF(C410="","",IFERROR(N('Fee Settings'!$C$5)*(E410+N(F410)-N(J410))+N('Fee Settings'!$C$6)*(E410+N(F410)+N(G410))+N('Fee Settings'!$C$7)+N('Fee Settings'!$C$10)*D410+IF(I410="Yes",MIN(N('Fee Settings'!$C$8)*(E410+N(F410)),N('Fee Settings'!$C$9)),0),""))</f>
        <v/>
      </c>
      <c r="L410" s="14" t="str">
        <f>IF(C410="","",IFERROR(D410*N(INDEX(Products!$C$5:$C$29,MATCH(C410,Lists!$A$2:$A$26,0))),""))</f>
        <v/>
      </c>
      <c r="M410" s="15" t="str">
        <f t="shared" si="6"/>
        <v/>
      </c>
    </row>
    <row r="411" spans="1:13" x14ac:dyDescent="0.35">
      <c r="A411" s="11"/>
      <c r="B411" s="12"/>
      <c r="C411" s="12"/>
      <c r="D411" s="12"/>
      <c r="E411" s="13"/>
      <c r="F411" s="13"/>
      <c r="G411" s="13"/>
      <c r="H411" s="13"/>
      <c r="I411" s="12"/>
      <c r="J411" s="13"/>
      <c r="K411" s="14" t="str">
        <f>IF(C411="","",IFERROR(N('Fee Settings'!$C$5)*(E411+N(F411)-N(J411))+N('Fee Settings'!$C$6)*(E411+N(F411)+N(G411))+N('Fee Settings'!$C$7)+N('Fee Settings'!$C$10)*D411+IF(I411="Yes",MIN(N('Fee Settings'!$C$8)*(E411+N(F411)),N('Fee Settings'!$C$9)),0),""))</f>
        <v/>
      </c>
      <c r="L411" s="14" t="str">
        <f>IF(C411="","",IFERROR(D411*N(INDEX(Products!$C$5:$C$29,MATCH(C411,Lists!$A$2:$A$26,0))),""))</f>
        <v/>
      </c>
      <c r="M411" s="15" t="str">
        <f t="shared" si="6"/>
        <v/>
      </c>
    </row>
    <row r="412" spans="1:13" x14ac:dyDescent="0.35">
      <c r="A412" s="11"/>
      <c r="B412" s="12"/>
      <c r="C412" s="12"/>
      <c r="D412" s="12"/>
      <c r="E412" s="13"/>
      <c r="F412" s="13"/>
      <c r="G412" s="13"/>
      <c r="H412" s="13"/>
      <c r="I412" s="12"/>
      <c r="J412" s="13"/>
      <c r="K412" s="14" t="str">
        <f>IF(C412="","",IFERROR(N('Fee Settings'!$C$5)*(E412+N(F412)-N(J412))+N('Fee Settings'!$C$6)*(E412+N(F412)+N(G412))+N('Fee Settings'!$C$7)+N('Fee Settings'!$C$10)*D412+IF(I412="Yes",MIN(N('Fee Settings'!$C$8)*(E412+N(F412)),N('Fee Settings'!$C$9)),0),""))</f>
        <v/>
      </c>
      <c r="L412" s="14" t="str">
        <f>IF(C412="","",IFERROR(D412*N(INDEX(Products!$C$5:$C$29,MATCH(C412,Lists!$A$2:$A$26,0))),""))</f>
        <v/>
      </c>
      <c r="M412" s="15" t="str">
        <f t="shared" si="6"/>
        <v/>
      </c>
    </row>
    <row r="413" spans="1:13" x14ac:dyDescent="0.35">
      <c r="A413" s="11"/>
      <c r="B413" s="12"/>
      <c r="C413" s="12"/>
      <c r="D413" s="12"/>
      <c r="E413" s="13"/>
      <c r="F413" s="13"/>
      <c r="G413" s="13"/>
      <c r="H413" s="13"/>
      <c r="I413" s="12"/>
      <c r="J413" s="13"/>
      <c r="K413" s="14" t="str">
        <f>IF(C413="","",IFERROR(N('Fee Settings'!$C$5)*(E413+N(F413)-N(J413))+N('Fee Settings'!$C$6)*(E413+N(F413)+N(G413))+N('Fee Settings'!$C$7)+N('Fee Settings'!$C$10)*D413+IF(I413="Yes",MIN(N('Fee Settings'!$C$8)*(E413+N(F413)),N('Fee Settings'!$C$9)),0),""))</f>
        <v/>
      </c>
      <c r="L413" s="14" t="str">
        <f>IF(C413="","",IFERROR(D413*N(INDEX(Products!$C$5:$C$29,MATCH(C413,Lists!$A$2:$A$26,0))),""))</f>
        <v/>
      </c>
      <c r="M413" s="15" t="str">
        <f t="shared" si="6"/>
        <v/>
      </c>
    </row>
    <row r="414" spans="1:13" x14ac:dyDescent="0.35">
      <c r="A414" s="11"/>
      <c r="B414" s="12"/>
      <c r="C414" s="12"/>
      <c r="D414" s="12"/>
      <c r="E414" s="13"/>
      <c r="F414" s="13"/>
      <c r="G414" s="13"/>
      <c r="H414" s="13"/>
      <c r="I414" s="12"/>
      <c r="J414" s="13"/>
      <c r="K414" s="14" t="str">
        <f>IF(C414="","",IFERROR(N('Fee Settings'!$C$5)*(E414+N(F414)-N(J414))+N('Fee Settings'!$C$6)*(E414+N(F414)+N(G414))+N('Fee Settings'!$C$7)+N('Fee Settings'!$C$10)*D414+IF(I414="Yes",MIN(N('Fee Settings'!$C$8)*(E414+N(F414)),N('Fee Settings'!$C$9)),0),""))</f>
        <v/>
      </c>
      <c r="L414" s="14" t="str">
        <f>IF(C414="","",IFERROR(D414*N(INDEX(Products!$C$5:$C$29,MATCH(C414,Lists!$A$2:$A$26,0))),""))</f>
        <v/>
      </c>
      <c r="M414" s="15" t="str">
        <f t="shared" si="6"/>
        <v/>
      </c>
    </row>
    <row r="415" spans="1:13" x14ac:dyDescent="0.35">
      <c r="A415" s="11"/>
      <c r="B415" s="12"/>
      <c r="C415" s="12"/>
      <c r="D415" s="12"/>
      <c r="E415" s="13"/>
      <c r="F415" s="13"/>
      <c r="G415" s="13"/>
      <c r="H415" s="13"/>
      <c r="I415" s="12"/>
      <c r="J415" s="13"/>
      <c r="K415" s="14" t="str">
        <f>IF(C415="","",IFERROR(N('Fee Settings'!$C$5)*(E415+N(F415)-N(J415))+N('Fee Settings'!$C$6)*(E415+N(F415)+N(G415))+N('Fee Settings'!$C$7)+N('Fee Settings'!$C$10)*D415+IF(I415="Yes",MIN(N('Fee Settings'!$C$8)*(E415+N(F415)),N('Fee Settings'!$C$9)),0),""))</f>
        <v/>
      </c>
      <c r="L415" s="14" t="str">
        <f>IF(C415="","",IFERROR(D415*N(INDEX(Products!$C$5:$C$29,MATCH(C415,Lists!$A$2:$A$26,0))),""))</f>
        <v/>
      </c>
      <c r="M415" s="15" t="str">
        <f t="shared" si="6"/>
        <v/>
      </c>
    </row>
    <row r="416" spans="1:13" x14ac:dyDescent="0.35">
      <c r="A416" s="11"/>
      <c r="B416" s="12"/>
      <c r="C416" s="12"/>
      <c r="D416" s="12"/>
      <c r="E416" s="13"/>
      <c r="F416" s="13"/>
      <c r="G416" s="13"/>
      <c r="H416" s="13"/>
      <c r="I416" s="12"/>
      <c r="J416" s="13"/>
      <c r="K416" s="14" t="str">
        <f>IF(C416="","",IFERROR(N('Fee Settings'!$C$5)*(E416+N(F416)-N(J416))+N('Fee Settings'!$C$6)*(E416+N(F416)+N(G416))+N('Fee Settings'!$C$7)+N('Fee Settings'!$C$10)*D416+IF(I416="Yes",MIN(N('Fee Settings'!$C$8)*(E416+N(F416)),N('Fee Settings'!$C$9)),0),""))</f>
        <v/>
      </c>
      <c r="L416" s="14" t="str">
        <f>IF(C416="","",IFERROR(D416*N(INDEX(Products!$C$5:$C$29,MATCH(C416,Lists!$A$2:$A$26,0))),""))</f>
        <v/>
      </c>
      <c r="M416" s="15" t="str">
        <f t="shared" si="6"/>
        <v/>
      </c>
    </row>
    <row r="417" spans="1:13" x14ac:dyDescent="0.35">
      <c r="A417" s="11"/>
      <c r="B417" s="12"/>
      <c r="C417" s="12"/>
      <c r="D417" s="12"/>
      <c r="E417" s="13"/>
      <c r="F417" s="13"/>
      <c r="G417" s="13"/>
      <c r="H417" s="13"/>
      <c r="I417" s="12"/>
      <c r="J417" s="13"/>
      <c r="K417" s="14" t="str">
        <f>IF(C417="","",IFERROR(N('Fee Settings'!$C$5)*(E417+N(F417)-N(J417))+N('Fee Settings'!$C$6)*(E417+N(F417)+N(G417))+N('Fee Settings'!$C$7)+N('Fee Settings'!$C$10)*D417+IF(I417="Yes",MIN(N('Fee Settings'!$C$8)*(E417+N(F417)),N('Fee Settings'!$C$9)),0),""))</f>
        <v/>
      </c>
      <c r="L417" s="14" t="str">
        <f>IF(C417="","",IFERROR(D417*N(INDEX(Products!$C$5:$C$29,MATCH(C417,Lists!$A$2:$A$26,0))),""))</f>
        <v/>
      </c>
      <c r="M417" s="15" t="str">
        <f t="shared" si="6"/>
        <v/>
      </c>
    </row>
    <row r="418" spans="1:13" x14ac:dyDescent="0.35">
      <c r="A418" s="11"/>
      <c r="B418" s="12"/>
      <c r="C418" s="12"/>
      <c r="D418" s="12"/>
      <c r="E418" s="13"/>
      <c r="F418" s="13"/>
      <c r="G418" s="13"/>
      <c r="H418" s="13"/>
      <c r="I418" s="12"/>
      <c r="J418" s="13"/>
      <c r="K418" s="14" t="str">
        <f>IF(C418="","",IFERROR(N('Fee Settings'!$C$5)*(E418+N(F418)-N(J418))+N('Fee Settings'!$C$6)*(E418+N(F418)+N(G418))+N('Fee Settings'!$C$7)+N('Fee Settings'!$C$10)*D418+IF(I418="Yes",MIN(N('Fee Settings'!$C$8)*(E418+N(F418)),N('Fee Settings'!$C$9)),0),""))</f>
        <v/>
      </c>
      <c r="L418" s="14" t="str">
        <f>IF(C418="","",IFERROR(D418*N(INDEX(Products!$C$5:$C$29,MATCH(C418,Lists!$A$2:$A$26,0))),""))</f>
        <v/>
      </c>
      <c r="M418" s="15" t="str">
        <f t="shared" si="6"/>
        <v/>
      </c>
    </row>
    <row r="419" spans="1:13" x14ac:dyDescent="0.35">
      <c r="A419" s="11"/>
      <c r="B419" s="12"/>
      <c r="C419" s="12"/>
      <c r="D419" s="12"/>
      <c r="E419" s="13"/>
      <c r="F419" s="13"/>
      <c r="G419" s="13"/>
      <c r="H419" s="13"/>
      <c r="I419" s="12"/>
      <c r="J419" s="13"/>
      <c r="K419" s="14" t="str">
        <f>IF(C419="","",IFERROR(N('Fee Settings'!$C$5)*(E419+N(F419)-N(J419))+N('Fee Settings'!$C$6)*(E419+N(F419)+N(G419))+N('Fee Settings'!$C$7)+N('Fee Settings'!$C$10)*D419+IF(I419="Yes",MIN(N('Fee Settings'!$C$8)*(E419+N(F419)),N('Fee Settings'!$C$9)),0),""))</f>
        <v/>
      </c>
      <c r="L419" s="14" t="str">
        <f>IF(C419="","",IFERROR(D419*N(INDEX(Products!$C$5:$C$29,MATCH(C419,Lists!$A$2:$A$26,0))),""))</f>
        <v/>
      </c>
      <c r="M419" s="15" t="str">
        <f t="shared" si="6"/>
        <v/>
      </c>
    </row>
    <row r="420" spans="1:13" x14ac:dyDescent="0.35">
      <c r="A420" s="11"/>
      <c r="B420" s="12"/>
      <c r="C420" s="12"/>
      <c r="D420" s="12"/>
      <c r="E420" s="13"/>
      <c r="F420" s="13"/>
      <c r="G420" s="13"/>
      <c r="H420" s="13"/>
      <c r="I420" s="12"/>
      <c r="J420" s="13"/>
      <c r="K420" s="14" t="str">
        <f>IF(C420="","",IFERROR(N('Fee Settings'!$C$5)*(E420+N(F420)-N(J420))+N('Fee Settings'!$C$6)*(E420+N(F420)+N(G420))+N('Fee Settings'!$C$7)+N('Fee Settings'!$C$10)*D420+IF(I420="Yes",MIN(N('Fee Settings'!$C$8)*(E420+N(F420)),N('Fee Settings'!$C$9)),0),""))</f>
        <v/>
      </c>
      <c r="L420" s="14" t="str">
        <f>IF(C420="","",IFERROR(D420*N(INDEX(Products!$C$5:$C$29,MATCH(C420,Lists!$A$2:$A$26,0))),""))</f>
        <v/>
      </c>
      <c r="M420" s="15" t="str">
        <f t="shared" si="6"/>
        <v/>
      </c>
    </row>
    <row r="421" spans="1:13" x14ac:dyDescent="0.35">
      <c r="A421" s="11"/>
      <c r="B421" s="12"/>
      <c r="C421" s="12"/>
      <c r="D421" s="12"/>
      <c r="E421" s="13"/>
      <c r="F421" s="13"/>
      <c r="G421" s="13"/>
      <c r="H421" s="13"/>
      <c r="I421" s="12"/>
      <c r="J421" s="13"/>
      <c r="K421" s="14" t="str">
        <f>IF(C421="","",IFERROR(N('Fee Settings'!$C$5)*(E421+N(F421)-N(J421))+N('Fee Settings'!$C$6)*(E421+N(F421)+N(G421))+N('Fee Settings'!$C$7)+N('Fee Settings'!$C$10)*D421+IF(I421="Yes",MIN(N('Fee Settings'!$C$8)*(E421+N(F421)),N('Fee Settings'!$C$9)),0),""))</f>
        <v/>
      </c>
      <c r="L421" s="14" t="str">
        <f>IF(C421="","",IFERROR(D421*N(INDEX(Products!$C$5:$C$29,MATCH(C421,Lists!$A$2:$A$26,0))),""))</f>
        <v/>
      </c>
      <c r="M421" s="15" t="str">
        <f t="shared" si="6"/>
        <v/>
      </c>
    </row>
    <row r="422" spans="1:13" x14ac:dyDescent="0.35">
      <c r="A422" s="11"/>
      <c r="B422" s="12"/>
      <c r="C422" s="12"/>
      <c r="D422" s="12"/>
      <c r="E422" s="13"/>
      <c r="F422" s="13"/>
      <c r="G422" s="13"/>
      <c r="H422" s="13"/>
      <c r="I422" s="12"/>
      <c r="J422" s="13"/>
      <c r="K422" s="14" t="str">
        <f>IF(C422="","",IFERROR(N('Fee Settings'!$C$5)*(E422+N(F422)-N(J422))+N('Fee Settings'!$C$6)*(E422+N(F422)+N(G422))+N('Fee Settings'!$C$7)+N('Fee Settings'!$C$10)*D422+IF(I422="Yes",MIN(N('Fee Settings'!$C$8)*(E422+N(F422)),N('Fee Settings'!$C$9)),0),""))</f>
        <v/>
      </c>
      <c r="L422" s="14" t="str">
        <f>IF(C422="","",IFERROR(D422*N(INDEX(Products!$C$5:$C$29,MATCH(C422,Lists!$A$2:$A$26,0))),""))</f>
        <v/>
      </c>
      <c r="M422" s="15" t="str">
        <f t="shared" si="6"/>
        <v/>
      </c>
    </row>
    <row r="423" spans="1:13" x14ac:dyDescent="0.35">
      <c r="A423" s="11"/>
      <c r="B423" s="12"/>
      <c r="C423" s="12"/>
      <c r="D423" s="12"/>
      <c r="E423" s="13"/>
      <c r="F423" s="13"/>
      <c r="G423" s="13"/>
      <c r="H423" s="13"/>
      <c r="I423" s="12"/>
      <c r="J423" s="13"/>
      <c r="K423" s="14" t="str">
        <f>IF(C423="","",IFERROR(N('Fee Settings'!$C$5)*(E423+N(F423)-N(J423))+N('Fee Settings'!$C$6)*(E423+N(F423)+N(G423))+N('Fee Settings'!$C$7)+N('Fee Settings'!$C$10)*D423+IF(I423="Yes",MIN(N('Fee Settings'!$C$8)*(E423+N(F423)),N('Fee Settings'!$C$9)),0),""))</f>
        <v/>
      </c>
      <c r="L423" s="14" t="str">
        <f>IF(C423="","",IFERROR(D423*N(INDEX(Products!$C$5:$C$29,MATCH(C423,Lists!$A$2:$A$26,0))),""))</f>
        <v/>
      </c>
      <c r="M423" s="15" t="str">
        <f t="shared" si="6"/>
        <v/>
      </c>
    </row>
    <row r="424" spans="1:13" x14ac:dyDescent="0.35">
      <c r="A424" s="11"/>
      <c r="B424" s="12"/>
      <c r="C424" s="12"/>
      <c r="D424" s="12"/>
      <c r="E424" s="13"/>
      <c r="F424" s="13"/>
      <c r="G424" s="13"/>
      <c r="H424" s="13"/>
      <c r="I424" s="12"/>
      <c r="J424" s="13"/>
      <c r="K424" s="14" t="str">
        <f>IF(C424="","",IFERROR(N('Fee Settings'!$C$5)*(E424+N(F424)-N(J424))+N('Fee Settings'!$C$6)*(E424+N(F424)+N(G424))+N('Fee Settings'!$C$7)+N('Fee Settings'!$C$10)*D424+IF(I424="Yes",MIN(N('Fee Settings'!$C$8)*(E424+N(F424)),N('Fee Settings'!$C$9)),0),""))</f>
        <v/>
      </c>
      <c r="L424" s="14" t="str">
        <f>IF(C424="","",IFERROR(D424*N(INDEX(Products!$C$5:$C$29,MATCH(C424,Lists!$A$2:$A$26,0))),""))</f>
        <v/>
      </c>
      <c r="M424" s="15" t="str">
        <f t="shared" si="6"/>
        <v/>
      </c>
    </row>
    <row r="425" spans="1:13" x14ac:dyDescent="0.35">
      <c r="A425" s="11"/>
      <c r="B425" s="12"/>
      <c r="C425" s="12"/>
      <c r="D425" s="12"/>
      <c r="E425" s="13"/>
      <c r="F425" s="13"/>
      <c r="G425" s="13"/>
      <c r="H425" s="13"/>
      <c r="I425" s="12"/>
      <c r="J425" s="13"/>
      <c r="K425" s="14" t="str">
        <f>IF(C425="","",IFERROR(N('Fee Settings'!$C$5)*(E425+N(F425)-N(J425))+N('Fee Settings'!$C$6)*(E425+N(F425)+N(G425))+N('Fee Settings'!$C$7)+N('Fee Settings'!$C$10)*D425+IF(I425="Yes",MIN(N('Fee Settings'!$C$8)*(E425+N(F425)),N('Fee Settings'!$C$9)),0),""))</f>
        <v/>
      </c>
      <c r="L425" s="14" t="str">
        <f>IF(C425="","",IFERROR(D425*N(INDEX(Products!$C$5:$C$29,MATCH(C425,Lists!$A$2:$A$26,0))),""))</f>
        <v/>
      </c>
      <c r="M425" s="15" t="str">
        <f t="shared" si="6"/>
        <v/>
      </c>
    </row>
    <row r="426" spans="1:13" x14ac:dyDescent="0.35">
      <c r="A426" s="11"/>
      <c r="B426" s="12"/>
      <c r="C426" s="12"/>
      <c r="D426" s="12"/>
      <c r="E426" s="13"/>
      <c r="F426" s="13"/>
      <c r="G426" s="13"/>
      <c r="H426" s="13"/>
      <c r="I426" s="12"/>
      <c r="J426" s="13"/>
      <c r="K426" s="14" t="str">
        <f>IF(C426="","",IFERROR(N('Fee Settings'!$C$5)*(E426+N(F426)-N(J426))+N('Fee Settings'!$C$6)*(E426+N(F426)+N(G426))+N('Fee Settings'!$C$7)+N('Fee Settings'!$C$10)*D426+IF(I426="Yes",MIN(N('Fee Settings'!$C$8)*(E426+N(F426)),N('Fee Settings'!$C$9)),0),""))</f>
        <v/>
      </c>
      <c r="L426" s="14" t="str">
        <f>IF(C426="","",IFERROR(D426*N(INDEX(Products!$C$5:$C$29,MATCH(C426,Lists!$A$2:$A$26,0))),""))</f>
        <v/>
      </c>
      <c r="M426" s="15" t="str">
        <f t="shared" si="6"/>
        <v/>
      </c>
    </row>
    <row r="427" spans="1:13" x14ac:dyDescent="0.35">
      <c r="A427" s="11"/>
      <c r="B427" s="12"/>
      <c r="C427" s="12"/>
      <c r="D427" s="12"/>
      <c r="E427" s="13"/>
      <c r="F427" s="13"/>
      <c r="G427" s="13"/>
      <c r="H427" s="13"/>
      <c r="I427" s="12"/>
      <c r="J427" s="13"/>
      <c r="K427" s="14" t="str">
        <f>IF(C427="","",IFERROR(N('Fee Settings'!$C$5)*(E427+N(F427)-N(J427))+N('Fee Settings'!$C$6)*(E427+N(F427)+N(G427))+N('Fee Settings'!$C$7)+N('Fee Settings'!$C$10)*D427+IF(I427="Yes",MIN(N('Fee Settings'!$C$8)*(E427+N(F427)),N('Fee Settings'!$C$9)),0),""))</f>
        <v/>
      </c>
      <c r="L427" s="14" t="str">
        <f>IF(C427="","",IFERROR(D427*N(INDEX(Products!$C$5:$C$29,MATCH(C427,Lists!$A$2:$A$26,0))),""))</f>
        <v/>
      </c>
      <c r="M427" s="15" t="str">
        <f t="shared" si="6"/>
        <v/>
      </c>
    </row>
    <row r="428" spans="1:13" x14ac:dyDescent="0.35">
      <c r="A428" s="11"/>
      <c r="B428" s="12"/>
      <c r="C428" s="12"/>
      <c r="D428" s="12"/>
      <c r="E428" s="13"/>
      <c r="F428" s="13"/>
      <c r="G428" s="13"/>
      <c r="H428" s="13"/>
      <c r="I428" s="12"/>
      <c r="J428" s="13"/>
      <c r="K428" s="14" t="str">
        <f>IF(C428="","",IFERROR(N('Fee Settings'!$C$5)*(E428+N(F428)-N(J428))+N('Fee Settings'!$C$6)*(E428+N(F428)+N(G428))+N('Fee Settings'!$C$7)+N('Fee Settings'!$C$10)*D428+IF(I428="Yes",MIN(N('Fee Settings'!$C$8)*(E428+N(F428)),N('Fee Settings'!$C$9)),0),""))</f>
        <v/>
      </c>
      <c r="L428" s="14" t="str">
        <f>IF(C428="","",IFERROR(D428*N(INDEX(Products!$C$5:$C$29,MATCH(C428,Lists!$A$2:$A$26,0))),""))</f>
        <v/>
      </c>
      <c r="M428" s="15" t="str">
        <f t="shared" si="6"/>
        <v/>
      </c>
    </row>
    <row r="429" spans="1:13" x14ac:dyDescent="0.35">
      <c r="A429" s="11"/>
      <c r="B429" s="12"/>
      <c r="C429" s="12"/>
      <c r="D429" s="12"/>
      <c r="E429" s="13"/>
      <c r="F429" s="13"/>
      <c r="G429" s="13"/>
      <c r="H429" s="13"/>
      <c r="I429" s="12"/>
      <c r="J429" s="13"/>
      <c r="K429" s="14" t="str">
        <f>IF(C429="","",IFERROR(N('Fee Settings'!$C$5)*(E429+N(F429)-N(J429))+N('Fee Settings'!$C$6)*(E429+N(F429)+N(G429))+N('Fee Settings'!$C$7)+N('Fee Settings'!$C$10)*D429+IF(I429="Yes",MIN(N('Fee Settings'!$C$8)*(E429+N(F429)),N('Fee Settings'!$C$9)),0),""))</f>
        <v/>
      </c>
      <c r="L429" s="14" t="str">
        <f>IF(C429="","",IFERROR(D429*N(INDEX(Products!$C$5:$C$29,MATCH(C429,Lists!$A$2:$A$26,0))),""))</f>
        <v/>
      </c>
      <c r="M429" s="15" t="str">
        <f t="shared" si="6"/>
        <v/>
      </c>
    </row>
    <row r="430" spans="1:13" x14ac:dyDescent="0.35">
      <c r="A430" s="11"/>
      <c r="B430" s="12"/>
      <c r="C430" s="12"/>
      <c r="D430" s="12"/>
      <c r="E430" s="13"/>
      <c r="F430" s="13"/>
      <c r="G430" s="13"/>
      <c r="H430" s="13"/>
      <c r="I430" s="12"/>
      <c r="J430" s="13"/>
      <c r="K430" s="14" t="str">
        <f>IF(C430="","",IFERROR(N('Fee Settings'!$C$5)*(E430+N(F430)-N(J430))+N('Fee Settings'!$C$6)*(E430+N(F430)+N(G430))+N('Fee Settings'!$C$7)+N('Fee Settings'!$C$10)*D430+IF(I430="Yes",MIN(N('Fee Settings'!$C$8)*(E430+N(F430)),N('Fee Settings'!$C$9)),0),""))</f>
        <v/>
      </c>
      <c r="L430" s="14" t="str">
        <f>IF(C430="","",IFERROR(D430*N(INDEX(Products!$C$5:$C$29,MATCH(C430,Lists!$A$2:$A$26,0))),""))</f>
        <v/>
      </c>
      <c r="M430" s="15" t="str">
        <f t="shared" si="6"/>
        <v/>
      </c>
    </row>
    <row r="431" spans="1:13" x14ac:dyDescent="0.35">
      <c r="A431" s="11"/>
      <c r="B431" s="12"/>
      <c r="C431" s="12"/>
      <c r="D431" s="12"/>
      <c r="E431" s="13"/>
      <c r="F431" s="13"/>
      <c r="G431" s="13"/>
      <c r="H431" s="13"/>
      <c r="I431" s="12"/>
      <c r="J431" s="13"/>
      <c r="K431" s="14" t="str">
        <f>IF(C431="","",IFERROR(N('Fee Settings'!$C$5)*(E431+N(F431)-N(J431))+N('Fee Settings'!$C$6)*(E431+N(F431)+N(G431))+N('Fee Settings'!$C$7)+N('Fee Settings'!$C$10)*D431+IF(I431="Yes",MIN(N('Fee Settings'!$C$8)*(E431+N(F431)),N('Fee Settings'!$C$9)),0),""))</f>
        <v/>
      </c>
      <c r="L431" s="14" t="str">
        <f>IF(C431="","",IFERROR(D431*N(INDEX(Products!$C$5:$C$29,MATCH(C431,Lists!$A$2:$A$26,0))),""))</f>
        <v/>
      </c>
      <c r="M431" s="15" t="str">
        <f t="shared" si="6"/>
        <v/>
      </c>
    </row>
    <row r="432" spans="1:13" x14ac:dyDescent="0.35">
      <c r="A432" s="11"/>
      <c r="B432" s="12"/>
      <c r="C432" s="12"/>
      <c r="D432" s="12"/>
      <c r="E432" s="13"/>
      <c r="F432" s="13"/>
      <c r="G432" s="13"/>
      <c r="H432" s="13"/>
      <c r="I432" s="12"/>
      <c r="J432" s="13"/>
      <c r="K432" s="14" t="str">
        <f>IF(C432="","",IFERROR(N('Fee Settings'!$C$5)*(E432+N(F432)-N(J432))+N('Fee Settings'!$C$6)*(E432+N(F432)+N(G432))+N('Fee Settings'!$C$7)+N('Fee Settings'!$C$10)*D432+IF(I432="Yes",MIN(N('Fee Settings'!$C$8)*(E432+N(F432)),N('Fee Settings'!$C$9)),0),""))</f>
        <v/>
      </c>
      <c r="L432" s="14" t="str">
        <f>IF(C432="","",IFERROR(D432*N(INDEX(Products!$C$5:$C$29,MATCH(C432,Lists!$A$2:$A$26,0))),""))</f>
        <v/>
      </c>
      <c r="M432" s="15" t="str">
        <f t="shared" si="6"/>
        <v/>
      </c>
    </row>
    <row r="433" spans="1:13" x14ac:dyDescent="0.35">
      <c r="A433" s="11"/>
      <c r="B433" s="12"/>
      <c r="C433" s="12"/>
      <c r="D433" s="12"/>
      <c r="E433" s="13"/>
      <c r="F433" s="13"/>
      <c r="G433" s="13"/>
      <c r="H433" s="13"/>
      <c r="I433" s="12"/>
      <c r="J433" s="13"/>
      <c r="K433" s="14" t="str">
        <f>IF(C433="","",IFERROR(N('Fee Settings'!$C$5)*(E433+N(F433)-N(J433))+N('Fee Settings'!$C$6)*(E433+N(F433)+N(G433))+N('Fee Settings'!$C$7)+N('Fee Settings'!$C$10)*D433+IF(I433="Yes",MIN(N('Fee Settings'!$C$8)*(E433+N(F433)),N('Fee Settings'!$C$9)),0),""))</f>
        <v/>
      </c>
      <c r="L433" s="14" t="str">
        <f>IF(C433="","",IFERROR(D433*N(INDEX(Products!$C$5:$C$29,MATCH(C433,Lists!$A$2:$A$26,0))),""))</f>
        <v/>
      </c>
      <c r="M433" s="15" t="str">
        <f t="shared" si="6"/>
        <v/>
      </c>
    </row>
    <row r="434" spans="1:13" x14ac:dyDescent="0.35">
      <c r="A434" s="11"/>
      <c r="B434" s="12"/>
      <c r="C434" s="12"/>
      <c r="D434" s="12"/>
      <c r="E434" s="13"/>
      <c r="F434" s="13"/>
      <c r="G434" s="13"/>
      <c r="H434" s="13"/>
      <c r="I434" s="12"/>
      <c r="J434" s="13"/>
      <c r="K434" s="14" t="str">
        <f>IF(C434="","",IFERROR(N('Fee Settings'!$C$5)*(E434+N(F434)-N(J434))+N('Fee Settings'!$C$6)*(E434+N(F434)+N(G434))+N('Fee Settings'!$C$7)+N('Fee Settings'!$C$10)*D434+IF(I434="Yes",MIN(N('Fee Settings'!$C$8)*(E434+N(F434)),N('Fee Settings'!$C$9)),0),""))</f>
        <v/>
      </c>
      <c r="L434" s="14" t="str">
        <f>IF(C434="","",IFERROR(D434*N(INDEX(Products!$C$5:$C$29,MATCH(C434,Lists!$A$2:$A$26,0))),""))</f>
        <v/>
      </c>
      <c r="M434" s="15" t="str">
        <f t="shared" si="6"/>
        <v/>
      </c>
    </row>
    <row r="435" spans="1:13" x14ac:dyDescent="0.35">
      <c r="A435" s="11"/>
      <c r="B435" s="12"/>
      <c r="C435" s="12"/>
      <c r="D435" s="12"/>
      <c r="E435" s="13"/>
      <c r="F435" s="13"/>
      <c r="G435" s="13"/>
      <c r="H435" s="13"/>
      <c r="I435" s="12"/>
      <c r="J435" s="13"/>
      <c r="K435" s="14" t="str">
        <f>IF(C435="","",IFERROR(N('Fee Settings'!$C$5)*(E435+N(F435)-N(J435))+N('Fee Settings'!$C$6)*(E435+N(F435)+N(G435))+N('Fee Settings'!$C$7)+N('Fee Settings'!$C$10)*D435+IF(I435="Yes",MIN(N('Fee Settings'!$C$8)*(E435+N(F435)),N('Fee Settings'!$C$9)),0),""))</f>
        <v/>
      </c>
      <c r="L435" s="14" t="str">
        <f>IF(C435="","",IFERROR(D435*N(INDEX(Products!$C$5:$C$29,MATCH(C435,Lists!$A$2:$A$26,0))),""))</f>
        <v/>
      </c>
      <c r="M435" s="15" t="str">
        <f t="shared" si="6"/>
        <v/>
      </c>
    </row>
    <row r="436" spans="1:13" x14ac:dyDescent="0.35">
      <c r="A436" s="11"/>
      <c r="B436" s="12"/>
      <c r="C436" s="12"/>
      <c r="D436" s="12"/>
      <c r="E436" s="13"/>
      <c r="F436" s="13"/>
      <c r="G436" s="13"/>
      <c r="H436" s="13"/>
      <c r="I436" s="12"/>
      <c r="J436" s="13"/>
      <c r="K436" s="14" t="str">
        <f>IF(C436="","",IFERROR(N('Fee Settings'!$C$5)*(E436+N(F436)-N(J436))+N('Fee Settings'!$C$6)*(E436+N(F436)+N(G436))+N('Fee Settings'!$C$7)+N('Fee Settings'!$C$10)*D436+IF(I436="Yes",MIN(N('Fee Settings'!$C$8)*(E436+N(F436)),N('Fee Settings'!$C$9)),0),""))</f>
        <v/>
      </c>
      <c r="L436" s="14" t="str">
        <f>IF(C436="","",IFERROR(D436*N(INDEX(Products!$C$5:$C$29,MATCH(C436,Lists!$A$2:$A$26,0))),""))</f>
        <v/>
      </c>
      <c r="M436" s="15" t="str">
        <f t="shared" si="6"/>
        <v/>
      </c>
    </row>
    <row r="437" spans="1:13" x14ac:dyDescent="0.35">
      <c r="A437" s="11"/>
      <c r="B437" s="12"/>
      <c r="C437" s="12"/>
      <c r="D437" s="12"/>
      <c r="E437" s="13"/>
      <c r="F437" s="13"/>
      <c r="G437" s="13"/>
      <c r="H437" s="13"/>
      <c r="I437" s="12"/>
      <c r="J437" s="13"/>
      <c r="K437" s="14" t="str">
        <f>IF(C437="","",IFERROR(N('Fee Settings'!$C$5)*(E437+N(F437)-N(J437))+N('Fee Settings'!$C$6)*(E437+N(F437)+N(G437))+N('Fee Settings'!$C$7)+N('Fee Settings'!$C$10)*D437+IF(I437="Yes",MIN(N('Fee Settings'!$C$8)*(E437+N(F437)),N('Fee Settings'!$C$9)),0),""))</f>
        <v/>
      </c>
      <c r="L437" s="14" t="str">
        <f>IF(C437="","",IFERROR(D437*N(INDEX(Products!$C$5:$C$29,MATCH(C437,Lists!$A$2:$A$26,0))),""))</f>
        <v/>
      </c>
      <c r="M437" s="15" t="str">
        <f t="shared" si="6"/>
        <v/>
      </c>
    </row>
    <row r="438" spans="1:13" x14ac:dyDescent="0.35">
      <c r="A438" s="11"/>
      <c r="B438" s="12"/>
      <c r="C438" s="12"/>
      <c r="D438" s="12"/>
      <c r="E438" s="13"/>
      <c r="F438" s="13"/>
      <c r="G438" s="13"/>
      <c r="H438" s="13"/>
      <c r="I438" s="12"/>
      <c r="J438" s="13"/>
      <c r="K438" s="14" t="str">
        <f>IF(C438="","",IFERROR(N('Fee Settings'!$C$5)*(E438+N(F438)-N(J438))+N('Fee Settings'!$C$6)*(E438+N(F438)+N(G438))+N('Fee Settings'!$C$7)+N('Fee Settings'!$C$10)*D438+IF(I438="Yes",MIN(N('Fee Settings'!$C$8)*(E438+N(F438)),N('Fee Settings'!$C$9)),0),""))</f>
        <v/>
      </c>
      <c r="L438" s="14" t="str">
        <f>IF(C438="","",IFERROR(D438*N(INDEX(Products!$C$5:$C$29,MATCH(C438,Lists!$A$2:$A$26,0))),""))</f>
        <v/>
      </c>
      <c r="M438" s="15" t="str">
        <f t="shared" si="6"/>
        <v/>
      </c>
    </row>
    <row r="439" spans="1:13" x14ac:dyDescent="0.35">
      <c r="A439" s="11"/>
      <c r="B439" s="12"/>
      <c r="C439" s="12"/>
      <c r="D439" s="12"/>
      <c r="E439" s="13"/>
      <c r="F439" s="13"/>
      <c r="G439" s="13"/>
      <c r="H439" s="13"/>
      <c r="I439" s="12"/>
      <c r="J439" s="13"/>
      <c r="K439" s="14" t="str">
        <f>IF(C439="","",IFERROR(N('Fee Settings'!$C$5)*(E439+N(F439)-N(J439))+N('Fee Settings'!$C$6)*(E439+N(F439)+N(G439))+N('Fee Settings'!$C$7)+N('Fee Settings'!$C$10)*D439+IF(I439="Yes",MIN(N('Fee Settings'!$C$8)*(E439+N(F439)),N('Fee Settings'!$C$9)),0),""))</f>
        <v/>
      </c>
      <c r="L439" s="14" t="str">
        <f>IF(C439="","",IFERROR(D439*N(INDEX(Products!$C$5:$C$29,MATCH(C439,Lists!$A$2:$A$26,0))),""))</f>
        <v/>
      </c>
      <c r="M439" s="15" t="str">
        <f t="shared" si="6"/>
        <v/>
      </c>
    </row>
    <row r="440" spans="1:13" x14ac:dyDescent="0.35">
      <c r="A440" s="11"/>
      <c r="B440" s="12"/>
      <c r="C440" s="12"/>
      <c r="D440" s="12"/>
      <c r="E440" s="13"/>
      <c r="F440" s="13"/>
      <c r="G440" s="13"/>
      <c r="H440" s="13"/>
      <c r="I440" s="12"/>
      <c r="J440" s="13"/>
      <c r="K440" s="14" t="str">
        <f>IF(C440="","",IFERROR(N('Fee Settings'!$C$5)*(E440+N(F440)-N(J440))+N('Fee Settings'!$C$6)*(E440+N(F440)+N(G440))+N('Fee Settings'!$C$7)+N('Fee Settings'!$C$10)*D440+IF(I440="Yes",MIN(N('Fee Settings'!$C$8)*(E440+N(F440)),N('Fee Settings'!$C$9)),0),""))</f>
        <v/>
      </c>
      <c r="L440" s="14" t="str">
        <f>IF(C440="","",IFERROR(D440*N(INDEX(Products!$C$5:$C$29,MATCH(C440,Lists!$A$2:$A$26,0))),""))</f>
        <v/>
      </c>
      <c r="M440" s="15" t="str">
        <f t="shared" si="6"/>
        <v/>
      </c>
    </row>
    <row r="441" spans="1:13" x14ac:dyDescent="0.35">
      <c r="A441" s="11"/>
      <c r="B441" s="12"/>
      <c r="C441" s="12"/>
      <c r="D441" s="12"/>
      <c r="E441" s="13"/>
      <c r="F441" s="13"/>
      <c r="G441" s="13"/>
      <c r="H441" s="13"/>
      <c r="I441" s="12"/>
      <c r="J441" s="13"/>
      <c r="K441" s="14" t="str">
        <f>IF(C441="","",IFERROR(N('Fee Settings'!$C$5)*(E441+N(F441)-N(J441))+N('Fee Settings'!$C$6)*(E441+N(F441)+N(G441))+N('Fee Settings'!$C$7)+N('Fee Settings'!$C$10)*D441+IF(I441="Yes",MIN(N('Fee Settings'!$C$8)*(E441+N(F441)),N('Fee Settings'!$C$9)),0),""))</f>
        <v/>
      </c>
      <c r="L441" s="14" t="str">
        <f>IF(C441="","",IFERROR(D441*N(INDEX(Products!$C$5:$C$29,MATCH(C441,Lists!$A$2:$A$26,0))),""))</f>
        <v/>
      </c>
      <c r="M441" s="15" t="str">
        <f t="shared" si="6"/>
        <v/>
      </c>
    </row>
    <row r="442" spans="1:13" x14ac:dyDescent="0.35">
      <c r="A442" s="11"/>
      <c r="B442" s="12"/>
      <c r="C442" s="12"/>
      <c r="D442" s="12"/>
      <c r="E442" s="13"/>
      <c r="F442" s="13"/>
      <c r="G442" s="13"/>
      <c r="H442" s="13"/>
      <c r="I442" s="12"/>
      <c r="J442" s="13"/>
      <c r="K442" s="14" t="str">
        <f>IF(C442="","",IFERROR(N('Fee Settings'!$C$5)*(E442+N(F442)-N(J442))+N('Fee Settings'!$C$6)*(E442+N(F442)+N(G442))+N('Fee Settings'!$C$7)+N('Fee Settings'!$C$10)*D442+IF(I442="Yes",MIN(N('Fee Settings'!$C$8)*(E442+N(F442)),N('Fee Settings'!$C$9)),0),""))</f>
        <v/>
      </c>
      <c r="L442" s="14" t="str">
        <f>IF(C442="","",IFERROR(D442*N(INDEX(Products!$C$5:$C$29,MATCH(C442,Lists!$A$2:$A$26,0))),""))</f>
        <v/>
      </c>
      <c r="M442" s="15" t="str">
        <f t="shared" si="6"/>
        <v/>
      </c>
    </row>
    <row r="443" spans="1:13" x14ac:dyDescent="0.35">
      <c r="A443" s="11"/>
      <c r="B443" s="12"/>
      <c r="C443" s="12"/>
      <c r="D443" s="12"/>
      <c r="E443" s="13"/>
      <c r="F443" s="13"/>
      <c r="G443" s="13"/>
      <c r="H443" s="13"/>
      <c r="I443" s="12"/>
      <c r="J443" s="13"/>
      <c r="K443" s="14" t="str">
        <f>IF(C443="","",IFERROR(N('Fee Settings'!$C$5)*(E443+N(F443)-N(J443))+N('Fee Settings'!$C$6)*(E443+N(F443)+N(G443))+N('Fee Settings'!$C$7)+N('Fee Settings'!$C$10)*D443+IF(I443="Yes",MIN(N('Fee Settings'!$C$8)*(E443+N(F443)),N('Fee Settings'!$C$9)),0),""))</f>
        <v/>
      </c>
      <c r="L443" s="14" t="str">
        <f>IF(C443="","",IFERROR(D443*N(INDEX(Products!$C$5:$C$29,MATCH(C443,Lists!$A$2:$A$26,0))),""))</f>
        <v/>
      </c>
      <c r="M443" s="15" t="str">
        <f t="shared" si="6"/>
        <v/>
      </c>
    </row>
    <row r="444" spans="1:13" x14ac:dyDescent="0.35">
      <c r="A444" s="11"/>
      <c r="B444" s="12"/>
      <c r="C444" s="12"/>
      <c r="D444" s="12"/>
      <c r="E444" s="13"/>
      <c r="F444" s="13"/>
      <c r="G444" s="13"/>
      <c r="H444" s="13"/>
      <c r="I444" s="12"/>
      <c r="J444" s="13"/>
      <c r="K444" s="14" t="str">
        <f>IF(C444="","",IFERROR(N('Fee Settings'!$C$5)*(E444+N(F444)-N(J444))+N('Fee Settings'!$C$6)*(E444+N(F444)+N(G444))+N('Fee Settings'!$C$7)+N('Fee Settings'!$C$10)*D444+IF(I444="Yes",MIN(N('Fee Settings'!$C$8)*(E444+N(F444)),N('Fee Settings'!$C$9)),0),""))</f>
        <v/>
      </c>
      <c r="L444" s="14" t="str">
        <f>IF(C444="","",IFERROR(D444*N(INDEX(Products!$C$5:$C$29,MATCH(C444,Lists!$A$2:$A$26,0))),""))</f>
        <v/>
      </c>
      <c r="M444" s="15" t="str">
        <f t="shared" si="6"/>
        <v/>
      </c>
    </row>
    <row r="445" spans="1:13" x14ac:dyDescent="0.35">
      <c r="A445" s="11"/>
      <c r="B445" s="12"/>
      <c r="C445" s="12"/>
      <c r="D445" s="12"/>
      <c r="E445" s="13"/>
      <c r="F445" s="13"/>
      <c r="G445" s="13"/>
      <c r="H445" s="13"/>
      <c r="I445" s="12"/>
      <c r="J445" s="13"/>
      <c r="K445" s="14" t="str">
        <f>IF(C445="","",IFERROR(N('Fee Settings'!$C$5)*(E445+N(F445)-N(J445))+N('Fee Settings'!$C$6)*(E445+N(F445)+N(G445))+N('Fee Settings'!$C$7)+N('Fee Settings'!$C$10)*D445+IF(I445="Yes",MIN(N('Fee Settings'!$C$8)*(E445+N(F445)),N('Fee Settings'!$C$9)),0),""))</f>
        <v/>
      </c>
      <c r="L445" s="14" t="str">
        <f>IF(C445="","",IFERROR(D445*N(INDEX(Products!$C$5:$C$29,MATCH(C445,Lists!$A$2:$A$26,0))),""))</f>
        <v/>
      </c>
      <c r="M445" s="15" t="str">
        <f t="shared" si="6"/>
        <v/>
      </c>
    </row>
    <row r="446" spans="1:13" x14ac:dyDescent="0.35">
      <c r="A446" s="11"/>
      <c r="B446" s="12"/>
      <c r="C446" s="12"/>
      <c r="D446" s="12"/>
      <c r="E446" s="13"/>
      <c r="F446" s="13"/>
      <c r="G446" s="13"/>
      <c r="H446" s="13"/>
      <c r="I446" s="12"/>
      <c r="J446" s="13"/>
      <c r="K446" s="14" t="str">
        <f>IF(C446="","",IFERROR(N('Fee Settings'!$C$5)*(E446+N(F446)-N(J446))+N('Fee Settings'!$C$6)*(E446+N(F446)+N(G446))+N('Fee Settings'!$C$7)+N('Fee Settings'!$C$10)*D446+IF(I446="Yes",MIN(N('Fee Settings'!$C$8)*(E446+N(F446)),N('Fee Settings'!$C$9)),0),""))</f>
        <v/>
      </c>
      <c r="L446" s="14" t="str">
        <f>IF(C446="","",IFERROR(D446*N(INDEX(Products!$C$5:$C$29,MATCH(C446,Lists!$A$2:$A$26,0))),""))</f>
        <v/>
      </c>
      <c r="M446" s="15" t="str">
        <f t="shared" si="6"/>
        <v/>
      </c>
    </row>
    <row r="447" spans="1:13" x14ac:dyDescent="0.35">
      <c r="A447" s="11"/>
      <c r="B447" s="12"/>
      <c r="C447" s="12"/>
      <c r="D447" s="12"/>
      <c r="E447" s="13"/>
      <c r="F447" s="13"/>
      <c r="G447" s="13"/>
      <c r="H447" s="13"/>
      <c r="I447" s="12"/>
      <c r="J447" s="13"/>
      <c r="K447" s="14" t="str">
        <f>IF(C447="","",IFERROR(N('Fee Settings'!$C$5)*(E447+N(F447)-N(J447))+N('Fee Settings'!$C$6)*(E447+N(F447)+N(G447))+N('Fee Settings'!$C$7)+N('Fee Settings'!$C$10)*D447+IF(I447="Yes",MIN(N('Fee Settings'!$C$8)*(E447+N(F447)),N('Fee Settings'!$C$9)),0),""))</f>
        <v/>
      </c>
      <c r="L447" s="14" t="str">
        <f>IF(C447="","",IFERROR(D447*N(INDEX(Products!$C$5:$C$29,MATCH(C447,Lists!$A$2:$A$26,0))),""))</f>
        <v/>
      </c>
      <c r="M447" s="15" t="str">
        <f t="shared" si="6"/>
        <v/>
      </c>
    </row>
    <row r="448" spans="1:13" x14ac:dyDescent="0.35">
      <c r="A448" s="11"/>
      <c r="B448" s="12"/>
      <c r="C448" s="12"/>
      <c r="D448" s="12"/>
      <c r="E448" s="13"/>
      <c r="F448" s="13"/>
      <c r="G448" s="13"/>
      <c r="H448" s="13"/>
      <c r="I448" s="12"/>
      <c r="J448" s="13"/>
      <c r="K448" s="14" t="str">
        <f>IF(C448="","",IFERROR(N('Fee Settings'!$C$5)*(E448+N(F448)-N(J448))+N('Fee Settings'!$C$6)*(E448+N(F448)+N(G448))+N('Fee Settings'!$C$7)+N('Fee Settings'!$C$10)*D448+IF(I448="Yes",MIN(N('Fee Settings'!$C$8)*(E448+N(F448)),N('Fee Settings'!$C$9)),0),""))</f>
        <v/>
      </c>
      <c r="L448" s="14" t="str">
        <f>IF(C448="","",IFERROR(D448*N(INDEX(Products!$C$5:$C$29,MATCH(C448,Lists!$A$2:$A$26,0))),""))</f>
        <v/>
      </c>
      <c r="M448" s="15" t="str">
        <f t="shared" si="6"/>
        <v/>
      </c>
    </row>
    <row r="449" spans="1:13" x14ac:dyDescent="0.35">
      <c r="A449" s="11"/>
      <c r="B449" s="12"/>
      <c r="C449" s="12"/>
      <c r="D449" s="12"/>
      <c r="E449" s="13"/>
      <c r="F449" s="13"/>
      <c r="G449" s="13"/>
      <c r="H449" s="13"/>
      <c r="I449" s="12"/>
      <c r="J449" s="13"/>
      <c r="K449" s="14" t="str">
        <f>IF(C449="","",IFERROR(N('Fee Settings'!$C$5)*(E449+N(F449)-N(J449))+N('Fee Settings'!$C$6)*(E449+N(F449)+N(G449))+N('Fee Settings'!$C$7)+N('Fee Settings'!$C$10)*D449+IF(I449="Yes",MIN(N('Fee Settings'!$C$8)*(E449+N(F449)),N('Fee Settings'!$C$9)),0),""))</f>
        <v/>
      </c>
      <c r="L449" s="14" t="str">
        <f>IF(C449="","",IFERROR(D449*N(INDEX(Products!$C$5:$C$29,MATCH(C449,Lists!$A$2:$A$26,0))),""))</f>
        <v/>
      </c>
      <c r="M449" s="15" t="str">
        <f t="shared" si="6"/>
        <v/>
      </c>
    </row>
    <row r="450" spans="1:13" x14ac:dyDescent="0.35">
      <c r="A450" s="11"/>
      <c r="B450" s="12"/>
      <c r="C450" s="12"/>
      <c r="D450" s="12"/>
      <c r="E450" s="13"/>
      <c r="F450" s="13"/>
      <c r="G450" s="13"/>
      <c r="H450" s="13"/>
      <c r="I450" s="12"/>
      <c r="J450" s="13"/>
      <c r="K450" s="14" t="str">
        <f>IF(C450="","",IFERROR(N('Fee Settings'!$C$5)*(E450+N(F450)-N(J450))+N('Fee Settings'!$C$6)*(E450+N(F450)+N(G450))+N('Fee Settings'!$C$7)+N('Fee Settings'!$C$10)*D450+IF(I450="Yes",MIN(N('Fee Settings'!$C$8)*(E450+N(F450)),N('Fee Settings'!$C$9)),0),""))</f>
        <v/>
      </c>
      <c r="L450" s="14" t="str">
        <f>IF(C450="","",IFERROR(D450*N(INDEX(Products!$C$5:$C$29,MATCH(C450,Lists!$A$2:$A$26,0))),""))</f>
        <v/>
      </c>
      <c r="M450" s="15" t="str">
        <f t="shared" si="6"/>
        <v/>
      </c>
    </row>
    <row r="451" spans="1:13" x14ac:dyDescent="0.35">
      <c r="A451" s="11"/>
      <c r="B451" s="12"/>
      <c r="C451" s="12"/>
      <c r="D451" s="12"/>
      <c r="E451" s="13"/>
      <c r="F451" s="13"/>
      <c r="G451" s="13"/>
      <c r="H451" s="13"/>
      <c r="I451" s="12"/>
      <c r="J451" s="13"/>
      <c r="K451" s="14" t="str">
        <f>IF(C451="","",IFERROR(N('Fee Settings'!$C$5)*(E451+N(F451)-N(J451))+N('Fee Settings'!$C$6)*(E451+N(F451)+N(G451))+N('Fee Settings'!$C$7)+N('Fee Settings'!$C$10)*D451+IF(I451="Yes",MIN(N('Fee Settings'!$C$8)*(E451+N(F451)),N('Fee Settings'!$C$9)),0),""))</f>
        <v/>
      </c>
      <c r="L451" s="14" t="str">
        <f>IF(C451="","",IFERROR(D451*N(INDEX(Products!$C$5:$C$29,MATCH(C451,Lists!$A$2:$A$26,0))),""))</f>
        <v/>
      </c>
      <c r="M451" s="15" t="str">
        <f t="shared" si="6"/>
        <v/>
      </c>
    </row>
    <row r="452" spans="1:13" x14ac:dyDescent="0.35">
      <c r="A452" s="11"/>
      <c r="B452" s="12"/>
      <c r="C452" s="12"/>
      <c r="D452" s="12"/>
      <c r="E452" s="13"/>
      <c r="F452" s="13"/>
      <c r="G452" s="13"/>
      <c r="H452" s="13"/>
      <c r="I452" s="12"/>
      <c r="J452" s="13"/>
      <c r="K452" s="14" t="str">
        <f>IF(C452="","",IFERROR(N('Fee Settings'!$C$5)*(E452+N(F452)-N(J452))+N('Fee Settings'!$C$6)*(E452+N(F452)+N(G452))+N('Fee Settings'!$C$7)+N('Fee Settings'!$C$10)*D452+IF(I452="Yes",MIN(N('Fee Settings'!$C$8)*(E452+N(F452)),N('Fee Settings'!$C$9)),0),""))</f>
        <v/>
      </c>
      <c r="L452" s="14" t="str">
        <f>IF(C452="","",IFERROR(D452*N(INDEX(Products!$C$5:$C$29,MATCH(C452,Lists!$A$2:$A$26,0))),""))</f>
        <v/>
      </c>
      <c r="M452" s="15" t="str">
        <f t="shared" si="6"/>
        <v/>
      </c>
    </row>
    <row r="453" spans="1:13" x14ac:dyDescent="0.35">
      <c r="A453" s="11"/>
      <c r="B453" s="12"/>
      <c r="C453" s="12"/>
      <c r="D453" s="12"/>
      <c r="E453" s="13"/>
      <c r="F453" s="13"/>
      <c r="G453" s="13"/>
      <c r="H453" s="13"/>
      <c r="I453" s="12"/>
      <c r="J453" s="13"/>
      <c r="K453" s="14" t="str">
        <f>IF(C453="","",IFERROR(N('Fee Settings'!$C$5)*(E453+N(F453)-N(J453))+N('Fee Settings'!$C$6)*(E453+N(F453)+N(G453))+N('Fee Settings'!$C$7)+N('Fee Settings'!$C$10)*D453+IF(I453="Yes",MIN(N('Fee Settings'!$C$8)*(E453+N(F453)),N('Fee Settings'!$C$9)),0),""))</f>
        <v/>
      </c>
      <c r="L453" s="14" t="str">
        <f>IF(C453="","",IFERROR(D453*N(INDEX(Products!$C$5:$C$29,MATCH(C453,Lists!$A$2:$A$26,0))),""))</f>
        <v/>
      </c>
      <c r="M453" s="15" t="str">
        <f t="shared" ref="M453:M516" si="7">IF(C453="","",IFERROR(E453+N(F453)-N(J453)-K453-L453-N(H453),""))</f>
        <v/>
      </c>
    </row>
    <row r="454" spans="1:13" x14ac:dyDescent="0.35">
      <c r="A454" s="11"/>
      <c r="B454" s="12"/>
      <c r="C454" s="12"/>
      <c r="D454" s="12"/>
      <c r="E454" s="13"/>
      <c r="F454" s="13"/>
      <c r="G454" s="13"/>
      <c r="H454" s="13"/>
      <c r="I454" s="12"/>
      <c r="J454" s="13"/>
      <c r="K454" s="14" t="str">
        <f>IF(C454="","",IFERROR(N('Fee Settings'!$C$5)*(E454+N(F454)-N(J454))+N('Fee Settings'!$C$6)*(E454+N(F454)+N(G454))+N('Fee Settings'!$C$7)+N('Fee Settings'!$C$10)*D454+IF(I454="Yes",MIN(N('Fee Settings'!$C$8)*(E454+N(F454)),N('Fee Settings'!$C$9)),0),""))</f>
        <v/>
      </c>
      <c r="L454" s="14" t="str">
        <f>IF(C454="","",IFERROR(D454*N(INDEX(Products!$C$5:$C$29,MATCH(C454,Lists!$A$2:$A$26,0))),""))</f>
        <v/>
      </c>
      <c r="M454" s="15" t="str">
        <f t="shared" si="7"/>
        <v/>
      </c>
    </row>
    <row r="455" spans="1:13" x14ac:dyDescent="0.35">
      <c r="A455" s="11"/>
      <c r="B455" s="12"/>
      <c r="C455" s="12"/>
      <c r="D455" s="12"/>
      <c r="E455" s="13"/>
      <c r="F455" s="13"/>
      <c r="G455" s="13"/>
      <c r="H455" s="13"/>
      <c r="I455" s="12"/>
      <c r="J455" s="13"/>
      <c r="K455" s="14" t="str">
        <f>IF(C455="","",IFERROR(N('Fee Settings'!$C$5)*(E455+N(F455)-N(J455))+N('Fee Settings'!$C$6)*(E455+N(F455)+N(G455))+N('Fee Settings'!$C$7)+N('Fee Settings'!$C$10)*D455+IF(I455="Yes",MIN(N('Fee Settings'!$C$8)*(E455+N(F455)),N('Fee Settings'!$C$9)),0),""))</f>
        <v/>
      </c>
      <c r="L455" s="14" t="str">
        <f>IF(C455="","",IFERROR(D455*N(INDEX(Products!$C$5:$C$29,MATCH(C455,Lists!$A$2:$A$26,0))),""))</f>
        <v/>
      </c>
      <c r="M455" s="15" t="str">
        <f t="shared" si="7"/>
        <v/>
      </c>
    </row>
    <row r="456" spans="1:13" x14ac:dyDescent="0.35">
      <c r="A456" s="11"/>
      <c r="B456" s="12"/>
      <c r="C456" s="12"/>
      <c r="D456" s="12"/>
      <c r="E456" s="13"/>
      <c r="F456" s="13"/>
      <c r="G456" s="13"/>
      <c r="H456" s="13"/>
      <c r="I456" s="12"/>
      <c r="J456" s="13"/>
      <c r="K456" s="14" t="str">
        <f>IF(C456="","",IFERROR(N('Fee Settings'!$C$5)*(E456+N(F456)-N(J456))+N('Fee Settings'!$C$6)*(E456+N(F456)+N(G456))+N('Fee Settings'!$C$7)+N('Fee Settings'!$C$10)*D456+IF(I456="Yes",MIN(N('Fee Settings'!$C$8)*(E456+N(F456)),N('Fee Settings'!$C$9)),0),""))</f>
        <v/>
      </c>
      <c r="L456" s="14" t="str">
        <f>IF(C456="","",IFERROR(D456*N(INDEX(Products!$C$5:$C$29,MATCH(C456,Lists!$A$2:$A$26,0))),""))</f>
        <v/>
      </c>
      <c r="M456" s="15" t="str">
        <f t="shared" si="7"/>
        <v/>
      </c>
    </row>
    <row r="457" spans="1:13" x14ac:dyDescent="0.35">
      <c r="A457" s="11"/>
      <c r="B457" s="12"/>
      <c r="C457" s="12"/>
      <c r="D457" s="12"/>
      <c r="E457" s="13"/>
      <c r="F457" s="13"/>
      <c r="G457" s="13"/>
      <c r="H457" s="13"/>
      <c r="I457" s="12"/>
      <c r="J457" s="13"/>
      <c r="K457" s="14" t="str">
        <f>IF(C457="","",IFERROR(N('Fee Settings'!$C$5)*(E457+N(F457)-N(J457))+N('Fee Settings'!$C$6)*(E457+N(F457)+N(G457))+N('Fee Settings'!$C$7)+N('Fee Settings'!$C$10)*D457+IF(I457="Yes",MIN(N('Fee Settings'!$C$8)*(E457+N(F457)),N('Fee Settings'!$C$9)),0),""))</f>
        <v/>
      </c>
      <c r="L457" s="14" t="str">
        <f>IF(C457="","",IFERROR(D457*N(INDEX(Products!$C$5:$C$29,MATCH(C457,Lists!$A$2:$A$26,0))),""))</f>
        <v/>
      </c>
      <c r="M457" s="15" t="str">
        <f t="shared" si="7"/>
        <v/>
      </c>
    </row>
    <row r="458" spans="1:13" x14ac:dyDescent="0.35">
      <c r="A458" s="11"/>
      <c r="B458" s="12"/>
      <c r="C458" s="12"/>
      <c r="D458" s="12"/>
      <c r="E458" s="13"/>
      <c r="F458" s="13"/>
      <c r="G458" s="13"/>
      <c r="H458" s="13"/>
      <c r="I458" s="12"/>
      <c r="J458" s="13"/>
      <c r="K458" s="14" t="str">
        <f>IF(C458="","",IFERROR(N('Fee Settings'!$C$5)*(E458+N(F458)-N(J458))+N('Fee Settings'!$C$6)*(E458+N(F458)+N(G458))+N('Fee Settings'!$C$7)+N('Fee Settings'!$C$10)*D458+IF(I458="Yes",MIN(N('Fee Settings'!$C$8)*(E458+N(F458)),N('Fee Settings'!$C$9)),0),""))</f>
        <v/>
      </c>
      <c r="L458" s="14" t="str">
        <f>IF(C458="","",IFERROR(D458*N(INDEX(Products!$C$5:$C$29,MATCH(C458,Lists!$A$2:$A$26,0))),""))</f>
        <v/>
      </c>
      <c r="M458" s="15" t="str">
        <f t="shared" si="7"/>
        <v/>
      </c>
    </row>
    <row r="459" spans="1:13" x14ac:dyDescent="0.35">
      <c r="A459" s="11"/>
      <c r="B459" s="12"/>
      <c r="C459" s="12"/>
      <c r="D459" s="12"/>
      <c r="E459" s="13"/>
      <c r="F459" s="13"/>
      <c r="G459" s="13"/>
      <c r="H459" s="13"/>
      <c r="I459" s="12"/>
      <c r="J459" s="13"/>
      <c r="K459" s="14" t="str">
        <f>IF(C459="","",IFERROR(N('Fee Settings'!$C$5)*(E459+N(F459)-N(J459))+N('Fee Settings'!$C$6)*(E459+N(F459)+N(G459))+N('Fee Settings'!$C$7)+N('Fee Settings'!$C$10)*D459+IF(I459="Yes",MIN(N('Fee Settings'!$C$8)*(E459+N(F459)),N('Fee Settings'!$C$9)),0),""))</f>
        <v/>
      </c>
      <c r="L459" s="14" t="str">
        <f>IF(C459="","",IFERROR(D459*N(INDEX(Products!$C$5:$C$29,MATCH(C459,Lists!$A$2:$A$26,0))),""))</f>
        <v/>
      </c>
      <c r="M459" s="15" t="str">
        <f t="shared" si="7"/>
        <v/>
      </c>
    </row>
    <row r="460" spans="1:13" x14ac:dyDescent="0.35">
      <c r="A460" s="11"/>
      <c r="B460" s="12"/>
      <c r="C460" s="12"/>
      <c r="D460" s="12"/>
      <c r="E460" s="13"/>
      <c r="F460" s="13"/>
      <c r="G460" s="13"/>
      <c r="H460" s="13"/>
      <c r="I460" s="12"/>
      <c r="J460" s="13"/>
      <c r="K460" s="14" t="str">
        <f>IF(C460="","",IFERROR(N('Fee Settings'!$C$5)*(E460+N(F460)-N(J460))+N('Fee Settings'!$C$6)*(E460+N(F460)+N(G460))+N('Fee Settings'!$C$7)+N('Fee Settings'!$C$10)*D460+IF(I460="Yes",MIN(N('Fee Settings'!$C$8)*(E460+N(F460)),N('Fee Settings'!$C$9)),0),""))</f>
        <v/>
      </c>
      <c r="L460" s="14" t="str">
        <f>IF(C460="","",IFERROR(D460*N(INDEX(Products!$C$5:$C$29,MATCH(C460,Lists!$A$2:$A$26,0))),""))</f>
        <v/>
      </c>
      <c r="M460" s="15" t="str">
        <f t="shared" si="7"/>
        <v/>
      </c>
    </row>
    <row r="461" spans="1:13" x14ac:dyDescent="0.35">
      <c r="A461" s="11"/>
      <c r="B461" s="12"/>
      <c r="C461" s="12"/>
      <c r="D461" s="12"/>
      <c r="E461" s="13"/>
      <c r="F461" s="13"/>
      <c r="G461" s="13"/>
      <c r="H461" s="13"/>
      <c r="I461" s="12"/>
      <c r="J461" s="13"/>
      <c r="K461" s="14" t="str">
        <f>IF(C461="","",IFERROR(N('Fee Settings'!$C$5)*(E461+N(F461)-N(J461))+N('Fee Settings'!$C$6)*(E461+N(F461)+N(G461))+N('Fee Settings'!$C$7)+N('Fee Settings'!$C$10)*D461+IF(I461="Yes",MIN(N('Fee Settings'!$C$8)*(E461+N(F461)),N('Fee Settings'!$C$9)),0),""))</f>
        <v/>
      </c>
      <c r="L461" s="14" t="str">
        <f>IF(C461="","",IFERROR(D461*N(INDEX(Products!$C$5:$C$29,MATCH(C461,Lists!$A$2:$A$26,0))),""))</f>
        <v/>
      </c>
      <c r="M461" s="15" t="str">
        <f t="shared" si="7"/>
        <v/>
      </c>
    </row>
    <row r="462" spans="1:13" x14ac:dyDescent="0.35">
      <c r="A462" s="11"/>
      <c r="B462" s="12"/>
      <c r="C462" s="12"/>
      <c r="D462" s="12"/>
      <c r="E462" s="13"/>
      <c r="F462" s="13"/>
      <c r="G462" s="13"/>
      <c r="H462" s="13"/>
      <c r="I462" s="12"/>
      <c r="J462" s="13"/>
      <c r="K462" s="14" t="str">
        <f>IF(C462="","",IFERROR(N('Fee Settings'!$C$5)*(E462+N(F462)-N(J462))+N('Fee Settings'!$C$6)*(E462+N(F462)+N(G462))+N('Fee Settings'!$C$7)+N('Fee Settings'!$C$10)*D462+IF(I462="Yes",MIN(N('Fee Settings'!$C$8)*(E462+N(F462)),N('Fee Settings'!$C$9)),0),""))</f>
        <v/>
      </c>
      <c r="L462" s="14" t="str">
        <f>IF(C462="","",IFERROR(D462*N(INDEX(Products!$C$5:$C$29,MATCH(C462,Lists!$A$2:$A$26,0))),""))</f>
        <v/>
      </c>
      <c r="M462" s="15" t="str">
        <f t="shared" si="7"/>
        <v/>
      </c>
    </row>
    <row r="463" spans="1:13" x14ac:dyDescent="0.35">
      <c r="A463" s="11"/>
      <c r="B463" s="12"/>
      <c r="C463" s="12"/>
      <c r="D463" s="12"/>
      <c r="E463" s="13"/>
      <c r="F463" s="13"/>
      <c r="G463" s="13"/>
      <c r="H463" s="13"/>
      <c r="I463" s="12"/>
      <c r="J463" s="13"/>
      <c r="K463" s="14" t="str">
        <f>IF(C463="","",IFERROR(N('Fee Settings'!$C$5)*(E463+N(F463)-N(J463))+N('Fee Settings'!$C$6)*(E463+N(F463)+N(G463))+N('Fee Settings'!$C$7)+N('Fee Settings'!$C$10)*D463+IF(I463="Yes",MIN(N('Fee Settings'!$C$8)*(E463+N(F463)),N('Fee Settings'!$C$9)),0),""))</f>
        <v/>
      </c>
      <c r="L463" s="14" t="str">
        <f>IF(C463="","",IFERROR(D463*N(INDEX(Products!$C$5:$C$29,MATCH(C463,Lists!$A$2:$A$26,0))),""))</f>
        <v/>
      </c>
      <c r="M463" s="15" t="str">
        <f t="shared" si="7"/>
        <v/>
      </c>
    </row>
    <row r="464" spans="1:13" x14ac:dyDescent="0.35">
      <c r="A464" s="11"/>
      <c r="B464" s="12"/>
      <c r="C464" s="12"/>
      <c r="D464" s="12"/>
      <c r="E464" s="13"/>
      <c r="F464" s="13"/>
      <c r="G464" s="13"/>
      <c r="H464" s="13"/>
      <c r="I464" s="12"/>
      <c r="J464" s="13"/>
      <c r="K464" s="14" t="str">
        <f>IF(C464="","",IFERROR(N('Fee Settings'!$C$5)*(E464+N(F464)-N(J464))+N('Fee Settings'!$C$6)*(E464+N(F464)+N(G464))+N('Fee Settings'!$C$7)+N('Fee Settings'!$C$10)*D464+IF(I464="Yes",MIN(N('Fee Settings'!$C$8)*(E464+N(F464)),N('Fee Settings'!$C$9)),0),""))</f>
        <v/>
      </c>
      <c r="L464" s="14" t="str">
        <f>IF(C464="","",IFERROR(D464*N(INDEX(Products!$C$5:$C$29,MATCH(C464,Lists!$A$2:$A$26,0))),""))</f>
        <v/>
      </c>
      <c r="M464" s="15" t="str">
        <f t="shared" si="7"/>
        <v/>
      </c>
    </row>
    <row r="465" spans="1:13" x14ac:dyDescent="0.35">
      <c r="A465" s="11"/>
      <c r="B465" s="12"/>
      <c r="C465" s="12"/>
      <c r="D465" s="12"/>
      <c r="E465" s="13"/>
      <c r="F465" s="13"/>
      <c r="G465" s="13"/>
      <c r="H465" s="13"/>
      <c r="I465" s="12"/>
      <c r="J465" s="13"/>
      <c r="K465" s="14" t="str">
        <f>IF(C465="","",IFERROR(N('Fee Settings'!$C$5)*(E465+N(F465)-N(J465))+N('Fee Settings'!$C$6)*(E465+N(F465)+N(G465))+N('Fee Settings'!$C$7)+N('Fee Settings'!$C$10)*D465+IF(I465="Yes",MIN(N('Fee Settings'!$C$8)*(E465+N(F465)),N('Fee Settings'!$C$9)),0),""))</f>
        <v/>
      </c>
      <c r="L465" s="14" t="str">
        <f>IF(C465="","",IFERROR(D465*N(INDEX(Products!$C$5:$C$29,MATCH(C465,Lists!$A$2:$A$26,0))),""))</f>
        <v/>
      </c>
      <c r="M465" s="15" t="str">
        <f t="shared" si="7"/>
        <v/>
      </c>
    </row>
    <row r="466" spans="1:13" x14ac:dyDescent="0.35">
      <c r="A466" s="11"/>
      <c r="B466" s="12"/>
      <c r="C466" s="12"/>
      <c r="D466" s="12"/>
      <c r="E466" s="13"/>
      <c r="F466" s="13"/>
      <c r="G466" s="13"/>
      <c r="H466" s="13"/>
      <c r="I466" s="12"/>
      <c r="J466" s="13"/>
      <c r="K466" s="14" t="str">
        <f>IF(C466="","",IFERROR(N('Fee Settings'!$C$5)*(E466+N(F466)-N(J466))+N('Fee Settings'!$C$6)*(E466+N(F466)+N(G466))+N('Fee Settings'!$C$7)+N('Fee Settings'!$C$10)*D466+IF(I466="Yes",MIN(N('Fee Settings'!$C$8)*(E466+N(F466)),N('Fee Settings'!$C$9)),0),""))</f>
        <v/>
      </c>
      <c r="L466" s="14" t="str">
        <f>IF(C466="","",IFERROR(D466*N(INDEX(Products!$C$5:$C$29,MATCH(C466,Lists!$A$2:$A$26,0))),""))</f>
        <v/>
      </c>
      <c r="M466" s="15" t="str">
        <f t="shared" si="7"/>
        <v/>
      </c>
    </row>
    <row r="467" spans="1:13" x14ac:dyDescent="0.35">
      <c r="A467" s="11"/>
      <c r="B467" s="12"/>
      <c r="C467" s="12"/>
      <c r="D467" s="12"/>
      <c r="E467" s="13"/>
      <c r="F467" s="13"/>
      <c r="G467" s="13"/>
      <c r="H467" s="13"/>
      <c r="I467" s="12"/>
      <c r="J467" s="13"/>
      <c r="K467" s="14" t="str">
        <f>IF(C467="","",IFERROR(N('Fee Settings'!$C$5)*(E467+N(F467)-N(J467))+N('Fee Settings'!$C$6)*(E467+N(F467)+N(G467))+N('Fee Settings'!$C$7)+N('Fee Settings'!$C$10)*D467+IF(I467="Yes",MIN(N('Fee Settings'!$C$8)*(E467+N(F467)),N('Fee Settings'!$C$9)),0),""))</f>
        <v/>
      </c>
      <c r="L467" s="14" t="str">
        <f>IF(C467="","",IFERROR(D467*N(INDEX(Products!$C$5:$C$29,MATCH(C467,Lists!$A$2:$A$26,0))),""))</f>
        <v/>
      </c>
      <c r="M467" s="15" t="str">
        <f t="shared" si="7"/>
        <v/>
      </c>
    </row>
    <row r="468" spans="1:13" x14ac:dyDescent="0.35">
      <c r="A468" s="11"/>
      <c r="B468" s="12"/>
      <c r="C468" s="12"/>
      <c r="D468" s="12"/>
      <c r="E468" s="13"/>
      <c r="F468" s="13"/>
      <c r="G468" s="13"/>
      <c r="H468" s="13"/>
      <c r="I468" s="12"/>
      <c r="J468" s="13"/>
      <c r="K468" s="14" t="str">
        <f>IF(C468="","",IFERROR(N('Fee Settings'!$C$5)*(E468+N(F468)-N(J468))+N('Fee Settings'!$C$6)*(E468+N(F468)+N(G468))+N('Fee Settings'!$C$7)+N('Fee Settings'!$C$10)*D468+IF(I468="Yes",MIN(N('Fee Settings'!$C$8)*(E468+N(F468)),N('Fee Settings'!$C$9)),0),""))</f>
        <v/>
      </c>
      <c r="L468" s="14" t="str">
        <f>IF(C468="","",IFERROR(D468*N(INDEX(Products!$C$5:$C$29,MATCH(C468,Lists!$A$2:$A$26,0))),""))</f>
        <v/>
      </c>
      <c r="M468" s="15" t="str">
        <f t="shared" si="7"/>
        <v/>
      </c>
    </row>
    <row r="469" spans="1:13" x14ac:dyDescent="0.35">
      <c r="A469" s="11"/>
      <c r="B469" s="12"/>
      <c r="C469" s="12"/>
      <c r="D469" s="12"/>
      <c r="E469" s="13"/>
      <c r="F469" s="13"/>
      <c r="G469" s="13"/>
      <c r="H469" s="13"/>
      <c r="I469" s="12"/>
      <c r="J469" s="13"/>
      <c r="K469" s="14" t="str">
        <f>IF(C469="","",IFERROR(N('Fee Settings'!$C$5)*(E469+N(F469)-N(J469))+N('Fee Settings'!$C$6)*(E469+N(F469)+N(G469))+N('Fee Settings'!$C$7)+N('Fee Settings'!$C$10)*D469+IF(I469="Yes",MIN(N('Fee Settings'!$C$8)*(E469+N(F469)),N('Fee Settings'!$C$9)),0),""))</f>
        <v/>
      </c>
      <c r="L469" s="14" t="str">
        <f>IF(C469="","",IFERROR(D469*N(INDEX(Products!$C$5:$C$29,MATCH(C469,Lists!$A$2:$A$26,0))),""))</f>
        <v/>
      </c>
      <c r="M469" s="15" t="str">
        <f t="shared" si="7"/>
        <v/>
      </c>
    </row>
    <row r="470" spans="1:13" x14ac:dyDescent="0.35">
      <c r="A470" s="11"/>
      <c r="B470" s="12"/>
      <c r="C470" s="12"/>
      <c r="D470" s="12"/>
      <c r="E470" s="13"/>
      <c r="F470" s="13"/>
      <c r="G470" s="13"/>
      <c r="H470" s="13"/>
      <c r="I470" s="12"/>
      <c r="J470" s="13"/>
      <c r="K470" s="14" t="str">
        <f>IF(C470="","",IFERROR(N('Fee Settings'!$C$5)*(E470+N(F470)-N(J470))+N('Fee Settings'!$C$6)*(E470+N(F470)+N(G470))+N('Fee Settings'!$C$7)+N('Fee Settings'!$C$10)*D470+IF(I470="Yes",MIN(N('Fee Settings'!$C$8)*(E470+N(F470)),N('Fee Settings'!$C$9)),0),""))</f>
        <v/>
      </c>
      <c r="L470" s="14" t="str">
        <f>IF(C470="","",IFERROR(D470*N(INDEX(Products!$C$5:$C$29,MATCH(C470,Lists!$A$2:$A$26,0))),""))</f>
        <v/>
      </c>
      <c r="M470" s="15" t="str">
        <f t="shared" si="7"/>
        <v/>
      </c>
    </row>
    <row r="471" spans="1:13" x14ac:dyDescent="0.35">
      <c r="A471" s="11"/>
      <c r="B471" s="12"/>
      <c r="C471" s="12"/>
      <c r="D471" s="12"/>
      <c r="E471" s="13"/>
      <c r="F471" s="13"/>
      <c r="G471" s="13"/>
      <c r="H471" s="13"/>
      <c r="I471" s="12"/>
      <c r="J471" s="13"/>
      <c r="K471" s="14" t="str">
        <f>IF(C471="","",IFERROR(N('Fee Settings'!$C$5)*(E471+N(F471)-N(J471))+N('Fee Settings'!$C$6)*(E471+N(F471)+N(G471))+N('Fee Settings'!$C$7)+N('Fee Settings'!$C$10)*D471+IF(I471="Yes",MIN(N('Fee Settings'!$C$8)*(E471+N(F471)),N('Fee Settings'!$C$9)),0),""))</f>
        <v/>
      </c>
      <c r="L471" s="14" t="str">
        <f>IF(C471="","",IFERROR(D471*N(INDEX(Products!$C$5:$C$29,MATCH(C471,Lists!$A$2:$A$26,0))),""))</f>
        <v/>
      </c>
      <c r="M471" s="15" t="str">
        <f t="shared" si="7"/>
        <v/>
      </c>
    </row>
    <row r="472" spans="1:13" x14ac:dyDescent="0.35">
      <c r="A472" s="11"/>
      <c r="B472" s="12"/>
      <c r="C472" s="12"/>
      <c r="D472" s="12"/>
      <c r="E472" s="13"/>
      <c r="F472" s="13"/>
      <c r="G472" s="13"/>
      <c r="H472" s="13"/>
      <c r="I472" s="12"/>
      <c r="J472" s="13"/>
      <c r="K472" s="14" t="str">
        <f>IF(C472="","",IFERROR(N('Fee Settings'!$C$5)*(E472+N(F472)-N(J472))+N('Fee Settings'!$C$6)*(E472+N(F472)+N(G472))+N('Fee Settings'!$C$7)+N('Fee Settings'!$C$10)*D472+IF(I472="Yes",MIN(N('Fee Settings'!$C$8)*(E472+N(F472)),N('Fee Settings'!$C$9)),0),""))</f>
        <v/>
      </c>
      <c r="L472" s="14" t="str">
        <f>IF(C472="","",IFERROR(D472*N(INDEX(Products!$C$5:$C$29,MATCH(C472,Lists!$A$2:$A$26,0))),""))</f>
        <v/>
      </c>
      <c r="M472" s="15" t="str">
        <f t="shared" si="7"/>
        <v/>
      </c>
    </row>
    <row r="473" spans="1:13" x14ac:dyDescent="0.35">
      <c r="A473" s="11"/>
      <c r="B473" s="12"/>
      <c r="C473" s="12"/>
      <c r="D473" s="12"/>
      <c r="E473" s="13"/>
      <c r="F473" s="13"/>
      <c r="G473" s="13"/>
      <c r="H473" s="13"/>
      <c r="I473" s="12"/>
      <c r="J473" s="13"/>
      <c r="K473" s="14" t="str">
        <f>IF(C473="","",IFERROR(N('Fee Settings'!$C$5)*(E473+N(F473)-N(J473))+N('Fee Settings'!$C$6)*(E473+N(F473)+N(G473))+N('Fee Settings'!$C$7)+N('Fee Settings'!$C$10)*D473+IF(I473="Yes",MIN(N('Fee Settings'!$C$8)*(E473+N(F473)),N('Fee Settings'!$C$9)),0),""))</f>
        <v/>
      </c>
      <c r="L473" s="14" t="str">
        <f>IF(C473="","",IFERROR(D473*N(INDEX(Products!$C$5:$C$29,MATCH(C473,Lists!$A$2:$A$26,0))),""))</f>
        <v/>
      </c>
      <c r="M473" s="15" t="str">
        <f t="shared" si="7"/>
        <v/>
      </c>
    </row>
    <row r="474" spans="1:13" x14ac:dyDescent="0.35">
      <c r="A474" s="11"/>
      <c r="B474" s="12"/>
      <c r="C474" s="12"/>
      <c r="D474" s="12"/>
      <c r="E474" s="13"/>
      <c r="F474" s="13"/>
      <c r="G474" s="13"/>
      <c r="H474" s="13"/>
      <c r="I474" s="12"/>
      <c r="J474" s="13"/>
      <c r="K474" s="14" t="str">
        <f>IF(C474="","",IFERROR(N('Fee Settings'!$C$5)*(E474+N(F474)-N(J474))+N('Fee Settings'!$C$6)*(E474+N(F474)+N(G474))+N('Fee Settings'!$C$7)+N('Fee Settings'!$C$10)*D474+IF(I474="Yes",MIN(N('Fee Settings'!$C$8)*(E474+N(F474)),N('Fee Settings'!$C$9)),0),""))</f>
        <v/>
      </c>
      <c r="L474" s="14" t="str">
        <f>IF(C474="","",IFERROR(D474*N(INDEX(Products!$C$5:$C$29,MATCH(C474,Lists!$A$2:$A$26,0))),""))</f>
        <v/>
      </c>
      <c r="M474" s="15" t="str">
        <f t="shared" si="7"/>
        <v/>
      </c>
    </row>
    <row r="475" spans="1:13" x14ac:dyDescent="0.35">
      <c r="A475" s="11"/>
      <c r="B475" s="12"/>
      <c r="C475" s="12"/>
      <c r="D475" s="12"/>
      <c r="E475" s="13"/>
      <c r="F475" s="13"/>
      <c r="G475" s="13"/>
      <c r="H475" s="13"/>
      <c r="I475" s="12"/>
      <c r="J475" s="13"/>
      <c r="K475" s="14" t="str">
        <f>IF(C475="","",IFERROR(N('Fee Settings'!$C$5)*(E475+N(F475)-N(J475))+N('Fee Settings'!$C$6)*(E475+N(F475)+N(G475))+N('Fee Settings'!$C$7)+N('Fee Settings'!$C$10)*D475+IF(I475="Yes",MIN(N('Fee Settings'!$C$8)*(E475+N(F475)),N('Fee Settings'!$C$9)),0),""))</f>
        <v/>
      </c>
      <c r="L475" s="14" t="str">
        <f>IF(C475="","",IFERROR(D475*N(INDEX(Products!$C$5:$C$29,MATCH(C475,Lists!$A$2:$A$26,0))),""))</f>
        <v/>
      </c>
      <c r="M475" s="15" t="str">
        <f t="shared" si="7"/>
        <v/>
      </c>
    </row>
    <row r="476" spans="1:13" x14ac:dyDescent="0.35">
      <c r="A476" s="11"/>
      <c r="B476" s="12"/>
      <c r="C476" s="12"/>
      <c r="D476" s="12"/>
      <c r="E476" s="13"/>
      <c r="F476" s="13"/>
      <c r="G476" s="13"/>
      <c r="H476" s="13"/>
      <c r="I476" s="12"/>
      <c r="J476" s="13"/>
      <c r="K476" s="14" t="str">
        <f>IF(C476="","",IFERROR(N('Fee Settings'!$C$5)*(E476+N(F476)-N(J476))+N('Fee Settings'!$C$6)*(E476+N(F476)+N(G476))+N('Fee Settings'!$C$7)+N('Fee Settings'!$C$10)*D476+IF(I476="Yes",MIN(N('Fee Settings'!$C$8)*(E476+N(F476)),N('Fee Settings'!$C$9)),0),""))</f>
        <v/>
      </c>
      <c r="L476" s="14" t="str">
        <f>IF(C476="","",IFERROR(D476*N(INDEX(Products!$C$5:$C$29,MATCH(C476,Lists!$A$2:$A$26,0))),""))</f>
        <v/>
      </c>
      <c r="M476" s="15" t="str">
        <f t="shared" si="7"/>
        <v/>
      </c>
    </row>
    <row r="477" spans="1:13" x14ac:dyDescent="0.35">
      <c r="A477" s="11"/>
      <c r="B477" s="12"/>
      <c r="C477" s="12"/>
      <c r="D477" s="12"/>
      <c r="E477" s="13"/>
      <c r="F477" s="13"/>
      <c r="G477" s="13"/>
      <c r="H477" s="13"/>
      <c r="I477" s="12"/>
      <c r="J477" s="13"/>
      <c r="K477" s="14" t="str">
        <f>IF(C477="","",IFERROR(N('Fee Settings'!$C$5)*(E477+N(F477)-N(J477))+N('Fee Settings'!$C$6)*(E477+N(F477)+N(G477))+N('Fee Settings'!$C$7)+N('Fee Settings'!$C$10)*D477+IF(I477="Yes",MIN(N('Fee Settings'!$C$8)*(E477+N(F477)),N('Fee Settings'!$C$9)),0),""))</f>
        <v/>
      </c>
      <c r="L477" s="14" t="str">
        <f>IF(C477="","",IFERROR(D477*N(INDEX(Products!$C$5:$C$29,MATCH(C477,Lists!$A$2:$A$26,0))),""))</f>
        <v/>
      </c>
      <c r="M477" s="15" t="str">
        <f t="shared" si="7"/>
        <v/>
      </c>
    </row>
    <row r="478" spans="1:13" x14ac:dyDescent="0.35">
      <c r="A478" s="11"/>
      <c r="B478" s="12"/>
      <c r="C478" s="12"/>
      <c r="D478" s="12"/>
      <c r="E478" s="13"/>
      <c r="F478" s="13"/>
      <c r="G478" s="13"/>
      <c r="H478" s="13"/>
      <c r="I478" s="12"/>
      <c r="J478" s="13"/>
      <c r="K478" s="14" t="str">
        <f>IF(C478="","",IFERROR(N('Fee Settings'!$C$5)*(E478+N(F478)-N(J478))+N('Fee Settings'!$C$6)*(E478+N(F478)+N(G478))+N('Fee Settings'!$C$7)+N('Fee Settings'!$C$10)*D478+IF(I478="Yes",MIN(N('Fee Settings'!$C$8)*(E478+N(F478)),N('Fee Settings'!$C$9)),0),""))</f>
        <v/>
      </c>
      <c r="L478" s="14" t="str">
        <f>IF(C478="","",IFERROR(D478*N(INDEX(Products!$C$5:$C$29,MATCH(C478,Lists!$A$2:$A$26,0))),""))</f>
        <v/>
      </c>
      <c r="M478" s="15" t="str">
        <f t="shared" si="7"/>
        <v/>
      </c>
    </row>
    <row r="479" spans="1:13" x14ac:dyDescent="0.35">
      <c r="A479" s="11"/>
      <c r="B479" s="12"/>
      <c r="C479" s="12"/>
      <c r="D479" s="12"/>
      <c r="E479" s="13"/>
      <c r="F479" s="13"/>
      <c r="G479" s="13"/>
      <c r="H479" s="13"/>
      <c r="I479" s="12"/>
      <c r="J479" s="13"/>
      <c r="K479" s="14" t="str">
        <f>IF(C479="","",IFERROR(N('Fee Settings'!$C$5)*(E479+N(F479)-N(J479))+N('Fee Settings'!$C$6)*(E479+N(F479)+N(G479))+N('Fee Settings'!$C$7)+N('Fee Settings'!$C$10)*D479+IF(I479="Yes",MIN(N('Fee Settings'!$C$8)*(E479+N(F479)),N('Fee Settings'!$C$9)),0),""))</f>
        <v/>
      </c>
      <c r="L479" s="14" t="str">
        <f>IF(C479="","",IFERROR(D479*N(INDEX(Products!$C$5:$C$29,MATCH(C479,Lists!$A$2:$A$26,0))),""))</f>
        <v/>
      </c>
      <c r="M479" s="15" t="str">
        <f t="shared" si="7"/>
        <v/>
      </c>
    </row>
    <row r="480" spans="1:13" x14ac:dyDescent="0.35">
      <c r="A480" s="11"/>
      <c r="B480" s="12"/>
      <c r="C480" s="12"/>
      <c r="D480" s="12"/>
      <c r="E480" s="13"/>
      <c r="F480" s="13"/>
      <c r="G480" s="13"/>
      <c r="H480" s="13"/>
      <c r="I480" s="12"/>
      <c r="J480" s="13"/>
      <c r="K480" s="14" t="str">
        <f>IF(C480="","",IFERROR(N('Fee Settings'!$C$5)*(E480+N(F480)-N(J480))+N('Fee Settings'!$C$6)*(E480+N(F480)+N(G480))+N('Fee Settings'!$C$7)+N('Fee Settings'!$C$10)*D480+IF(I480="Yes",MIN(N('Fee Settings'!$C$8)*(E480+N(F480)),N('Fee Settings'!$C$9)),0),""))</f>
        <v/>
      </c>
      <c r="L480" s="14" t="str">
        <f>IF(C480="","",IFERROR(D480*N(INDEX(Products!$C$5:$C$29,MATCH(C480,Lists!$A$2:$A$26,0))),""))</f>
        <v/>
      </c>
      <c r="M480" s="15" t="str">
        <f t="shared" si="7"/>
        <v/>
      </c>
    </row>
    <row r="481" spans="1:13" x14ac:dyDescent="0.35">
      <c r="A481" s="11"/>
      <c r="B481" s="12"/>
      <c r="C481" s="12"/>
      <c r="D481" s="12"/>
      <c r="E481" s="13"/>
      <c r="F481" s="13"/>
      <c r="G481" s="13"/>
      <c r="H481" s="13"/>
      <c r="I481" s="12"/>
      <c r="J481" s="13"/>
      <c r="K481" s="14" t="str">
        <f>IF(C481="","",IFERROR(N('Fee Settings'!$C$5)*(E481+N(F481)-N(J481))+N('Fee Settings'!$C$6)*(E481+N(F481)+N(G481))+N('Fee Settings'!$C$7)+N('Fee Settings'!$C$10)*D481+IF(I481="Yes",MIN(N('Fee Settings'!$C$8)*(E481+N(F481)),N('Fee Settings'!$C$9)),0),""))</f>
        <v/>
      </c>
      <c r="L481" s="14" t="str">
        <f>IF(C481="","",IFERROR(D481*N(INDEX(Products!$C$5:$C$29,MATCH(C481,Lists!$A$2:$A$26,0))),""))</f>
        <v/>
      </c>
      <c r="M481" s="15" t="str">
        <f t="shared" si="7"/>
        <v/>
      </c>
    </row>
    <row r="482" spans="1:13" x14ac:dyDescent="0.35">
      <c r="A482" s="11"/>
      <c r="B482" s="12"/>
      <c r="C482" s="12"/>
      <c r="D482" s="12"/>
      <c r="E482" s="13"/>
      <c r="F482" s="13"/>
      <c r="G482" s="13"/>
      <c r="H482" s="13"/>
      <c r="I482" s="12"/>
      <c r="J482" s="13"/>
      <c r="K482" s="14" t="str">
        <f>IF(C482="","",IFERROR(N('Fee Settings'!$C$5)*(E482+N(F482)-N(J482))+N('Fee Settings'!$C$6)*(E482+N(F482)+N(G482))+N('Fee Settings'!$C$7)+N('Fee Settings'!$C$10)*D482+IF(I482="Yes",MIN(N('Fee Settings'!$C$8)*(E482+N(F482)),N('Fee Settings'!$C$9)),0),""))</f>
        <v/>
      </c>
      <c r="L482" s="14" t="str">
        <f>IF(C482="","",IFERROR(D482*N(INDEX(Products!$C$5:$C$29,MATCH(C482,Lists!$A$2:$A$26,0))),""))</f>
        <v/>
      </c>
      <c r="M482" s="15" t="str">
        <f t="shared" si="7"/>
        <v/>
      </c>
    </row>
    <row r="483" spans="1:13" x14ac:dyDescent="0.35">
      <c r="A483" s="11"/>
      <c r="B483" s="12"/>
      <c r="C483" s="12"/>
      <c r="D483" s="12"/>
      <c r="E483" s="13"/>
      <c r="F483" s="13"/>
      <c r="G483" s="13"/>
      <c r="H483" s="13"/>
      <c r="I483" s="12"/>
      <c r="J483" s="13"/>
      <c r="K483" s="14" t="str">
        <f>IF(C483="","",IFERROR(N('Fee Settings'!$C$5)*(E483+N(F483)-N(J483))+N('Fee Settings'!$C$6)*(E483+N(F483)+N(G483))+N('Fee Settings'!$C$7)+N('Fee Settings'!$C$10)*D483+IF(I483="Yes",MIN(N('Fee Settings'!$C$8)*(E483+N(F483)),N('Fee Settings'!$C$9)),0),""))</f>
        <v/>
      </c>
      <c r="L483" s="14" t="str">
        <f>IF(C483="","",IFERROR(D483*N(INDEX(Products!$C$5:$C$29,MATCH(C483,Lists!$A$2:$A$26,0))),""))</f>
        <v/>
      </c>
      <c r="M483" s="15" t="str">
        <f t="shared" si="7"/>
        <v/>
      </c>
    </row>
    <row r="484" spans="1:13" x14ac:dyDescent="0.35">
      <c r="A484" s="11"/>
      <c r="B484" s="12"/>
      <c r="C484" s="12"/>
      <c r="D484" s="12"/>
      <c r="E484" s="13"/>
      <c r="F484" s="13"/>
      <c r="G484" s="13"/>
      <c r="H484" s="13"/>
      <c r="I484" s="12"/>
      <c r="J484" s="13"/>
      <c r="K484" s="14" t="str">
        <f>IF(C484="","",IFERROR(N('Fee Settings'!$C$5)*(E484+N(F484)-N(J484))+N('Fee Settings'!$C$6)*(E484+N(F484)+N(G484))+N('Fee Settings'!$C$7)+N('Fee Settings'!$C$10)*D484+IF(I484="Yes",MIN(N('Fee Settings'!$C$8)*(E484+N(F484)),N('Fee Settings'!$C$9)),0),""))</f>
        <v/>
      </c>
      <c r="L484" s="14" t="str">
        <f>IF(C484="","",IFERROR(D484*N(INDEX(Products!$C$5:$C$29,MATCH(C484,Lists!$A$2:$A$26,0))),""))</f>
        <v/>
      </c>
      <c r="M484" s="15" t="str">
        <f t="shared" si="7"/>
        <v/>
      </c>
    </row>
    <row r="485" spans="1:13" x14ac:dyDescent="0.35">
      <c r="A485" s="11"/>
      <c r="B485" s="12"/>
      <c r="C485" s="12"/>
      <c r="D485" s="12"/>
      <c r="E485" s="13"/>
      <c r="F485" s="13"/>
      <c r="G485" s="13"/>
      <c r="H485" s="13"/>
      <c r="I485" s="12"/>
      <c r="J485" s="13"/>
      <c r="K485" s="14" t="str">
        <f>IF(C485="","",IFERROR(N('Fee Settings'!$C$5)*(E485+N(F485)-N(J485))+N('Fee Settings'!$C$6)*(E485+N(F485)+N(G485))+N('Fee Settings'!$C$7)+N('Fee Settings'!$C$10)*D485+IF(I485="Yes",MIN(N('Fee Settings'!$C$8)*(E485+N(F485)),N('Fee Settings'!$C$9)),0),""))</f>
        <v/>
      </c>
      <c r="L485" s="14" t="str">
        <f>IF(C485="","",IFERROR(D485*N(INDEX(Products!$C$5:$C$29,MATCH(C485,Lists!$A$2:$A$26,0))),""))</f>
        <v/>
      </c>
      <c r="M485" s="15" t="str">
        <f t="shared" si="7"/>
        <v/>
      </c>
    </row>
    <row r="486" spans="1:13" x14ac:dyDescent="0.35">
      <c r="A486" s="11"/>
      <c r="B486" s="12"/>
      <c r="C486" s="12"/>
      <c r="D486" s="12"/>
      <c r="E486" s="13"/>
      <c r="F486" s="13"/>
      <c r="G486" s="13"/>
      <c r="H486" s="13"/>
      <c r="I486" s="12"/>
      <c r="J486" s="13"/>
      <c r="K486" s="14" t="str">
        <f>IF(C486="","",IFERROR(N('Fee Settings'!$C$5)*(E486+N(F486)-N(J486))+N('Fee Settings'!$C$6)*(E486+N(F486)+N(G486))+N('Fee Settings'!$C$7)+N('Fee Settings'!$C$10)*D486+IF(I486="Yes",MIN(N('Fee Settings'!$C$8)*(E486+N(F486)),N('Fee Settings'!$C$9)),0),""))</f>
        <v/>
      </c>
      <c r="L486" s="14" t="str">
        <f>IF(C486="","",IFERROR(D486*N(INDEX(Products!$C$5:$C$29,MATCH(C486,Lists!$A$2:$A$26,0))),""))</f>
        <v/>
      </c>
      <c r="M486" s="15" t="str">
        <f t="shared" si="7"/>
        <v/>
      </c>
    </row>
    <row r="487" spans="1:13" x14ac:dyDescent="0.35">
      <c r="A487" s="11"/>
      <c r="B487" s="12"/>
      <c r="C487" s="12"/>
      <c r="D487" s="12"/>
      <c r="E487" s="13"/>
      <c r="F487" s="13"/>
      <c r="G487" s="13"/>
      <c r="H487" s="13"/>
      <c r="I487" s="12"/>
      <c r="J487" s="13"/>
      <c r="K487" s="14" t="str">
        <f>IF(C487="","",IFERROR(N('Fee Settings'!$C$5)*(E487+N(F487)-N(J487))+N('Fee Settings'!$C$6)*(E487+N(F487)+N(G487))+N('Fee Settings'!$C$7)+N('Fee Settings'!$C$10)*D487+IF(I487="Yes",MIN(N('Fee Settings'!$C$8)*(E487+N(F487)),N('Fee Settings'!$C$9)),0),""))</f>
        <v/>
      </c>
      <c r="L487" s="14" t="str">
        <f>IF(C487="","",IFERROR(D487*N(INDEX(Products!$C$5:$C$29,MATCH(C487,Lists!$A$2:$A$26,0))),""))</f>
        <v/>
      </c>
      <c r="M487" s="15" t="str">
        <f t="shared" si="7"/>
        <v/>
      </c>
    </row>
    <row r="488" spans="1:13" x14ac:dyDescent="0.35">
      <c r="A488" s="11"/>
      <c r="B488" s="12"/>
      <c r="C488" s="12"/>
      <c r="D488" s="12"/>
      <c r="E488" s="13"/>
      <c r="F488" s="13"/>
      <c r="G488" s="13"/>
      <c r="H488" s="13"/>
      <c r="I488" s="12"/>
      <c r="J488" s="13"/>
      <c r="K488" s="14" t="str">
        <f>IF(C488="","",IFERROR(N('Fee Settings'!$C$5)*(E488+N(F488)-N(J488))+N('Fee Settings'!$C$6)*(E488+N(F488)+N(G488))+N('Fee Settings'!$C$7)+N('Fee Settings'!$C$10)*D488+IF(I488="Yes",MIN(N('Fee Settings'!$C$8)*(E488+N(F488)),N('Fee Settings'!$C$9)),0),""))</f>
        <v/>
      </c>
      <c r="L488" s="14" t="str">
        <f>IF(C488="","",IFERROR(D488*N(INDEX(Products!$C$5:$C$29,MATCH(C488,Lists!$A$2:$A$26,0))),""))</f>
        <v/>
      </c>
      <c r="M488" s="15" t="str">
        <f t="shared" si="7"/>
        <v/>
      </c>
    </row>
    <row r="489" spans="1:13" x14ac:dyDescent="0.35">
      <c r="A489" s="11"/>
      <c r="B489" s="12"/>
      <c r="C489" s="12"/>
      <c r="D489" s="12"/>
      <c r="E489" s="13"/>
      <c r="F489" s="13"/>
      <c r="G489" s="13"/>
      <c r="H489" s="13"/>
      <c r="I489" s="12"/>
      <c r="J489" s="13"/>
      <c r="K489" s="14" t="str">
        <f>IF(C489="","",IFERROR(N('Fee Settings'!$C$5)*(E489+N(F489)-N(J489))+N('Fee Settings'!$C$6)*(E489+N(F489)+N(G489))+N('Fee Settings'!$C$7)+N('Fee Settings'!$C$10)*D489+IF(I489="Yes",MIN(N('Fee Settings'!$C$8)*(E489+N(F489)),N('Fee Settings'!$C$9)),0),""))</f>
        <v/>
      </c>
      <c r="L489" s="14" t="str">
        <f>IF(C489="","",IFERROR(D489*N(INDEX(Products!$C$5:$C$29,MATCH(C489,Lists!$A$2:$A$26,0))),""))</f>
        <v/>
      </c>
      <c r="M489" s="15" t="str">
        <f t="shared" si="7"/>
        <v/>
      </c>
    </row>
    <row r="490" spans="1:13" x14ac:dyDescent="0.35">
      <c r="A490" s="11"/>
      <c r="B490" s="12"/>
      <c r="C490" s="12"/>
      <c r="D490" s="12"/>
      <c r="E490" s="13"/>
      <c r="F490" s="13"/>
      <c r="G490" s="13"/>
      <c r="H490" s="13"/>
      <c r="I490" s="12"/>
      <c r="J490" s="13"/>
      <c r="K490" s="14" t="str">
        <f>IF(C490="","",IFERROR(N('Fee Settings'!$C$5)*(E490+N(F490)-N(J490))+N('Fee Settings'!$C$6)*(E490+N(F490)+N(G490))+N('Fee Settings'!$C$7)+N('Fee Settings'!$C$10)*D490+IF(I490="Yes",MIN(N('Fee Settings'!$C$8)*(E490+N(F490)),N('Fee Settings'!$C$9)),0),""))</f>
        <v/>
      </c>
      <c r="L490" s="14" t="str">
        <f>IF(C490="","",IFERROR(D490*N(INDEX(Products!$C$5:$C$29,MATCH(C490,Lists!$A$2:$A$26,0))),""))</f>
        <v/>
      </c>
      <c r="M490" s="15" t="str">
        <f t="shared" si="7"/>
        <v/>
      </c>
    </row>
    <row r="491" spans="1:13" x14ac:dyDescent="0.35">
      <c r="A491" s="11"/>
      <c r="B491" s="12"/>
      <c r="C491" s="12"/>
      <c r="D491" s="12"/>
      <c r="E491" s="13"/>
      <c r="F491" s="13"/>
      <c r="G491" s="13"/>
      <c r="H491" s="13"/>
      <c r="I491" s="12"/>
      <c r="J491" s="13"/>
      <c r="K491" s="14" t="str">
        <f>IF(C491="","",IFERROR(N('Fee Settings'!$C$5)*(E491+N(F491)-N(J491))+N('Fee Settings'!$C$6)*(E491+N(F491)+N(G491))+N('Fee Settings'!$C$7)+N('Fee Settings'!$C$10)*D491+IF(I491="Yes",MIN(N('Fee Settings'!$C$8)*(E491+N(F491)),N('Fee Settings'!$C$9)),0),""))</f>
        <v/>
      </c>
      <c r="L491" s="14" t="str">
        <f>IF(C491="","",IFERROR(D491*N(INDEX(Products!$C$5:$C$29,MATCH(C491,Lists!$A$2:$A$26,0))),""))</f>
        <v/>
      </c>
      <c r="M491" s="15" t="str">
        <f t="shared" si="7"/>
        <v/>
      </c>
    </row>
    <row r="492" spans="1:13" x14ac:dyDescent="0.35">
      <c r="A492" s="11"/>
      <c r="B492" s="12"/>
      <c r="C492" s="12"/>
      <c r="D492" s="12"/>
      <c r="E492" s="13"/>
      <c r="F492" s="13"/>
      <c r="G492" s="13"/>
      <c r="H492" s="13"/>
      <c r="I492" s="12"/>
      <c r="J492" s="13"/>
      <c r="K492" s="14" t="str">
        <f>IF(C492="","",IFERROR(N('Fee Settings'!$C$5)*(E492+N(F492)-N(J492))+N('Fee Settings'!$C$6)*(E492+N(F492)+N(G492))+N('Fee Settings'!$C$7)+N('Fee Settings'!$C$10)*D492+IF(I492="Yes",MIN(N('Fee Settings'!$C$8)*(E492+N(F492)),N('Fee Settings'!$C$9)),0),""))</f>
        <v/>
      </c>
      <c r="L492" s="14" t="str">
        <f>IF(C492="","",IFERROR(D492*N(INDEX(Products!$C$5:$C$29,MATCH(C492,Lists!$A$2:$A$26,0))),""))</f>
        <v/>
      </c>
      <c r="M492" s="15" t="str">
        <f t="shared" si="7"/>
        <v/>
      </c>
    </row>
    <row r="493" spans="1:13" x14ac:dyDescent="0.35">
      <c r="A493" s="11"/>
      <c r="B493" s="12"/>
      <c r="C493" s="12"/>
      <c r="D493" s="12"/>
      <c r="E493" s="13"/>
      <c r="F493" s="13"/>
      <c r="G493" s="13"/>
      <c r="H493" s="13"/>
      <c r="I493" s="12"/>
      <c r="J493" s="13"/>
      <c r="K493" s="14" t="str">
        <f>IF(C493="","",IFERROR(N('Fee Settings'!$C$5)*(E493+N(F493)-N(J493))+N('Fee Settings'!$C$6)*(E493+N(F493)+N(G493))+N('Fee Settings'!$C$7)+N('Fee Settings'!$C$10)*D493+IF(I493="Yes",MIN(N('Fee Settings'!$C$8)*(E493+N(F493)),N('Fee Settings'!$C$9)),0),""))</f>
        <v/>
      </c>
      <c r="L493" s="14" t="str">
        <f>IF(C493="","",IFERROR(D493*N(INDEX(Products!$C$5:$C$29,MATCH(C493,Lists!$A$2:$A$26,0))),""))</f>
        <v/>
      </c>
      <c r="M493" s="15" t="str">
        <f t="shared" si="7"/>
        <v/>
      </c>
    </row>
    <row r="494" spans="1:13" x14ac:dyDescent="0.35">
      <c r="A494" s="11"/>
      <c r="B494" s="12"/>
      <c r="C494" s="12"/>
      <c r="D494" s="12"/>
      <c r="E494" s="13"/>
      <c r="F494" s="13"/>
      <c r="G494" s="13"/>
      <c r="H494" s="13"/>
      <c r="I494" s="12"/>
      <c r="J494" s="13"/>
      <c r="K494" s="14" t="str">
        <f>IF(C494="","",IFERROR(N('Fee Settings'!$C$5)*(E494+N(F494)-N(J494))+N('Fee Settings'!$C$6)*(E494+N(F494)+N(G494))+N('Fee Settings'!$C$7)+N('Fee Settings'!$C$10)*D494+IF(I494="Yes",MIN(N('Fee Settings'!$C$8)*(E494+N(F494)),N('Fee Settings'!$C$9)),0),""))</f>
        <v/>
      </c>
      <c r="L494" s="14" t="str">
        <f>IF(C494="","",IFERROR(D494*N(INDEX(Products!$C$5:$C$29,MATCH(C494,Lists!$A$2:$A$26,0))),""))</f>
        <v/>
      </c>
      <c r="M494" s="15" t="str">
        <f t="shared" si="7"/>
        <v/>
      </c>
    </row>
    <row r="495" spans="1:13" x14ac:dyDescent="0.35">
      <c r="A495" s="11"/>
      <c r="B495" s="12"/>
      <c r="C495" s="12"/>
      <c r="D495" s="12"/>
      <c r="E495" s="13"/>
      <c r="F495" s="13"/>
      <c r="G495" s="13"/>
      <c r="H495" s="13"/>
      <c r="I495" s="12"/>
      <c r="J495" s="13"/>
      <c r="K495" s="14" t="str">
        <f>IF(C495="","",IFERROR(N('Fee Settings'!$C$5)*(E495+N(F495)-N(J495))+N('Fee Settings'!$C$6)*(E495+N(F495)+N(G495))+N('Fee Settings'!$C$7)+N('Fee Settings'!$C$10)*D495+IF(I495="Yes",MIN(N('Fee Settings'!$C$8)*(E495+N(F495)),N('Fee Settings'!$C$9)),0),""))</f>
        <v/>
      </c>
      <c r="L495" s="14" t="str">
        <f>IF(C495="","",IFERROR(D495*N(INDEX(Products!$C$5:$C$29,MATCH(C495,Lists!$A$2:$A$26,0))),""))</f>
        <v/>
      </c>
      <c r="M495" s="15" t="str">
        <f t="shared" si="7"/>
        <v/>
      </c>
    </row>
    <row r="496" spans="1:13" x14ac:dyDescent="0.35">
      <c r="A496" s="11"/>
      <c r="B496" s="12"/>
      <c r="C496" s="12"/>
      <c r="D496" s="12"/>
      <c r="E496" s="13"/>
      <c r="F496" s="13"/>
      <c r="G496" s="13"/>
      <c r="H496" s="13"/>
      <c r="I496" s="12"/>
      <c r="J496" s="13"/>
      <c r="K496" s="14" t="str">
        <f>IF(C496="","",IFERROR(N('Fee Settings'!$C$5)*(E496+N(F496)-N(J496))+N('Fee Settings'!$C$6)*(E496+N(F496)+N(G496))+N('Fee Settings'!$C$7)+N('Fee Settings'!$C$10)*D496+IF(I496="Yes",MIN(N('Fee Settings'!$C$8)*(E496+N(F496)),N('Fee Settings'!$C$9)),0),""))</f>
        <v/>
      </c>
      <c r="L496" s="14" t="str">
        <f>IF(C496="","",IFERROR(D496*N(INDEX(Products!$C$5:$C$29,MATCH(C496,Lists!$A$2:$A$26,0))),""))</f>
        <v/>
      </c>
      <c r="M496" s="15" t="str">
        <f t="shared" si="7"/>
        <v/>
      </c>
    </row>
    <row r="497" spans="1:13" x14ac:dyDescent="0.35">
      <c r="A497" s="11"/>
      <c r="B497" s="12"/>
      <c r="C497" s="12"/>
      <c r="D497" s="12"/>
      <c r="E497" s="13"/>
      <c r="F497" s="13"/>
      <c r="G497" s="13"/>
      <c r="H497" s="13"/>
      <c r="I497" s="12"/>
      <c r="J497" s="13"/>
      <c r="K497" s="14" t="str">
        <f>IF(C497="","",IFERROR(N('Fee Settings'!$C$5)*(E497+N(F497)-N(J497))+N('Fee Settings'!$C$6)*(E497+N(F497)+N(G497))+N('Fee Settings'!$C$7)+N('Fee Settings'!$C$10)*D497+IF(I497="Yes",MIN(N('Fee Settings'!$C$8)*(E497+N(F497)),N('Fee Settings'!$C$9)),0),""))</f>
        <v/>
      </c>
      <c r="L497" s="14" t="str">
        <f>IF(C497="","",IFERROR(D497*N(INDEX(Products!$C$5:$C$29,MATCH(C497,Lists!$A$2:$A$26,0))),""))</f>
        <v/>
      </c>
      <c r="M497" s="15" t="str">
        <f t="shared" si="7"/>
        <v/>
      </c>
    </row>
    <row r="498" spans="1:13" x14ac:dyDescent="0.35">
      <c r="A498" s="11"/>
      <c r="B498" s="12"/>
      <c r="C498" s="12"/>
      <c r="D498" s="12"/>
      <c r="E498" s="13"/>
      <c r="F498" s="13"/>
      <c r="G498" s="13"/>
      <c r="H498" s="13"/>
      <c r="I498" s="12"/>
      <c r="J498" s="13"/>
      <c r="K498" s="14" t="str">
        <f>IF(C498="","",IFERROR(N('Fee Settings'!$C$5)*(E498+N(F498)-N(J498))+N('Fee Settings'!$C$6)*(E498+N(F498)+N(G498))+N('Fee Settings'!$C$7)+N('Fee Settings'!$C$10)*D498+IF(I498="Yes",MIN(N('Fee Settings'!$C$8)*(E498+N(F498)),N('Fee Settings'!$C$9)),0),""))</f>
        <v/>
      </c>
      <c r="L498" s="14" t="str">
        <f>IF(C498="","",IFERROR(D498*N(INDEX(Products!$C$5:$C$29,MATCH(C498,Lists!$A$2:$A$26,0))),""))</f>
        <v/>
      </c>
      <c r="M498" s="15" t="str">
        <f t="shared" si="7"/>
        <v/>
      </c>
    </row>
    <row r="499" spans="1:13" x14ac:dyDescent="0.35">
      <c r="A499" s="11"/>
      <c r="B499" s="12"/>
      <c r="C499" s="12"/>
      <c r="D499" s="12"/>
      <c r="E499" s="13"/>
      <c r="F499" s="13"/>
      <c r="G499" s="13"/>
      <c r="H499" s="13"/>
      <c r="I499" s="12"/>
      <c r="J499" s="13"/>
      <c r="K499" s="14" t="str">
        <f>IF(C499="","",IFERROR(N('Fee Settings'!$C$5)*(E499+N(F499)-N(J499))+N('Fee Settings'!$C$6)*(E499+N(F499)+N(G499))+N('Fee Settings'!$C$7)+N('Fee Settings'!$C$10)*D499+IF(I499="Yes",MIN(N('Fee Settings'!$C$8)*(E499+N(F499)),N('Fee Settings'!$C$9)),0),""))</f>
        <v/>
      </c>
      <c r="L499" s="14" t="str">
        <f>IF(C499="","",IFERROR(D499*N(INDEX(Products!$C$5:$C$29,MATCH(C499,Lists!$A$2:$A$26,0))),""))</f>
        <v/>
      </c>
      <c r="M499" s="15" t="str">
        <f t="shared" si="7"/>
        <v/>
      </c>
    </row>
    <row r="500" spans="1:13" x14ac:dyDescent="0.35">
      <c r="A500" s="11"/>
      <c r="B500" s="12"/>
      <c r="C500" s="12"/>
      <c r="D500" s="12"/>
      <c r="E500" s="13"/>
      <c r="F500" s="13"/>
      <c r="G500" s="13"/>
      <c r="H500" s="13"/>
      <c r="I500" s="12"/>
      <c r="J500" s="13"/>
      <c r="K500" s="14" t="str">
        <f>IF(C500="","",IFERROR(N('Fee Settings'!$C$5)*(E500+N(F500)-N(J500))+N('Fee Settings'!$C$6)*(E500+N(F500)+N(G500))+N('Fee Settings'!$C$7)+N('Fee Settings'!$C$10)*D500+IF(I500="Yes",MIN(N('Fee Settings'!$C$8)*(E500+N(F500)),N('Fee Settings'!$C$9)),0),""))</f>
        <v/>
      </c>
      <c r="L500" s="14" t="str">
        <f>IF(C500="","",IFERROR(D500*N(INDEX(Products!$C$5:$C$29,MATCH(C500,Lists!$A$2:$A$26,0))),""))</f>
        <v/>
      </c>
      <c r="M500" s="15" t="str">
        <f t="shared" si="7"/>
        <v/>
      </c>
    </row>
    <row r="501" spans="1:13" x14ac:dyDescent="0.35">
      <c r="A501" s="11"/>
      <c r="B501" s="12"/>
      <c r="C501" s="12"/>
      <c r="D501" s="12"/>
      <c r="E501" s="13"/>
      <c r="F501" s="13"/>
      <c r="G501" s="13"/>
      <c r="H501" s="13"/>
      <c r="I501" s="12"/>
      <c r="J501" s="13"/>
      <c r="K501" s="14" t="str">
        <f>IF(C501="","",IFERROR(N('Fee Settings'!$C$5)*(E501+N(F501)-N(J501))+N('Fee Settings'!$C$6)*(E501+N(F501)+N(G501))+N('Fee Settings'!$C$7)+N('Fee Settings'!$C$10)*D501+IF(I501="Yes",MIN(N('Fee Settings'!$C$8)*(E501+N(F501)),N('Fee Settings'!$C$9)),0),""))</f>
        <v/>
      </c>
      <c r="L501" s="14" t="str">
        <f>IF(C501="","",IFERROR(D501*N(INDEX(Products!$C$5:$C$29,MATCH(C501,Lists!$A$2:$A$26,0))),""))</f>
        <v/>
      </c>
      <c r="M501" s="15" t="str">
        <f t="shared" si="7"/>
        <v/>
      </c>
    </row>
    <row r="502" spans="1:13" x14ac:dyDescent="0.35">
      <c r="A502" s="11"/>
      <c r="B502" s="12"/>
      <c r="C502" s="12"/>
      <c r="D502" s="12"/>
      <c r="E502" s="13"/>
      <c r="F502" s="13"/>
      <c r="G502" s="13"/>
      <c r="H502" s="13"/>
      <c r="I502" s="12"/>
      <c r="J502" s="13"/>
      <c r="K502" s="14" t="str">
        <f>IF(C502="","",IFERROR(N('Fee Settings'!$C$5)*(E502+N(F502)-N(J502))+N('Fee Settings'!$C$6)*(E502+N(F502)+N(G502))+N('Fee Settings'!$C$7)+N('Fee Settings'!$C$10)*D502+IF(I502="Yes",MIN(N('Fee Settings'!$C$8)*(E502+N(F502)),N('Fee Settings'!$C$9)),0),""))</f>
        <v/>
      </c>
      <c r="L502" s="14" t="str">
        <f>IF(C502="","",IFERROR(D502*N(INDEX(Products!$C$5:$C$29,MATCH(C502,Lists!$A$2:$A$26,0))),""))</f>
        <v/>
      </c>
      <c r="M502" s="15" t="str">
        <f t="shared" si="7"/>
        <v/>
      </c>
    </row>
    <row r="503" spans="1:13" x14ac:dyDescent="0.35">
      <c r="A503" s="11"/>
      <c r="B503" s="12"/>
      <c r="C503" s="12"/>
      <c r="D503" s="12"/>
      <c r="E503" s="13"/>
      <c r="F503" s="13"/>
      <c r="G503" s="13"/>
      <c r="H503" s="13"/>
      <c r="I503" s="12"/>
      <c r="J503" s="13"/>
      <c r="K503" s="14" t="str">
        <f>IF(C503="","",IFERROR(N('Fee Settings'!$C$5)*(E503+N(F503)-N(J503))+N('Fee Settings'!$C$6)*(E503+N(F503)+N(G503))+N('Fee Settings'!$C$7)+N('Fee Settings'!$C$10)*D503+IF(I503="Yes",MIN(N('Fee Settings'!$C$8)*(E503+N(F503)),N('Fee Settings'!$C$9)),0),""))</f>
        <v/>
      </c>
      <c r="L503" s="14" t="str">
        <f>IF(C503="","",IFERROR(D503*N(INDEX(Products!$C$5:$C$29,MATCH(C503,Lists!$A$2:$A$26,0))),""))</f>
        <v/>
      </c>
      <c r="M503" s="15" t="str">
        <f t="shared" si="7"/>
        <v/>
      </c>
    </row>
    <row r="504" spans="1:13" x14ac:dyDescent="0.35">
      <c r="A504" s="11"/>
      <c r="B504" s="12"/>
      <c r="C504" s="12"/>
      <c r="D504" s="12"/>
      <c r="E504" s="13"/>
      <c r="F504" s="13"/>
      <c r="G504" s="13"/>
      <c r="H504" s="13"/>
      <c r="I504" s="12"/>
      <c r="J504" s="13"/>
      <c r="K504" s="14" t="str">
        <f>IF(C504="","",IFERROR(N('Fee Settings'!$C$5)*(E504+N(F504)-N(J504))+N('Fee Settings'!$C$6)*(E504+N(F504)+N(G504))+N('Fee Settings'!$C$7)+N('Fee Settings'!$C$10)*D504+IF(I504="Yes",MIN(N('Fee Settings'!$C$8)*(E504+N(F504)),N('Fee Settings'!$C$9)),0),""))</f>
        <v/>
      </c>
      <c r="L504" s="14" t="str">
        <f>IF(C504="","",IFERROR(D504*N(INDEX(Products!$C$5:$C$29,MATCH(C504,Lists!$A$2:$A$26,0))),""))</f>
        <v/>
      </c>
      <c r="M504" s="15" t="str">
        <f t="shared" si="7"/>
        <v/>
      </c>
    </row>
    <row r="505" spans="1:13" x14ac:dyDescent="0.35">
      <c r="A505" s="11"/>
      <c r="B505" s="12"/>
      <c r="C505" s="12"/>
      <c r="D505" s="12"/>
      <c r="E505" s="13"/>
      <c r="F505" s="13"/>
      <c r="G505" s="13"/>
      <c r="H505" s="13"/>
      <c r="I505" s="12"/>
      <c r="J505" s="13"/>
      <c r="K505" s="14" t="str">
        <f>IF(C505="","",IFERROR(N('Fee Settings'!$C$5)*(E505+N(F505)-N(J505))+N('Fee Settings'!$C$6)*(E505+N(F505)+N(G505))+N('Fee Settings'!$C$7)+N('Fee Settings'!$C$10)*D505+IF(I505="Yes",MIN(N('Fee Settings'!$C$8)*(E505+N(F505)),N('Fee Settings'!$C$9)),0),""))</f>
        <v/>
      </c>
      <c r="L505" s="14" t="str">
        <f>IF(C505="","",IFERROR(D505*N(INDEX(Products!$C$5:$C$29,MATCH(C505,Lists!$A$2:$A$26,0))),""))</f>
        <v/>
      </c>
      <c r="M505" s="15" t="str">
        <f t="shared" si="7"/>
        <v/>
      </c>
    </row>
    <row r="506" spans="1:13" x14ac:dyDescent="0.35">
      <c r="A506" s="11"/>
      <c r="B506" s="12"/>
      <c r="C506" s="12"/>
      <c r="D506" s="12"/>
      <c r="E506" s="13"/>
      <c r="F506" s="13"/>
      <c r="G506" s="13"/>
      <c r="H506" s="13"/>
      <c r="I506" s="12"/>
      <c r="J506" s="13"/>
      <c r="K506" s="14" t="str">
        <f>IF(C506="","",IFERROR(N('Fee Settings'!$C$5)*(E506+N(F506)-N(J506))+N('Fee Settings'!$C$6)*(E506+N(F506)+N(G506))+N('Fee Settings'!$C$7)+N('Fee Settings'!$C$10)*D506+IF(I506="Yes",MIN(N('Fee Settings'!$C$8)*(E506+N(F506)),N('Fee Settings'!$C$9)),0),""))</f>
        <v/>
      </c>
      <c r="L506" s="14" t="str">
        <f>IF(C506="","",IFERROR(D506*N(INDEX(Products!$C$5:$C$29,MATCH(C506,Lists!$A$2:$A$26,0))),""))</f>
        <v/>
      </c>
      <c r="M506" s="15" t="str">
        <f t="shared" si="7"/>
        <v/>
      </c>
    </row>
    <row r="507" spans="1:13" x14ac:dyDescent="0.35">
      <c r="A507" s="11"/>
      <c r="B507" s="12"/>
      <c r="C507" s="12"/>
      <c r="D507" s="12"/>
      <c r="E507" s="13"/>
      <c r="F507" s="13"/>
      <c r="G507" s="13"/>
      <c r="H507" s="13"/>
      <c r="I507" s="12"/>
      <c r="J507" s="13"/>
      <c r="K507" s="14" t="str">
        <f>IF(C507="","",IFERROR(N('Fee Settings'!$C$5)*(E507+N(F507)-N(J507))+N('Fee Settings'!$C$6)*(E507+N(F507)+N(G507))+N('Fee Settings'!$C$7)+N('Fee Settings'!$C$10)*D507+IF(I507="Yes",MIN(N('Fee Settings'!$C$8)*(E507+N(F507)),N('Fee Settings'!$C$9)),0),""))</f>
        <v/>
      </c>
      <c r="L507" s="14" t="str">
        <f>IF(C507="","",IFERROR(D507*N(INDEX(Products!$C$5:$C$29,MATCH(C507,Lists!$A$2:$A$26,0))),""))</f>
        <v/>
      </c>
      <c r="M507" s="15" t="str">
        <f t="shared" si="7"/>
        <v/>
      </c>
    </row>
    <row r="508" spans="1:13" x14ac:dyDescent="0.35">
      <c r="A508" s="11"/>
      <c r="B508" s="12"/>
      <c r="C508" s="12"/>
      <c r="D508" s="12"/>
      <c r="E508" s="13"/>
      <c r="F508" s="13"/>
      <c r="G508" s="13"/>
      <c r="H508" s="13"/>
      <c r="I508" s="12"/>
      <c r="J508" s="13"/>
      <c r="K508" s="14" t="str">
        <f>IF(C508="","",IFERROR(N('Fee Settings'!$C$5)*(E508+N(F508)-N(J508))+N('Fee Settings'!$C$6)*(E508+N(F508)+N(G508))+N('Fee Settings'!$C$7)+N('Fee Settings'!$C$10)*D508+IF(I508="Yes",MIN(N('Fee Settings'!$C$8)*(E508+N(F508)),N('Fee Settings'!$C$9)),0),""))</f>
        <v/>
      </c>
      <c r="L508" s="14" t="str">
        <f>IF(C508="","",IFERROR(D508*N(INDEX(Products!$C$5:$C$29,MATCH(C508,Lists!$A$2:$A$26,0))),""))</f>
        <v/>
      </c>
      <c r="M508" s="15" t="str">
        <f t="shared" si="7"/>
        <v/>
      </c>
    </row>
    <row r="509" spans="1:13" x14ac:dyDescent="0.35">
      <c r="A509" s="11"/>
      <c r="B509" s="12"/>
      <c r="C509" s="12"/>
      <c r="D509" s="12"/>
      <c r="E509" s="13"/>
      <c r="F509" s="13"/>
      <c r="G509" s="13"/>
      <c r="H509" s="13"/>
      <c r="I509" s="12"/>
      <c r="J509" s="13"/>
      <c r="K509" s="14" t="str">
        <f>IF(C509="","",IFERROR(N('Fee Settings'!$C$5)*(E509+N(F509)-N(J509))+N('Fee Settings'!$C$6)*(E509+N(F509)+N(G509))+N('Fee Settings'!$C$7)+N('Fee Settings'!$C$10)*D509+IF(I509="Yes",MIN(N('Fee Settings'!$C$8)*(E509+N(F509)),N('Fee Settings'!$C$9)),0),""))</f>
        <v/>
      </c>
      <c r="L509" s="14" t="str">
        <f>IF(C509="","",IFERROR(D509*N(INDEX(Products!$C$5:$C$29,MATCH(C509,Lists!$A$2:$A$26,0))),""))</f>
        <v/>
      </c>
      <c r="M509" s="15" t="str">
        <f t="shared" si="7"/>
        <v/>
      </c>
    </row>
    <row r="510" spans="1:13" x14ac:dyDescent="0.35">
      <c r="A510" s="11"/>
      <c r="B510" s="12"/>
      <c r="C510" s="12"/>
      <c r="D510" s="12"/>
      <c r="E510" s="13"/>
      <c r="F510" s="13"/>
      <c r="G510" s="13"/>
      <c r="H510" s="13"/>
      <c r="I510" s="12"/>
      <c r="J510" s="13"/>
      <c r="K510" s="14" t="str">
        <f>IF(C510="","",IFERROR(N('Fee Settings'!$C$5)*(E510+N(F510)-N(J510))+N('Fee Settings'!$C$6)*(E510+N(F510)+N(G510))+N('Fee Settings'!$C$7)+N('Fee Settings'!$C$10)*D510+IF(I510="Yes",MIN(N('Fee Settings'!$C$8)*(E510+N(F510)),N('Fee Settings'!$C$9)),0),""))</f>
        <v/>
      </c>
      <c r="L510" s="14" t="str">
        <f>IF(C510="","",IFERROR(D510*N(INDEX(Products!$C$5:$C$29,MATCH(C510,Lists!$A$2:$A$26,0))),""))</f>
        <v/>
      </c>
      <c r="M510" s="15" t="str">
        <f t="shared" si="7"/>
        <v/>
      </c>
    </row>
    <row r="511" spans="1:13" x14ac:dyDescent="0.35">
      <c r="A511" s="11"/>
      <c r="B511" s="12"/>
      <c r="C511" s="12"/>
      <c r="D511" s="12"/>
      <c r="E511" s="13"/>
      <c r="F511" s="13"/>
      <c r="G511" s="13"/>
      <c r="H511" s="13"/>
      <c r="I511" s="12"/>
      <c r="J511" s="13"/>
      <c r="K511" s="14" t="str">
        <f>IF(C511="","",IFERROR(N('Fee Settings'!$C$5)*(E511+N(F511)-N(J511))+N('Fee Settings'!$C$6)*(E511+N(F511)+N(G511))+N('Fee Settings'!$C$7)+N('Fee Settings'!$C$10)*D511+IF(I511="Yes",MIN(N('Fee Settings'!$C$8)*(E511+N(F511)),N('Fee Settings'!$C$9)),0),""))</f>
        <v/>
      </c>
      <c r="L511" s="14" t="str">
        <f>IF(C511="","",IFERROR(D511*N(INDEX(Products!$C$5:$C$29,MATCH(C511,Lists!$A$2:$A$26,0))),""))</f>
        <v/>
      </c>
      <c r="M511" s="15" t="str">
        <f t="shared" si="7"/>
        <v/>
      </c>
    </row>
    <row r="512" spans="1:13" x14ac:dyDescent="0.35">
      <c r="A512" s="11"/>
      <c r="B512" s="12"/>
      <c r="C512" s="12"/>
      <c r="D512" s="12"/>
      <c r="E512" s="13"/>
      <c r="F512" s="13"/>
      <c r="G512" s="13"/>
      <c r="H512" s="13"/>
      <c r="I512" s="12"/>
      <c r="J512" s="13"/>
      <c r="K512" s="14" t="str">
        <f>IF(C512="","",IFERROR(N('Fee Settings'!$C$5)*(E512+N(F512)-N(J512))+N('Fee Settings'!$C$6)*(E512+N(F512)+N(G512))+N('Fee Settings'!$C$7)+N('Fee Settings'!$C$10)*D512+IF(I512="Yes",MIN(N('Fee Settings'!$C$8)*(E512+N(F512)),N('Fee Settings'!$C$9)),0),""))</f>
        <v/>
      </c>
      <c r="L512" s="14" t="str">
        <f>IF(C512="","",IFERROR(D512*N(INDEX(Products!$C$5:$C$29,MATCH(C512,Lists!$A$2:$A$26,0))),""))</f>
        <v/>
      </c>
      <c r="M512" s="15" t="str">
        <f t="shared" si="7"/>
        <v/>
      </c>
    </row>
    <row r="513" spans="1:13" x14ac:dyDescent="0.35">
      <c r="A513" s="11"/>
      <c r="B513" s="12"/>
      <c r="C513" s="12"/>
      <c r="D513" s="12"/>
      <c r="E513" s="13"/>
      <c r="F513" s="13"/>
      <c r="G513" s="13"/>
      <c r="H513" s="13"/>
      <c r="I513" s="12"/>
      <c r="J513" s="13"/>
      <c r="K513" s="14" t="str">
        <f>IF(C513="","",IFERROR(N('Fee Settings'!$C$5)*(E513+N(F513)-N(J513))+N('Fee Settings'!$C$6)*(E513+N(F513)+N(G513))+N('Fee Settings'!$C$7)+N('Fee Settings'!$C$10)*D513+IF(I513="Yes",MIN(N('Fee Settings'!$C$8)*(E513+N(F513)),N('Fee Settings'!$C$9)),0),""))</f>
        <v/>
      </c>
      <c r="L513" s="14" t="str">
        <f>IF(C513="","",IFERROR(D513*N(INDEX(Products!$C$5:$C$29,MATCH(C513,Lists!$A$2:$A$26,0))),""))</f>
        <v/>
      </c>
      <c r="M513" s="15" t="str">
        <f t="shared" si="7"/>
        <v/>
      </c>
    </row>
    <row r="514" spans="1:13" x14ac:dyDescent="0.35">
      <c r="A514" s="11"/>
      <c r="B514" s="12"/>
      <c r="C514" s="12"/>
      <c r="D514" s="12"/>
      <c r="E514" s="13"/>
      <c r="F514" s="13"/>
      <c r="G514" s="13"/>
      <c r="H514" s="13"/>
      <c r="I514" s="12"/>
      <c r="J514" s="13"/>
      <c r="K514" s="14" t="str">
        <f>IF(C514="","",IFERROR(N('Fee Settings'!$C$5)*(E514+N(F514)-N(J514))+N('Fee Settings'!$C$6)*(E514+N(F514)+N(G514))+N('Fee Settings'!$C$7)+N('Fee Settings'!$C$10)*D514+IF(I514="Yes",MIN(N('Fee Settings'!$C$8)*(E514+N(F514)),N('Fee Settings'!$C$9)),0),""))</f>
        <v/>
      </c>
      <c r="L514" s="14" t="str">
        <f>IF(C514="","",IFERROR(D514*N(INDEX(Products!$C$5:$C$29,MATCH(C514,Lists!$A$2:$A$26,0))),""))</f>
        <v/>
      </c>
      <c r="M514" s="15" t="str">
        <f t="shared" si="7"/>
        <v/>
      </c>
    </row>
    <row r="515" spans="1:13" x14ac:dyDescent="0.35">
      <c r="A515" s="11"/>
      <c r="B515" s="12"/>
      <c r="C515" s="12"/>
      <c r="D515" s="12"/>
      <c r="E515" s="13"/>
      <c r="F515" s="13"/>
      <c r="G515" s="13"/>
      <c r="H515" s="13"/>
      <c r="I515" s="12"/>
      <c r="J515" s="13"/>
      <c r="K515" s="14" t="str">
        <f>IF(C515="","",IFERROR(N('Fee Settings'!$C$5)*(E515+N(F515)-N(J515))+N('Fee Settings'!$C$6)*(E515+N(F515)+N(G515))+N('Fee Settings'!$C$7)+N('Fee Settings'!$C$10)*D515+IF(I515="Yes",MIN(N('Fee Settings'!$C$8)*(E515+N(F515)),N('Fee Settings'!$C$9)),0),""))</f>
        <v/>
      </c>
      <c r="L515" s="14" t="str">
        <f>IF(C515="","",IFERROR(D515*N(INDEX(Products!$C$5:$C$29,MATCH(C515,Lists!$A$2:$A$26,0))),""))</f>
        <v/>
      </c>
      <c r="M515" s="15" t="str">
        <f t="shared" si="7"/>
        <v/>
      </c>
    </row>
    <row r="516" spans="1:13" x14ac:dyDescent="0.35">
      <c r="A516" s="11"/>
      <c r="B516" s="12"/>
      <c r="C516" s="12"/>
      <c r="D516" s="12"/>
      <c r="E516" s="13"/>
      <c r="F516" s="13"/>
      <c r="G516" s="13"/>
      <c r="H516" s="13"/>
      <c r="I516" s="12"/>
      <c r="J516" s="13"/>
      <c r="K516" s="14" t="str">
        <f>IF(C516="","",IFERROR(N('Fee Settings'!$C$5)*(E516+N(F516)-N(J516))+N('Fee Settings'!$C$6)*(E516+N(F516)+N(G516))+N('Fee Settings'!$C$7)+N('Fee Settings'!$C$10)*D516+IF(I516="Yes",MIN(N('Fee Settings'!$C$8)*(E516+N(F516)),N('Fee Settings'!$C$9)),0),""))</f>
        <v/>
      </c>
      <c r="L516" s="14" t="str">
        <f>IF(C516="","",IFERROR(D516*N(INDEX(Products!$C$5:$C$29,MATCH(C516,Lists!$A$2:$A$26,0))),""))</f>
        <v/>
      </c>
      <c r="M516" s="15" t="str">
        <f t="shared" si="7"/>
        <v/>
      </c>
    </row>
    <row r="517" spans="1:13" x14ac:dyDescent="0.35">
      <c r="A517" s="11"/>
      <c r="B517" s="12"/>
      <c r="C517" s="12"/>
      <c r="D517" s="12"/>
      <c r="E517" s="13"/>
      <c r="F517" s="13"/>
      <c r="G517" s="13"/>
      <c r="H517" s="13"/>
      <c r="I517" s="12"/>
      <c r="J517" s="13"/>
      <c r="K517" s="14" t="str">
        <f>IF(C517="","",IFERROR(N('Fee Settings'!$C$5)*(E517+N(F517)-N(J517))+N('Fee Settings'!$C$6)*(E517+N(F517)+N(G517))+N('Fee Settings'!$C$7)+N('Fee Settings'!$C$10)*D517+IF(I517="Yes",MIN(N('Fee Settings'!$C$8)*(E517+N(F517)),N('Fee Settings'!$C$9)),0),""))</f>
        <v/>
      </c>
      <c r="L517" s="14" t="str">
        <f>IF(C517="","",IFERROR(D517*N(INDEX(Products!$C$5:$C$29,MATCH(C517,Lists!$A$2:$A$26,0))),""))</f>
        <v/>
      </c>
      <c r="M517" s="15" t="str">
        <f t="shared" ref="M517:M580" si="8">IF(C517="","",IFERROR(E517+N(F517)-N(J517)-K517-L517-N(H517),""))</f>
        <v/>
      </c>
    </row>
    <row r="518" spans="1:13" x14ac:dyDescent="0.35">
      <c r="A518" s="11"/>
      <c r="B518" s="12"/>
      <c r="C518" s="12"/>
      <c r="D518" s="12"/>
      <c r="E518" s="13"/>
      <c r="F518" s="13"/>
      <c r="G518" s="13"/>
      <c r="H518" s="13"/>
      <c r="I518" s="12"/>
      <c r="J518" s="13"/>
      <c r="K518" s="14" t="str">
        <f>IF(C518="","",IFERROR(N('Fee Settings'!$C$5)*(E518+N(F518)-N(J518))+N('Fee Settings'!$C$6)*(E518+N(F518)+N(G518))+N('Fee Settings'!$C$7)+N('Fee Settings'!$C$10)*D518+IF(I518="Yes",MIN(N('Fee Settings'!$C$8)*(E518+N(F518)),N('Fee Settings'!$C$9)),0),""))</f>
        <v/>
      </c>
      <c r="L518" s="14" t="str">
        <f>IF(C518="","",IFERROR(D518*N(INDEX(Products!$C$5:$C$29,MATCH(C518,Lists!$A$2:$A$26,0))),""))</f>
        <v/>
      </c>
      <c r="M518" s="15" t="str">
        <f t="shared" si="8"/>
        <v/>
      </c>
    </row>
    <row r="519" spans="1:13" x14ac:dyDescent="0.35">
      <c r="A519" s="11"/>
      <c r="B519" s="12"/>
      <c r="C519" s="12"/>
      <c r="D519" s="12"/>
      <c r="E519" s="13"/>
      <c r="F519" s="13"/>
      <c r="G519" s="13"/>
      <c r="H519" s="13"/>
      <c r="I519" s="12"/>
      <c r="J519" s="13"/>
      <c r="K519" s="14" t="str">
        <f>IF(C519="","",IFERROR(N('Fee Settings'!$C$5)*(E519+N(F519)-N(J519))+N('Fee Settings'!$C$6)*(E519+N(F519)+N(G519))+N('Fee Settings'!$C$7)+N('Fee Settings'!$C$10)*D519+IF(I519="Yes",MIN(N('Fee Settings'!$C$8)*(E519+N(F519)),N('Fee Settings'!$C$9)),0),""))</f>
        <v/>
      </c>
      <c r="L519" s="14" t="str">
        <f>IF(C519="","",IFERROR(D519*N(INDEX(Products!$C$5:$C$29,MATCH(C519,Lists!$A$2:$A$26,0))),""))</f>
        <v/>
      </c>
      <c r="M519" s="15" t="str">
        <f t="shared" si="8"/>
        <v/>
      </c>
    </row>
    <row r="520" spans="1:13" x14ac:dyDescent="0.35">
      <c r="A520" s="11"/>
      <c r="B520" s="12"/>
      <c r="C520" s="12"/>
      <c r="D520" s="12"/>
      <c r="E520" s="13"/>
      <c r="F520" s="13"/>
      <c r="G520" s="13"/>
      <c r="H520" s="13"/>
      <c r="I520" s="12"/>
      <c r="J520" s="13"/>
      <c r="K520" s="14" t="str">
        <f>IF(C520="","",IFERROR(N('Fee Settings'!$C$5)*(E520+N(F520)-N(J520))+N('Fee Settings'!$C$6)*(E520+N(F520)+N(G520))+N('Fee Settings'!$C$7)+N('Fee Settings'!$C$10)*D520+IF(I520="Yes",MIN(N('Fee Settings'!$C$8)*(E520+N(F520)),N('Fee Settings'!$C$9)),0),""))</f>
        <v/>
      </c>
      <c r="L520" s="14" t="str">
        <f>IF(C520="","",IFERROR(D520*N(INDEX(Products!$C$5:$C$29,MATCH(C520,Lists!$A$2:$A$26,0))),""))</f>
        <v/>
      </c>
      <c r="M520" s="15" t="str">
        <f t="shared" si="8"/>
        <v/>
      </c>
    </row>
    <row r="521" spans="1:13" x14ac:dyDescent="0.35">
      <c r="A521" s="11"/>
      <c r="B521" s="12"/>
      <c r="C521" s="12"/>
      <c r="D521" s="12"/>
      <c r="E521" s="13"/>
      <c r="F521" s="13"/>
      <c r="G521" s="13"/>
      <c r="H521" s="13"/>
      <c r="I521" s="12"/>
      <c r="J521" s="13"/>
      <c r="K521" s="14" t="str">
        <f>IF(C521="","",IFERROR(N('Fee Settings'!$C$5)*(E521+N(F521)-N(J521))+N('Fee Settings'!$C$6)*(E521+N(F521)+N(G521))+N('Fee Settings'!$C$7)+N('Fee Settings'!$C$10)*D521+IF(I521="Yes",MIN(N('Fee Settings'!$C$8)*(E521+N(F521)),N('Fee Settings'!$C$9)),0),""))</f>
        <v/>
      </c>
      <c r="L521" s="14" t="str">
        <f>IF(C521="","",IFERROR(D521*N(INDEX(Products!$C$5:$C$29,MATCH(C521,Lists!$A$2:$A$26,0))),""))</f>
        <v/>
      </c>
      <c r="M521" s="15" t="str">
        <f t="shared" si="8"/>
        <v/>
      </c>
    </row>
    <row r="522" spans="1:13" x14ac:dyDescent="0.35">
      <c r="A522" s="11"/>
      <c r="B522" s="12"/>
      <c r="C522" s="12"/>
      <c r="D522" s="12"/>
      <c r="E522" s="13"/>
      <c r="F522" s="13"/>
      <c r="G522" s="13"/>
      <c r="H522" s="13"/>
      <c r="I522" s="12"/>
      <c r="J522" s="13"/>
      <c r="K522" s="14" t="str">
        <f>IF(C522="","",IFERROR(N('Fee Settings'!$C$5)*(E522+N(F522)-N(J522))+N('Fee Settings'!$C$6)*(E522+N(F522)+N(G522))+N('Fee Settings'!$C$7)+N('Fee Settings'!$C$10)*D522+IF(I522="Yes",MIN(N('Fee Settings'!$C$8)*(E522+N(F522)),N('Fee Settings'!$C$9)),0),""))</f>
        <v/>
      </c>
      <c r="L522" s="14" t="str">
        <f>IF(C522="","",IFERROR(D522*N(INDEX(Products!$C$5:$C$29,MATCH(C522,Lists!$A$2:$A$26,0))),""))</f>
        <v/>
      </c>
      <c r="M522" s="15" t="str">
        <f t="shared" si="8"/>
        <v/>
      </c>
    </row>
    <row r="523" spans="1:13" x14ac:dyDescent="0.35">
      <c r="A523" s="11"/>
      <c r="B523" s="12"/>
      <c r="C523" s="12"/>
      <c r="D523" s="12"/>
      <c r="E523" s="13"/>
      <c r="F523" s="13"/>
      <c r="G523" s="13"/>
      <c r="H523" s="13"/>
      <c r="I523" s="12"/>
      <c r="J523" s="13"/>
      <c r="K523" s="14" t="str">
        <f>IF(C523="","",IFERROR(N('Fee Settings'!$C$5)*(E523+N(F523)-N(J523))+N('Fee Settings'!$C$6)*(E523+N(F523)+N(G523))+N('Fee Settings'!$C$7)+N('Fee Settings'!$C$10)*D523+IF(I523="Yes",MIN(N('Fee Settings'!$C$8)*(E523+N(F523)),N('Fee Settings'!$C$9)),0),""))</f>
        <v/>
      </c>
      <c r="L523" s="14" t="str">
        <f>IF(C523="","",IFERROR(D523*N(INDEX(Products!$C$5:$C$29,MATCH(C523,Lists!$A$2:$A$26,0))),""))</f>
        <v/>
      </c>
      <c r="M523" s="15" t="str">
        <f t="shared" si="8"/>
        <v/>
      </c>
    </row>
    <row r="524" spans="1:13" x14ac:dyDescent="0.35">
      <c r="A524" s="11"/>
      <c r="B524" s="12"/>
      <c r="C524" s="12"/>
      <c r="D524" s="12"/>
      <c r="E524" s="13"/>
      <c r="F524" s="13"/>
      <c r="G524" s="13"/>
      <c r="H524" s="13"/>
      <c r="I524" s="12"/>
      <c r="J524" s="13"/>
      <c r="K524" s="14" t="str">
        <f>IF(C524="","",IFERROR(N('Fee Settings'!$C$5)*(E524+N(F524)-N(J524))+N('Fee Settings'!$C$6)*(E524+N(F524)+N(G524))+N('Fee Settings'!$C$7)+N('Fee Settings'!$C$10)*D524+IF(I524="Yes",MIN(N('Fee Settings'!$C$8)*(E524+N(F524)),N('Fee Settings'!$C$9)),0),""))</f>
        <v/>
      </c>
      <c r="L524" s="14" t="str">
        <f>IF(C524="","",IFERROR(D524*N(INDEX(Products!$C$5:$C$29,MATCH(C524,Lists!$A$2:$A$26,0))),""))</f>
        <v/>
      </c>
      <c r="M524" s="15" t="str">
        <f t="shared" si="8"/>
        <v/>
      </c>
    </row>
    <row r="525" spans="1:13" x14ac:dyDescent="0.35">
      <c r="A525" s="11"/>
      <c r="B525" s="12"/>
      <c r="C525" s="12"/>
      <c r="D525" s="12"/>
      <c r="E525" s="13"/>
      <c r="F525" s="13"/>
      <c r="G525" s="13"/>
      <c r="H525" s="13"/>
      <c r="I525" s="12"/>
      <c r="J525" s="13"/>
      <c r="K525" s="14" t="str">
        <f>IF(C525="","",IFERROR(N('Fee Settings'!$C$5)*(E525+N(F525)-N(J525))+N('Fee Settings'!$C$6)*(E525+N(F525)+N(G525))+N('Fee Settings'!$C$7)+N('Fee Settings'!$C$10)*D525+IF(I525="Yes",MIN(N('Fee Settings'!$C$8)*(E525+N(F525)),N('Fee Settings'!$C$9)),0),""))</f>
        <v/>
      </c>
      <c r="L525" s="14" t="str">
        <f>IF(C525="","",IFERROR(D525*N(INDEX(Products!$C$5:$C$29,MATCH(C525,Lists!$A$2:$A$26,0))),""))</f>
        <v/>
      </c>
      <c r="M525" s="15" t="str">
        <f t="shared" si="8"/>
        <v/>
      </c>
    </row>
    <row r="526" spans="1:13" x14ac:dyDescent="0.35">
      <c r="A526" s="11"/>
      <c r="B526" s="12"/>
      <c r="C526" s="12"/>
      <c r="D526" s="12"/>
      <c r="E526" s="13"/>
      <c r="F526" s="13"/>
      <c r="G526" s="13"/>
      <c r="H526" s="13"/>
      <c r="I526" s="12"/>
      <c r="J526" s="13"/>
      <c r="K526" s="14" t="str">
        <f>IF(C526="","",IFERROR(N('Fee Settings'!$C$5)*(E526+N(F526)-N(J526))+N('Fee Settings'!$C$6)*(E526+N(F526)+N(G526))+N('Fee Settings'!$C$7)+N('Fee Settings'!$C$10)*D526+IF(I526="Yes",MIN(N('Fee Settings'!$C$8)*(E526+N(F526)),N('Fee Settings'!$C$9)),0),""))</f>
        <v/>
      </c>
      <c r="L526" s="14" t="str">
        <f>IF(C526="","",IFERROR(D526*N(INDEX(Products!$C$5:$C$29,MATCH(C526,Lists!$A$2:$A$26,0))),""))</f>
        <v/>
      </c>
      <c r="M526" s="15" t="str">
        <f t="shared" si="8"/>
        <v/>
      </c>
    </row>
    <row r="527" spans="1:13" x14ac:dyDescent="0.35">
      <c r="A527" s="11"/>
      <c r="B527" s="12"/>
      <c r="C527" s="12"/>
      <c r="D527" s="12"/>
      <c r="E527" s="13"/>
      <c r="F527" s="13"/>
      <c r="G527" s="13"/>
      <c r="H527" s="13"/>
      <c r="I527" s="12"/>
      <c r="J527" s="13"/>
      <c r="K527" s="14" t="str">
        <f>IF(C527="","",IFERROR(N('Fee Settings'!$C$5)*(E527+N(F527)-N(J527))+N('Fee Settings'!$C$6)*(E527+N(F527)+N(G527))+N('Fee Settings'!$C$7)+N('Fee Settings'!$C$10)*D527+IF(I527="Yes",MIN(N('Fee Settings'!$C$8)*(E527+N(F527)),N('Fee Settings'!$C$9)),0),""))</f>
        <v/>
      </c>
      <c r="L527" s="14" t="str">
        <f>IF(C527="","",IFERROR(D527*N(INDEX(Products!$C$5:$C$29,MATCH(C527,Lists!$A$2:$A$26,0))),""))</f>
        <v/>
      </c>
      <c r="M527" s="15" t="str">
        <f t="shared" si="8"/>
        <v/>
      </c>
    </row>
    <row r="528" spans="1:13" x14ac:dyDescent="0.35">
      <c r="A528" s="11"/>
      <c r="B528" s="12"/>
      <c r="C528" s="12"/>
      <c r="D528" s="12"/>
      <c r="E528" s="13"/>
      <c r="F528" s="13"/>
      <c r="G528" s="13"/>
      <c r="H528" s="13"/>
      <c r="I528" s="12"/>
      <c r="J528" s="13"/>
      <c r="K528" s="14" t="str">
        <f>IF(C528="","",IFERROR(N('Fee Settings'!$C$5)*(E528+N(F528)-N(J528))+N('Fee Settings'!$C$6)*(E528+N(F528)+N(G528))+N('Fee Settings'!$C$7)+N('Fee Settings'!$C$10)*D528+IF(I528="Yes",MIN(N('Fee Settings'!$C$8)*(E528+N(F528)),N('Fee Settings'!$C$9)),0),""))</f>
        <v/>
      </c>
      <c r="L528" s="14" t="str">
        <f>IF(C528="","",IFERROR(D528*N(INDEX(Products!$C$5:$C$29,MATCH(C528,Lists!$A$2:$A$26,0))),""))</f>
        <v/>
      </c>
      <c r="M528" s="15" t="str">
        <f t="shared" si="8"/>
        <v/>
      </c>
    </row>
    <row r="529" spans="1:13" x14ac:dyDescent="0.35">
      <c r="A529" s="11"/>
      <c r="B529" s="12"/>
      <c r="C529" s="12"/>
      <c r="D529" s="12"/>
      <c r="E529" s="13"/>
      <c r="F529" s="13"/>
      <c r="G529" s="13"/>
      <c r="H529" s="13"/>
      <c r="I529" s="12"/>
      <c r="J529" s="13"/>
      <c r="K529" s="14" t="str">
        <f>IF(C529="","",IFERROR(N('Fee Settings'!$C$5)*(E529+N(F529)-N(J529))+N('Fee Settings'!$C$6)*(E529+N(F529)+N(G529))+N('Fee Settings'!$C$7)+N('Fee Settings'!$C$10)*D529+IF(I529="Yes",MIN(N('Fee Settings'!$C$8)*(E529+N(F529)),N('Fee Settings'!$C$9)),0),""))</f>
        <v/>
      </c>
      <c r="L529" s="14" t="str">
        <f>IF(C529="","",IFERROR(D529*N(INDEX(Products!$C$5:$C$29,MATCH(C529,Lists!$A$2:$A$26,0))),""))</f>
        <v/>
      </c>
      <c r="M529" s="15" t="str">
        <f t="shared" si="8"/>
        <v/>
      </c>
    </row>
    <row r="530" spans="1:13" x14ac:dyDescent="0.35">
      <c r="A530" s="11"/>
      <c r="B530" s="12"/>
      <c r="C530" s="12"/>
      <c r="D530" s="12"/>
      <c r="E530" s="13"/>
      <c r="F530" s="13"/>
      <c r="G530" s="13"/>
      <c r="H530" s="13"/>
      <c r="I530" s="12"/>
      <c r="J530" s="13"/>
      <c r="K530" s="14" t="str">
        <f>IF(C530="","",IFERROR(N('Fee Settings'!$C$5)*(E530+N(F530)-N(J530))+N('Fee Settings'!$C$6)*(E530+N(F530)+N(G530))+N('Fee Settings'!$C$7)+N('Fee Settings'!$C$10)*D530+IF(I530="Yes",MIN(N('Fee Settings'!$C$8)*(E530+N(F530)),N('Fee Settings'!$C$9)),0),""))</f>
        <v/>
      </c>
      <c r="L530" s="14" t="str">
        <f>IF(C530="","",IFERROR(D530*N(INDEX(Products!$C$5:$C$29,MATCH(C530,Lists!$A$2:$A$26,0))),""))</f>
        <v/>
      </c>
      <c r="M530" s="15" t="str">
        <f t="shared" si="8"/>
        <v/>
      </c>
    </row>
    <row r="531" spans="1:13" x14ac:dyDescent="0.35">
      <c r="A531" s="11"/>
      <c r="B531" s="12"/>
      <c r="C531" s="12"/>
      <c r="D531" s="12"/>
      <c r="E531" s="13"/>
      <c r="F531" s="13"/>
      <c r="G531" s="13"/>
      <c r="H531" s="13"/>
      <c r="I531" s="12"/>
      <c r="J531" s="13"/>
      <c r="K531" s="14" t="str">
        <f>IF(C531="","",IFERROR(N('Fee Settings'!$C$5)*(E531+N(F531)-N(J531))+N('Fee Settings'!$C$6)*(E531+N(F531)+N(G531))+N('Fee Settings'!$C$7)+N('Fee Settings'!$C$10)*D531+IF(I531="Yes",MIN(N('Fee Settings'!$C$8)*(E531+N(F531)),N('Fee Settings'!$C$9)),0),""))</f>
        <v/>
      </c>
      <c r="L531" s="14" t="str">
        <f>IF(C531="","",IFERROR(D531*N(INDEX(Products!$C$5:$C$29,MATCH(C531,Lists!$A$2:$A$26,0))),""))</f>
        <v/>
      </c>
      <c r="M531" s="15" t="str">
        <f t="shared" si="8"/>
        <v/>
      </c>
    </row>
    <row r="532" spans="1:13" x14ac:dyDescent="0.35">
      <c r="A532" s="11"/>
      <c r="B532" s="12"/>
      <c r="C532" s="12"/>
      <c r="D532" s="12"/>
      <c r="E532" s="13"/>
      <c r="F532" s="13"/>
      <c r="G532" s="13"/>
      <c r="H532" s="13"/>
      <c r="I532" s="12"/>
      <c r="J532" s="13"/>
      <c r="K532" s="14" t="str">
        <f>IF(C532="","",IFERROR(N('Fee Settings'!$C$5)*(E532+N(F532)-N(J532))+N('Fee Settings'!$C$6)*(E532+N(F532)+N(G532))+N('Fee Settings'!$C$7)+N('Fee Settings'!$C$10)*D532+IF(I532="Yes",MIN(N('Fee Settings'!$C$8)*(E532+N(F532)),N('Fee Settings'!$C$9)),0),""))</f>
        <v/>
      </c>
      <c r="L532" s="14" t="str">
        <f>IF(C532="","",IFERROR(D532*N(INDEX(Products!$C$5:$C$29,MATCH(C532,Lists!$A$2:$A$26,0))),""))</f>
        <v/>
      </c>
      <c r="M532" s="15" t="str">
        <f t="shared" si="8"/>
        <v/>
      </c>
    </row>
    <row r="533" spans="1:13" x14ac:dyDescent="0.35">
      <c r="A533" s="11"/>
      <c r="B533" s="12"/>
      <c r="C533" s="12"/>
      <c r="D533" s="12"/>
      <c r="E533" s="13"/>
      <c r="F533" s="13"/>
      <c r="G533" s="13"/>
      <c r="H533" s="13"/>
      <c r="I533" s="12"/>
      <c r="J533" s="13"/>
      <c r="K533" s="14" t="str">
        <f>IF(C533="","",IFERROR(N('Fee Settings'!$C$5)*(E533+N(F533)-N(J533))+N('Fee Settings'!$C$6)*(E533+N(F533)+N(G533))+N('Fee Settings'!$C$7)+N('Fee Settings'!$C$10)*D533+IF(I533="Yes",MIN(N('Fee Settings'!$C$8)*(E533+N(F533)),N('Fee Settings'!$C$9)),0),""))</f>
        <v/>
      </c>
      <c r="L533" s="14" t="str">
        <f>IF(C533="","",IFERROR(D533*N(INDEX(Products!$C$5:$C$29,MATCH(C533,Lists!$A$2:$A$26,0))),""))</f>
        <v/>
      </c>
      <c r="M533" s="15" t="str">
        <f t="shared" si="8"/>
        <v/>
      </c>
    </row>
    <row r="534" spans="1:13" x14ac:dyDescent="0.35">
      <c r="A534" s="11"/>
      <c r="B534" s="12"/>
      <c r="C534" s="12"/>
      <c r="D534" s="12"/>
      <c r="E534" s="13"/>
      <c r="F534" s="13"/>
      <c r="G534" s="13"/>
      <c r="H534" s="13"/>
      <c r="I534" s="12"/>
      <c r="J534" s="13"/>
      <c r="K534" s="14" t="str">
        <f>IF(C534="","",IFERROR(N('Fee Settings'!$C$5)*(E534+N(F534)-N(J534))+N('Fee Settings'!$C$6)*(E534+N(F534)+N(G534))+N('Fee Settings'!$C$7)+N('Fee Settings'!$C$10)*D534+IF(I534="Yes",MIN(N('Fee Settings'!$C$8)*(E534+N(F534)),N('Fee Settings'!$C$9)),0),""))</f>
        <v/>
      </c>
      <c r="L534" s="14" t="str">
        <f>IF(C534="","",IFERROR(D534*N(INDEX(Products!$C$5:$C$29,MATCH(C534,Lists!$A$2:$A$26,0))),""))</f>
        <v/>
      </c>
      <c r="M534" s="15" t="str">
        <f t="shared" si="8"/>
        <v/>
      </c>
    </row>
    <row r="535" spans="1:13" x14ac:dyDescent="0.35">
      <c r="A535" s="11"/>
      <c r="B535" s="12"/>
      <c r="C535" s="12"/>
      <c r="D535" s="12"/>
      <c r="E535" s="13"/>
      <c r="F535" s="13"/>
      <c r="G535" s="13"/>
      <c r="H535" s="13"/>
      <c r="I535" s="12"/>
      <c r="J535" s="13"/>
      <c r="K535" s="14" t="str">
        <f>IF(C535="","",IFERROR(N('Fee Settings'!$C$5)*(E535+N(F535)-N(J535))+N('Fee Settings'!$C$6)*(E535+N(F535)+N(G535))+N('Fee Settings'!$C$7)+N('Fee Settings'!$C$10)*D535+IF(I535="Yes",MIN(N('Fee Settings'!$C$8)*(E535+N(F535)),N('Fee Settings'!$C$9)),0),""))</f>
        <v/>
      </c>
      <c r="L535" s="14" t="str">
        <f>IF(C535="","",IFERROR(D535*N(INDEX(Products!$C$5:$C$29,MATCH(C535,Lists!$A$2:$A$26,0))),""))</f>
        <v/>
      </c>
      <c r="M535" s="15" t="str">
        <f t="shared" si="8"/>
        <v/>
      </c>
    </row>
    <row r="536" spans="1:13" x14ac:dyDescent="0.35">
      <c r="A536" s="11"/>
      <c r="B536" s="12"/>
      <c r="C536" s="12"/>
      <c r="D536" s="12"/>
      <c r="E536" s="13"/>
      <c r="F536" s="13"/>
      <c r="G536" s="13"/>
      <c r="H536" s="13"/>
      <c r="I536" s="12"/>
      <c r="J536" s="13"/>
      <c r="K536" s="14" t="str">
        <f>IF(C536="","",IFERROR(N('Fee Settings'!$C$5)*(E536+N(F536)-N(J536))+N('Fee Settings'!$C$6)*(E536+N(F536)+N(G536))+N('Fee Settings'!$C$7)+N('Fee Settings'!$C$10)*D536+IF(I536="Yes",MIN(N('Fee Settings'!$C$8)*(E536+N(F536)),N('Fee Settings'!$C$9)),0),""))</f>
        <v/>
      </c>
      <c r="L536" s="14" t="str">
        <f>IF(C536="","",IFERROR(D536*N(INDEX(Products!$C$5:$C$29,MATCH(C536,Lists!$A$2:$A$26,0))),""))</f>
        <v/>
      </c>
      <c r="M536" s="15" t="str">
        <f t="shared" si="8"/>
        <v/>
      </c>
    </row>
    <row r="537" spans="1:13" x14ac:dyDescent="0.35">
      <c r="A537" s="11"/>
      <c r="B537" s="12"/>
      <c r="C537" s="12"/>
      <c r="D537" s="12"/>
      <c r="E537" s="13"/>
      <c r="F537" s="13"/>
      <c r="G537" s="13"/>
      <c r="H537" s="13"/>
      <c r="I537" s="12"/>
      <c r="J537" s="13"/>
      <c r="K537" s="14" t="str">
        <f>IF(C537="","",IFERROR(N('Fee Settings'!$C$5)*(E537+N(F537)-N(J537))+N('Fee Settings'!$C$6)*(E537+N(F537)+N(G537))+N('Fee Settings'!$C$7)+N('Fee Settings'!$C$10)*D537+IF(I537="Yes",MIN(N('Fee Settings'!$C$8)*(E537+N(F537)),N('Fee Settings'!$C$9)),0),""))</f>
        <v/>
      </c>
      <c r="L537" s="14" t="str">
        <f>IF(C537="","",IFERROR(D537*N(INDEX(Products!$C$5:$C$29,MATCH(C537,Lists!$A$2:$A$26,0))),""))</f>
        <v/>
      </c>
      <c r="M537" s="15" t="str">
        <f t="shared" si="8"/>
        <v/>
      </c>
    </row>
    <row r="538" spans="1:13" x14ac:dyDescent="0.35">
      <c r="A538" s="11"/>
      <c r="B538" s="12"/>
      <c r="C538" s="12"/>
      <c r="D538" s="12"/>
      <c r="E538" s="13"/>
      <c r="F538" s="13"/>
      <c r="G538" s="13"/>
      <c r="H538" s="13"/>
      <c r="I538" s="12"/>
      <c r="J538" s="13"/>
      <c r="K538" s="14" t="str">
        <f>IF(C538="","",IFERROR(N('Fee Settings'!$C$5)*(E538+N(F538)-N(J538))+N('Fee Settings'!$C$6)*(E538+N(F538)+N(G538))+N('Fee Settings'!$C$7)+N('Fee Settings'!$C$10)*D538+IF(I538="Yes",MIN(N('Fee Settings'!$C$8)*(E538+N(F538)),N('Fee Settings'!$C$9)),0),""))</f>
        <v/>
      </c>
      <c r="L538" s="14" t="str">
        <f>IF(C538="","",IFERROR(D538*N(INDEX(Products!$C$5:$C$29,MATCH(C538,Lists!$A$2:$A$26,0))),""))</f>
        <v/>
      </c>
      <c r="M538" s="15" t="str">
        <f t="shared" si="8"/>
        <v/>
      </c>
    </row>
    <row r="539" spans="1:13" x14ac:dyDescent="0.35">
      <c r="A539" s="11"/>
      <c r="B539" s="12"/>
      <c r="C539" s="12"/>
      <c r="D539" s="12"/>
      <c r="E539" s="13"/>
      <c r="F539" s="13"/>
      <c r="G539" s="13"/>
      <c r="H539" s="13"/>
      <c r="I539" s="12"/>
      <c r="J539" s="13"/>
      <c r="K539" s="14" t="str">
        <f>IF(C539="","",IFERROR(N('Fee Settings'!$C$5)*(E539+N(F539)-N(J539))+N('Fee Settings'!$C$6)*(E539+N(F539)+N(G539))+N('Fee Settings'!$C$7)+N('Fee Settings'!$C$10)*D539+IF(I539="Yes",MIN(N('Fee Settings'!$C$8)*(E539+N(F539)),N('Fee Settings'!$C$9)),0),""))</f>
        <v/>
      </c>
      <c r="L539" s="14" t="str">
        <f>IF(C539="","",IFERROR(D539*N(INDEX(Products!$C$5:$C$29,MATCH(C539,Lists!$A$2:$A$26,0))),""))</f>
        <v/>
      </c>
      <c r="M539" s="15" t="str">
        <f t="shared" si="8"/>
        <v/>
      </c>
    </row>
    <row r="540" spans="1:13" x14ac:dyDescent="0.35">
      <c r="A540" s="11"/>
      <c r="B540" s="12"/>
      <c r="C540" s="12"/>
      <c r="D540" s="12"/>
      <c r="E540" s="13"/>
      <c r="F540" s="13"/>
      <c r="G540" s="13"/>
      <c r="H540" s="13"/>
      <c r="I540" s="12"/>
      <c r="J540" s="13"/>
      <c r="K540" s="14" t="str">
        <f>IF(C540="","",IFERROR(N('Fee Settings'!$C$5)*(E540+N(F540)-N(J540))+N('Fee Settings'!$C$6)*(E540+N(F540)+N(G540))+N('Fee Settings'!$C$7)+N('Fee Settings'!$C$10)*D540+IF(I540="Yes",MIN(N('Fee Settings'!$C$8)*(E540+N(F540)),N('Fee Settings'!$C$9)),0),""))</f>
        <v/>
      </c>
      <c r="L540" s="14" t="str">
        <f>IF(C540="","",IFERROR(D540*N(INDEX(Products!$C$5:$C$29,MATCH(C540,Lists!$A$2:$A$26,0))),""))</f>
        <v/>
      </c>
      <c r="M540" s="15" t="str">
        <f t="shared" si="8"/>
        <v/>
      </c>
    </row>
    <row r="541" spans="1:13" x14ac:dyDescent="0.35">
      <c r="A541" s="11"/>
      <c r="B541" s="12"/>
      <c r="C541" s="12"/>
      <c r="D541" s="12"/>
      <c r="E541" s="13"/>
      <c r="F541" s="13"/>
      <c r="G541" s="13"/>
      <c r="H541" s="13"/>
      <c r="I541" s="12"/>
      <c r="J541" s="13"/>
      <c r="K541" s="14" t="str">
        <f>IF(C541="","",IFERROR(N('Fee Settings'!$C$5)*(E541+N(F541)-N(J541))+N('Fee Settings'!$C$6)*(E541+N(F541)+N(G541))+N('Fee Settings'!$C$7)+N('Fee Settings'!$C$10)*D541+IF(I541="Yes",MIN(N('Fee Settings'!$C$8)*(E541+N(F541)),N('Fee Settings'!$C$9)),0),""))</f>
        <v/>
      </c>
      <c r="L541" s="14" t="str">
        <f>IF(C541="","",IFERROR(D541*N(INDEX(Products!$C$5:$C$29,MATCH(C541,Lists!$A$2:$A$26,0))),""))</f>
        <v/>
      </c>
      <c r="M541" s="15" t="str">
        <f t="shared" si="8"/>
        <v/>
      </c>
    </row>
    <row r="542" spans="1:13" x14ac:dyDescent="0.35">
      <c r="A542" s="11"/>
      <c r="B542" s="12"/>
      <c r="C542" s="12"/>
      <c r="D542" s="12"/>
      <c r="E542" s="13"/>
      <c r="F542" s="13"/>
      <c r="G542" s="13"/>
      <c r="H542" s="13"/>
      <c r="I542" s="12"/>
      <c r="J542" s="13"/>
      <c r="K542" s="14" t="str">
        <f>IF(C542="","",IFERROR(N('Fee Settings'!$C$5)*(E542+N(F542)-N(J542))+N('Fee Settings'!$C$6)*(E542+N(F542)+N(G542))+N('Fee Settings'!$C$7)+N('Fee Settings'!$C$10)*D542+IF(I542="Yes",MIN(N('Fee Settings'!$C$8)*(E542+N(F542)),N('Fee Settings'!$C$9)),0),""))</f>
        <v/>
      </c>
      <c r="L542" s="14" t="str">
        <f>IF(C542="","",IFERROR(D542*N(INDEX(Products!$C$5:$C$29,MATCH(C542,Lists!$A$2:$A$26,0))),""))</f>
        <v/>
      </c>
      <c r="M542" s="15" t="str">
        <f t="shared" si="8"/>
        <v/>
      </c>
    </row>
    <row r="543" spans="1:13" x14ac:dyDescent="0.35">
      <c r="A543" s="11"/>
      <c r="B543" s="12"/>
      <c r="C543" s="12"/>
      <c r="D543" s="12"/>
      <c r="E543" s="13"/>
      <c r="F543" s="13"/>
      <c r="G543" s="13"/>
      <c r="H543" s="13"/>
      <c r="I543" s="12"/>
      <c r="J543" s="13"/>
      <c r="K543" s="14" t="str">
        <f>IF(C543="","",IFERROR(N('Fee Settings'!$C$5)*(E543+N(F543)-N(J543))+N('Fee Settings'!$C$6)*(E543+N(F543)+N(G543))+N('Fee Settings'!$C$7)+N('Fee Settings'!$C$10)*D543+IF(I543="Yes",MIN(N('Fee Settings'!$C$8)*(E543+N(F543)),N('Fee Settings'!$C$9)),0),""))</f>
        <v/>
      </c>
      <c r="L543" s="14" t="str">
        <f>IF(C543="","",IFERROR(D543*N(INDEX(Products!$C$5:$C$29,MATCH(C543,Lists!$A$2:$A$26,0))),""))</f>
        <v/>
      </c>
      <c r="M543" s="15" t="str">
        <f t="shared" si="8"/>
        <v/>
      </c>
    </row>
    <row r="544" spans="1:13" x14ac:dyDescent="0.35">
      <c r="A544" s="11"/>
      <c r="B544" s="12"/>
      <c r="C544" s="12"/>
      <c r="D544" s="12"/>
      <c r="E544" s="13"/>
      <c r="F544" s="13"/>
      <c r="G544" s="13"/>
      <c r="H544" s="13"/>
      <c r="I544" s="12"/>
      <c r="J544" s="13"/>
      <c r="K544" s="14" t="str">
        <f>IF(C544="","",IFERROR(N('Fee Settings'!$C$5)*(E544+N(F544)-N(J544))+N('Fee Settings'!$C$6)*(E544+N(F544)+N(G544))+N('Fee Settings'!$C$7)+N('Fee Settings'!$C$10)*D544+IF(I544="Yes",MIN(N('Fee Settings'!$C$8)*(E544+N(F544)),N('Fee Settings'!$C$9)),0),""))</f>
        <v/>
      </c>
      <c r="L544" s="14" t="str">
        <f>IF(C544="","",IFERROR(D544*N(INDEX(Products!$C$5:$C$29,MATCH(C544,Lists!$A$2:$A$26,0))),""))</f>
        <v/>
      </c>
      <c r="M544" s="15" t="str">
        <f t="shared" si="8"/>
        <v/>
      </c>
    </row>
    <row r="545" spans="1:13" x14ac:dyDescent="0.35">
      <c r="A545" s="11"/>
      <c r="B545" s="12"/>
      <c r="C545" s="12"/>
      <c r="D545" s="12"/>
      <c r="E545" s="13"/>
      <c r="F545" s="13"/>
      <c r="G545" s="13"/>
      <c r="H545" s="13"/>
      <c r="I545" s="12"/>
      <c r="J545" s="13"/>
      <c r="K545" s="14" t="str">
        <f>IF(C545="","",IFERROR(N('Fee Settings'!$C$5)*(E545+N(F545)-N(J545))+N('Fee Settings'!$C$6)*(E545+N(F545)+N(G545))+N('Fee Settings'!$C$7)+N('Fee Settings'!$C$10)*D545+IF(I545="Yes",MIN(N('Fee Settings'!$C$8)*(E545+N(F545)),N('Fee Settings'!$C$9)),0),""))</f>
        <v/>
      </c>
      <c r="L545" s="14" t="str">
        <f>IF(C545="","",IFERROR(D545*N(INDEX(Products!$C$5:$C$29,MATCH(C545,Lists!$A$2:$A$26,0))),""))</f>
        <v/>
      </c>
      <c r="M545" s="15" t="str">
        <f t="shared" si="8"/>
        <v/>
      </c>
    </row>
    <row r="546" spans="1:13" x14ac:dyDescent="0.35">
      <c r="A546" s="11"/>
      <c r="B546" s="12"/>
      <c r="C546" s="12"/>
      <c r="D546" s="12"/>
      <c r="E546" s="13"/>
      <c r="F546" s="13"/>
      <c r="G546" s="13"/>
      <c r="H546" s="13"/>
      <c r="I546" s="12"/>
      <c r="J546" s="13"/>
      <c r="K546" s="14" t="str">
        <f>IF(C546="","",IFERROR(N('Fee Settings'!$C$5)*(E546+N(F546)-N(J546))+N('Fee Settings'!$C$6)*(E546+N(F546)+N(G546))+N('Fee Settings'!$C$7)+N('Fee Settings'!$C$10)*D546+IF(I546="Yes",MIN(N('Fee Settings'!$C$8)*(E546+N(F546)),N('Fee Settings'!$C$9)),0),""))</f>
        <v/>
      </c>
      <c r="L546" s="14" t="str">
        <f>IF(C546="","",IFERROR(D546*N(INDEX(Products!$C$5:$C$29,MATCH(C546,Lists!$A$2:$A$26,0))),""))</f>
        <v/>
      </c>
      <c r="M546" s="15" t="str">
        <f t="shared" si="8"/>
        <v/>
      </c>
    </row>
    <row r="547" spans="1:13" x14ac:dyDescent="0.35">
      <c r="A547" s="11"/>
      <c r="B547" s="12"/>
      <c r="C547" s="12"/>
      <c r="D547" s="12"/>
      <c r="E547" s="13"/>
      <c r="F547" s="13"/>
      <c r="G547" s="13"/>
      <c r="H547" s="13"/>
      <c r="I547" s="12"/>
      <c r="J547" s="13"/>
      <c r="K547" s="14" t="str">
        <f>IF(C547="","",IFERROR(N('Fee Settings'!$C$5)*(E547+N(F547)-N(J547))+N('Fee Settings'!$C$6)*(E547+N(F547)+N(G547))+N('Fee Settings'!$C$7)+N('Fee Settings'!$C$10)*D547+IF(I547="Yes",MIN(N('Fee Settings'!$C$8)*(E547+N(F547)),N('Fee Settings'!$C$9)),0),""))</f>
        <v/>
      </c>
      <c r="L547" s="14" t="str">
        <f>IF(C547="","",IFERROR(D547*N(INDEX(Products!$C$5:$C$29,MATCH(C547,Lists!$A$2:$A$26,0))),""))</f>
        <v/>
      </c>
      <c r="M547" s="15" t="str">
        <f t="shared" si="8"/>
        <v/>
      </c>
    </row>
    <row r="548" spans="1:13" x14ac:dyDescent="0.35">
      <c r="A548" s="11"/>
      <c r="B548" s="12"/>
      <c r="C548" s="12"/>
      <c r="D548" s="12"/>
      <c r="E548" s="13"/>
      <c r="F548" s="13"/>
      <c r="G548" s="13"/>
      <c r="H548" s="13"/>
      <c r="I548" s="12"/>
      <c r="J548" s="13"/>
      <c r="K548" s="14" t="str">
        <f>IF(C548="","",IFERROR(N('Fee Settings'!$C$5)*(E548+N(F548)-N(J548))+N('Fee Settings'!$C$6)*(E548+N(F548)+N(G548))+N('Fee Settings'!$C$7)+N('Fee Settings'!$C$10)*D548+IF(I548="Yes",MIN(N('Fee Settings'!$C$8)*(E548+N(F548)),N('Fee Settings'!$C$9)),0),""))</f>
        <v/>
      </c>
      <c r="L548" s="14" t="str">
        <f>IF(C548="","",IFERROR(D548*N(INDEX(Products!$C$5:$C$29,MATCH(C548,Lists!$A$2:$A$26,0))),""))</f>
        <v/>
      </c>
      <c r="M548" s="15" t="str">
        <f t="shared" si="8"/>
        <v/>
      </c>
    </row>
    <row r="549" spans="1:13" x14ac:dyDescent="0.35">
      <c r="A549" s="11"/>
      <c r="B549" s="12"/>
      <c r="C549" s="12"/>
      <c r="D549" s="12"/>
      <c r="E549" s="13"/>
      <c r="F549" s="13"/>
      <c r="G549" s="13"/>
      <c r="H549" s="13"/>
      <c r="I549" s="12"/>
      <c r="J549" s="13"/>
      <c r="K549" s="14" t="str">
        <f>IF(C549="","",IFERROR(N('Fee Settings'!$C$5)*(E549+N(F549)-N(J549))+N('Fee Settings'!$C$6)*(E549+N(F549)+N(G549))+N('Fee Settings'!$C$7)+N('Fee Settings'!$C$10)*D549+IF(I549="Yes",MIN(N('Fee Settings'!$C$8)*(E549+N(F549)),N('Fee Settings'!$C$9)),0),""))</f>
        <v/>
      </c>
      <c r="L549" s="14" t="str">
        <f>IF(C549="","",IFERROR(D549*N(INDEX(Products!$C$5:$C$29,MATCH(C549,Lists!$A$2:$A$26,0))),""))</f>
        <v/>
      </c>
      <c r="M549" s="15" t="str">
        <f t="shared" si="8"/>
        <v/>
      </c>
    </row>
    <row r="550" spans="1:13" x14ac:dyDescent="0.35">
      <c r="A550" s="11"/>
      <c r="B550" s="12"/>
      <c r="C550" s="12"/>
      <c r="D550" s="12"/>
      <c r="E550" s="13"/>
      <c r="F550" s="13"/>
      <c r="G550" s="13"/>
      <c r="H550" s="13"/>
      <c r="I550" s="12"/>
      <c r="J550" s="13"/>
      <c r="K550" s="14" t="str">
        <f>IF(C550="","",IFERROR(N('Fee Settings'!$C$5)*(E550+N(F550)-N(J550))+N('Fee Settings'!$C$6)*(E550+N(F550)+N(G550))+N('Fee Settings'!$C$7)+N('Fee Settings'!$C$10)*D550+IF(I550="Yes",MIN(N('Fee Settings'!$C$8)*(E550+N(F550)),N('Fee Settings'!$C$9)),0),""))</f>
        <v/>
      </c>
      <c r="L550" s="14" t="str">
        <f>IF(C550="","",IFERROR(D550*N(INDEX(Products!$C$5:$C$29,MATCH(C550,Lists!$A$2:$A$26,0))),""))</f>
        <v/>
      </c>
      <c r="M550" s="15" t="str">
        <f t="shared" si="8"/>
        <v/>
      </c>
    </row>
    <row r="551" spans="1:13" x14ac:dyDescent="0.35">
      <c r="A551" s="11"/>
      <c r="B551" s="12"/>
      <c r="C551" s="12"/>
      <c r="D551" s="12"/>
      <c r="E551" s="13"/>
      <c r="F551" s="13"/>
      <c r="G551" s="13"/>
      <c r="H551" s="13"/>
      <c r="I551" s="12"/>
      <c r="J551" s="13"/>
      <c r="K551" s="14" t="str">
        <f>IF(C551="","",IFERROR(N('Fee Settings'!$C$5)*(E551+N(F551)-N(J551))+N('Fee Settings'!$C$6)*(E551+N(F551)+N(G551))+N('Fee Settings'!$C$7)+N('Fee Settings'!$C$10)*D551+IF(I551="Yes",MIN(N('Fee Settings'!$C$8)*(E551+N(F551)),N('Fee Settings'!$C$9)),0),""))</f>
        <v/>
      </c>
      <c r="L551" s="14" t="str">
        <f>IF(C551="","",IFERROR(D551*N(INDEX(Products!$C$5:$C$29,MATCH(C551,Lists!$A$2:$A$26,0))),""))</f>
        <v/>
      </c>
      <c r="M551" s="15" t="str">
        <f t="shared" si="8"/>
        <v/>
      </c>
    </row>
    <row r="552" spans="1:13" x14ac:dyDescent="0.35">
      <c r="A552" s="11"/>
      <c r="B552" s="12"/>
      <c r="C552" s="12"/>
      <c r="D552" s="12"/>
      <c r="E552" s="13"/>
      <c r="F552" s="13"/>
      <c r="G552" s="13"/>
      <c r="H552" s="13"/>
      <c r="I552" s="12"/>
      <c r="J552" s="13"/>
      <c r="K552" s="14" t="str">
        <f>IF(C552="","",IFERROR(N('Fee Settings'!$C$5)*(E552+N(F552)-N(J552))+N('Fee Settings'!$C$6)*(E552+N(F552)+N(G552))+N('Fee Settings'!$C$7)+N('Fee Settings'!$C$10)*D552+IF(I552="Yes",MIN(N('Fee Settings'!$C$8)*(E552+N(F552)),N('Fee Settings'!$C$9)),0),""))</f>
        <v/>
      </c>
      <c r="L552" s="14" t="str">
        <f>IF(C552="","",IFERROR(D552*N(INDEX(Products!$C$5:$C$29,MATCH(C552,Lists!$A$2:$A$26,0))),""))</f>
        <v/>
      </c>
      <c r="M552" s="15" t="str">
        <f t="shared" si="8"/>
        <v/>
      </c>
    </row>
    <row r="553" spans="1:13" x14ac:dyDescent="0.35">
      <c r="A553" s="11"/>
      <c r="B553" s="12"/>
      <c r="C553" s="12"/>
      <c r="D553" s="12"/>
      <c r="E553" s="13"/>
      <c r="F553" s="13"/>
      <c r="G553" s="13"/>
      <c r="H553" s="13"/>
      <c r="I553" s="12"/>
      <c r="J553" s="13"/>
      <c r="K553" s="14" t="str">
        <f>IF(C553="","",IFERROR(N('Fee Settings'!$C$5)*(E553+N(F553)-N(J553))+N('Fee Settings'!$C$6)*(E553+N(F553)+N(G553))+N('Fee Settings'!$C$7)+N('Fee Settings'!$C$10)*D553+IF(I553="Yes",MIN(N('Fee Settings'!$C$8)*(E553+N(F553)),N('Fee Settings'!$C$9)),0),""))</f>
        <v/>
      </c>
      <c r="L553" s="14" t="str">
        <f>IF(C553="","",IFERROR(D553*N(INDEX(Products!$C$5:$C$29,MATCH(C553,Lists!$A$2:$A$26,0))),""))</f>
        <v/>
      </c>
      <c r="M553" s="15" t="str">
        <f t="shared" si="8"/>
        <v/>
      </c>
    </row>
    <row r="554" spans="1:13" x14ac:dyDescent="0.35">
      <c r="A554" s="11"/>
      <c r="B554" s="12"/>
      <c r="C554" s="12"/>
      <c r="D554" s="12"/>
      <c r="E554" s="13"/>
      <c r="F554" s="13"/>
      <c r="G554" s="13"/>
      <c r="H554" s="13"/>
      <c r="I554" s="12"/>
      <c r="J554" s="13"/>
      <c r="K554" s="14" t="str">
        <f>IF(C554="","",IFERROR(N('Fee Settings'!$C$5)*(E554+N(F554)-N(J554))+N('Fee Settings'!$C$6)*(E554+N(F554)+N(G554))+N('Fee Settings'!$C$7)+N('Fee Settings'!$C$10)*D554+IF(I554="Yes",MIN(N('Fee Settings'!$C$8)*(E554+N(F554)),N('Fee Settings'!$C$9)),0),""))</f>
        <v/>
      </c>
      <c r="L554" s="14" t="str">
        <f>IF(C554="","",IFERROR(D554*N(INDEX(Products!$C$5:$C$29,MATCH(C554,Lists!$A$2:$A$26,0))),""))</f>
        <v/>
      </c>
      <c r="M554" s="15" t="str">
        <f t="shared" si="8"/>
        <v/>
      </c>
    </row>
    <row r="555" spans="1:13" x14ac:dyDescent="0.35">
      <c r="A555" s="11"/>
      <c r="B555" s="12"/>
      <c r="C555" s="12"/>
      <c r="D555" s="12"/>
      <c r="E555" s="13"/>
      <c r="F555" s="13"/>
      <c r="G555" s="13"/>
      <c r="H555" s="13"/>
      <c r="I555" s="12"/>
      <c r="J555" s="13"/>
      <c r="K555" s="14" t="str">
        <f>IF(C555="","",IFERROR(N('Fee Settings'!$C$5)*(E555+N(F555)-N(J555))+N('Fee Settings'!$C$6)*(E555+N(F555)+N(G555))+N('Fee Settings'!$C$7)+N('Fee Settings'!$C$10)*D555+IF(I555="Yes",MIN(N('Fee Settings'!$C$8)*(E555+N(F555)),N('Fee Settings'!$C$9)),0),""))</f>
        <v/>
      </c>
      <c r="L555" s="14" t="str">
        <f>IF(C555="","",IFERROR(D555*N(INDEX(Products!$C$5:$C$29,MATCH(C555,Lists!$A$2:$A$26,0))),""))</f>
        <v/>
      </c>
      <c r="M555" s="15" t="str">
        <f t="shared" si="8"/>
        <v/>
      </c>
    </row>
    <row r="556" spans="1:13" x14ac:dyDescent="0.35">
      <c r="A556" s="11"/>
      <c r="B556" s="12"/>
      <c r="C556" s="12"/>
      <c r="D556" s="12"/>
      <c r="E556" s="13"/>
      <c r="F556" s="13"/>
      <c r="G556" s="13"/>
      <c r="H556" s="13"/>
      <c r="I556" s="12"/>
      <c r="J556" s="13"/>
      <c r="K556" s="14" t="str">
        <f>IF(C556="","",IFERROR(N('Fee Settings'!$C$5)*(E556+N(F556)-N(J556))+N('Fee Settings'!$C$6)*(E556+N(F556)+N(G556))+N('Fee Settings'!$C$7)+N('Fee Settings'!$C$10)*D556+IF(I556="Yes",MIN(N('Fee Settings'!$C$8)*(E556+N(F556)),N('Fee Settings'!$C$9)),0),""))</f>
        <v/>
      </c>
      <c r="L556" s="14" t="str">
        <f>IF(C556="","",IFERROR(D556*N(INDEX(Products!$C$5:$C$29,MATCH(C556,Lists!$A$2:$A$26,0))),""))</f>
        <v/>
      </c>
      <c r="M556" s="15" t="str">
        <f t="shared" si="8"/>
        <v/>
      </c>
    </row>
    <row r="557" spans="1:13" x14ac:dyDescent="0.35">
      <c r="A557" s="11"/>
      <c r="B557" s="12"/>
      <c r="C557" s="12"/>
      <c r="D557" s="12"/>
      <c r="E557" s="13"/>
      <c r="F557" s="13"/>
      <c r="G557" s="13"/>
      <c r="H557" s="13"/>
      <c r="I557" s="12"/>
      <c r="J557" s="13"/>
      <c r="K557" s="14" t="str">
        <f>IF(C557="","",IFERROR(N('Fee Settings'!$C$5)*(E557+N(F557)-N(J557))+N('Fee Settings'!$C$6)*(E557+N(F557)+N(G557))+N('Fee Settings'!$C$7)+N('Fee Settings'!$C$10)*D557+IF(I557="Yes",MIN(N('Fee Settings'!$C$8)*(E557+N(F557)),N('Fee Settings'!$C$9)),0),""))</f>
        <v/>
      </c>
      <c r="L557" s="14" t="str">
        <f>IF(C557="","",IFERROR(D557*N(INDEX(Products!$C$5:$C$29,MATCH(C557,Lists!$A$2:$A$26,0))),""))</f>
        <v/>
      </c>
      <c r="M557" s="15" t="str">
        <f t="shared" si="8"/>
        <v/>
      </c>
    </row>
    <row r="558" spans="1:13" x14ac:dyDescent="0.35">
      <c r="A558" s="11"/>
      <c r="B558" s="12"/>
      <c r="C558" s="12"/>
      <c r="D558" s="12"/>
      <c r="E558" s="13"/>
      <c r="F558" s="13"/>
      <c r="G558" s="13"/>
      <c r="H558" s="13"/>
      <c r="I558" s="12"/>
      <c r="J558" s="13"/>
      <c r="K558" s="14" t="str">
        <f>IF(C558="","",IFERROR(N('Fee Settings'!$C$5)*(E558+N(F558)-N(J558))+N('Fee Settings'!$C$6)*(E558+N(F558)+N(G558))+N('Fee Settings'!$C$7)+N('Fee Settings'!$C$10)*D558+IF(I558="Yes",MIN(N('Fee Settings'!$C$8)*(E558+N(F558)),N('Fee Settings'!$C$9)),0),""))</f>
        <v/>
      </c>
      <c r="L558" s="14" t="str">
        <f>IF(C558="","",IFERROR(D558*N(INDEX(Products!$C$5:$C$29,MATCH(C558,Lists!$A$2:$A$26,0))),""))</f>
        <v/>
      </c>
      <c r="M558" s="15" t="str">
        <f t="shared" si="8"/>
        <v/>
      </c>
    </row>
    <row r="559" spans="1:13" x14ac:dyDescent="0.35">
      <c r="A559" s="11"/>
      <c r="B559" s="12"/>
      <c r="C559" s="12"/>
      <c r="D559" s="12"/>
      <c r="E559" s="13"/>
      <c r="F559" s="13"/>
      <c r="G559" s="13"/>
      <c r="H559" s="13"/>
      <c r="I559" s="12"/>
      <c r="J559" s="13"/>
      <c r="K559" s="14" t="str">
        <f>IF(C559="","",IFERROR(N('Fee Settings'!$C$5)*(E559+N(F559)-N(J559))+N('Fee Settings'!$C$6)*(E559+N(F559)+N(G559))+N('Fee Settings'!$C$7)+N('Fee Settings'!$C$10)*D559+IF(I559="Yes",MIN(N('Fee Settings'!$C$8)*(E559+N(F559)),N('Fee Settings'!$C$9)),0),""))</f>
        <v/>
      </c>
      <c r="L559" s="14" t="str">
        <f>IF(C559="","",IFERROR(D559*N(INDEX(Products!$C$5:$C$29,MATCH(C559,Lists!$A$2:$A$26,0))),""))</f>
        <v/>
      </c>
      <c r="M559" s="15" t="str">
        <f t="shared" si="8"/>
        <v/>
      </c>
    </row>
    <row r="560" spans="1:13" x14ac:dyDescent="0.35">
      <c r="A560" s="11"/>
      <c r="B560" s="12"/>
      <c r="C560" s="12"/>
      <c r="D560" s="12"/>
      <c r="E560" s="13"/>
      <c r="F560" s="13"/>
      <c r="G560" s="13"/>
      <c r="H560" s="13"/>
      <c r="I560" s="12"/>
      <c r="J560" s="13"/>
      <c r="K560" s="14" t="str">
        <f>IF(C560="","",IFERROR(N('Fee Settings'!$C$5)*(E560+N(F560)-N(J560))+N('Fee Settings'!$C$6)*(E560+N(F560)+N(G560))+N('Fee Settings'!$C$7)+N('Fee Settings'!$C$10)*D560+IF(I560="Yes",MIN(N('Fee Settings'!$C$8)*(E560+N(F560)),N('Fee Settings'!$C$9)),0),""))</f>
        <v/>
      </c>
      <c r="L560" s="14" t="str">
        <f>IF(C560="","",IFERROR(D560*N(INDEX(Products!$C$5:$C$29,MATCH(C560,Lists!$A$2:$A$26,0))),""))</f>
        <v/>
      </c>
      <c r="M560" s="15" t="str">
        <f t="shared" si="8"/>
        <v/>
      </c>
    </row>
    <row r="561" spans="1:13" x14ac:dyDescent="0.35">
      <c r="A561" s="11"/>
      <c r="B561" s="12"/>
      <c r="C561" s="12"/>
      <c r="D561" s="12"/>
      <c r="E561" s="13"/>
      <c r="F561" s="13"/>
      <c r="G561" s="13"/>
      <c r="H561" s="13"/>
      <c r="I561" s="12"/>
      <c r="J561" s="13"/>
      <c r="K561" s="14" t="str">
        <f>IF(C561="","",IFERROR(N('Fee Settings'!$C$5)*(E561+N(F561)-N(J561))+N('Fee Settings'!$C$6)*(E561+N(F561)+N(G561))+N('Fee Settings'!$C$7)+N('Fee Settings'!$C$10)*D561+IF(I561="Yes",MIN(N('Fee Settings'!$C$8)*(E561+N(F561)),N('Fee Settings'!$C$9)),0),""))</f>
        <v/>
      </c>
      <c r="L561" s="14" t="str">
        <f>IF(C561="","",IFERROR(D561*N(INDEX(Products!$C$5:$C$29,MATCH(C561,Lists!$A$2:$A$26,0))),""))</f>
        <v/>
      </c>
      <c r="M561" s="15" t="str">
        <f t="shared" si="8"/>
        <v/>
      </c>
    </row>
    <row r="562" spans="1:13" x14ac:dyDescent="0.35">
      <c r="A562" s="11"/>
      <c r="B562" s="12"/>
      <c r="C562" s="12"/>
      <c r="D562" s="12"/>
      <c r="E562" s="13"/>
      <c r="F562" s="13"/>
      <c r="G562" s="13"/>
      <c r="H562" s="13"/>
      <c r="I562" s="12"/>
      <c r="J562" s="13"/>
      <c r="K562" s="14" t="str">
        <f>IF(C562="","",IFERROR(N('Fee Settings'!$C$5)*(E562+N(F562)-N(J562))+N('Fee Settings'!$C$6)*(E562+N(F562)+N(G562))+N('Fee Settings'!$C$7)+N('Fee Settings'!$C$10)*D562+IF(I562="Yes",MIN(N('Fee Settings'!$C$8)*(E562+N(F562)),N('Fee Settings'!$C$9)),0),""))</f>
        <v/>
      </c>
      <c r="L562" s="14" t="str">
        <f>IF(C562="","",IFERROR(D562*N(INDEX(Products!$C$5:$C$29,MATCH(C562,Lists!$A$2:$A$26,0))),""))</f>
        <v/>
      </c>
      <c r="M562" s="15" t="str">
        <f t="shared" si="8"/>
        <v/>
      </c>
    </row>
    <row r="563" spans="1:13" x14ac:dyDescent="0.35">
      <c r="A563" s="11"/>
      <c r="B563" s="12"/>
      <c r="C563" s="12"/>
      <c r="D563" s="12"/>
      <c r="E563" s="13"/>
      <c r="F563" s="13"/>
      <c r="G563" s="13"/>
      <c r="H563" s="13"/>
      <c r="I563" s="12"/>
      <c r="J563" s="13"/>
      <c r="K563" s="14" t="str">
        <f>IF(C563="","",IFERROR(N('Fee Settings'!$C$5)*(E563+N(F563)-N(J563))+N('Fee Settings'!$C$6)*(E563+N(F563)+N(G563))+N('Fee Settings'!$C$7)+N('Fee Settings'!$C$10)*D563+IF(I563="Yes",MIN(N('Fee Settings'!$C$8)*(E563+N(F563)),N('Fee Settings'!$C$9)),0),""))</f>
        <v/>
      </c>
      <c r="L563" s="14" t="str">
        <f>IF(C563="","",IFERROR(D563*N(INDEX(Products!$C$5:$C$29,MATCH(C563,Lists!$A$2:$A$26,0))),""))</f>
        <v/>
      </c>
      <c r="M563" s="15" t="str">
        <f t="shared" si="8"/>
        <v/>
      </c>
    </row>
    <row r="564" spans="1:13" x14ac:dyDescent="0.35">
      <c r="A564" s="11"/>
      <c r="B564" s="12"/>
      <c r="C564" s="12"/>
      <c r="D564" s="12"/>
      <c r="E564" s="13"/>
      <c r="F564" s="13"/>
      <c r="G564" s="13"/>
      <c r="H564" s="13"/>
      <c r="I564" s="12"/>
      <c r="J564" s="13"/>
      <c r="K564" s="14" t="str">
        <f>IF(C564="","",IFERROR(N('Fee Settings'!$C$5)*(E564+N(F564)-N(J564))+N('Fee Settings'!$C$6)*(E564+N(F564)+N(G564))+N('Fee Settings'!$C$7)+N('Fee Settings'!$C$10)*D564+IF(I564="Yes",MIN(N('Fee Settings'!$C$8)*(E564+N(F564)),N('Fee Settings'!$C$9)),0),""))</f>
        <v/>
      </c>
      <c r="L564" s="14" t="str">
        <f>IF(C564="","",IFERROR(D564*N(INDEX(Products!$C$5:$C$29,MATCH(C564,Lists!$A$2:$A$26,0))),""))</f>
        <v/>
      </c>
      <c r="M564" s="15" t="str">
        <f t="shared" si="8"/>
        <v/>
      </c>
    </row>
    <row r="565" spans="1:13" x14ac:dyDescent="0.35">
      <c r="A565" s="11"/>
      <c r="B565" s="12"/>
      <c r="C565" s="12"/>
      <c r="D565" s="12"/>
      <c r="E565" s="13"/>
      <c r="F565" s="13"/>
      <c r="G565" s="13"/>
      <c r="H565" s="13"/>
      <c r="I565" s="12"/>
      <c r="J565" s="13"/>
      <c r="K565" s="14" t="str">
        <f>IF(C565="","",IFERROR(N('Fee Settings'!$C$5)*(E565+N(F565)-N(J565))+N('Fee Settings'!$C$6)*(E565+N(F565)+N(G565))+N('Fee Settings'!$C$7)+N('Fee Settings'!$C$10)*D565+IF(I565="Yes",MIN(N('Fee Settings'!$C$8)*(E565+N(F565)),N('Fee Settings'!$C$9)),0),""))</f>
        <v/>
      </c>
      <c r="L565" s="14" t="str">
        <f>IF(C565="","",IFERROR(D565*N(INDEX(Products!$C$5:$C$29,MATCH(C565,Lists!$A$2:$A$26,0))),""))</f>
        <v/>
      </c>
      <c r="M565" s="15" t="str">
        <f t="shared" si="8"/>
        <v/>
      </c>
    </row>
    <row r="566" spans="1:13" x14ac:dyDescent="0.35">
      <c r="A566" s="11"/>
      <c r="B566" s="12"/>
      <c r="C566" s="12"/>
      <c r="D566" s="12"/>
      <c r="E566" s="13"/>
      <c r="F566" s="13"/>
      <c r="G566" s="13"/>
      <c r="H566" s="13"/>
      <c r="I566" s="12"/>
      <c r="J566" s="13"/>
      <c r="K566" s="14" t="str">
        <f>IF(C566="","",IFERROR(N('Fee Settings'!$C$5)*(E566+N(F566)-N(J566))+N('Fee Settings'!$C$6)*(E566+N(F566)+N(G566))+N('Fee Settings'!$C$7)+N('Fee Settings'!$C$10)*D566+IF(I566="Yes",MIN(N('Fee Settings'!$C$8)*(E566+N(F566)),N('Fee Settings'!$C$9)),0),""))</f>
        <v/>
      </c>
      <c r="L566" s="14" t="str">
        <f>IF(C566="","",IFERROR(D566*N(INDEX(Products!$C$5:$C$29,MATCH(C566,Lists!$A$2:$A$26,0))),""))</f>
        <v/>
      </c>
      <c r="M566" s="15" t="str">
        <f t="shared" si="8"/>
        <v/>
      </c>
    </row>
    <row r="567" spans="1:13" x14ac:dyDescent="0.35">
      <c r="A567" s="11"/>
      <c r="B567" s="12"/>
      <c r="C567" s="12"/>
      <c r="D567" s="12"/>
      <c r="E567" s="13"/>
      <c r="F567" s="13"/>
      <c r="G567" s="13"/>
      <c r="H567" s="13"/>
      <c r="I567" s="12"/>
      <c r="J567" s="13"/>
      <c r="K567" s="14" t="str">
        <f>IF(C567="","",IFERROR(N('Fee Settings'!$C$5)*(E567+N(F567)-N(J567))+N('Fee Settings'!$C$6)*(E567+N(F567)+N(G567))+N('Fee Settings'!$C$7)+N('Fee Settings'!$C$10)*D567+IF(I567="Yes",MIN(N('Fee Settings'!$C$8)*(E567+N(F567)),N('Fee Settings'!$C$9)),0),""))</f>
        <v/>
      </c>
      <c r="L567" s="14" t="str">
        <f>IF(C567="","",IFERROR(D567*N(INDEX(Products!$C$5:$C$29,MATCH(C567,Lists!$A$2:$A$26,0))),""))</f>
        <v/>
      </c>
      <c r="M567" s="15" t="str">
        <f t="shared" si="8"/>
        <v/>
      </c>
    </row>
    <row r="568" spans="1:13" x14ac:dyDescent="0.35">
      <c r="A568" s="11"/>
      <c r="B568" s="12"/>
      <c r="C568" s="12"/>
      <c r="D568" s="12"/>
      <c r="E568" s="13"/>
      <c r="F568" s="13"/>
      <c r="G568" s="13"/>
      <c r="H568" s="13"/>
      <c r="I568" s="12"/>
      <c r="J568" s="13"/>
      <c r="K568" s="14" t="str">
        <f>IF(C568="","",IFERROR(N('Fee Settings'!$C$5)*(E568+N(F568)-N(J568))+N('Fee Settings'!$C$6)*(E568+N(F568)+N(G568))+N('Fee Settings'!$C$7)+N('Fee Settings'!$C$10)*D568+IF(I568="Yes",MIN(N('Fee Settings'!$C$8)*(E568+N(F568)),N('Fee Settings'!$C$9)),0),""))</f>
        <v/>
      </c>
      <c r="L568" s="14" t="str">
        <f>IF(C568="","",IFERROR(D568*N(INDEX(Products!$C$5:$C$29,MATCH(C568,Lists!$A$2:$A$26,0))),""))</f>
        <v/>
      </c>
      <c r="M568" s="15" t="str">
        <f t="shared" si="8"/>
        <v/>
      </c>
    </row>
    <row r="569" spans="1:13" x14ac:dyDescent="0.35">
      <c r="A569" s="11"/>
      <c r="B569" s="12"/>
      <c r="C569" s="12"/>
      <c r="D569" s="12"/>
      <c r="E569" s="13"/>
      <c r="F569" s="13"/>
      <c r="G569" s="13"/>
      <c r="H569" s="13"/>
      <c r="I569" s="12"/>
      <c r="J569" s="13"/>
      <c r="K569" s="14" t="str">
        <f>IF(C569="","",IFERROR(N('Fee Settings'!$C$5)*(E569+N(F569)-N(J569))+N('Fee Settings'!$C$6)*(E569+N(F569)+N(G569))+N('Fee Settings'!$C$7)+N('Fee Settings'!$C$10)*D569+IF(I569="Yes",MIN(N('Fee Settings'!$C$8)*(E569+N(F569)),N('Fee Settings'!$C$9)),0),""))</f>
        <v/>
      </c>
      <c r="L569" s="14" t="str">
        <f>IF(C569="","",IFERROR(D569*N(INDEX(Products!$C$5:$C$29,MATCH(C569,Lists!$A$2:$A$26,0))),""))</f>
        <v/>
      </c>
      <c r="M569" s="15" t="str">
        <f t="shared" si="8"/>
        <v/>
      </c>
    </row>
    <row r="570" spans="1:13" x14ac:dyDescent="0.35">
      <c r="A570" s="11"/>
      <c r="B570" s="12"/>
      <c r="C570" s="12"/>
      <c r="D570" s="12"/>
      <c r="E570" s="13"/>
      <c r="F570" s="13"/>
      <c r="G570" s="13"/>
      <c r="H570" s="13"/>
      <c r="I570" s="12"/>
      <c r="J570" s="13"/>
      <c r="K570" s="14" t="str">
        <f>IF(C570="","",IFERROR(N('Fee Settings'!$C$5)*(E570+N(F570)-N(J570))+N('Fee Settings'!$C$6)*(E570+N(F570)+N(G570))+N('Fee Settings'!$C$7)+N('Fee Settings'!$C$10)*D570+IF(I570="Yes",MIN(N('Fee Settings'!$C$8)*(E570+N(F570)),N('Fee Settings'!$C$9)),0),""))</f>
        <v/>
      </c>
      <c r="L570" s="14" t="str">
        <f>IF(C570="","",IFERROR(D570*N(INDEX(Products!$C$5:$C$29,MATCH(C570,Lists!$A$2:$A$26,0))),""))</f>
        <v/>
      </c>
      <c r="M570" s="15" t="str">
        <f t="shared" si="8"/>
        <v/>
      </c>
    </row>
    <row r="571" spans="1:13" x14ac:dyDescent="0.35">
      <c r="A571" s="11"/>
      <c r="B571" s="12"/>
      <c r="C571" s="12"/>
      <c r="D571" s="12"/>
      <c r="E571" s="13"/>
      <c r="F571" s="13"/>
      <c r="G571" s="13"/>
      <c r="H571" s="13"/>
      <c r="I571" s="12"/>
      <c r="J571" s="13"/>
      <c r="K571" s="14" t="str">
        <f>IF(C571="","",IFERROR(N('Fee Settings'!$C$5)*(E571+N(F571)-N(J571))+N('Fee Settings'!$C$6)*(E571+N(F571)+N(G571))+N('Fee Settings'!$C$7)+N('Fee Settings'!$C$10)*D571+IF(I571="Yes",MIN(N('Fee Settings'!$C$8)*(E571+N(F571)),N('Fee Settings'!$C$9)),0),""))</f>
        <v/>
      </c>
      <c r="L571" s="14" t="str">
        <f>IF(C571="","",IFERROR(D571*N(INDEX(Products!$C$5:$C$29,MATCH(C571,Lists!$A$2:$A$26,0))),""))</f>
        <v/>
      </c>
      <c r="M571" s="15" t="str">
        <f t="shared" si="8"/>
        <v/>
      </c>
    </row>
    <row r="572" spans="1:13" x14ac:dyDescent="0.35">
      <c r="A572" s="11"/>
      <c r="B572" s="12"/>
      <c r="C572" s="12"/>
      <c r="D572" s="12"/>
      <c r="E572" s="13"/>
      <c r="F572" s="13"/>
      <c r="G572" s="13"/>
      <c r="H572" s="13"/>
      <c r="I572" s="12"/>
      <c r="J572" s="13"/>
      <c r="K572" s="14" t="str">
        <f>IF(C572="","",IFERROR(N('Fee Settings'!$C$5)*(E572+N(F572)-N(J572))+N('Fee Settings'!$C$6)*(E572+N(F572)+N(G572))+N('Fee Settings'!$C$7)+N('Fee Settings'!$C$10)*D572+IF(I572="Yes",MIN(N('Fee Settings'!$C$8)*(E572+N(F572)),N('Fee Settings'!$C$9)),0),""))</f>
        <v/>
      </c>
      <c r="L572" s="14" t="str">
        <f>IF(C572="","",IFERROR(D572*N(INDEX(Products!$C$5:$C$29,MATCH(C572,Lists!$A$2:$A$26,0))),""))</f>
        <v/>
      </c>
      <c r="M572" s="15" t="str">
        <f t="shared" si="8"/>
        <v/>
      </c>
    </row>
    <row r="573" spans="1:13" x14ac:dyDescent="0.35">
      <c r="A573" s="11"/>
      <c r="B573" s="12"/>
      <c r="C573" s="12"/>
      <c r="D573" s="12"/>
      <c r="E573" s="13"/>
      <c r="F573" s="13"/>
      <c r="G573" s="13"/>
      <c r="H573" s="13"/>
      <c r="I573" s="12"/>
      <c r="J573" s="13"/>
      <c r="K573" s="14" t="str">
        <f>IF(C573="","",IFERROR(N('Fee Settings'!$C$5)*(E573+N(F573)-N(J573))+N('Fee Settings'!$C$6)*(E573+N(F573)+N(G573))+N('Fee Settings'!$C$7)+N('Fee Settings'!$C$10)*D573+IF(I573="Yes",MIN(N('Fee Settings'!$C$8)*(E573+N(F573)),N('Fee Settings'!$C$9)),0),""))</f>
        <v/>
      </c>
      <c r="L573" s="14" t="str">
        <f>IF(C573="","",IFERROR(D573*N(INDEX(Products!$C$5:$C$29,MATCH(C573,Lists!$A$2:$A$26,0))),""))</f>
        <v/>
      </c>
      <c r="M573" s="15" t="str">
        <f t="shared" si="8"/>
        <v/>
      </c>
    </row>
    <row r="574" spans="1:13" x14ac:dyDescent="0.35">
      <c r="A574" s="11"/>
      <c r="B574" s="12"/>
      <c r="C574" s="12"/>
      <c r="D574" s="12"/>
      <c r="E574" s="13"/>
      <c r="F574" s="13"/>
      <c r="G574" s="13"/>
      <c r="H574" s="13"/>
      <c r="I574" s="12"/>
      <c r="J574" s="13"/>
      <c r="K574" s="14" t="str">
        <f>IF(C574="","",IFERROR(N('Fee Settings'!$C$5)*(E574+N(F574)-N(J574))+N('Fee Settings'!$C$6)*(E574+N(F574)+N(G574))+N('Fee Settings'!$C$7)+N('Fee Settings'!$C$10)*D574+IF(I574="Yes",MIN(N('Fee Settings'!$C$8)*(E574+N(F574)),N('Fee Settings'!$C$9)),0),""))</f>
        <v/>
      </c>
      <c r="L574" s="14" t="str">
        <f>IF(C574="","",IFERROR(D574*N(INDEX(Products!$C$5:$C$29,MATCH(C574,Lists!$A$2:$A$26,0))),""))</f>
        <v/>
      </c>
      <c r="M574" s="15" t="str">
        <f t="shared" si="8"/>
        <v/>
      </c>
    </row>
    <row r="575" spans="1:13" x14ac:dyDescent="0.35">
      <c r="A575" s="11"/>
      <c r="B575" s="12"/>
      <c r="C575" s="12"/>
      <c r="D575" s="12"/>
      <c r="E575" s="13"/>
      <c r="F575" s="13"/>
      <c r="G575" s="13"/>
      <c r="H575" s="13"/>
      <c r="I575" s="12"/>
      <c r="J575" s="13"/>
      <c r="K575" s="14" t="str">
        <f>IF(C575="","",IFERROR(N('Fee Settings'!$C$5)*(E575+N(F575)-N(J575))+N('Fee Settings'!$C$6)*(E575+N(F575)+N(G575))+N('Fee Settings'!$C$7)+N('Fee Settings'!$C$10)*D575+IF(I575="Yes",MIN(N('Fee Settings'!$C$8)*(E575+N(F575)),N('Fee Settings'!$C$9)),0),""))</f>
        <v/>
      </c>
      <c r="L575" s="14" t="str">
        <f>IF(C575="","",IFERROR(D575*N(INDEX(Products!$C$5:$C$29,MATCH(C575,Lists!$A$2:$A$26,0))),""))</f>
        <v/>
      </c>
      <c r="M575" s="15" t="str">
        <f t="shared" si="8"/>
        <v/>
      </c>
    </row>
    <row r="576" spans="1:13" x14ac:dyDescent="0.35">
      <c r="A576" s="11"/>
      <c r="B576" s="12"/>
      <c r="C576" s="12"/>
      <c r="D576" s="12"/>
      <c r="E576" s="13"/>
      <c r="F576" s="13"/>
      <c r="G576" s="13"/>
      <c r="H576" s="13"/>
      <c r="I576" s="12"/>
      <c r="J576" s="13"/>
      <c r="K576" s="14" t="str">
        <f>IF(C576="","",IFERROR(N('Fee Settings'!$C$5)*(E576+N(F576)-N(J576))+N('Fee Settings'!$C$6)*(E576+N(F576)+N(G576))+N('Fee Settings'!$C$7)+N('Fee Settings'!$C$10)*D576+IF(I576="Yes",MIN(N('Fee Settings'!$C$8)*(E576+N(F576)),N('Fee Settings'!$C$9)),0),""))</f>
        <v/>
      </c>
      <c r="L576" s="14" t="str">
        <f>IF(C576="","",IFERROR(D576*N(INDEX(Products!$C$5:$C$29,MATCH(C576,Lists!$A$2:$A$26,0))),""))</f>
        <v/>
      </c>
      <c r="M576" s="15" t="str">
        <f t="shared" si="8"/>
        <v/>
      </c>
    </row>
    <row r="577" spans="1:13" x14ac:dyDescent="0.35">
      <c r="A577" s="11"/>
      <c r="B577" s="12"/>
      <c r="C577" s="12"/>
      <c r="D577" s="12"/>
      <c r="E577" s="13"/>
      <c r="F577" s="13"/>
      <c r="G577" s="13"/>
      <c r="H577" s="13"/>
      <c r="I577" s="12"/>
      <c r="J577" s="13"/>
      <c r="K577" s="14" t="str">
        <f>IF(C577="","",IFERROR(N('Fee Settings'!$C$5)*(E577+N(F577)-N(J577))+N('Fee Settings'!$C$6)*(E577+N(F577)+N(G577))+N('Fee Settings'!$C$7)+N('Fee Settings'!$C$10)*D577+IF(I577="Yes",MIN(N('Fee Settings'!$C$8)*(E577+N(F577)),N('Fee Settings'!$C$9)),0),""))</f>
        <v/>
      </c>
      <c r="L577" s="14" t="str">
        <f>IF(C577="","",IFERROR(D577*N(INDEX(Products!$C$5:$C$29,MATCH(C577,Lists!$A$2:$A$26,0))),""))</f>
        <v/>
      </c>
      <c r="M577" s="15" t="str">
        <f t="shared" si="8"/>
        <v/>
      </c>
    </row>
    <row r="578" spans="1:13" x14ac:dyDescent="0.35">
      <c r="A578" s="11"/>
      <c r="B578" s="12"/>
      <c r="C578" s="12"/>
      <c r="D578" s="12"/>
      <c r="E578" s="13"/>
      <c r="F578" s="13"/>
      <c r="G578" s="13"/>
      <c r="H578" s="13"/>
      <c r="I578" s="12"/>
      <c r="J578" s="13"/>
      <c r="K578" s="14" t="str">
        <f>IF(C578="","",IFERROR(N('Fee Settings'!$C$5)*(E578+N(F578)-N(J578))+N('Fee Settings'!$C$6)*(E578+N(F578)+N(G578))+N('Fee Settings'!$C$7)+N('Fee Settings'!$C$10)*D578+IF(I578="Yes",MIN(N('Fee Settings'!$C$8)*(E578+N(F578)),N('Fee Settings'!$C$9)),0),""))</f>
        <v/>
      </c>
      <c r="L578" s="14" t="str">
        <f>IF(C578="","",IFERROR(D578*N(INDEX(Products!$C$5:$C$29,MATCH(C578,Lists!$A$2:$A$26,0))),""))</f>
        <v/>
      </c>
      <c r="M578" s="15" t="str">
        <f t="shared" si="8"/>
        <v/>
      </c>
    </row>
    <row r="579" spans="1:13" x14ac:dyDescent="0.35">
      <c r="A579" s="11"/>
      <c r="B579" s="12"/>
      <c r="C579" s="12"/>
      <c r="D579" s="12"/>
      <c r="E579" s="13"/>
      <c r="F579" s="13"/>
      <c r="G579" s="13"/>
      <c r="H579" s="13"/>
      <c r="I579" s="12"/>
      <c r="J579" s="13"/>
      <c r="K579" s="14" t="str">
        <f>IF(C579="","",IFERROR(N('Fee Settings'!$C$5)*(E579+N(F579)-N(J579))+N('Fee Settings'!$C$6)*(E579+N(F579)+N(G579))+N('Fee Settings'!$C$7)+N('Fee Settings'!$C$10)*D579+IF(I579="Yes",MIN(N('Fee Settings'!$C$8)*(E579+N(F579)),N('Fee Settings'!$C$9)),0),""))</f>
        <v/>
      </c>
      <c r="L579" s="14" t="str">
        <f>IF(C579="","",IFERROR(D579*N(INDEX(Products!$C$5:$C$29,MATCH(C579,Lists!$A$2:$A$26,0))),""))</f>
        <v/>
      </c>
      <c r="M579" s="15" t="str">
        <f t="shared" si="8"/>
        <v/>
      </c>
    </row>
    <row r="580" spans="1:13" x14ac:dyDescent="0.35">
      <c r="A580" s="11"/>
      <c r="B580" s="12"/>
      <c r="C580" s="12"/>
      <c r="D580" s="12"/>
      <c r="E580" s="13"/>
      <c r="F580" s="13"/>
      <c r="G580" s="13"/>
      <c r="H580" s="13"/>
      <c r="I580" s="12"/>
      <c r="J580" s="13"/>
      <c r="K580" s="14" t="str">
        <f>IF(C580="","",IFERROR(N('Fee Settings'!$C$5)*(E580+N(F580)-N(J580))+N('Fee Settings'!$C$6)*(E580+N(F580)+N(G580))+N('Fee Settings'!$C$7)+N('Fee Settings'!$C$10)*D580+IF(I580="Yes",MIN(N('Fee Settings'!$C$8)*(E580+N(F580)),N('Fee Settings'!$C$9)),0),""))</f>
        <v/>
      </c>
      <c r="L580" s="14" t="str">
        <f>IF(C580="","",IFERROR(D580*N(INDEX(Products!$C$5:$C$29,MATCH(C580,Lists!$A$2:$A$26,0))),""))</f>
        <v/>
      </c>
      <c r="M580" s="15" t="str">
        <f t="shared" si="8"/>
        <v/>
      </c>
    </row>
    <row r="581" spans="1:13" x14ac:dyDescent="0.35">
      <c r="A581" s="11"/>
      <c r="B581" s="12"/>
      <c r="C581" s="12"/>
      <c r="D581" s="12"/>
      <c r="E581" s="13"/>
      <c r="F581" s="13"/>
      <c r="G581" s="13"/>
      <c r="H581" s="13"/>
      <c r="I581" s="12"/>
      <c r="J581" s="13"/>
      <c r="K581" s="14" t="str">
        <f>IF(C581="","",IFERROR(N('Fee Settings'!$C$5)*(E581+N(F581)-N(J581))+N('Fee Settings'!$C$6)*(E581+N(F581)+N(G581))+N('Fee Settings'!$C$7)+N('Fee Settings'!$C$10)*D581+IF(I581="Yes",MIN(N('Fee Settings'!$C$8)*(E581+N(F581)),N('Fee Settings'!$C$9)),0),""))</f>
        <v/>
      </c>
      <c r="L581" s="14" t="str">
        <f>IF(C581="","",IFERROR(D581*N(INDEX(Products!$C$5:$C$29,MATCH(C581,Lists!$A$2:$A$26,0))),""))</f>
        <v/>
      </c>
      <c r="M581" s="15" t="str">
        <f t="shared" ref="M581:M644" si="9">IF(C581="","",IFERROR(E581+N(F581)-N(J581)-K581-L581-N(H581),""))</f>
        <v/>
      </c>
    </row>
    <row r="582" spans="1:13" x14ac:dyDescent="0.35">
      <c r="A582" s="11"/>
      <c r="B582" s="12"/>
      <c r="C582" s="12"/>
      <c r="D582" s="12"/>
      <c r="E582" s="13"/>
      <c r="F582" s="13"/>
      <c r="G582" s="13"/>
      <c r="H582" s="13"/>
      <c r="I582" s="12"/>
      <c r="J582" s="13"/>
      <c r="K582" s="14" t="str">
        <f>IF(C582="","",IFERROR(N('Fee Settings'!$C$5)*(E582+N(F582)-N(J582))+N('Fee Settings'!$C$6)*(E582+N(F582)+N(G582))+N('Fee Settings'!$C$7)+N('Fee Settings'!$C$10)*D582+IF(I582="Yes",MIN(N('Fee Settings'!$C$8)*(E582+N(F582)),N('Fee Settings'!$C$9)),0),""))</f>
        <v/>
      </c>
      <c r="L582" s="14" t="str">
        <f>IF(C582="","",IFERROR(D582*N(INDEX(Products!$C$5:$C$29,MATCH(C582,Lists!$A$2:$A$26,0))),""))</f>
        <v/>
      </c>
      <c r="M582" s="15" t="str">
        <f t="shared" si="9"/>
        <v/>
      </c>
    </row>
    <row r="583" spans="1:13" x14ac:dyDescent="0.35">
      <c r="A583" s="11"/>
      <c r="B583" s="12"/>
      <c r="C583" s="12"/>
      <c r="D583" s="12"/>
      <c r="E583" s="13"/>
      <c r="F583" s="13"/>
      <c r="G583" s="13"/>
      <c r="H583" s="13"/>
      <c r="I583" s="12"/>
      <c r="J583" s="13"/>
      <c r="K583" s="14" t="str">
        <f>IF(C583="","",IFERROR(N('Fee Settings'!$C$5)*(E583+N(F583)-N(J583))+N('Fee Settings'!$C$6)*(E583+N(F583)+N(G583))+N('Fee Settings'!$C$7)+N('Fee Settings'!$C$10)*D583+IF(I583="Yes",MIN(N('Fee Settings'!$C$8)*(E583+N(F583)),N('Fee Settings'!$C$9)),0),""))</f>
        <v/>
      </c>
      <c r="L583" s="14" t="str">
        <f>IF(C583="","",IFERROR(D583*N(INDEX(Products!$C$5:$C$29,MATCH(C583,Lists!$A$2:$A$26,0))),""))</f>
        <v/>
      </c>
      <c r="M583" s="15" t="str">
        <f t="shared" si="9"/>
        <v/>
      </c>
    </row>
    <row r="584" spans="1:13" x14ac:dyDescent="0.35">
      <c r="A584" s="11"/>
      <c r="B584" s="12"/>
      <c r="C584" s="12"/>
      <c r="D584" s="12"/>
      <c r="E584" s="13"/>
      <c r="F584" s="13"/>
      <c r="G584" s="13"/>
      <c r="H584" s="13"/>
      <c r="I584" s="12"/>
      <c r="J584" s="13"/>
      <c r="K584" s="14" t="str">
        <f>IF(C584="","",IFERROR(N('Fee Settings'!$C$5)*(E584+N(F584)-N(J584))+N('Fee Settings'!$C$6)*(E584+N(F584)+N(G584))+N('Fee Settings'!$C$7)+N('Fee Settings'!$C$10)*D584+IF(I584="Yes",MIN(N('Fee Settings'!$C$8)*(E584+N(F584)),N('Fee Settings'!$C$9)),0),""))</f>
        <v/>
      </c>
      <c r="L584" s="14" t="str">
        <f>IF(C584="","",IFERROR(D584*N(INDEX(Products!$C$5:$C$29,MATCH(C584,Lists!$A$2:$A$26,0))),""))</f>
        <v/>
      </c>
      <c r="M584" s="15" t="str">
        <f t="shared" si="9"/>
        <v/>
      </c>
    </row>
    <row r="585" spans="1:13" x14ac:dyDescent="0.35">
      <c r="A585" s="11"/>
      <c r="B585" s="12"/>
      <c r="C585" s="12"/>
      <c r="D585" s="12"/>
      <c r="E585" s="13"/>
      <c r="F585" s="13"/>
      <c r="G585" s="13"/>
      <c r="H585" s="13"/>
      <c r="I585" s="12"/>
      <c r="J585" s="13"/>
      <c r="K585" s="14" t="str">
        <f>IF(C585="","",IFERROR(N('Fee Settings'!$C$5)*(E585+N(F585)-N(J585))+N('Fee Settings'!$C$6)*(E585+N(F585)+N(G585))+N('Fee Settings'!$C$7)+N('Fee Settings'!$C$10)*D585+IF(I585="Yes",MIN(N('Fee Settings'!$C$8)*(E585+N(F585)),N('Fee Settings'!$C$9)),0),""))</f>
        <v/>
      </c>
      <c r="L585" s="14" t="str">
        <f>IF(C585="","",IFERROR(D585*N(INDEX(Products!$C$5:$C$29,MATCH(C585,Lists!$A$2:$A$26,0))),""))</f>
        <v/>
      </c>
      <c r="M585" s="15" t="str">
        <f t="shared" si="9"/>
        <v/>
      </c>
    </row>
    <row r="586" spans="1:13" x14ac:dyDescent="0.35">
      <c r="A586" s="11"/>
      <c r="B586" s="12"/>
      <c r="C586" s="12"/>
      <c r="D586" s="12"/>
      <c r="E586" s="13"/>
      <c r="F586" s="13"/>
      <c r="G586" s="13"/>
      <c r="H586" s="13"/>
      <c r="I586" s="12"/>
      <c r="J586" s="13"/>
      <c r="K586" s="14" t="str">
        <f>IF(C586="","",IFERROR(N('Fee Settings'!$C$5)*(E586+N(F586)-N(J586))+N('Fee Settings'!$C$6)*(E586+N(F586)+N(G586))+N('Fee Settings'!$C$7)+N('Fee Settings'!$C$10)*D586+IF(I586="Yes",MIN(N('Fee Settings'!$C$8)*(E586+N(F586)),N('Fee Settings'!$C$9)),0),""))</f>
        <v/>
      </c>
      <c r="L586" s="14" t="str">
        <f>IF(C586="","",IFERROR(D586*N(INDEX(Products!$C$5:$C$29,MATCH(C586,Lists!$A$2:$A$26,0))),""))</f>
        <v/>
      </c>
      <c r="M586" s="15" t="str">
        <f t="shared" si="9"/>
        <v/>
      </c>
    </row>
    <row r="587" spans="1:13" x14ac:dyDescent="0.35">
      <c r="A587" s="11"/>
      <c r="B587" s="12"/>
      <c r="C587" s="12"/>
      <c r="D587" s="12"/>
      <c r="E587" s="13"/>
      <c r="F587" s="13"/>
      <c r="G587" s="13"/>
      <c r="H587" s="13"/>
      <c r="I587" s="12"/>
      <c r="J587" s="13"/>
      <c r="K587" s="14" t="str">
        <f>IF(C587="","",IFERROR(N('Fee Settings'!$C$5)*(E587+N(F587)-N(J587))+N('Fee Settings'!$C$6)*(E587+N(F587)+N(G587))+N('Fee Settings'!$C$7)+N('Fee Settings'!$C$10)*D587+IF(I587="Yes",MIN(N('Fee Settings'!$C$8)*(E587+N(F587)),N('Fee Settings'!$C$9)),0),""))</f>
        <v/>
      </c>
      <c r="L587" s="14" t="str">
        <f>IF(C587="","",IFERROR(D587*N(INDEX(Products!$C$5:$C$29,MATCH(C587,Lists!$A$2:$A$26,0))),""))</f>
        <v/>
      </c>
      <c r="M587" s="15" t="str">
        <f t="shared" si="9"/>
        <v/>
      </c>
    </row>
    <row r="588" spans="1:13" x14ac:dyDescent="0.35">
      <c r="A588" s="11"/>
      <c r="B588" s="12"/>
      <c r="C588" s="12"/>
      <c r="D588" s="12"/>
      <c r="E588" s="13"/>
      <c r="F588" s="13"/>
      <c r="G588" s="13"/>
      <c r="H588" s="13"/>
      <c r="I588" s="12"/>
      <c r="J588" s="13"/>
      <c r="K588" s="14" t="str">
        <f>IF(C588="","",IFERROR(N('Fee Settings'!$C$5)*(E588+N(F588)-N(J588))+N('Fee Settings'!$C$6)*(E588+N(F588)+N(G588))+N('Fee Settings'!$C$7)+N('Fee Settings'!$C$10)*D588+IF(I588="Yes",MIN(N('Fee Settings'!$C$8)*(E588+N(F588)),N('Fee Settings'!$C$9)),0),""))</f>
        <v/>
      </c>
      <c r="L588" s="14" t="str">
        <f>IF(C588="","",IFERROR(D588*N(INDEX(Products!$C$5:$C$29,MATCH(C588,Lists!$A$2:$A$26,0))),""))</f>
        <v/>
      </c>
      <c r="M588" s="15" t="str">
        <f t="shared" si="9"/>
        <v/>
      </c>
    </row>
    <row r="589" spans="1:13" x14ac:dyDescent="0.35">
      <c r="A589" s="11"/>
      <c r="B589" s="12"/>
      <c r="C589" s="12"/>
      <c r="D589" s="12"/>
      <c r="E589" s="13"/>
      <c r="F589" s="13"/>
      <c r="G589" s="13"/>
      <c r="H589" s="13"/>
      <c r="I589" s="12"/>
      <c r="J589" s="13"/>
      <c r="K589" s="14" t="str">
        <f>IF(C589="","",IFERROR(N('Fee Settings'!$C$5)*(E589+N(F589)-N(J589))+N('Fee Settings'!$C$6)*(E589+N(F589)+N(G589))+N('Fee Settings'!$C$7)+N('Fee Settings'!$C$10)*D589+IF(I589="Yes",MIN(N('Fee Settings'!$C$8)*(E589+N(F589)),N('Fee Settings'!$C$9)),0),""))</f>
        <v/>
      </c>
      <c r="L589" s="14" t="str">
        <f>IF(C589="","",IFERROR(D589*N(INDEX(Products!$C$5:$C$29,MATCH(C589,Lists!$A$2:$A$26,0))),""))</f>
        <v/>
      </c>
      <c r="M589" s="15" t="str">
        <f t="shared" si="9"/>
        <v/>
      </c>
    </row>
    <row r="590" spans="1:13" x14ac:dyDescent="0.35">
      <c r="A590" s="11"/>
      <c r="B590" s="12"/>
      <c r="C590" s="12"/>
      <c r="D590" s="12"/>
      <c r="E590" s="13"/>
      <c r="F590" s="13"/>
      <c r="G590" s="13"/>
      <c r="H590" s="13"/>
      <c r="I590" s="12"/>
      <c r="J590" s="13"/>
      <c r="K590" s="14" t="str">
        <f>IF(C590="","",IFERROR(N('Fee Settings'!$C$5)*(E590+N(F590)-N(J590))+N('Fee Settings'!$C$6)*(E590+N(F590)+N(G590))+N('Fee Settings'!$C$7)+N('Fee Settings'!$C$10)*D590+IF(I590="Yes",MIN(N('Fee Settings'!$C$8)*(E590+N(F590)),N('Fee Settings'!$C$9)),0),""))</f>
        <v/>
      </c>
      <c r="L590" s="14" t="str">
        <f>IF(C590="","",IFERROR(D590*N(INDEX(Products!$C$5:$C$29,MATCH(C590,Lists!$A$2:$A$26,0))),""))</f>
        <v/>
      </c>
      <c r="M590" s="15" t="str">
        <f t="shared" si="9"/>
        <v/>
      </c>
    </row>
    <row r="591" spans="1:13" x14ac:dyDescent="0.35">
      <c r="A591" s="11"/>
      <c r="B591" s="12"/>
      <c r="C591" s="12"/>
      <c r="D591" s="12"/>
      <c r="E591" s="13"/>
      <c r="F591" s="13"/>
      <c r="G591" s="13"/>
      <c r="H591" s="13"/>
      <c r="I591" s="12"/>
      <c r="J591" s="13"/>
      <c r="K591" s="14" t="str">
        <f>IF(C591="","",IFERROR(N('Fee Settings'!$C$5)*(E591+N(F591)-N(J591))+N('Fee Settings'!$C$6)*(E591+N(F591)+N(G591))+N('Fee Settings'!$C$7)+N('Fee Settings'!$C$10)*D591+IF(I591="Yes",MIN(N('Fee Settings'!$C$8)*(E591+N(F591)),N('Fee Settings'!$C$9)),0),""))</f>
        <v/>
      </c>
      <c r="L591" s="14" t="str">
        <f>IF(C591="","",IFERROR(D591*N(INDEX(Products!$C$5:$C$29,MATCH(C591,Lists!$A$2:$A$26,0))),""))</f>
        <v/>
      </c>
      <c r="M591" s="15" t="str">
        <f t="shared" si="9"/>
        <v/>
      </c>
    </row>
    <row r="592" spans="1:13" x14ac:dyDescent="0.35">
      <c r="A592" s="11"/>
      <c r="B592" s="12"/>
      <c r="C592" s="12"/>
      <c r="D592" s="12"/>
      <c r="E592" s="13"/>
      <c r="F592" s="13"/>
      <c r="G592" s="13"/>
      <c r="H592" s="13"/>
      <c r="I592" s="12"/>
      <c r="J592" s="13"/>
      <c r="K592" s="14" t="str">
        <f>IF(C592="","",IFERROR(N('Fee Settings'!$C$5)*(E592+N(F592)-N(J592))+N('Fee Settings'!$C$6)*(E592+N(F592)+N(G592))+N('Fee Settings'!$C$7)+N('Fee Settings'!$C$10)*D592+IF(I592="Yes",MIN(N('Fee Settings'!$C$8)*(E592+N(F592)),N('Fee Settings'!$C$9)),0),""))</f>
        <v/>
      </c>
      <c r="L592" s="14" t="str">
        <f>IF(C592="","",IFERROR(D592*N(INDEX(Products!$C$5:$C$29,MATCH(C592,Lists!$A$2:$A$26,0))),""))</f>
        <v/>
      </c>
      <c r="M592" s="15" t="str">
        <f t="shared" si="9"/>
        <v/>
      </c>
    </row>
    <row r="593" spans="1:13" x14ac:dyDescent="0.35">
      <c r="A593" s="11"/>
      <c r="B593" s="12"/>
      <c r="C593" s="12"/>
      <c r="D593" s="12"/>
      <c r="E593" s="13"/>
      <c r="F593" s="13"/>
      <c r="G593" s="13"/>
      <c r="H593" s="13"/>
      <c r="I593" s="12"/>
      <c r="J593" s="13"/>
      <c r="K593" s="14" t="str">
        <f>IF(C593="","",IFERROR(N('Fee Settings'!$C$5)*(E593+N(F593)-N(J593))+N('Fee Settings'!$C$6)*(E593+N(F593)+N(G593))+N('Fee Settings'!$C$7)+N('Fee Settings'!$C$10)*D593+IF(I593="Yes",MIN(N('Fee Settings'!$C$8)*(E593+N(F593)),N('Fee Settings'!$C$9)),0),""))</f>
        <v/>
      </c>
      <c r="L593" s="14" t="str">
        <f>IF(C593="","",IFERROR(D593*N(INDEX(Products!$C$5:$C$29,MATCH(C593,Lists!$A$2:$A$26,0))),""))</f>
        <v/>
      </c>
      <c r="M593" s="15" t="str">
        <f t="shared" si="9"/>
        <v/>
      </c>
    </row>
    <row r="594" spans="1:13" x14ac:dyDescent="0.35">
      <c r="A594" s="11"/>
      <c r="B594" s="12"/>
      <c r="C594" s="12"/>
      <c r="D594" s="12"/>
      <c r="E594" s="13"/>
      <c r="F594" s="13"/>
      <c r="G594" s="13"/>
      <c r="H594" s="13"/>
      <c r="I594" s="12"/>
      <c r="J594" s="13"/>
      <c r="K594" s="14" t="str">
        <f>IF(C594="","",IFERROR(N('Fee Settings'!$C$5)*(E594+N(F594)-N(J594))+N('Fee Settings'!$C$6)*(E594+N(F594)+N(G594))+N('Fee Settings'!$C$7)+N('Fee Settings'!$C$10)*D594+IF(I594="Yes",MIN(N('Fee Settings'!$C$8)*(E594+N(F594)),N('Fee Settings'!$C$9)),0),""))</f>
        <v/>
      </c>
      <c r="L594" s="14" t="str">
        <f>IF(C594="","",IFERROR(D594*N(INDEX(Products!$C$5:$C$29,MATCH(C594,Lists!$A$2:$A$26,0))),""))</f>
        <v/>
      </c>
      <c r="M594" s="15" t="str">
        <f t="shared" si="9"/>
        <v/>
      </c>
    </row>
    <row r="595" spans="1:13" x14ac:dyDescent="0.35">
      <c r="A595" s="11"/>
      <c r="B595" s="12"/>
      <c r="C595" s="12"/>
      <c r="D595" s="12"/>
      <c r="E595" s="13"/>
      <c r="F595" s="13"/>
      <c r="G595" s="13"/>
      <c r="H595" s="13"/>
      <c r="I595" s="12"/>
      <c r="J595" s="13"/>
      <c r="K595" s="14" t="str">
        <f>IF(C595="","",IFERROR(N('Fee Settings'!$C$5)*(E595+N(F595)-N(J595))+N('Fee Settings'!$C$6)*(E595+N(F595)+N(G595))+N('Fee Settings'!$C$7)+N('Fee Settings'!$C$10)*D595+IF(I595="Yes",MIN(N('Fee Settings'!$C$8)*(E595+N(F595)),N('Fee Settings'!$C$9)),0),""))</f>
        <v/>
      </c>
      <c r="L595" s="14" t="str">
        <f>IF(C595="","",IFERROR(D595*N(INDEX(Products!$C$5:$C$29,MATCH(C595,Lists!$A$2:$A$26,0))),""))</f>
        <v/>
      </c>
      <c r="M595" s="15" t="str">
        <f t="shared" si="9"/>
        <v/>
      </c>
    </row>
    <row r="596" spans="1:13" x14ac:dyDescent="0.35">
      <c r="A596" s="11"/>
      <c r="B596" s="12"/>
      <c r="C596" s="12"/>
      <c r="D596" s="12"/>
      <c r="E596" s="13"/>
      <c r="F596" s="13"/>
      <c r="G596" s="13"/>
      <c r="H596" s="13"/>
      <c r="I596" s="12"/>
      <c r="J596" s="13"/>
      <c r="K596" s="14" t="str">
        <f>IF(C596="","",IFERROR(N('Fee Settings'!$C$5)*(E596+N(F596)-N(J596))+N('Fee Settings'!$C$6)*(E596+N(F596)+N(G596))+N('Fee Settings'!$C$7)+N('Fee Settings'!$C$10)*D596+IF(I596="Yes",MIN(N('Fee Settings'!$C$8)*(E596+N(F596)),N('Fee Settings'!$C$9)),0),""))</f>
        <v/>
      </c>
      <c r="L596" s="14" t="str">
        <f>IF(C596="","",IFERROR(D596*N(INDEX(Products!$C$5:$C$29,MATCH(C596,Lists!$A$2:$A$26,0))),""))</f>
        <v/>
      </c>
      <c r="M596" s="15" t="str">
        <f t="shared" si="9"/>
        <v/>
      </c>
    </row>
    <row r="597" spans="1:13" x14ac:dyDescent="0.35">
      <c r="A597" s="11"/>
      <c r="B597" s="12"/>
      <c r="C597" s="12"/>
      <c r="D597" s="12"/>
      <c r="E597" s="13"/>
      <c r="F597" s="13"/>
      <c r="G597" s="13"/>
      <c r="H597" s="13"/>
      <c r="I597" s="12"/>
      <c r="J597" s="13"/>
      <c r="K597" s="14" t="str">
        <f>IF(C597="","",IFERROR(N('Fee Settings'!$C$5)*(E597+N(F597)-N(J597))+N('Fee Settings'!$C$6)*(E597+N(F597)+N(G597))+N('Fee Settings'!$C$7)+N('Fee Settings'!$C$10)*D597+IF(I597="Yes",MIN(N('Fee Settings'!$C$8)*(E597+N(F597)),N('Fee Settings'!$C$9)),0),""))</f>
        <v/>
      </c>
      <c r="L597" s="14" t="str">
        <f>IF(C597="","",IFERROR(D597*N(INDEX(Products!$C$5:$C$29,MATCH(C597,Lists!$A$2:$A$26,0))),""))</f>
        <v/>
      </c>
      <c r="M597" s="15" t="str">
        <f t="shared" si="9"/>
        <v/>
      </c>
    </row>
    <row r="598" spans="1:13" x14ac:dyDescent="0.35">
      <c r="A598" s="11"/>
      <c r="B598" s="12"/>
      <c r="C598" s="12"/>
      <c r="D598" s="12"/>
      <c r="E598" s="13"/>
      <c r="F598" s="13"/>
      <c r="G598" s="13"/>
      <c r="H598" s="13"/>
      <c r="I598" s="12"/>
      <c r="J598" s="13"/>
      <c r="K598" s="14" t="str">
        <f>IF(C598="","",IFERROR(N('Fee Settings'!$C$5)*(E598+N(F598)-N(J598))+N('Fee Settings'!$C$6)*(E598+N(F598)+N(G598))+N('Fee Settings'!$C$7)+N('Fee Settings'!$C$10)*D598+IF(I598="Yes",MIN(N('Fee Settings'!$C$8)*(E598+N(F598)),N('Fee Settings'!$C$9)),0),""))</f>
        <v/>
      </c>
      <c r="L598" s="14" t="str">
        <f>IF(C598="","",IFERROR(D598*N(INDEX(Products!$C$5:$C$29,MATCH(C598,Lists!$A$2:$A$26,0))),""))</f>
        <v/>
      </c>
      <c r="M598" s="15" t="str">
        <f t="shared" si="9"/>
        <v/>
      </c>
    </row>
    <row r="599" spans="1:13" x14ac:dyDescent="0.35">
      <c r="A599" s="11"/>
      <c r="B599" s="12"/>
      <c r="C599" s="12"/>
      <c r="D599" s="12"/>
      <c r="E599" s="13"/>
      <c r="F599" s="13"/>
      <c r="G599" s="13"/>
      <c r="H599" s="13"/>
      <c r="I599" s="12"/>
      <c r="J599" s="13"/>
      <c r="K599" s="14" t="str">
        <f>IF(C599="","",IFERROR(N('Fee Settings'!$C$5)*(E599+N(F599)-N(J599))+N('Fee Settings'!$C$6)*(E599+N(F599)+N(G599))+N('Fee Settings'!$C$7)+N('Fee Settings'!$C$10)*D599+IF(I599="Yes",MIN(N('Fee Settings'!$C$8)*(E599+N(F599)),N('Fee Settings'!$C$9)),0),""))</f>
        <v/>
      </c>
      <c r="L599" s="14" t="str">
        <f>IF(C599="","",IFERROR(D599*N(INDEX(Products!$C$5:$C$29,MATCH(C599,Lists!$A$2:$A$26,0))),""))</f>
        <v/>
      </c>
      <c r="M599" s="15" t="str">
        <f t="shared" si="9"/>
        <v/>
      </c>
    </row>
    <row r="600" spans="1:13" x14ac:dyDescent="0.35">
      <c r="A600" s="11"/>
      <c r="B600" s="12"/>
      <c r="C600" s="12"/>
      <c r="D600" s="12"/>
      <c r="E600" s="13"/>
      <c r="F600" s="13"/>
      <c r="G600" s="13"/>
      <c r="H600" s="13"/>
      <c r="I600" s="12"/>
      <c r="J600" s="13"/>
      <c r="K600" s="14" t="str">
        <f>IF(C600="","",IFERROR(N('Fee Settings'!$C$5)*(E600+N(F600)-N(J600))+N('Fee Settings'!$C$6)*(E600+N(F600)+N(G600))+N('Fee Settings'!$C$7)+N('Fee Settings'!$C$10)*D600+IF(I600="Yes",MIN(N('Fee Settings'!$C$8)*(E600+N(F600)),N('Fee Settings'!$C$9)),0),""))</f>
        <v/>
      </c>
      <c r="L600" s="14" t="str">
        <f>IF(C600="","",IFERROR(D600*N(INDEX(Products!$C$5:$C$29,MATCH(C600,Lists!$A$2:$A$26,0))),""))</f>
        <v/>
      </c>
      <c r="M600" s="15" t="str">
        <f t="shared" si="9"/>
        <v/>
      </c>
    </row>
    <row r="601" spans="1:13" x14ac:dyDescent="0.35">
      <c r="A601" s="11"/>
      <c r="B601" s="12"/>
      <c r="C601" s="12"/>
      <c r="D601" s="12"/>
      <c r="E601" s="13"/>
      <c r="F601" s="13"/>
      <c r="G601" s="13"/>
      <c r="H601" s="13"/>
      <c r="I601" s="12"/>
      <c r="J601" s="13"/>
      <c r="K601" s="14" t="str">
        <f>IF(C601="","",IFERROR(N('Fee Settings'!$C$5)*(E601+N(F601)-N(J601))+N('Fee Settings'!$C$6)*(E601+N(F601)+N(G601))+N('Fee Settings'!$C$7)+N('Fee Settings'!$C$10)*D601+IF(I601="Yes",MIN(N('Fee Settings'!$C$8)*(E601+N(F601)),N('Fee Settings'!$C$9)),0),""))</f>
        <v/>
      </c>
      <c r="L601" s="14" t="str">
        <f>IF(C601="","",IFERROR(D601*N(INDEX(Products!$C$5:$C$29,MATCH(C601,Lists!$A$2:$A$26,0))),""))</f>
        <v/>
      </c>
      <c r="M601" s="15" t="str">
        <f t="shared" si="9"/>
        <v/>
      </c>
    </row>
    <row r="602" spans="1:13" x14ac:dyDescent="0.35">
      <c r="A602" s="11"/>
      <c r="B602" s="12"/>
      <c r="C602" s="12"/>
      <c r="D602" s="12"/>
      <c r="E602" s="13"/>
      <c r="F602" s="13"/>
      <c r="G602" s="13"/>
      <c r="H602" s="13"/>
      <c r="I602" s="12"/>
      <c r="J602" s="13"/>
      <c r="K602" s="14" t="str">
        <f>IF(C602="","",IFERROR(N('Fee Settings'!$C$5)*(E602+N(F602)-N(J602))+N('Fee Settings'!$C$6)*(E602+N(F602)+N(G602))+N('Fee Settings'!$C$7)+N('Fee Settings'!$C$10)*D602+IF(I602="Yes",MIN(N('Fee Settings'!$C$8)*(E602+N(F602)),N('Fee Settings'!$C$9)),0),""))</f>
        <v/>
      </c>
      <c r="L602" s="14" t="str">
        <f>IF(C602="","",IFERROR(D602*N(INDEX(Products!$C$5:$C$29,MATCH(C602,Lists!$A$2:$A$26,0))),""))</f>
        <v/>
      </c>
      <c r="M602" s="15" t="str">
        <f t="shared" si="9"/>
        <v/>
      </c>
    </row>
    <row r="603" spans="1:13" x14ac:dyDescent="0.35">
      <c r="A603" s="11"/>
      <c r="B603" s="12"/>
      <c r="C603" s="12"/>
      <c r="D603" s="12"/>
      <c r="E603" s="13"/>
      <c r="F603" s="13"/>
      <c r="G603" s="13"/>
      <c r="H603" s="13"/>
      <c r="I603" s="12"/>
      <c r="J603" s="13"/>
      <c r="K603" s="14" t="str">
        <f>IF(C603="","",IFERROR(N('Fee Settings'!$C$5)*(E603+N(F603)-N(J603))+N('Fee Settings'!$C$6)*(E603+N(F603)+N(G603))+N('Fee Settings'!$C$7)+N('Fee Settings'!$C$10)*D603+IF(I603="Yes",MIN(N('Fee Settings'!$C$8)*(E603+N(F603)),N('Fee Settings'!$C$9)),0),""))</f>
        <v/>
      </c>
      <c r="L603" s="14" t="str">
        <f>IF(C603="","",IFERROR(D603*N(INDEX(Products!$C$5:$C$29,MATCH(C603,Lists!$A$2:$A$26,0))),""))</f>
        <v/>
      </c>
      <c r="M603" s="15" t="str">
        <f t="shared" si="9"/>
        <v/>
      </c>
    </row>
    <row r="604" spans="1:13" x14ac:dyDescent="0.35">
      <c r="A604" s="11"/>
      <c r="B604" s="12"/>
      <c r="C604" s="12"/>
      <c r="D604" s="12"/>
      <c r="E604" s="13"/>
      <c r="F604" s="13"/>
      <c r="G604" s="13"/>
      <c r="H604" s="13"/>
      <c r="I604" s="12"/>
      <c r="J604" s="13"/>
      <c r="K604" s="14" t="str">
        <f>IF(C604="","",IFERROR(N('Fee Settings'!$C$5)*(E604+N(F604)-N(J604))+N('Fee Settings'!$C$6)*(E604+N(F604)+N(G604))+N('Fee Settings'!$C$7)+N('Fee Settings'!$C$10)*D604+IF(I604="Yes",MIN(N('Fee Settings'!$C$8)*(E604+N(F604)),N('Fee Settings'!$C$9)),0),""))</f>
        <v/>
      </c>
      <c r="L604" s="14" t="str">
        <f>IF(C604="","",IFERROR(D604*N(INDEX(Products!$C$5:$C$29,MATCH(C604,Lists!$A$2:$A$26,0))),""))</f>
        <v/>
      </c>
      <c r="M604" s="15" t="str">
        <f t="shared" si="9"/>
        <v/>
      </c>
    </row>
    <row r="605" spans="1:13" x14ac:dyDescent="0.35">
      <c r="A605" s="11"/>
      <c r="B605" s="12"/>
      <c r="C605" s="12"/>
      <c r="D605" s="12"/>
      <c r="E605" s="13"/>
      <c r="F605" s="13"/>
      <c r="G605" s="13"/>
      <c r="H605" s="13"/>
      <c r="I605" s="12"/>
      <c r="J605" s="13"/>
      <c r="K605" s="14" t="str">
        <f>IF(C605="","",IFERROR(N('Fee Settings'!$C$5)*(E605+N(F605)-N(J605))+N('Fee Settings'!$C$6)*(E605+N(F605)+N(G605))+N('Fee Settings'!$C$7)+N('Fee Settings'!$C$10)*D605+IF(I605="Yes",MIN(N('Fee Settings'!$C$8)*(E605+N(F605)),N('Fee Settings'!$C$9)),0),""))</f>
        <v/>
      </c>
      <c r="L605" s="14" t="str">
        <f>IF(C605="","",IFERROR(D605*N(INDEX(Products!$C$5:$C$29,MATCH(C605,Lists!$A$2:$A$26,0))),""))</f>
        <v/>
      </c>
      <c r="M605" s="15" t="str">
        <f t="shared" si="9"/>
        <v/>
      </c>
    </row>
    <row r="606" spans="1:13" x14ac:dyDescent="0.35">
      <c r="A606" s="11"/>
      <c r="B606" s="12"/>
      <c r="C606" s="12"/>
      <c r="D606" s="12"/>
      <c r="E606" s="13"/>
      <c r="F606" s="13"/>
      <c r="G606" s="13"/>
      <c r="H606" s="13"/>
      <c r="I606" s="12"/>
      <c r="J606" s="13"/>
      <c r="K606" s="14" t="str">
        <f>IF(C606="","",IFERROR(N('Fee Settings'!$C$5)*(E606+N(F606)-N(J606))+N('Fee Settings'!$C$6)*(E606+N(F606)+N(G606))+N('Fee Settings'!$C$7)+N('Fee Settings'!$C$10)*D606+IF(I606="Yes",MIN(N('Fee Settings'!$C$8)*(E606+N(F606)),N('Fee Settings'!$C$9)),0),""))</f>
        <v/>
      </c>
      <c r="L606" s="14" t="str">
        <f>IF(C606="","",IFERROR(D606*N(INDEX(Products!$C$5:$C$29,MATCH(C606,Lists!$A$2:$A$26,0))),""))</f>
        <v/>
      </c>
      <c r="M606" s="15" t="str">
        <f t="shared" si="9"/>
        <v/>
      </c>
    </row>
    <row r="607" spans="1:13" x14ac:dyDescent="0.35">
      <c r="A607" s="11"/>
      <c r="B607" s="12"/>
      <c r="C607" s="12"/>
      <c r="D607" s="12"/>
      <c r="E607" s="13"/>
      <c r="F607" s="13"/>
      <c r="G607" s="13"/>
      <c r="H607" s="13"/>
      <c r="I607" s="12"/>
      <c r="J607" s="13"/>
      <c r="K607" s="14" t="str">
        <f>IF(C607="","",IFERROR(N('Fee Settings'!$C$5)*(E607+N(F607)-N(J607))+N('Fee Settings'!$C$6)*(E607+N(F607)+N(G607))+N('Fee Settings'!$C$7)+N('Fee Settings'!$C$10)*D607+IF(I607="Yes",MIN(N('Fee Settings'!$C$8)*(E607+N(F607)),N('Fee Settings'!$C$9)),0),""))</f>
        <v/>
      </c>
      <c r="L607" s="14" t="str">
        <f>IF(C607="","",IFERROR(D607*N(INDEX(Products!$C$5:$C$29,MATCH(C607,Lists!$A$2:$A$26,0))),""))</f>
        <v/>
      </c>
      <c r="M607" s="15" t="str">
        <f t="shared" si="9"/>
        <v/>
      </c>
    </row>
    <row r="608" spans="1:13" x14ac:dyDescent="0.35">
      <c r="A608" s="11"/>
      <c r="B608" s="12"/>
      <c r="C608" s="12"/>
      <c r="D608" s="12"/>
      <c r="E608" s="13"/>
      <c r="F608" s="13"/>
      <c r="G608" s="13"/>
      <c r="H608" s="13"/>
      <c r="I608" s="12"/>
      <c r="J608" s="13"/>
      <c r="K608" s="14" t="str">
        <f>IF(C608="","",IFERROR(N('Fee Settings'!$C$5)*(E608+N(F608)-N(J608))+N('Fee Settings'!$C$6)*(E608+N(F608)+N(G608))+N('Fee Settings'!$C$7)+N('Fee Settings'!$C$10)*D608+IF(I608="Yes",MIN(N('Fee Settings'!$C$8)*(E608+N(F608)),N('Fee Settings'!$C$9)),0),""))</f>
        <v/>
      </c>
      <c r="L608" s="14" t="str">
        <f>IF(C608="","",IFERROR(D608*N(INDEX(Products!$C$5:$C$29,MATCH(C608,Lists!$A$2:$A$26,0))),""))</f>
        <v/>
      </c>
      <c r="M608" s="15" t="str">
        <f t="shared" si="9"/>
        <v/>
      </c>
    </row>
    <row r="609" spans="1:13" x14ac:dyDescent="0.35">
      <c r="A609" s="11"/>
      <c r="B609" s="12"/>
      <c r="C609" s="12"/>
      <c r="D609" s="12"/>
      <c r="E609" s="13"/>
      <c r="F609" s="13"/>
      <c r="G609" s="13"/>
      <c r="H609" s="13"/>
      <c r="I609" s="12"/>
      <c r="J609" s="13"/>
      <c r="K609" s="14" t="str">
        <f>IF(C609="","",IFERROR(N('Fee Settings'!$C$5)*(E609+N(F609)-N(J609))+N('Fee Settings'!$C$6)*(E609+N(F609)+N(G609))+N('Fee Settings'!$C$7)+N('Fee Settings'!$C$10)*D609+IF(I609="Yes",MIN(N('Fee Settings'!$C$8)*(E609+N(F609)),N('Fee Settings'!$C$9)),0),""))</f>
        <v/>
      </c>
      <c r="L609" s="14" t="str">
        <f>IF(C609="","",IFERROR(D609*N(INDEX(Products!$C$5:$C$29,MATCH(C609,Lists!$A$2:$A$26,0))),""))</f>
        <v/>
      </c>
      <c r="M609" s="15" t="str">
        <f t="shared" si="9"/>
        <v/>
      </c>
    </row>
    <row r="610" spans="1:13" x14ac:dyDescent="0.35">
      <c r="A610" s="11"/>
      <c r="B610" s="12"/>
      <c r="C610" s="12"/>
      <c r="D610" s="12"/>
      <c r="E610" s="13"/>
      <c r="F610" s="13"/>
      <c r="G610" s="13"/>
      <c r="H610" s="13"/>
      <c r="I610" s="12"/>
      <c r="J610" s="13"/>
      <c r="K610" s="14" t="str">
        <f>IF(C610="","",IFERROR(N('Fee Settings'!$C$5)*(E610+N(F610)-N(J610))+N('Fee Settings'!$C$6)*(E610+N(F610)+N(G610))+N('Fee Settings'!$C$7)+N('Fee Settings'!$C$10)*D610+IF(I610="Yes",MIN(N('Fee Settings'!$C$8)*(E610+N(F610)),N('Fee Settings'!$C$9)),0),""))</f>
        <v/>
      </c>
      <c r="L610" s="14" t="str">
        <f>IF(C610="","",IFERROR(D610*N(INDEX(Products!$C$5:$C$29,MATCH(C610,Lists!$A$2:$A$26,0))),""))</f>
        <v/>
      </c>
      <c r="M610" s="15" t="str">
        <f t="shared" si="9"/>
        <v/>
      </c>
    </row>
    <row r="611" spans="1:13" x14ac:dyDescent="0.35">
      <c r="A611" s="11"/>
      <c r="B611" s="12"/>
      <c r="C611" s="12"/>
      <c r="D611" s="12"/>
      <c r="E611" s="13"/>
      <c r="F611" s="13"/>
      <c r="G611" s="13"/>
      <c r="H611" s="13"/>
      <c r="I611" s="12"/>
      <c r="J611" s="13"/>
      <c r="K611" s="14" t="str">
        <f>IF(C611="","",IFERROR(N('Fee Settings'!$C$5)*(E611+N(F611)-N(J611))+N('Fee Settings'!$C$6)*(E611+N(F611)+N(G611))+N('Fee Settings'!$C$7)+N('Fee Settings'!$C$10)*D611+IF(I611="Yes",MIN(N('Fee Settings'!$C$8)*(E611+N(F611)),N('Fee Settings'!$C$9)),0),""))</f>
        <v/>
      </c>
      <c r="L611" s="14" t="str">
        <f>IF(C611="","",IFERROR(D611*N(INDEX(Products!$C$5:$C$29,MATCH(C611,Lists!$A$2:$A$26,0))),""))</f>
        <v/>
      </c>
      <c r="M611" s="15" t="str">
        <f t="shared" si="9"/>
        <v/>
      </c>
    </row>
    <row r="612" spans="1:13" x14ac:dyDescent="0.35">
      <c r="A612" s="11"/>
      <c r="B612" s="12"/>
      <c r="C612" s="12"/>
      <c r="D612" s="12"/>
      <c r="E612" s="13"/>
      <c r="F612" s="13"/>
      <c r="G612" s="13"/>
      <c r="H612" s="13"/>
      <c r="I612" s="12"/>
      <c r="J612" s="13"/>
      <c r="K612" s="14" t="str">
        <f>IF(C612="","",IFERROR(N('Fee Settings'!$C$5)*(E612+N(F612)-N(J612))+N('Fee Settings'!$C$6)*(E612+N(F612)+N(G612))+N('Fee Settings'!$C$7)+N('Fee Settings'!$C$10)*D612+IF(I612="Yes",MIN(N('Fee Settings'!$C$8)*(E612+N(F612)),N('Fee Settings'!$C$9)),0),""))</f>
        <v/>
      </c>
      <c r="L612" s="14" t="str">
        <f>IF(C612="","",IFERROR(D612*N(INDEX(Products!$C$5:$C$29,MATCH(C612,Lists!$A$2:$A$26,0))),""))</f>
        <v/>
      </c>
      <c r="M612" s="15" t="str">
        <f t="shared" si="9"/>
        <v/>
      </c>
    </row>
    <row r="613" spans="1:13" x14ac:dyDescent="0.35">
      <c r="A613" s="11"/>
      <c r="B613" s="12"/>
      <c r="C613" s="12"/>
      <c r="D613" s="12"/>
      <c r="E613" s="13"/>
      <c r="F613" s="13"/>
      <c r="G613" s="13"/>
      <c r="H613" s="13"/>
      <c r="I613" s="12"/>
      <c r="J613" s="13"/>
      <c r="K613" s="14" t="str">
        <f>IF(C613="","",IFERROR(N('Fee Settings'!$C$5)*(E613+N(F613)-N(J613))+N('Fee Settings'!$C$6)*(E613+N(F613)+N(G613))+N('Fee Settings'!$C$7)+N('Fee Settings'!$C$10)*D613+IF(I613="Yes",MIN(N('Fee Settings'!$C$8)*(E613+N(F613)),N('Fee Settings'!$C$9)),0),""))</f>
        <v/>
      </c>
      <c r="L613" s="14" t="str">
        <f>IF(C613="","",IFERROR(D613*N(INDEX(Products!$C$5:$C$29,MATCH(C613,Lists!$A$2:$A$26,0))),""))</f>
        <v/>
      </c>
      <c r="M613" s="15" t="str">
        <f t="shared" si="9"/>
        <v/>
      </c>
    </row>
    <row r="614" spans="1:13" x14ac:dyDescent="0.35">
      <c r="A614" s="11"/>
      <c r="B614" s="12"/>
      <c r="C614" s="12"/>
      <c r="D614" s="12"/>
      <c r="E614" s="13"/>
      <c r="F614" s="13"/>
      <c r="G614" s="13"/>
      <c r="H614" s="13"/>
      <c r="I614" s="12"/>
      <c r="J614" s="13"/>
      <c r="K614" s="14" t="str">
        <f>IF(C614="","",IFERROR(N('Fee Settings'!$C$5)*(E614+N(F614)-N(J614))+N('Fee Settings'!$C$6)*(E614+N(F614)+N(G614))+N('Fee Settings'!$C$7)+N('Fee Settings'!$C$10)*D614+IF(I614="Yes",MIN(N('Fee Settings'!$C$8)*(E614+N(F614)),N('Fee Settings'!$C$9)),0),""))</f>
        <v/>
      </c>
      <c r="L614" s="14" t="str">
        <f>IF(C614="","",IFERROR(D614*N(INDEX(Products!$C$5:$C$29,MATCH(C614,Lists!$A$2:$A$26,0))),""))</f>
        <v/>
      </c>
      <c r="M614" s="15" t="str">
        <f t="shared" si="9"/>
        <v/>
      </c>
    </row>
    <row r="615" spans="1:13" x14ac:dyDescent="0.35">
      <c r="A615" s="11"/>
      <c r="B615" s="12"/>
      <c r="C615" s="12"/>
      <c r="D615" s="12"/>
      <c r="E615" s="13"/>
      <c r="F615" s="13"/>
      <c r="G615" s="13"/>
      <c r="H615" s="13"/>
      <c r="I615" s="12"/>
      <c r="J615" s="13"/>
      <c r="K615" s="14" t="str">
        <f>IF(C615="","",IFERROR(N('Fee Settings'!$C$5)*(E615+N(F615)-N(J615))+N('Fee Settings'!$C$6)*(E615+N(F615)+N(G615))+N('Fee Settings'!$C$7)+N('Fee Settings'!$C$10)*D615+IF(I615="Yes",MIN(N('Fee Settings'!$C$8)*(E615+N(F615)),N('Fee Settings'!$C$9)),0),""))</f>
        <v/>
      </c>
      <c r="L615" s="14" t="str">
        <f>IF(C615="","",IFERROR(D615*N(INDEX(Products!$C$5:$C$29,MATCH(C615,Lists!$A$2:$A$26,0))),""))</f>
        <v/>
      </c>
      <c r="M615" s="15" t="str">
        <f t="shared" si="9"/>
        <v/>
      </c>
    </row>
    <row r="616" spans="1:13" x14ac:dyDescent="0.35">
      <c r="A616" s="11"/>
      <c r="B616" s="12"/>
      <c r="C616" s="12"/>
      <c r="D616" s="12"/>
      <c r="E616" s="13"/>
      <c r="F616" s="13"/>
      <c r="G616" s="13"/>
      <c r="H616" s="13"/>
      <c r="I616" s="12"/>
      <c r="J616" s="13"/>
      <c r="K616" s="14" t="str">
        <f>IF(C616="","",IFERROR(N('Fee Settings'!$C$5)*(E616+N(F616)-N(J616))+N('Fee Settings'!$C$6)*(E616+N(F616)+N(G616))+N('Fee Settings'!$C$7)+N('Fee Settings'!$C$10)*D616+IF(I616="Yes",MIN(N('Fee Settings'!$C$8)*(E616+N(F616)),N('Fee Settings'!$C$9)),0),""))</f>
        <v/>
      </c>
      <c r="L616" s="14" t="str">
        <f>IF(C616="","",IFERROR(D616*N(INDEX(Products!$C$5:$C$29,MATCH(C616,Lists!$A$2:$A$26,0))),""))</f>
        <v/>
      </c>
      <c r="M616" s="15" t="str">
        <f t="shared" si="9"/>
        <v/>
      </c>
    </row>
    <row r="617" spans="1:13" x14ac:dyDescent="0.35">
      <c r="A617" s="11"/>
      <c r="B617" s="12"/>
      <c r="C617" s="12"/>
      <c r="D617" s="12"/>
      <c r="E617" s="13"/>
      <c r="F617" s="13"/>
      <c r="G617" s="13"/>
      <c r="H617" s="13"/>
      <c r="I617" s="12"/>
      <c r="J617" s="13"/>
      <c r="K617" s="14" t="str">
        <f>IF(C617="","",IFERROR(N('Fee Settings'!$C$5)*(E617+N(F617)-N(J617))+N('Fee Settings'!$C$6)*(E617+N(F617)+N(G617))+N('Fee Settings'!$C$7)+N('Fee Settings'!$C$10)*D617+IF(I617="Yes",MIN(N('Fee Settings'!$C$8)*(E617+N(F617)),N('Fee Settings'!$C$9)),0),""))</f>
        <v/>
      </c>
      <c r="L617" s="14" t="str">
        <f>IF(C617="","",IFERROR(D617*N(INDEX(Products!$C$5:$C$29,MATCH(C617,Lists!$A$2:$A$26,0))),""))</f>
        <v/>
      </c>
      <c r="M617" s="15" t="str">
        <f t="shared" si="9"/>
        <v/>
      </c>
    </row>
    <row r="618" spans="1:13" x14ac:dyDescent="0.35">
      <c r="A618" s="11"/>
      <c r="B618" s="12"/>
      <c r="C618" s="12"/>
      <c r="D618" s="12"/>
      <c r="E618" s="13"/>
      <c r="F618" s="13"/>
      <c r="G618" s="13"/>
      <c r="H618" s="13"/>
      <c r="I618" s="12"/>
      <c r="J618" s="13"/>
      <c r="K618" s="14" t="str">
        <f>IF(C618="","",IFERROR(N('Fee Settings'!$C$5)*(E618+N(F618)-N(J618))+N('Fee Settings'!$C$6)*(E618+N(F618)+N(G618))+N('Fee Settings'!$C$7)+N('Fee Settings'!$C$10)*D618+IF(I618="Yes",MIN(N('Fee Settings'!$C$8)*(E618+N(F618)),N('Fee Settings'!$C$9)),0),""))</f>
        <v/>
      </c>
      <c r="L618" s="14" t="str">
        <f>IF(C618="","",IFERROR(D618*N(INDEX(Products!$C$5:$C$29,MATCH(C618,Lists!$A$2:$A$26,0))),""))</f>
        <v/>
      </c>
      <c r="M618" s="15" t="str">
        <f t="shared" si="9"/>
        <v/>
      </c>
    </row>
    <row r="619" spans="1:13" x14ac:dyDescent="0.35">
      <c r="A619" s="11"/>
      <c r="B619" s="12"/>
      <c r="C619" s="12"/>
      <c r="D619" s="12"/>
      <c r="E619" s="13"/>
      <c r="F619" s="13"/>
      <c r="G619" s="13"/>
      <c r="H619" s="13"/>
      <c r="I619" s="12"/>
      <c r="J619" s="13"/>
      <c r="K619" s="14" t="str">
        <f>IF(C619="","",IFERROR(N('Fee Settings'!$C$5)*(E619+N(F619)-N(J619))+N('Fee Settings'!$C$6)*(E619+N(F619)+N(G619))+N('Fee Settings'!$C$7)+N('Fee Settings'!$C$10)*D619+IF(I619="Yes",MIN(N('Fee Settings'!$C$8)*(E619+N(F619)),N('Fee Settings'!$C$9)),0),""))</f>
        <v/>
      </c>
      <c r="L619" s="14" t="str">
        <f>IF(C619="","",IFERROR(D619*N(INDEX(Products!$C$5:$C$29,MATCH(C619,Lists!$A$2:$A$26,0))),""))</f>
        <v/>
      </c>
      <c r="M619" s="15" t="str">
        <f t="shared" si="9"/>
        <v/>
      </c>
    </row>
    <row r="620" spans="1:13" x14ac:dyDescent="0.35">
      <c r="A620" s="11"/>
      <c r="B620" s="12"/>
      <c r="C620" s="12"/>
      <c r="D620" s="12"/>
      <c r="E620" s="13"/>
      <c r="F620" s="13"/>
      <c r="G620" s="13"/>
      <c r="H620" s="13"/>
      <c r="I620" s="12"/>
      <c r="J620" s="13"/>
      <c r="K620" s="14" t="str">
        <f>IF(C620="","",IFERROR(N('Fee Settings'!$C$5)*(E620+N(F620)-N(J620))+N('Fee Settings'!$C$6)*(E620+N(F620)+N(G620))+N('Fee Settings'!$C$7)+N('Fee Settings'!$C$10)*D620+IF(I620="Yes",MIN(N('Fee Settings'!$C$8)*(E620+N(F620)),N('Fee Settings'!$C$9)),0),""))</f>
        <v/>
      </c>
      <c r="L620" s="14" t="str">
        <f>IF(C620="","",IFERROR(D620*N(INDEX(Products!$C$5:$C$29,MATCH(C620,Lists!$A$2:$A$26,0))),""))</f>
        <v/>
      </c>
      <c r="M620" s="15" t="str">
        <f t="shared" si="9"/>
        <v/>
      </c>
    </row>
    <row r="621" spans="1:13" x14ac:dyDescent="0.35">
      <c r="A621" s="11"/>
      <c r="B621" s="12"/>
      <c r="C621" s="12"/>
      <c r="D621" s="12"/>
      <c r="E621" s="13"/>
      <c r="F621" s="13"/>
      <c r="G621" s="13"/>
      <c r="H621" s="13"/>
      <c r="I621" s="12"/>
      <c r="J621" s="13"/>
      <c r="K621" s="14" t="str">
        <f>IF(C621="","",IFERROR(N('Fee Settings'!$C$5)*(E621+N(F621)-N(J621))+N('Fee Settings'!$C$6)*(E621+N(F621)+N(G621))+N('Fee Settings'!$C$7)+N('Fee Settings'!$C$10)*D621+IF(I621="Yes",MIN(N('Fee Settings'!$C$8)*(E621+N(F621)),N('Fee Settings'!$C$9)),0),""))</f>
        <v/>
      </c>
      <c r="L621" s="14" t="str">
        <f>IF(C621="","",IFERROR(D621*N(INDEX(Products!$C$5:$C$29,MATCH(C621,Lists!$A$2:$A$26,0))),""))</f>
        <v/>
      </c>
      <c r="M621" s="15" t="str">
        <f t="shared" si="9"/>
        <v/>
      </c>
    </row>
    <row r="622" spans="1:13" x14ac:dyDescent="0.35">
      <c r="A622" s="11"/>
      <c r="B622" s="12"/>
      <c r="C622" s="12"/>
      <c r="D622" s="12"/>
      <c r="E622" s="13"/>
      <c r="F622" s="13"/>
      <c r="G622" s="13"/>
      <c r="H622" s="13"/>
      <c r="I622" s="12"/>
      <c r="J622" s="13"/>
      <c r="K622" s="14" t="str">
        <f>IF(C622="","",IFERROR(N('Fee Settings'!$C$5)*(E622+N(F622)-N(J622))+N('Fee Settings'!$C$6)*(E622+N(F622)+N(G622))+N('Fee Settings'!$C$7)+N('Fee Settings'!$C$10)*D622+IF(I622="Yes",MIN(N('Fee Settings'!$C$8)*(E622+N(F622)),N('Fee Settings'!$C$9)),0),""))</f>
        <v/>
      </c>
      <c r="L622" s="14" t="str">
        <f>IF(C622="","",IFERROR(D622*N(INDEX(Products!$C$5:$C$29,MATCH(C622,Lists!$A$2:$A$26,0))),""))</f>
        <v/>
      </c>
      <c r="M622" s="15" t="str">
        <f t="shared" si="9"/>
        <v/>
      </c>
    </row>
    <row r="623" spans="1:13" x14ac:dyDescent="0.35">
      <c r="A623" s="11"/>
      <c r="B623" s="12"/>
      <c r="C623" s="12"/>
      <c r="D623" s="12"/>
      <c r="E623" s="13"/>
      <c r="F623" s="13"/>
      <c r="G623" s="13"/>
      <c r="H623" s="13"/>
      <c r="I623" s="12"/>
      <c r="J623" s="13"/>
      <c r="K623" s="14" t="str">
        <f>IF(C623="","",IFERROR(N('Fee Settings'!$C$5)*(E623+N(F623)-N(J623))+N('Fee Settings'!$C$6)*(E623+N(F623)+N(G623))+N('Fee Settings'!$C$7)+N('Fee Settings'!$C$10)*D623+IF(I623="Yes",MIN(N('Fee Settings'!$C$8)*(E623+N(F623)),N('Fee Settings'!$C$9)),0),""))</f>
        <v/>
      </c>
      <c r="L623" s="14" t="str">
        <f>IF(C623="","",IFERROR(D623*N(INDEX(Products!$C$5:$C$29,MATCH(C623,Lists!$A$2:$A$26,0))),""))</f>
        <v/>
      </c>
      <c r="M623" s="15" t="str">
        <f t="shared" si="9"/>
        <v/>
      </c>
    </row>
    <row r="624" spans="1:13" x14ac:dyDescent="0.35">
      <c r="A624" s="11"/>
      <c r="B624" s="12"/>
      <c r="C624" s="12"/>
      <c r="D624" s="12"/>
      <c r="E624" s="13"/>
      <c r="F624" s="13"/>
      <c r="G624" s="13"/>
      <c r="H624" s="13"/>
      <c r="I624" s="12"/>
      <c r="J624" s="13"/>
      <c r="K624" s="14" t="str">
        <f>IF(C624="","",IFERROR(N('Fee Settings'!$C$5)*(E624+N(F624)-N(J624))+N('Fee Settings'!$C$6)*(E624+N(F624)+N(G624))+N('Fee Settings'!$C$7)+N('Fee Settings'!$C$10)*D624+IF(I624="Yes",MIN(N('Fee Settings'!$C$8)*(E624+N(F624)),N('Fee Settings'!$C$9)),0),""))</f>
        <v/>
      </c>
      <c r="L624" s="14" t="str">
        <f>IF(C624="","",IFERROR(D624*N(INDEX(Products!$C$5:$C$29,MATCH(C624,Lists!$A$2:$A$26,0))),""))</f>
        <v/>
      </c>
      <c r="M624" s="15" t="str">
        <f t="shared" si="9"/>
        <v/>
      </c>
    </row>
    <row r="625" spans="1:13" x14ac:dyDescent="0.35">
      <c r="A625" s="11"/>
      <c r="B625" s="12"/>
      <c r="C625" s="12"/>
      <c r="D625" s="12"/>
      <c r="E625" s="13"/>
      <c r="F625" s="13"/>
      <c r="G625" s="13"/>
      <c r="H625" s="13"/>
      <c r="I625" s="12"/>
      <c r="J625" s="13"/>
      <c r="K625" s="14" t="str">
        <f>IF(C625="","",IFERROR(N('Fee Settings'!$C$5)*(E625+N(F625)-N(J625))+N('Fee Settings'!$C$6)*(E625+N(F625)+N(G625))+N('Fee Settings'!$C$7)+N('Fee Settings'!$C$10)*D625+IF(I625="Yes",MIN(N('Fee Settings'!$C$8)*(E625+N(F625)),N('Fee Settings'!$C$9)),0),""))</f>
        <v/>
      </c>
      <c r="L625" s="14" t="str">
        <f>IF(C625="","",IFERROR(D625*N(INDEX(Products!$C$5:$C$29,MATCH(C625,Lists!$A$2:$A$26,0))),""))</f>
        <v/>
      </c>
      <c r="M625" s="15" t="str">
        <f t="shared" si="9"/>
        <v/>
      </c>
    </row>
    <row r="626" spans="1:13" x14ac:dyDescent="0.35">
      <c r="A626" s="11"/>
      <c r="B626" s="12"/>
      <c r="C626" s="12"/>
      <c r="D626" s="12"/>
      <c r="E626" s="13"/>
      <c r="F626" s="13"/>
      <c r="G626" s="13"/>
      <c r="H626" s="13"/>
      <c r="I626" s="12"/>
      <c r="J626" s="13"/>
      <c r="K626" s="14" t="str">
        <f>IF(C626="","",IFERROR(N('Fee Settings'!$C$5)*(E626+N(F626)-N(J626))+N('Fee Settings'!$C$6)*(E626+N(F626)+N(G626))+N('Fee Settings'!$C$7)+N('Fee Settings'!$C$10)*D626+IF(I626="Yes",MIN(N('Fee Settings'!$C$8)*(E626+N(F626)),N('Fee Settings'!$C$9)),0),""))</f>
        <v/>
      </c>
      <c r="L626" s="14" t="str">
        <f>IF(C626="","",IFERROR(D626*N(INDEX(Products!$C$5:$C$29,MATCH(C626,Lists!$A$2:$A$26,0))),""))</f>
        <v/>
      </c>
      <c r="M626" s="15" t="str">
        <f t="shared" si="9"/>
        <v/>
      </c>
    </row>
    <row r="627" spans="1:13" x14ac:dyDescent="0.35">
      <c r="A627" s="11"/>
      <c r="B627" s="12"/>
      <c r="C627" s="12"/>
      <c r="D627" s="12"/>
      <c r="E627" s="13"/>
      <c r="F627" s="13"/>
      <c r="G627" s="13"/>
      <c r="H627" s="13"/>
      <c r="I627" s="12"/>
      <c r="J627" s="13"/>
      <c r="K627" s="14" t="str">
        <f>IF(C627="","",IFERROR(N('Fee Settings'!$C$5)*(E627+N(F627)-N(J627))+N('Fee Settings'!$C$6)*(E627+N(F627)+N(G627))+N('Fee Settings'!$C$7)+N('Fee Settings'!$C$10)*D627+IF(I627="Yes",MIN(N('Fee Settings'!$C$8)*(E627+N(F627)),N('Fee Settings'!$C$9)),0),""))</f>
        <v/>
      </c>
      <c r="L627" s="14" t="str">
        <f>IF(C627="","",IFERROR(D627*N(INDEX(Products!$C$5:$C$29,MATCH(C627,Lists!$A$2:$A$26,0))),""))</f>
        <v/>
      </c>
      <c r="M627" s="15" t="str">
        <f t="shared" si="9"/>
        <v/>
      </c>
    </row>
    <row r="628" spans="1:13" x14ac:dyDescent="0.35">
      <c r="A628" s="11"/>
      <c r="B628" s="12"/>
      <c r="C628" s="12"/>
      <c r="D628" s="12"/>
      <c r="E628" s="13"/>
      <c r="F628" s="13"/>
      <c r="G628" s="13"/>
      <c r="H628" s="13"/>
      <c r="I628" s="12"/>
      <c r="J628" s="13"/>
      <c r="K628" s="14" t="str">
        <f>IF(C628="","",IFERROR(N('Fee Settings'!$C$5)*(E628+N(F628)-N(J628))+N('Fee Settings'!$C$6)*(E628+N(F628)+N(G628))+N('Fee Settings'!$C$7)+N('Fee Settings'!$C$10)*D628+IF(I628="Yes",MIN(N('Fee Settings'!$C$8)*(E628+N(F628)),N('Fee Settings'!$C$9)),0),""))</f>
        <v/>
      </c>
      <c r="L628" s="14" t="str">
        <f>IF(C628="","",IFERROR(D628*N(INDEX(Products!$C$5:$C$29,MATCH(C628,Lists!$A$2:$A$26,0))),""))</f>
        <v/>
      </c>
      <c r="M628" s="15" t="str">
        <f t="shared" si="9"/>
        <v/>
      </c>
    </row>
    <row r="629" spans="1:13" x14ac:dyDescent="0.35">
      <c r="A629" s="11"/>
      <c r="B629" s="12"/>
      <c r="C629" s="12"/>
      <c r="D629" s="12"/>
      <c r="E629" s="13"/>
      <c r="F629" s="13"/>
      <c r="G629" s="13"/>
      <c r="H629" s="13"/>
      <c r="I629" s="12"/>
      <c r="J629" s="13"/>
      <c r="K629" s="14" t="str">
        <f>IF(C629="","",IFERROR(N('Fee Settings'!$C$5)*(E629+N(F629)-N(J629))+N('Fee Settings'!$C$6)*(E629+N(F629)+N(G629))+N('Fee Settings'!$C$7)+N('Fee Settings'!$C$10)*D629+IF(I629="Yes",MIN(N('Fee Settings'!$C$8)*(E629+N(F629)),N('Fee Settings'!$C$9)),0),""))</f>
        <v/>
      </c>
      <c r="L629" s="14" t="str">
        <f>IF(C629="","",IFERROR(D629*N(INDEX(Products!$C$5:$C$29,MATCH(C629,Lists!$A$2:$A$26,0))),""))</f>
        <v/>
      </c>
      <c r="M629" s="15" t="str">
        <f t="shared" si="9"/>
        <v/>
      </c>
    </row>
    <row r="630" spans="1:13" x14ac:dyDescent="0.35">
      <c r="A630" s="11"/>
      <c r="B630" s="12"/>
      <c r="C630" s="12"/>
      <c r="D630" s="12"/>
      <c r="E630" s="13"/>
      <c r="F630" s="13"/>
      <c r="G630" s="13"/>
      <c r="H630" s="13"/>
      <c r="I630" s="12"/>
      <c r="J630" s="13"/>
      <c r="K630" s="14" t="str">
        <f>IF(C630="","",IFERROR(N('Fee Settings'!$C$5)*(E630+N(F630)-N(J630))+N('Fee Settings'!$C$6)*(E630+N(F630)+N(G630))+N('Fee Settings'!$C$7)+N('Fee Settings'!$C$10)*D630+IF(I630="Yes",MIN(N('Fee Settings'!$C$8)*(E630+N(F630)),N('Fee Settings'!$C$9)),0),""))</f>
        <v/>
      </c>
      <c r="L630" s="14" t="str">
        <f>IF(C630="","",IFERROR(D630*N(INDEX(Products!$C$5:$C$29,MATCH(C630,Lists!$A$2:$A$26,0))),""))</f>
        <v/>
      </c>
      <c r="M630" s="15" t="str">
        <f t="shared" si="9"/>
        <v/>
      </c>
    </row>
    <row r="631" spans="1:13" x14ac:dyDescent="0.35">
      <c r="A631" s="11"/>
      <c r="B631" s="12"/>
      <c r="C631" s="12"/>
      <c r="D631" s="12"/>
      <c r="E631" s="13"/>
      <c r="F631" s="13"/>
      <c r="G631" s="13"/>
      <c r="H631" s="13"/>
      <c r="I631" s="12"/>
      <c r="J631" s="13"/>
      <c r="K631" s="14" t="str">
        <f>IF(C631="","",IFERROR(N('Fee Settings'!$C$5)*(E631+N(F631)-N(J631))+N('Fee Settings'!$C$6)*(E631+N(F631)+N(G631))+N('Fee Settings'!$C$7)+N('Fee Settings'!$C$10)*D631+IF(I631="Yes",MIN(N('Fee Settings'!$C$8)*(E631+N(F631)),N('Fee Settings'!$C$9)),0),""))</f>
        <v/>
      </c>
      <c r="L631" s="14" t="str">
        <f>IF(C631="","",IFERROR(D631*N(INDEX(Products!$C$5:$C$29,MATCH(C631,Lists!$A$2:$A$26,0))),""))</f>
        <v/>
      </c>
      <c r="M631" s="15" t="str">
        <f t="shared" si="9"/>
        <v/>
      </c>
    </row>
    <row r="632" spans="1:13" x14ac:dyDescent="0.35">
      <c r="A632" s="11"/>
      <c r="B632" s="12"/>
      <c r="C632" s="12"/>
      <c r="D632" s="12"/>
      <c r="E632" s="13"/>
      <c r="F632" s="13"/>
      <c r="G632" s="13"/>
      <c r="H632" s="13"/>
      <c r="I632" s="12"/>
      <c r="J632" s="13"/>
      <c r="K632" s="14" t="str">
        <f>IF(C632="","",IFERROR(N('Fee Settings'!$C$5)*(E632+N(F632)-N(J632))+N('Fee Settings'!$C$6)*(E632+N(F632)+N(G632))+N('Fee Settings'!$C$7)+N('Fee Settings'!$C$10)*D632+IF(I632="Yes",MIN(N('Fee Settings'!$C$8)*(E632+N(F632)),N('Fee Settings'!$C$9)),0),""))</f>
        <v/>
      </c>
      <c r="L632" s="14" t="str">
        <f>IF(C632="","",IFERROR(D632*N(INDEX(Products!$C$5:$C$29,MATCH(C632,Lists!$A$2:$A$26,0))),""))</f>
        <v/>
      </c>
      <c r="M632" s="15" t="str">
        <f t="shared" si="9"/>
        <v/>
      </c>
    </row>
    <row r="633" spans="1:13" x14ac:dyDescent="0.35">
      <c r="A633" s="11"/>
      <c r="B633" s="12"/>
      <c r="C633" s="12"/>
      <c r="D633" s="12"/>
      <c r="E633" s="13"/>
      <c r="F633" s="13"/>
      <c r="G633" s="13"/>
      <c r="H633" s="13"/>
      <c r="I633" s="12"/>
      <c r="J633" s="13"/>
      <c r="K633" s="14" t="str">
        <f>IF(C633="","",IFERROR(N('Fee Settings'!$C$5)*(E633+N(F633)-N(J633))+N('Fee Settings'!$C$6)*(E633+N(F633)+N(G633))+N('Fee Settings'!$C$7)+N('Fee Settings'!$C$10)*D633+IF(I633="Yes",MIN(N('Fee Settings'!$C$8)*(E633+N(F633)),N('Fee Settings'!$C$9)),0),""))</f>
        <v/>
      </c>
      <c r="L633" s="14" t="str">
        <f>IF(C633="","",IFERROR(D633*N(INDEX(Products!$C$5:$C$29,MATCH(C633,Lists!$A$2:$A$26,0))),""))</f>
        <v/>
      </c>
      <c r="M633" s="15" t="str">
        <f t="shared" si="9"/>
        <v/>
      </c>
    </row>
    <row r="634" spans="1:13" x14ac:dyDescent="0.35">
      <c r="A634" s="11"/>
      <c r="B634" s="12"/>
      <c r="C634" s="12"/>
      <c r="D634" s="12"/>
      <c r="E634" s="13"/>
      <c r="F634" s="13"/>
      <c r="G634" s="13"/>
      <c r="H634" s="13"/>
      <c r="I634" s="12"/>
      <c r="J634" s="13"/>
      <c r="K634" s="14" t="str">
        <f>IF(C634="","",IFERROR(N('Fee Settings'!$C$5)*(E634+N(F634)-N(J634))+N('Fee Settings'!$C$6)*(E634+N(F634)+N(G634))+N('Fee Settings'!$C$7)+N('Fee Settings'!$C$10)*D634+IF(I634="Yes",MIN(N('Fee Settings'!$C$8)*(E634+N(F634)),N('Fee Settings'!$C$9)),0),""))</f>
        <v/>
      </c>
      <c r="L634" s="14" t="str">
        <f>IF(C634="","",IFERROR(D634*N(INDEX(Products!$C$5:$C$29,MATCH(C634,Lists!$A$2:$A$26,0))),""))</f>
        <v/>
      </c>
      <c r="M634" s="15" t="str">
        <f t="shared" si="9"/>
        <v/>
      </c>
    </row>
    <row r="635" spans="1:13" x14ac:dyDescent="0.35">
      <c r="A635" s="11"/>
      <c r="B635" s="12"/>
      <c r="C635" s="12"/>
      <c r="D635" s="12"/>
      <c r="E635" s="13"/>
      <c r="F635" s="13"/>
      <c r="G635" s="13"/>
      <c r="H635" s="13"/>
      <c r="I635" s="12"/>
      <c r="J635" s="13"/>
      <c r="K635" s="14" t="str">
        <f>IF(C635="","",IFERROR(N('Fee Settings'!$C$5)*(E635+N(F635)-N(J635))+N('Fee Settings'!$C$6)*(E635+N(F635)+N(G635))+N('Fee Settings'!$C$7)+N('Fee Settings'!$C$10)*D635+IF(I635="Yes",MIN(N('Fee Settings'!$C$8)*(E635+N(F635)),N('Fee Settings'!$C$9)),0),""))</f>
        <v/>
      </c>
      <c r="L635" s="14" t="str">
        <f>IF(C635="","",IFERROR(D635*N(INDEX(Products!$C$5:$C$29,MATCH(C635,Lists!$A$2:$A$26,0))),""))</f>
        <v/>
      </c>
      <c r="M635" s="15" t="str">
        <f t="shared" si="9"/>
        <v/>
      </c>
    </row>
    <row r="636" spans="1:13" x14ac:dyDescent="0.35">
      <c r="A636" s="11"/>
      <c r="B636" s="12"/>
      <c r="C636" s="12"/>
      <c r="D636" s="12"/>
      <c r="E636" s="13"/>
      <c r="F636" s="13"/>
      <c r="G636" s="13"/>
      <c r="H636" s="13"/>
      <c r="I636" s="12"/>
      <c r="J636" s="13"/>
      <c r="K636" s="14" t="str">
        <f>IF(C636="","",IFERROR(N('Fee Settings'!$C$5)*(E636+N(F636)-N(J636))+N('Fee Settings'!$C$6)*(E636+N(F636)+N(G636))+N('Fee Settings'!$C$7)+N('Fee Settings'!$C$10)*D636+IF(I636="Yes",MIN(N('Fee Settings'!$C$8)*(E636+N(F636)),N('Fee Settings'!$C$9)),0),""))</f>
        <v/>
      </c>
      <c r="L636" s="14" t="str">
        <f>IF(C636="","",IFERROR(D636*N(INDEX(Products!$C$5:$C$29,MATCH(C636,Lists!$A$2:$A$26,0))),""))</f>
        <v/>
      </c>
      <c r="M636" s="15" t="str">
        <f t="shared" si="9"/>
        <v/>
      </c>
    </row>
    <row r="637" spans="1:13" x14ac:dyDescent="0.35">
      <c r="A637" s="11"/>
      <c r="B637" s="12"/>
      <c r="C637" s="12"/>
      <c r="D637" s="12"/>
      <c r="E637" s="13"/>
      <c r="F637" s="13"/>
      <c r="G637" s="13"/>
      <c r="H637" s="13"/>
      <c r="I637" s="12"/>
      <c r="J637" s="13"/>
      <c r="K637" s="14" t="str">
        <f>IF(C637="","",IFERROR(N('Fee Settings'!$C$5)*(E637+N(F637)-N(J637))+N('Fee Settings'!$C$6)*(E637+N(F637)+N(G637))+N('Fee Settings'!$C$7)+N('Fee Settings'!$C$10)*D637+IF(I637="Yes",MIN(N('Fee Settings'!$C$8)*(E637+N(F637)),N('Fee Settings'!$C$9)),0),""))</f>
        <v/>
      </c>
      <c r="L637" s="14" t="str">
        <f>IF(C637="","",IFERROR(D637*N(INDEX(Products!$C$5:$C$29,MATCH(C637,Lists!$A$2:$A$26,0))),""))</f>
        <v/>
      </c>
      <c r="M637" s="15" t="str">
        <f t="shared" si="9"/>
        <v/>
      </c>
    </row>
    <row r="638" spans="1:13" x14ac:dyDescent="0.35">
      <c r="A638" s="11"/>
      <c r="B638" s="12"/>
      <c r="C638" s="12"/>
      <c r="D638" s="12"/>
      <c r="E638" s="13"/>
      <c r="F638" s="13"/>
      <c r="G638" s="13"/>
      <c r="H638" s="13"/>
      <c r="I638" s="12"/>
      <c r="J638" s="13"/>
      <c r="K638" s="14" t="str">
        <f>IF(C638="","",IFERROR(N('Fee Settings'!$C$5)*(E638+N(F638)-N(J638))+N('Fee Settings'!$C$6)*(E638+N(F638)+N(G638))+N('Fee Settings'!$C$7)+N('Fee Settings'!$C$10)*D638+IF(I638="Yes",MIN(N('Fee Settings'!$C$8)*(E638+N(F638)),N('Fee Settings'!$C$9)),0),""))</f>
        <v/>
      </c>
      <c r="L638" s="14" t="str">
        <f>IF(C638="","",IFERROR(D638*N(INDEX(Products!$C$5:$C$29,MATCH(C638,Lists!$A$2:$A$26,0))),""))</f>
        <v/>
      </c>
      <c r="M638" s="15" t="str">
        <f t="shared" si="9"/>
        <v/>
      </c>
    </row>
    <row r="639" spans="1:13" x14ac:dyDescent="0.35">
      <c r="A639" s="11"/>
      <c r="B639" s="12"/>
      <c r="C639" s="12"/>
      <c r="D639" s="12"/>
      <c r="E639" s="13"/>
      <c r="F639" s="13"/>
      <c r="G639" s="13"/>
      <c r="H639" s="13"/>
      <c r="I639" s="12"/>
      <c r="J639" s="13"/>
      <c r="K639" s="14" t="str">
        <f>IF(C639="","",IFERROR(N('Fee Settings'!$C$5)*(E639+N(F639)-N(J639))+N('Fee Settings'!$C$6)*(E639+N(F639)+N(G639))+N('Fee Settings'!$C$7)+N('Fee Settings'!$C$10)*D639+IF(I639="Yes",MIN(N('Fee Settings'!$C$8)*(E639+N(F639)),N('Fee Settings'!$C$9)),0),""))</f>
        <v/>
      </c>
      <c r="L639" s="14" t="str">
        <f>IF(C639="","",IFERROR(D639*N(INDEX(Products!$C$5:$C$29,MATCH(C639,Lists!$A$2:$A$26,0))),""))</f>
        <v/>
      </c>
      <c r="M639" s="15" t="str">
        <f t="shared" si="9"/>
        <v/>
      </c>
    </row>
    <row r="640" spans="1:13" x14ac:dyDescent="0.35">
      <c r="A640" s="11"/>
      <c r="B640" s="12"/>
      <c r="C640" s="12"/>
      <c r="D640" s="12"/>
      <c r="E640" s="13"/>
      <c r="F640" s="13"/>
      <c r="G640" s="13"/>
      <c r="H640" s="13"/>
      <c r="I640" s="12"/>
      <c r="J640" s="13"/>
      <c r="K640" s="14" t="str">
        <f>IF(C640="","",IFERROR(N('Fee Settings'!$C$5)*(E640+N(F640)-N(J640))+N('Fee Settings'!$C$6)*(E640+N(F640)+N(G640))+N('Fee Settings'!$C$7)+N('Fee Settings'!$C$10)*D640+IF(I640="Yes",MIN(N('Fee Settings'!$C$8)*(E640+N(F640)),N('Fee Settings'!$C$9)),0),""))</f>
        <v/>
      </c>
      <c r="L640" s="14" t="str">
        <f>IF(C640="","",IFERROR(D640*N(INDEX(Products!$C$5:$C$29,MATCH(C640,Lists!$A$2:$A$26,0))),""))</f>
        <v/>
      </c>
      <c r="M640" s="15" t="str">
        <f t="shared" si="9"/>
        <v/>
      </c>
    </row>
    <row r="641" spans="1:13" x14ac:dyDescent="0.35">
      <c r="A641" s="11"/>
      <c r="B641" s="12"/>
      <c r="C641" s="12"/>
      <c r="D641" s="12"/>
      <c r="E641" s="13"/>
      <c r="F641" s="13"/>
      <c r="G641" s="13"/>
      <c r="H641" s="13"/>
      <c r="I641" s="12"/>
      <c r="J641" s="13"/>
      <c r="K641" s="14" t="str">
        <f>IF(C641="","",IFERROR(N('Fee Settings'!$C$5)*(E641+N(F641)-N(J641))+N('Fee Settings'!$C$6)*(E641+N(F641)+N(G641))+N('Fee Settings'!$C$7)+N('Fee Settings'!$C$10)*D641+IF(I641="Yes",MIN(N('Fee Settings'!$C$8)*(E641+N(F641)),N('Fee Settings'!$C$9)),0),""))</f>
        <v/>
      </c>
      <c r="L641" s="14" t="str">
        <f>IF(C641="","",IFERROR(D641*N(INDEX(Products!$C$5:$C$29,MATCH(C641,Lists!$A$2:$A$26,0))),""))</f>
        <v/>
      </c>
      <c r="M641" s="15" t="str">
        <f t="shared" si="9"/>
        <v/>
      </c>
    </row>
    <row r="642" spans="1:13" x14ac:dyDescent="0.35">
      <c r="A642" s="11"/>
      <c r="B642" s="12"/>
      <c r="C642" s="12"/>
      <c r="D642" s="12"/>
      <c r="E642" s="13"/>
      <c r="F642" s="13"/>
      <c r="G642" s="13"/>
      <c r="H642" s="13"/>
      <c r="I642" s="12"/>
      <c r="J642" s="13"/>
      <c r="K642" s="14" t="str">
        <f>IF(C642="","",IFERROR(N('Fee Settings'!$C$5)*(E642+N(F642)-N(J642))+N('Fee Settings'!$C$6)*(E642+N(F642)+N(G642))+N('Fee Settings'!$C$7)+N('Fee Settings'!$C$10)*D642+IF(I642="Yes",MIN(N('Fee Settings'!$C$8)*(E642+N(F642)),N('Fee Settings'!$C$9)),0),""))</f>
        <v/>
      </c>
      <c r="L642" s="14" t="str">
        <f>IF(C642="","",IFERROR(D642*N(INDEX(Products!$C$5:$C$29,MATCH(C642,Lists!$A$2:$A$26,0))),""))</f>
        <v/>
      </c>
      <c r="M642" s="15" t="str">
        <f t="shared" si="9"/>
        <v/>
      </c>
    </row>
    <row r="643" spans="1:13" x14ac:dyDescent="0.35">
      <c r="A643" s="11"/>
      <c r="B643" s="12"/>
      <c r="C643" s="12"/>
      <c r="D643" s="12"/>
      <c r="E643" s="13"/>
      <c r="F643" s="13"/>
      <c r="G643" s="13"/>
      <c r="H643" s="13"/>
      <c r="I643" s="12"/>
      <c r="J643" s="13"/>
      <c r="K643" s="14" t="str">
        <f>IF(C643="","",IFERROR(N('Fee Settings'!$C$5)*(E643+N(F643)-N(J643))+N('Fee Settings'!$C$6)*(E643+N(F643)+N(G643))+N('Fee Settings'!$C$7)+N('Fee Settings'!$C$10)*D643+IF(I643="Yes",MIN(N('Fee Settings'!$C$8)*(E643+N(F643)),N('Fee Settings'!$C$9)),0),""))</f>
        <v/>
      </c>
      <c r="L643" s="14" t="str">
        <f>IF(C643="","",IFERROR(D643*N(INDEX(Products!$C$5:$C$29,MATCH(C643,Lists!$A$2:$A$26,0))),""))</f>
        <v/>
      </c>
      <c r="M643" s="15" t="str">
        <f t="shared" si="9"/>
        <v/>
      </c>
    </row>
    <row r="644" spans="1:13" x14ac:dyDescent="0.35">
      <c r="A644" s="11"/>
      <c r="B644" s="12"/>
      <c r="C644" s="12"/>
      <c r="D644" s="12"/>
      <c r="E644" s="13"/>
      <c r="F644" s="13"/>
      <c r="G644" s="13"/>
      <c r="H644" s="13"/>
      <c r="I644" s="12"/>
      <c r="J644" s="13"/>
      <c r="K644" s="14" t="str">
        <f>IF(C644="","",IFERROR(N('Fee Settings'!$C$5)*(E644+N(F644)-N(J644))+N('Fee Settings'!$C$6)*(E644+N(F644)+N(G644))+N('Fee Settings'!$C$7)+N('Fee Settings'!$C$10)*D644+IF(I644="Yes",MIN(N('Fee Settings'!$C$8)*(E644+N(F644)),N('Fee Settings'!$C$9)),0),""))</f>
        <v/>
      </c>
      <c r="L644" s="14" t="str">
        <f>IF(C644="","",IFERROR(D644*N(INDEX(Products!$C$5:$C$29,MATCH(C644,Lists!$A$2:$A$26,0))),""))</f>
        <v/>
      </c>
      <c r="M644" s="15" t="str">
        <f t="shared" si="9"/>
        <v/>
      </c>
    </row>
    <row r="645" spans="1:13" x14ac:dyDescent="0.35">
      <c r="A645" s="11"/>
      <c r="B645" s="12"/>
      <c r="C645" s="12"/>
      <c r="D645" s="12"/>
      <c r="E645" s="13"/>
      <c r="F645" s="13"/>
      <c r="G645" s="13"/>
      <c r="H645" s="13"/>
      <c r="I645" s="12"/>
      <c r="J645" s="13"/>
      <c r="K645" s="14" t="str">
        <f>IF(C645="","",IFERROR(N('Fee Settings'!$C$5)*(E645+N(F645)-N(J645))+N('Fee Settings'!$C$6)*(E645+N(F645)+N(G645))+N('Fee Settings'!$C$7)+N('Fee Settings'!$C$10)*D645+IF(I645="Yes",MIN(N('Fee Settings'!$C$8)*(E645+N(F645)),N('Fee Settings'!$C$9)),0),""))</f>
        <v/>
      </c>
      <c r="L645" s="14" t="str">
        <f>IF(C645="","",IFERROR(D645*N(INDEX(Products!$C$5:$C$29,MATCH(C645,Lists!$A$2:$A$26,0))),""))</f>
        <v/>
      </c>
      <c r="M645" s="15" t="str">
        <f t="shared" ref="M645:M708" si="10">IF(C645="","",IFERROR(E645+N(F645)-N(J645)-K645-L645-N(H645),""))</f>
        <v/>
      </c>
    </row>
    <row r="646" spans="1:13" x14ac:dyDescent="0.35">
      <c r="A646" s="11"/>
      <c r="B646" s="12"/>
      <c r="C646" s="12"/>
      <c r="D646" s="12"/>
      <c r="E646" s="13"/>
      <c r="F646" s="13"/>
      <c r="G646" s="13"/>
      <c r="H646" s="13"/>
      <c r="I646" s="12"/>
      <c r="J646" s="13"/>
      <c r="K646" s="14" t="str">
        <f>IF(C646="","",IFERROR(N('Fee Settings'!$C$5)*(E646+N(F646)-N(J646))+N('Fee Settings'!$C$6)*(E646+N(F646)+N(G646))+N('Fee Settings'!$C$7)+N('Fee Settings'!$C$10)*D646+IF(I646="Yes",MIN(N('Fee Settings'!$C$8)*(E646+N(F646)),N('Fee Settings'!$C$9)),0),""))</f>
        <v/>
      </c>
      <c r="L646" s="14" t="str">
        <f>IF(C646="","",IFERROR(D646*N(INDEX(Products!$C$5:$C$29,MATCH(C646,Lists!$A$2:$A$26,0))),""))</f>
        <v/>
      </c>
      <c r="M646" s="15" t="str">
        <f t="shared" si="10"/>
        <v/>
      </c>
    </row>
    <row r="647" spans="1:13" x14ac:dyDescent="0.35">
      <c r="A647" s="11"/>
      <c r="B647" s="12"/>
      <c r="C647" s="12"/>
      <c r="D647" s="12"/>
      <c r="E647" s="13"/>
      <c r="F647" s="13"/>
      <c r="G647" s="13"/>
      <c r="H647" s="13"/>
      <c r="I647" s="12"/>
      <c r="J647" s="13"/>
      <c r="K647" s="14" t="str">
        <f>IF(C647="","",IFERROR(N('Fee Settings'!$C$5)*(E647+N(F647)-N(J647))+N('Fee Settings'!$C$6)*(E647+N(F647)+N(G647))+N('Fee Settings'!$C$7)+N('Fee Settings'!$C$10)*D647+IF(I647="Yes",MIN(N('Fee Settings'!$C$8)*(E647+N(F647)),N('Fee Settings'!$C$9)),0),""))</f>
        <v/>
      </c>
      <c r="L647" s="14" t="str">
        <f>IF(C647="","",IFERROR(D647*N(INDEX(Products!$C$5:$C$29,MATCH(C647,Lists!$A$2:$A$26,0))),""))</f>
        <v/>
      </c>
      <c r="M647" s="15" t="str">
        <f t="shared" si="10"/>
        <v/>
      </c>
    </row>
    <row r="648" spans="1:13" x14ac:dyDescent="0.35">
      <c r="A648" s="11"/>
      <c r="B648" s="12"/>
      <c r="C648" s="12"/>
      <c r="D648" s="12"/>
      <c r="E648" s="13"/>
      <c r="F648" s="13"/>
      <c r="G648" s="13"/>
      <c r="H648" s="13"/>
      <c r="I648" s="12"/>
      <c r="J648" s="13"/>
      <c r="K648" s="14" t="str">
        <f>IF(C648="","",IFERROR(N('Fee Settings'!$C$5)*(E648+N(F648)-N(J648))+N('Fee Settings'!$C$6)*(E648+N(F648)+N(G648))+N('Fee Settings'!$C$7)+N('Fee Settings'!$C$10)*D648+IF(I648="Yes",MIN(N('Fee Settings'!$C$8)*(E648+N(F648)),N('Fee Settings'!$C$9)),0),""))</f>
        <v/>
      </c>
      <c r="L648" s="14" t="str">
        <f>IF(C648="","",IFERROR(D648*N(INDEX(Products!$C$5:$C$29,MATCH(C648,Lists!$A$2:$A$26,0))),""))</f>
        <v/>
      </c>
      <c r="M648" s="15" t="str">
        <f t="shared" si="10"/>
        <v/>
      </c>
    </row>
    <row r="649" spans="1:13" x14ac:dyDescent="0.35">
      <c r="A649" s="11"/>
      <c r="B649" s="12"/>
      <c r="C649" s="12"/>
      <c r="D649" s="12"/>
      <c r="E649" s="13"/>
      <c r="F649" s="13"/>
      <c r="G649" s="13"/>
      <c r="H649" s="13"/>
      <c r="I649" s="12"/>
      <c r="J649" s="13"/>
      <c r="K649" s="14" t="str">
        <f>IF(C649="","",IFERROR(N('Fee Settings'!$C$5)*(E649+N(F649)-N(J649))+N('Fee Settings'!$C$6)*(E649+N(F649)+N(G649))+N('Fee Settings'!$C$7)+N('Fee Settings'!$C$10)*D649+IF(I649="Yes",MIN(N('Fee Settings'!$C$8)*(E649+N(F649)),N('Fee Settings'!$C$9)),0),""))</f>
        <v/>
      </c>
      <c r="L649" s="14" t="str">
        <f>IF(C649="","",IFERROR(D649*N(INDEX(Products!$C$5:$C$29,MATCH(C649,Lists!$A$2:$A$26,0))),""))</f>
        <v/>
      </c>
      <c r="M649" s="15" t="str">
        <f t="shared" si="10"/>
        <v/>
      </c>
    </row>
    <row r="650" spans="1:13" x14ac:dyDescent="0.35">
      <c r="A650" s="11"/>
      <c r="B650" s="12"/>
      <c r="C650" s="12"/>
      <c r="D650" s="12"/>
      <c r="E650" s="13"/>
      <c r="F650" s="13"/>
      <c r="G650" s="13"/>
      <c r="H650" s="13"/>
      <c r="I650" s="12"/>
      <c r="J650" s="13"/>
      <c r="K650" s="14" t="str">
        <f>IF(C650="","",IFERROR(N('Fee Settings'!$C$5)*(E650+N(F650)-N(J650))+N('Fee Settings'!$C$6)*(E650+N(F650)+N(G650))+N('Fee Settings'!$C$7)+N('Fee Settings'!$C$10)*D650+IF(I650="Yes",MIN(N('Fee Settings'!$C$8)*(E650+N(F650)),N('Fee Settings'!$C$9)),0),""))</f>
        <v/>
      </c>
      <c r="L650" s="14" t="str">
        <f>IF(C650="","",IFERROR(D650*N(INDEX(Products!$C$5:$C$29,MATCH(C650,Lists!$A$2:$A$26,0))),""))</f>
        <v/>
      </c>
      <c r="M650" s="15" t="str">
        <f t="shared" si="10"/>
        <v/>
      </c>
    </row>
    <row r="651" spans="1:13" x14ac:dyDescent="0.35">
      <c r="A651" s="11"/>
      <c r="B651" s="12"/>
      <c r="C651" s="12"/>
      <c r="D651" s="12"/>
      <c r="E651" s="13"/>
      <c r="F651" s="13"/>
      <c r="G651" s="13"/>
      <c r="H651" s="13"/>
      <c r="I651" s="12"/>
      <c r="J651" s="13"/>
      <c r="K651" s="14" t="str">
        <f>IF(C651="","",IFERROR(N('Fee Settings'!$C$5)*(E651+N(F651)-N(J651))+N('Fee Settings'!$C$6)*(E651+N(F651)+N(G651))+N('Fee Settings'!$C$7)+N('Fee Settings'!$C$10)*D651+IF(I651="Yes",MIN(N('Fee Settings'!$C$8)*(E651+N(F651)),N('Fee Settings'!$C$9)),0),""))</f>
        <v/>
      </c>
      <c r="L651" s="14" t="str">
        <f>IF(C651="","",IFERROR(D651*N(INDEX(Products!$C$5:$C$29,MATCH(C651,Lists!$A$2:$A$26,0))),""))</f>
        <v/>
      </c>
      <c r="M651" s="15" t="str">
        <f t="shared" si="10"/>
        <v/>
      </c>
    </row>
    <row r="652" spans="1:13" x14ac:dyDescent="0.35">
      <c r="A652" s="11"/>
      <c r="B652" s="12"/>
      <c r="C652" s="12"/>
      <c r="D652" s="12"/>
      <c r="E652" s="13"/>
      <c r="F652" s="13"/>
      <c r="G652" s="13"/>
      <c r="H652" s="13"/>
      <c r="I652" s="12"/>
      <c r="J652" s="13"/>
      <c r="K652" s="14" t="str">
        <f>IF(C652="","",IFERROR(N('Fee Settings'!$C$5)*(E652+N(F652)-N(J652))+N('Fee Settings'!$C$6)*(E652+N(F652)+N(G652))+N('Fee Settings'!$C$7)+N('Fee Settings'!$C$10)*D652+IF(I652="Yes",MIN(N('Fee Settings'!$C$8)*(E652+N(F652)),N('Fee Settings'!$C$9)),0),""))</f>
        <v/>
      </c>
      <c r="L652" s="14" t="str">
        <f>IF(C652="","",IFERROR(D652*N(INDEX(Products!$C$5:$C$29,MATCH(C652,Lists!$A$2:$A$26,0))),""))</f>
        <v/>
      </c>
      <c r="M652" s="15" t="str">
        <f t="shared" si="10"/>
        <v/>
      </c>
    </row>
    <row r="653" spans="1:13" x14ac:dyDescent="0.35">
      <c r="A653" s="11"/>
      <c r="B653" s="12"/>
      <c r="C653" s="12"/>
      <c r="D653" s="12"/>
      <c r="E653" s="13"/>
      <c r="F653" s="13"/>
      <c r="G653" s="13"/>
      <c r="H653" s="13"/>
      <c r="I653" s="12"/>
      <c r="J653" s="13"/>
      <c r="K653" s="14" t="str">
        <f>IF(C653="","",IFERROR(N('Fee Settings'!$C$5)*(E653+N(F653)-N(J653))+N('Fee Settings'!$C$6)*(E653+N(F653)+N(G653))+N('Fee Settings'!$C$7)+N('Fee Settings'!$C$10)*D653+IF(I653="Yes",MIN(N('Fee Settings'!$C$8)*(E653+N(F653)),N('Fee Settings'!$C$9)),0),""))</f>
        <v/>
      </c>
      <c r="L653" s="14" t="str">
        <f>IF(C653="","",IFERROR(D653*N(INDEX(Products!$C$5:$C$29,MATCH(C653,Lists!$A$2:$A$26,0))),""))</f>
        <v/>
      </c>
      <c r="M653" s="15" t="str">
        <f t="shared" si="10"/>
        <v/>
      </c>
    </row>
    <row r="654" spans="1:13" x14ac:dyDescent="0.35">
      <c r="A654" s="11"/>
      <c r="B654" s="12"/>
      <c r="C654" s="12"/>
      <c r="D654" s="12"/>
      <c r="E654" s="13"/>
      <c r="F654" s="13"/>
      <c r="G654" s="13"/>
      <c r="H654" s="13"/>
      <c r="I654" s="12"/>
      <c r="J654" s="13"/>
      <c r="K654" s="14" t="str">
        <f>IF(C654="","",IFERROR(N('Fee Settings'!$C$5)*(E654+N(F654)-N(J654))+N('Fee Settings'!$C$6)*(E654+N(F654)+N(G654))+N('Fee Settings'!$C$7)+N('Fee Settings'!$C$10)*D654+IF(I654="Yes",MIN(N('Fee Settings'!$C$8)*(E654+N(F654)),N('Fee Settings'!$C$9)),0),""))</f>
        <v/>
      </c>
      <c r="L654" s="14" t="str">
        <f>IF(C654="","",IFERROR(D654*N(INDEX(Products!$C$5:$C$29,MATCH(C654,Lists!$A$2:$A$26,0))),""))</f>
        <v/>
      </c>
      <c r="M654" s="15" t="str">
        <f t="shared" si="10"/>
        <v/>
      </c>
    </row>
    <row r="655" spans="1:13" x14ac:dyDescent="0.35">
      <c r="A655" s="11"/>
      <c r="B655" s="12"/>
      <c r="C655" s="12"/>
      <c r="D655" s="12"/>
      <c r="E655" s="13"/>
      <c r="F655" s="13"/>
      <c r="G655" s="13"/>
      <c r="H655" s="13"/>
      <c r="I655" s="12"/>
      <c r="J655" s="13"/>
      <c r="K655" s="14" t="str">
        <f>IF(C655="","",IFERROR(N('Fee Settings'!$C$5)*(E655+N(F655)-N(J655))+N('Fee Settings'!$C$6)*(E655+N(F655)+N(G655))+N('Fee Settings'!$C$7)+N('Fee Settings'!$C$10)*D655+IF(I655="Yes",MIN(N('Fee Settings'!$C$8)*(E655+N(F655)),N('Fee Settings'!$C$9)),0),""))</f>
        <v/>
      </c>
      <c r="L655" s="14" t="str">
        <f>IF(C655="","",IFERROR(D655*N(INDEX(Products!$C$5:$C$29,MATCH(C655,Lists!$A$2:$A$26,0))),""))</f>
        <v/>
      </c>
      <c r="M655" s="15" t="str">
        <f t="shared" si="10"/>
        <v/>
      </c>
    </row>
    <row r="656" spans="1:13" x14ac:dyDescent="0.35">
      <c r="A656" s="11"/>
      <c r="B656" s="12"/>
      <c r="C656" s="12"/>
      <c r="D656" s="12"/>
      <c r="E656" s="13"/>
      <c r="F656" s="13"/>
      <c r="G656" s="13"/>
      <c r="H656" s="13"/>
      <c r="I656" s="12"/>
      <c r="J656" s="13"/>
      <c r="K656" s="14" t="str">
        <f>IF(C656="","",IFERROR(N('Fee Settings'!$C$5)*(E656+N(F656)-N(J656))+N('Fee Settings'!$C$6)*(E656+N(F656)+N(G656))+N('Fee Settings'!$C$7)+N('Fee Settings'!$C$10)*D656+IF(I656="Yes",MIN(N('Fee Settings'!$C$8)*(E656+N(F656)),N('Fee Settings'!$C$9)),0),""))</f>
        <v/>
      </c>
      <c r="L656" s="14" t="str">
        <f>IF(C656="","",IFERROR(D656*N(INDEX(Products!$C$5:$C$29,MATCH(C656,Lists!$A$2:$A$26,0))),""))</f>
        <v/>
      </c>
      <c r="M656" s="15" t="str">
        <f t="shared" si="10"/>
        <v/>
      </c>
    </row>
    <row r="657" spans="1:13" x14ac:dyDescent="0.35">
      <c r="A657" s="11"/>
      <c r="B657" s="12"/>
      <c r="C657" s="12"/>
      <c r="D657" s="12"/>
      <c r="E657" s="13"/>
      <c r="F657" s="13"/>
      <c r="G657" s="13"/>
      <c r="H657" s="13"/>
      <c r="I657" s="12"/>
      <c r="J657" s="13"/>
      <c r="K657" s="14" t="str">
        <f>IF(C657="","",IFERROR(N('Fee Settings'!$C$5)*(E657+N(F657)-N(J657))+N('Fee Settings'!$C$6)*(E657+N(F657)+N(G657))+N('Fee Settings'!$C$7)+N('Fee Settings'!$C$10)*D657+IF(I657="Yes",MIN(N('Fee Settings'!$C$8)*(E657+N(F657)),N('Fee Settings'!$C$9)),0),""))</f>
        <v/>
      </c>
      <c r="L657" s="14" t="str">
        <f>IF(C657="","",IFERROR(D657*N(INDEX(Products!$C$5:$C$29,MATCH(C657,Lists!$A$2:$A$26,0))),""))</f>
        <v/>
      </c>
      <c r="M657" s="15" t="str">
        <f t="shared" si="10"/>
        <v/>
      </c>
    </row>
    <row r="658" spans="1:13" x14ac:dyDescent="0.35">
      <c r="A658" s="11"/>
      <c r="B658" s="12"/>
      <c r="C658" s="12"/>
      <c r="D658" s="12"/>
      <c r="E658" s="13"/>
      <c r="F658" s="13"/>
      <c r="G658" s="13"/>
      <c r="H658" s="13"/>
      <c r="I658" s="12"/>
      <c r="J658" s="13"/>
      <c r="K658" s="14" t="str">
        <f>IF(C658="","",IFERROR(N('Fee Settings'!$C$5)*(E658+N(F658)-N(J658))+N('Fee Settings'!$C$6)*(E658+N(F658)+N(G658))+N('Fee Settings'!$C$7)+N('Fee Settings'!$C$10)*D658+IF(I658="Yes",MIN(N('Fee Settings'!$C$8)*(E658+N(F658)),N('Fee Settings'!$C$9)),0),""))</f>
        <v/>
      </c>
      <c r="L658" s="14" t="str">
        <f>IF(C658="","",IFERROR(D658*N(INDEX(Products!$C$5:$C$29,MATCH(C658,Lists!$A$2:$A$26,0))),""))</f>
        <v/>
      </c>
      <c r="M658" s="15" t="str">
        <f t="shared" si="10"/>
        <v/>
      </c>
    </row>
    <row r="659" spans="1:13" x14ac:dyDescent="0.35">
      <c r="A659" s="11"/>
      <c r="B659" s="12"/>
      <c r="C659" s="12"/>
      <c r="D659" s="12"/>
      <c r="E659" s="13"/>
      <c r="F659" s="13"/>
      <c r="G659" s="13"/>
      <c r="H659" s="13"/>
      <c r="I659" s="12"/>
      <c r="J659" s="13"/>
      <c r="K659" s="14" t="str">
        <f>IF(C659="","",IFERROR(N('Fee Settings'!$C$5)*(E659+N(F659)-N(J659))+N('Fee Settings'!$C$6)*(E659+N(F659)+N(G659))+N('Fee Settings'!$C$7)+N('Fee Settings'!$C$10)*D659+IF(I659="Yes",MIN(N('Fee Settings'!$C$8)*(E659+N(F659)),N('Fee Settings'!$C$9)),0),""))</f>
        <v/>
      </c>
      <c r="L659" s="14" t="str">
        <f>IF(C659="","",IFERROR(D659*N(INDEX(Products!$C$5:$C$29,MATCH(C659,Lists!$A$2:$A$26,0))),""))</f>
        <v/>
      </c>
      <c r="M659" s="15" t="str">
        <f t="shared" si="10"/>
        <v/>
      </c>
    </row>
    <row r="660" spans="1:13" x14ac:dyDescent="0.35">
      <c r="A660" s="11"/>
      <c r="B660" s="12"/>
      <c r="C660" s="12"/>
      <c r="D660" s="12"/>
      <c r="E660" s="13"/>
      <c r="F660" s="13"/>
      <c r="G660" s="13"/>
      <c r="H660" s="13"/>
      <c r="I660" s="12"/>
      <c r="J660" s="13"/>
      <c r="K660" s="14" t="str">
        <f>IF(C660="","",IFERROR(N('Fee Settings'!$C$5)*(E660+N(F660)-N(J660))+N('Fee Settings'!$C$6)*(E660+N(F660)+N(G660))+N('Fee Settings'!$C$7)+N('Fee Settings'!$C$10)*D660+IF(I660="Yes",MIN(N('Fee Settings'!$C$8)*(E660+N(F660)),N('Fee Settings'!$C$9)),0),""))</f>
        <v/>
      </c>
      <c r="L660" s="14" t="str">
        <f>IF(C660="","",IFERROR(D660*N(INDEX(Products!$C$5:$C$29,MATCH(C660,Lists!$A$2:$A$26,0))),""))</f>
        <v/>
      </c>
      <c r="M660" s="15" t="str">
        <f t="shared" si="10"/>
        <v/>
      </c>
    </row>
    <row r="661" spans="1:13" x14ac:dyDescent="0.35">
      <c r="A661" s="11"/>
      <c r="B661" s="12"/>
      <c r="C661" s="12"/>
      <c r="D661" s="12"/>
      <c r="E661" s="13"/>
      <c r="F661" s="13"/>
      <c r="G661" s="13"/>
      <c r="H661" s="13"/>
      <c r="I661" s="12"/>
      <c r="J661" s="13"/>
      <c r="K661" s="14" t="str">
        <f>IF(C661="","",IFERROR(N('Fee Settings'!$C$5)*(E661+N(F661)-N(J661))+N('Fee Settings'!$C$6)*(E661+N(F661)+N(G661))+N('Fee Settings'!$C$7)+N('Fee Settings'!$C$10)*D661+IF(I661="Yes",MIN(N('Fee Settings'!$C$8)*(E661+N(F661)),N('Fee Settings'!$C$9)),0),""))</f>
        <v/>
      </c>
      <c r="L661" s="14" t="str">
        <f>IF(C661="","",IFERROR(D661*N(INDEX(Products!$C$5:$C$29,MATCH(C661,Lists!$A$2:$A$26,0))),""))</f>
        <v/>
      </c>
      <c r="M661" s="15" t="str">
        <f t="shared" si="10"/>
        <v/>
      </c>
    </row>
    <row r="662" spans="1:13" x14ac:dyDescent="0.35">
      <c r="A662" s="11"/>
      <c r="B662" s="12"/>
      <c r="C662" s="12"/>
      <c r="D662" s="12"/>
      <c r="E662" s="13"/>
      <c r="F662" s="13"/>
      <c r="G662" s="13"/>
      <c r="H662" s="13"/>
      <c r="I662" s="12"/>
      <c r="J662" s="13"/>
      <c r="K662" s="14" t="str">
        <f>IF(C662="","",IFERROR(N('Fee Settings'!$C$5)*(E662+N(F662)-N(J662))+N('Fee Settings'!$C$6)*(E662+N(F662)+N(G662))+N('Fee Settings'!$C$7)+N('Fee Settings'!$C$10)*D662+IF(I662="Yes",MIN(N('Fee Settings'!$C$8)*(E662+N(F662)),N('Fee Settings'!$C$9)),0),""))</f>
        <v/>
      </c>
      <c r="L662" s="14" t="str">
        <f>IF(C662="","",IFERROR(D662*N(INDEX(Products!$C$5:$C$29,MATCH(C662,Lists!$A$2:$A$26,0))),""))</f>
        <v/>
      </c>
      <c r="M662" s="15" t="str">
        <f t="shared" si="10"/>
        <v/>
      </c>
    </row>
    <row r="663" spans="1:13" x14ac:dyDescent="0.35">
      <c r="A663" s="11"/>
      <c r="B663" s="12"/>
      <c r="C663" s="12"/>
      <c r="D663" s="12"/>
      <c r="E663" s="13"/>
      <c r="F663" s="13"/>
      <c r="G663" s="13"/>
      <c r="H663" s="13"/>
      <c r="I663" s="12"/>
      <c r="J663" s="13"/>
      <c r="K663" s="14" t="str">
        <f>IF(C663="","",IFERROR(N('Fee Settings'!$C$5)*(E663+N(F663)-N(J663))+N('Fee Settings'!$C$6)*(E663+N(F663)+N(G663))+N('Fee Settings'!$C$7)+N('Fee Settings'!$C$10)*D663+IF(I663="Yes",MIN(N('Fee Settings'!$C$8)*(E663+N(F663)),N('Fee Settings'!$C$9)),0),""))</f>
        <v/>
      </c>
      <c r="L663" s="14" t="str">
        <f>IF(C663="","",IFERROR(D663*N(INDEX(Products!$C$5:$C$29,MATCH(C663,Lists!$A$2:$A$26,0))),""))</f>
        <v/>
      </c>
      <c r="M663" s="15" t="str">
        <f t="shared" si="10"/>
        <v/>
      </c>
    </row>
    <row r="664" spans="1:13" x14ac:dyDescent="0.35">
      <c r="A664" s="11"/>
      <c r="B664" s="12"/>
      <c r="C664" s="12"/>
      <c r="D664" s="12"/>
      <c r="E664" s="13"/>
      <c r="F664" s="13"/>
      <c r="G664" s="13"/>
      <c r="H664" s="13"/>
      <c r="I664" s="12"/>
      <c r="J664" s="13"/>
      <c r="K664" s="14" t="str">
        <f>IF(C664="","",IFERROR(N('Fee Settings'!$C$5)*(E664+N(F664)-N(J664))+N('Fee Settings'!$C$6)*(E664+N(F664)+N(G664))+N('Fee Settings'!$C$7)+N('Fee Settings'!$C$10)*D664+IF(I664="Yes",MIN(N('Fee Settings'!$C$8)*(E664+N(F664)),N('Fee Settings'!$C$9)),0),""))</f>
        <v/>
      </c>
      <c r="L664" s="14" t="str">
        <f>IF(C664="","",IFERROR(D664*N(INDEX(Products!$C$5:$C$29,MATCH(C664,Lists!$A$2:$A$26,0))),""))</f>
        <v/>
      </c>
      <c r="M664" s="15" t="str">
        <f t="shared" si="10"/>
        <v/>
      </c>
    </row>
    <row r="665" spans="1:13" x14ac:dyDescent="0.35">
      <c r="A665" s="11"/>
      <c r="B665" s="12"/>
      <c r="C665" s="12"/>
      <c r="D665" s="12"/>
      <c r="E665" s="13"/>
      <c r="F665" s="13"/>
      <c r="G665" s="13"/>
      <c r="H665" s="13"/>
      <c r="I665" s="12"/>
      <c r="J665" s="13"/>
      <c r="K665" s="14" t="str">
        <f>IF(C665="","",IFERROR(N('Fee Settings'!$C$5)*(E665+N(F665)-N(J665))+N('Fee Settings'!$C$6)*(E665+N(F665)+N(G665))+N('Fee Settings'!$C$7)+N('Fee Settings'!$C$10)*D665+IF(I665="Yes",MIN(N('Fee Settings'!$C$8)*(E665+N(F665)),N('Fee Settings'!$C$9)),0),""))</f>
        <v/>
      </c>
      <c r="L665" s="14" t="str">
        <f>IF(C665="","",IFERROR(D665*N(INDEX(Products!$C$5:$C$29,MATCH(C665,Lists!$A$2:$A$26,0))),""))</f>
        <v/>
      </c>
      <c r="M665" s="15" t="str">
        <f t="shared" si="10"/>
        <v/>
      </c>
    </row>
    <row r="666" spans="1:13" x14ac:dyDescent="0.35">
      <c r="A666" s="11"/>
      <c r="B666" s="12"/>
      <c r="C666" s="12"/>
      <c r="D666" s="12"/>
      <c r="E666" s="13"/>
      <c r="F666" s="13"/>
      <c r="G666" s="13"/>
      <c r="H666" s="13"/>
      <c r="I666" s="12"/>
      <c r="J666" s="13"/>
      <c r="K666" s="14" t="str">
        <f>IF(C666="","",IFERROR(N('Fee Settings'!$C$5)*(E666+N(F666)-N(J666))+N('Fee Settings'!$C$6)*(E666+N(F666)+N(G666))+N('Fee Settings'!$C$7)+N('Fee Settings'!$C$10)*D666+IF(I666="Yes",MIN(N('Fee Settings'!$C$8)*(E666+N(F666)),N('Fee Settings'!$C$9)),0),""))</f>
        <v/>
      </c>
      <c r="L666" s="14" t="str">
        <f>IF(C666="","",IFERROR(D666*N(INDEX(Products!$C$5:$C$29,MATCH(C666,Lists!$A$2:$A$26,0))),""))</f>
        <v/>
      </c>
      <c r="M666" s="15" t="str">
        <f t="shared" si="10"/>
        <v/>
      </c>
    </row>
    <row r="667" spans="1:13" x14ac:dyDescent="0.35">
      <c r="A667" s="11"/>
      <c r="B667" s="12"/>
      <c r="C667" s="12"/>
      <c r="D667" s="12"/>
      <c r="E667" s="13"/>
      <c r="F667" s="13"/>
      <c r="G667" s="13"/>
      <c r="H667" s="13"/>
      <c r="I667" s="12"/>
      <c r="J667" s="13"/>
      <c r="K667" s="14" t="str">
        <f>IF(C667="","",IFERROR(N('Fee Settings'!$C$5)*(E667+N(F667)-N(J667))+N('Fee Settings'!$C$6)*(E667+N(F667)+N(G667))+N('Fee Settings'!$C$7)+N('Fee Settings'!$C$10)*D667+IF(I667="Yes",MIN(N('Fee Settings'!$C$8)*(E667+N(F667)),N('Fee Settings'!$C$9)),0),""))</f>
        <v/>
      </c>
      <c r="L667" s="14" t="str">
        <f>IF(C667="","",IFERROR(D667*N(INDEX(Products!$C$5:$C$29,MATCH(C667,Lists!$A$2:$A$26,0))),""))</f>
        <v/>
      </c>
      <c r="M667" s="15" t="str">
        <f t="shared" si="10"/>
        <v/>
      </c>
    </row>
    <row r="668" spans="1:13" x14ac:dyDescent="0.35">
      <c r="A668" s="11"/>
      <c r="B668" s="12"/>
      <c r="C668" s="12"/>
      <c r="D668" s="12"/>
      <c r="E668" s="13"/>
      <c r="F668" s="13"/>
      <c r="G668" s="13"/>
      <c r="H668" s="13"/>
      <c r="I668" s="12"/>
      <c r="J668" s="13"/>
      <c r="K668" s="14" t="str">
        <f>IF(C668="","",IFERROR(N('Fee Settings'!$C$5)*(E668+N(F668)-N(J668))+N('Fee Settings'!$C$6)*(E668+N(F668)+N(G668))+N('Fee Settings'!$C$7)+N('Fee Settings'!$C$10)*D668+IF(I668="Yes",MIN(N('Fee Settings'!$C$8)*(E668+N(F668)),N('Fee Settings'!$C$9)),0),""))</f>
        <v/>
      </c>
      <c r="L668" s="14" t="str">
        <f>IF(C668="","",IFERROR(D668*N(INDEX(Products!$C$5:$C$29,MATCH(C668,Lists!$A$2:$A$26,0))),""))</f>
        <v/>
      </c>
      <c r="M668" s="15" t="str">
        <f t="shared" si="10"/>
        <v/>
      </c>
    </row>
    <row r="669" spans="1:13" x14ac:dyDescent="0.35">
      <c r="A669" s="11"/>
      <c r="B669" s="12"/>
      <c r="C669" s="12"/>
      <c r="D669" s="12"/>
      <c r="E669" s="13"/>
      <c r="F669" s="13"/>
      <c r="G669" s="13"/>
      <c r="H669" s="13"/>
      <c r="I669" s="12"/>
      <c r="J669" s="13"/>
      <c r="K669" s="14" t="str">
        <f>IF(C669="","",IFERROR(N('Fee Settings'!$C$5)*(E669+N(F669)-N(J669))+N('Fee Settings'!$C$6)*(E669+N(F669)+N(G669))+N('Fee Settings'!$C$7)+N('Fee Settings'!$C$10)*D669+IF(I669="Yes",MIN(N('Fee Settings'!$C$8)*(E669+N(F669)),N('Fee Settings'!$C$9)),0),""))</f>
        <v/>
      </c>
      <c r="L669" s="14" t="str">
        <f>IF(C669="","",IFERROR(D669*N(INDEX(Products!$C$5:$C$29,MATCH(C669,Lists!$A$2:$A$26,0))),""))</f>
        <v/>
      </c>
      <c r="M669" s="15" t="str">
        <f t="shared" si="10"/>
        <v/>
      </c>
    </row>
    <row r="670" spans="1:13" x14ac:dyDescent="0.35">
      <c r="A670" s="11"/>
      <c r="B670" s="12"/>
      <c r="C670" s="12"/>
      <c r="D670" s="12"/>
      <c r="E670" s="13"/>
      <c r="F670" s="13"/>
      <c r="G670" s="13"/>
      <c r="H670" s="13"/>
      <c r="I670" s="12"/>
      <c r="J670" s="13"/>
      <c r="K670" s="14" t="str">
        <f>IF(C670="","",IFERROR(N('Fee Settings'!$C$5)*(E670+N(F670)-N(J670))+N('Fee Settings'!$C$6)*(E670+N(F670)+N(G670))+N('Fee Settings'!$C$7)+N('Fee Settings'!$C$10)*D670+IF(I670="Yes",MIN(N('Fee Settings'!$C$8)*(E670+N(F670)),N('Fee Settings'!$C$9)),0),""))</f>
        <v/>
      </c>
      <c r="L670" s="14" t="str">
        <f>IF(C670="","",IFERROR(D670*N(INDEX(Products!$C$5:$C$29,MATCH(C670,Lists!$A$2:$A$26,0))),""))</f>
        <v/>
      </c>
      <c r="M670" s="15" t="str">
        <f t="shared" si="10"/>
        <v/>
      </c>
    </row>
    <row r="671" spans="1:13" x14ac:dyDescent="0.35">
      <c r="A671" s="11"/>
      <c r="B671" s="12"/>
      <c r="C671" s="12"/>
      <c r="D671" s="12"/>
      <c r="E671" s="13"/>
      <c r="F671" s="13"/>
      <c r="G671" s="13"/>
      <c r="H671" s="13"/>
      <c r="I671" s="12"/>
      <c r="J671" s="13"/>
      <c r="K671" s="14" t="str">
        <f>IF(C671="","",IFERROR(N('Fee Settings'!$C$5)*(E671+N(F671)-N(J671))+N('Fee Settings'!$C$6)*(E671+N(F671)+N(G671))+N('Fee Settings'!$C$7)+N('Fee Settings'!$C$10)*D671+IF(I671="Yes",MIN(N('Fee Settings'!$C$8)*(E671+N(F671)),N('Fee Settings'!$C$9)),0),""))</f>
        <v/>
      </c>
      <c r="L671" s="14" t="str">
        <f>IF(C671="","",IFERROR(D671*N(INDEX(Products!$C$5:$C$29,MATCH(C671,Lists!$A$2:$A$26,0))),""))</f>
        <v/>
      </c>
      <c r="M671" s="15" t="str">
        <f t="shared" si="10"/>
        <v/>
      </c>
    </row>
    <row r="672" spans="1:13" x14ac:dyDescent="0.35">
      <c r="A672" s="11"/>
      <c r="B672" s="12"/>
      <c r="C672" s="12"/>
      <c r="D672" s="12"/>
      <c r="E672" s="13"/>
      <c r="F672" s="13"/>
      <c r="G672" s="13"/>
      <c r="H672" s="13"/>
      <c r="I672" s="12"/>
      <c r="J672" s="13"/>
      <c r="K672" s="14" t="str">
        <f>IF(C672="","",IFERROR(N('Fee Settings'!$C$5)*(E672+N(F672)-N(J672))+N('Fee Settings'!$C$6)*(E672+N(F672)+N(G672))+N('Fee Settings'!$C$7)+N('Fee Settings'!$C$10)*D672+IF(I672="Yes",MIN(N('Fee Settings'!$C$8)*(E672+N(F672)),N('Fee Settings'!$C$9)),0),""))</f>
        <v/>
      </c>
      <c r="L672" s="14" t="str">
        <f>IF(C672="","",IFERROR(D672*N(INDEX(Products!$C$5:$C$29,MATCH(C672,Lists!$A$2:$A$26,0))),""))</f>
        <v/>
      </c>
      <c r="M672" s="15" t="str">
        <f t="shared" si="10"/>
        <v/>
      </c>
    </row>
    <row r="673" spans="1:13" x14ac:dyDescent="0.35">
      <c r="A673" s="11"/>
      <c r="B673" s="12"/>
      <c r="C673" s="12"/>
      <c r="D673" s="12"/>
      <c r="E673" s="13"/>
      <c r="F673" s="13"/>
      <c r="G673" s="13"/>
      <c r="H673" s="13"/>
      <c r="I673" s="12"/>
      <c r="J673" s="13"/>
      <c r="K673" s="14" t="str">
        <f>IF(C673="","",IFERROR(N('Fee Settings'!$C$5)*(E673+N(F673)-N(J673))+N('Fee Settings'!$C$6)*(E673+N(F673)+N(G673))+N('Fee Settings'!$C$7)+N('Fee Settings'!$C$10)*D673+IF(I673="Yes",MIN(N('Fee Settings'!$C$8)*(E673+N(F673)),N('Fee Settings'!$C$9)),0),""))</f>
        <v/>
      </c>
      <c r="L673" s="14" t="str">
        <f>IF(C673="","",IFERROR(D673*N(INDEX(Products!$C$5:$C$29,MATCH(C673,Lists!$A$2:$A$26,0))),""))</f>
        <v/>
      </c>
      <c r="M673" s="15" t="str">
        <f t="shared" si="10"/>
        <v/>
      </c>
    </row>
    <row r="674" spans="1:13" x14ac:dyDescent="0.35">
      <c r="A674" s="11"/>
      <c r="B674" s="12"/>
      <c r="C674" s="12"/>
      <c r="D674" s="12"/>
      <c r="E674" s="13"/>
      <c r="F674" s="13"/>
      <c r="G674" s="13"/>
      <c r="H674" s="13"/>
      <c r="I674" s="12"/>
      <c r="J674" s="13"/>
      <c r="K674" s="14" t="str">
        <f>IF(C674="","",IFERROR(N('Fee Settings'!$C$5)*(E674+N(F674)-N(J674))+N('Fee Settings'!$C$6)*(E674+N(F674)+N(G674))+N('Fee Settings'!$C$7)+N('Fee Settings'!$C$10)*D674+IF(I674="Yes",MIN(N('Fee Settings'!$C$8)*(E674+N(F674)),N('Fee Settings'!$C$9)),0),""))</f>
        <v/>
      </c>
      <c r="L674" s="14" t="str">
        <f>IF(C674="","",IFERROR(D674*N(INDEX(Products!$C$5:$C$29,MATCH(C674,Lists!$A$2:$A$26,0))),""))</f>
        <v/>
      </c>
      <c r="M674" s="15" t="str">
        <f t="shared" si="10"/>
        <v/>
      </c>
    </row>
    <row r="675" spans="1:13" x14ac:dyDescent="0.35">
      <c r="A675" s="11"/>
      <c r="B675" s="12"/>
      <c r="C675" s="12"/>
      <c r="D675" s="12"/>
      <c r="E675" s="13"/>
      <c r="F675" s="13"/>
      <c r="G675" s="13"/>
      <c r="H675" s="13"/>
      <c r="I675" s="12"/>
      <c r="J675" s="13"/>
      <c r="K675" s="14" t="str">
        <f>IF(C675="","",IFERROR(N('Fee Settings'!$C$5)*(E675+N(F675)-N(J675))+N('Fee Settings'!$C$6)*(E675+N(F675)+N(G675))+N('Fee Settings'!$C$7)+N('Fee Settings'!$C$10)*D675+IF(I675="Yes",MIN(N('Fee Settings'!$C$8)*(E675+N(F675)),N('Fee Settings'!$C$9)),0),""))</f>
        <v/>
      </c>
      <c r="L675" s="14" t="str">
        <f>IF(C675="","",IFERROR(D675*N(INDEX(Products!$C$5:$C$29,MATCH(C675,Lists!$A$2:$A$26,0))),""))</f>
        <v/>
      </c>
      <c r="M675" s="15" t="str">
        <f t="shared" si="10"/>
        <v/>
      </c>
    </row>
    <row r="676" spans="1:13" x14ac:dyDescent="0.35">
      <c r="A676" s="11"/>
      <c r="B676" s="12"/>
      <c r="C676" s="12"/>
      <c r="D676" s="12"/>
      <c r="E676" s="13"/>
      <c r="F676" s="13"/>
      <c r="G676" s="13"/>
      <c r="H676" s="13"/>
      <c r="I676" s="12"/>
      <c r="J676" s="13"/>
      <c r="K676" s="14" t="str">
        <f>IF(C676="","",IFERROR(N('Fee Settings'!$C$5)*(E676+N(F676)-N(J676))+N('Fee Settings'!$C$6)*(E676+N(F676)+N(G676))+N('Fee Settings'!$C$7)+N('Fee Settings'!$C$10)*D676+IF(I676="Yes",MIN(N('Fee Settings'!$C$8)*(E676+N(F676)),N('Fee Settings'!$C$9)),0),""))</f>
        <v/>
      </c>
      <c r="L676" s="14" t="str">
        <f>IF(C676="","",IFERROR(D676*N(INDEX(Products!$C$5:$C$29,MATCH(C676,Lists!$A$2:$A$26,0))),""))</f>
        <v/>
      </c>
      <c r="M676" s="15" t="str">
        <f t="shared" si="10"/>
        <v/>
      </c>
    </row>
    <row r="677" spans="1:13" x14ac:dyDescent="0.35">
      <c r="A677" s="11"/>
      <c r="B677" s="12"/>
      <c r="C677" s="12"/>
      <c r="D677" s="12"/>
      <c r="E677" s="13"/>
      <c r="F677" s="13"/>
      <c r="G677" s="13"/>
      <c r="H677" s="13"/>
      <c r="I677" s="12"/>
      <c r="J677" s="13"/>
      <c r="K677" s="14" t="str">
        <f>IF(C677="","",IFERROR(N('Fee Settings'!$C$5)*(E677+N(F677)-N(J677))+N('Fee Settings'!$C$6)*(E677+N(F677)+N(G677))+N('Fee Settings'!$C$7)+N('Fee Settings'!$C$10)*D677+IF(I677="Yes",MIN(N('Fee Settings'!$C$8)*(E677+N(F677)),N('Fee Settings'!$C$9)),0),""))</f>
        <v/>
      </c>
      <c r="L677" s="14" t="str">
        <f>IF(C677="","",IFERROR(D677*N(INDEX(Products!$C$5:$C$29,MATCH(C677,Lists!$A$2:$A$26,0))),""))</f>
        <v/>
      </c>
      <c r="M677" s="15" t="str">
        <f t="shared" si="10"/>
        <v/>
      </c>
    </row>
    <row r="678" spans="1:13" x14ac:dyDescent="0.35">
      <c r="A678" s="11"/>
      <c r="B678" s="12"/>
      <c r="C678" s="12"/>
      <c r="D678" s="12"/>
      <c r="E678" s="13"/>
      <c r="F678" s="13"/>
      <c r="G678" s="13"/>
      <c r="H678" s="13"/>
      <c r="I678" s="12"/>
      <c r="J678" s="13"/>
      <c r="K678" s="14" t="str">
        <f>IF(C678="","",IFERROR(N('Fee Settings'!$C$5)*(E678+N(F678)-N(J678))+N('Fee Settings'!$C$6)*(E678+N(F678)+N(G678))+N('Fee Settings'!$C$7)+N('Fee Settings'!$C$10)*D678+IF(I678="Yes",MIN(N('Fee Settings'!$C$8)*(E678+N(F678)),N('Fee Settings'!$C$9)),0),""))</f>
        <v/>
      </c>
      <c r="L678" s="14" t="str">
        <f>IF(C678="","",IFERROR(D678*N(INDEX(Products!$C$5:$C$29,MATCH(C678,Lists!$A$2:$A$26,0))),""))</f>
        <v/>
      </c>
      <c r="M678" s="15" t="str">
        <f t="shared" si="10"/>
        <v/>
      </c>
    </row>
    <row r="679" spans="1:13" x14ac:dyDescent="0.35">
      <c r="A679" s="11"/>
      <c r="B679" s="12"/>
      <c r="C679" s="12"/>
      <c r="D679" s="12"/>
      <c r="E679" s="13"/>
      <c r="F679" s="13"/>
      <c r="G679" s="13"/>
      <c r="H679" s="13"/>
      <c r="I679" s="12"/>
      <c r="J679" s="13"/>
      <c r="K679" s="14" t="str">
        <f>IF(C679="","",IFERROR(N('Fee Settings'!$C$5)*(E679+N(F679)-N(J679))+N('Fee Settings'!$C$6)*(E679+N(F679)+N(G679))+N('Fee Settings'!$C$7)+N('Fee Settings'!$C$10)*D679+IF(I679="Yes",MIN(N('Fee Settings'!$C$8)*(E679+N(F679)),N('Fee Settings'!$C$9)),0),""))</f>
        <v/>
      </c>
      <c r="L679" s="14" t="str">
        <f>IF(C679="","",IFERROR(D679*N(INDEX(Products!$C$5:$C$29,MATCH(C679,Lists!$A$2:$A$26,0))),""))</f>
        <v/>
      </c>
      <c r="M679" s="15" t="str">
        <f t="shared" si="10"/>
        <v/>
      </c>
    </row>
    <row r="680" spans="1:13" x14ac:dyDescent="0.35">
      <c r="A680" s="11"/>
      <c r="B680" s="12"/>
      <c r="C680" s="12"/>
      <c r="D680" s="12"/>
      <c r="E680" s="13"/>
      <c r="F680" s="13"/>
      <c r="G680" s="13"/>
      <c r="H680" s="13"/>
      <c r="I680" s="12"/>
      <c r="J680" s="13"/>
      <c r="K680" s="14" t="str">
        <f>IF(C680="","",IFERROR(N('Fee Settings'!$C$5)*(E680+N(F680)-N(J680))+N('Fee Settings'!$C$6)*(E680+N(F680)+N(G680))+N('Fee Settings'!$C$7)+N('Fee Settings'!$C$10)*D680+IF(I680="Yes",MIN(N('Fee Settings'!$C$8)*(E680+N(F680)),N('Fee Settings'!$C$9)),0),""))</f>
        <v/>
      </c>
      <c r="L680" s="14" t="str">
        <f>IF(C680="","",IFERROR(D680*N(INDEX(Products!$C$5:$C$29,MATCH(C680,Lists!$A$2:$A$26,0))),""))</f>
        <v/>
      </c>
      <c r="M680" s="15" t="str">
        <f t="shared" si="10"/>
        <v/>
      </c>
    </row>
    <row r="681" spans="1:13" x14ac:dyDescent="0.35">
      <c r="A681" s="11"/>
      <c r="B681" s="12"/>
      <c r="C681" s="12"/>
      <c r="D681" s="12"/>
      <c r="E681" s="13"/>
      <c r="F681" s="13"/>
      <c r="G681" s="13"/>
      <c r="H681" s="13"/>
      <c r="I681" s="12"/>
      <c r="J681" s="13"/>
      <c r="K681" s="14" t="str">
        <f>IF(C681="","",IFERROR(N('Fee Settings'!$C$5)*(E681+N(F681)-N(J681))+N('Fee Settings'!$C$6)*(E681+N(F681)+N(G681))+N('Fee Settings'!$C$7)+N('Fee Settings'!$C$10)*D681+IF(I681="Yes",MIN(N('Fee Settings'!$C$8)*(E681+N(F681)),N('Fee Settings'!$C$9)),0),""))</f>
        <v/>
      </c>
      <c r="L681" s="14" t="str">
        <f>IF(C681="","",IFERROR(D681*N(INDEX(Products!$C$5:$C$29,MATCH(C681,Lists!$A$2:$A$26,0))),""))</f>
        <v/>
      </c>
      <c r="M681" s="15" t="str">
        <f t="shared" si="10"/>
        <v/>
      </c>
    </row>
    <row r="682" spans="1:13" x14ac:dyDescent="0.35">
      <c r="A682" s="11"/>
      <c r="B682" s="12"/>
      <c r="C682" s="12"/>
      <c r="D682" s="12"/>
      <c r="E682" s="13"/>
      <c r="F682" s="13"/>
      <c r="G682" s="13"/>
      <c r="H682" s="13"/>
      <c r="I682" s="12"/>
      <c r="J682" s="13"/>
      <c r="K682" s="14" t="str">
        <f>IF(C682="","",IFERROR(N('Fee Settings'!$C$5)*(E682+N(F682)-N(J682))+N('Fee Settings'!$C$6)*(E682+N(F682)+N(G682))+N('Fee Settings'!$C$7)+N('Fee Settings'!$C$10)*D682+IF(I682="Yes",MIN(N('Fee Settings'!$C$8)*(E682+N(F682)),N('Fee Settings'!$C$9)),0),""))</f>
        <v/>
      </c>
      <c r="L682" s="14" t="str">
        <f>IF(C682="","",IFERROR(D682*N(INDEX(Products!$C$5:$C$29,MATCH(C682,Lists!$A$2:$A$26,0))),""))</f>
        <v/>
      </c>
      <c r="M682" s="15" t="str">
        <f t="shared" si="10"/>
        <v/>
      </c>
    </row>
    <row r="683" spans="1:13" x14ac:dyDescent="0.35">
      <c r="A683" s="11"/>
      <c r="B683" s="12"/>
      <c r="C683" s="12"/>
      <c r="D683" s="12"/>
      <c r="E683" s="13"/>
      <c r="F683" s="13"/>
      <c r="G683" s="13"/>
      <c r="H683" s="13"/>
      <c r="I683" s="12"/>
      <c r="J683" s="13"/>
      <c r="K683" s="14" t="str">
        <f>IF(C683="","",IFERROR(N('Fee Settings'!$C$5)*(E683+N(F683)-N(J683))+N('Fee Settings'!$C$6)*(E683+N(F683)+N(G683))+N('Fee Settings'!$C$7)+N('Fee Settings'!$C$10)*D683+IF(I683="Yes",MIN(N('Fee Settings'!$C$8)*(E683+N(F683)),N('Fee Settings'!$C$9)),0),""))</f>
        <v/>
      </c>
      <c r="L683" s="14" t="str">
        <f>IF(C683="","",IFERROR(D683*N(INDEX(Products!$C$5:$C$29,MATCH(C683,Lists!$A$2:$A$26,0))),""))</f>
        <v/>
      </c>
      <c r="M683" s="15" t="str">
        <f t="shared" si="10"/>
        <v/>
      </c>
    </row>
    <row r="684" spans="1:13" x14ac:dyDescent="0.35">
      <c r="A684" s="11"/>
      <c r="B684" s="12"/>
      <c r="C684" s="12"/>
      <c r="D684" s="12"/>
      <c r="E684" s="13"/>
      <c r="F684" s="13"/>
      <c r="G684" s="13"/>
      <c r="H684" s="13"/>
      <c r="I684" s="12"/>
      <c r="J684" s="13"/>
      <c r="K684" s="14" t="str">
        <f>IF(C684="","",IFERROR(N('Fee Settings'!$C$5)*(E684+N(F684)-N(J684))+N('Fee Settings'!$C$6)*(E684+N(F684)+N(G684))+N('Fee Settings'!$C$7)+N('Fee Settings'!$C$10)*D684+IF(I684="Yes",MIN(N('Fee Settings'!$C$8)*(E684+N(F684)),N('Fee Settings'!$C$9)),0),""))</f>
        <v/>
      </c>
      <c r="L684" s="14" t="str">
        <f>IF(C684="","",IFERROR(D684*N(INDEX(Products!$C$5:$C$29,MATCH(C684,Lists!$A$2:$A$26,0))),""))</f>
        <v/>
      </c>
      <c r="M684" s="15" t="str">
        <f t="shared" si="10"/>
        <v/>
      </c>
    </row>
    <row r="685" spans="1:13" x14ac:dyDescent="0.35">
      <c r="A685" s="11"/>
      <c r="B685" s="12"/>
      <c r="C685" s="12"/>
      <c r="D685" s="12"/>
      <c r="E685" s="13"/>
      <c r="F685" s="13"/>
      <c r="G685" s="13"/>
      <c r="H685" s="13"/>
      <c r="I685" s="12"/>
      <c r="J685" s="13"/>
      <c r="K685" s="14" t="str">
        <f>IF(C685="","",IFERROR(N('Fee Settings'!$C$5)*(E685+N(F685)-N(J685))+N('Fee Settings'!$C$6)*(E685+N(F685)+N(G685))+N('Fee Settings'!$C$7)+N('Fee Settings'!$C$10)*D685+IF(I685="Yes",MIN(N('Fee Settings'!$C$8)*(E685+N(F685)),N('Fee Settings'!$C$9)),0),""))</f>
        <v/>
      </c>
      <c r="L685" s="14" t="str">
        <f>IF(C685="","",IFERROR(D685*N(INDEX(Products!$C$5:$C$29,MATCH(C685,Lists!$A$2:$A$26,0))),""))</f>
        <v/>
      </c>
      <c r="M685" s="15" t="str">
        <f t="shared" si="10"/>
        <v/>
      </c>
    </row>
    <row r="686" spans="1:13" x14ac:dyDescent="0.35">
      <c r="A686" s="11"/>
      <c r="B686" s="12"/>
      <c r="C686" s="12"/>
      <c r="D686" s="12"/>
      <c r="E686" s="13"/>
      <c r="F686" s="13"/>
      <c r="G686" s="13"/>
      <c r="H686" s="13"/>
      <c r="I686" s="12"/>
      <c r="J686" s="13"/>
      <c r="K686" s="14" t="str">
        <f>IF(C686="","",IFERROR(N('Fee Settings'!$C$5)*(E686+N(F686)-N(J686))+N('Fee Settings'!$C$6)*(E686+N(F686)+N(G686))+N('Fee Settings'!$C$7)+N('Fee Settings'!$C$10)*D686+IF(I686="Yes",MIN(N('Fee Settings'!$C$8)*(E686+N(F686)),N('Fee Settings'!$C$9)),0),""))</f>
        <v/>
      </c>
      <c r="L686" s="14" t="str">
        <f>IF(C686="","",IFERROR(D686*N(INDEX(Products!$C$5:$C$29,MATCH(C686,Lists!$A$2:$A$26,0))),""))</f>
        <v/>
      </c>
      <c r="M686" s="15" t="str">
        <f t="shared" si="10"/>
        <v/>
      </c>
    </row>
    <row r="687" spans="1:13" x14ac:dyDescent="0.35">
      <c r="A687" s="11"/>
      <c r="B687" s="12"/>
      <c r="C687" s="12"/>
      <c r="D687" s="12"/>
      <c r="E687" s="13"/>
      <c r="F687" s="13"/>
      <c r="G687" s="13"/>
      <c r="H687" s="13"/>
      <c r="I687" s="12"/>
      <c r="J687" s="13"/>
      <c r="K687" s="14" t="str">
        <f>IF(C687="","",IFERROR(N('Fee Settings'!$C$5)*(E687+N(F687)-N(J687))+N('Fee Settings'!$C$6)*(E687+N(F687)+N(G687))+N('Fee Settings'!$C$7)+N('Fee Settings'!$C$10)*D687+IF(I687="Yes",MIN(N('Fee Settings'!$C$8)*(E687+N(F687)),N('Fee Settings'!$C$9)),0),""))</f>
        <v/>
      </c>
      <c r="L687" s="14" t="str">
        <f>IF(C687="","",IFERROR(D687*N(INDEX(Products!$C$5:$C$29,MATCH(C687,Lists!$A$2:$A$26,0))),""))</f>
        <v/>
      </c>
      <c r="M687" s="15" t="str">
        <f t="shared" si="10"/>
        <v/>
      </c>
    </row>
    <row r="688" spans="1:13" x14ac:dyDescent="0.35">
      <c r="A688" s="11"/>
      <c r="B688" s="12"/>
      <c r="C688" s="12"/>
      <c r="D688" s="12"/>
      <c r="E688" s="13"/>
      <c r="F688" s="13"/>
      <c r="G688" s="13"/>
      <c r="H688" s="13"/>
      <c r="I688" s="12"/>
      <c r="J688" s="13"/>
      <c r="K688" s="14" t="str">
        <f>IF(C688="","",IFERROR(N('Fee Settings'!$C$5)*(E688+N(F688)-N(J688))+N('Fee Settings'!$C$6)*(E688+N(F688)+N(G688))+N('Fee Settings'!$C$7)+N('Fee Settings'!$C$10)*D688+IF(I688="Yes",MIN(N('Fee Settings'!$C$8)*(E688+N(F688)),N('Fee Settings'!$C$9)),0),""))</f>
        <v/>
      </c>
      <c r="L688" s="14" t="str">
        <f>IF(C688="","",IFERROR(D688*N(INDEX(Products!$C$5:$C$29,MATCH(C688,Lists!$A$2:$A$26,0))),""))</f>
        <v/>
      </c>
      <c r="M688" s="15" t="str">
        <f t="shared" si="10"/>
        <v/>
      </c>
    </row>
    <row r="689" spans="1:13" x14ac:dyDescent="0.35">
      <c r="A689" s="11"/>
      <c r="B689" s="12"/>
      <c r="C689" s="12"/>
      <c r="D689" s="12"/>
      <c r="E689" s="13"/>
      <c r="F689" s="13"/>
      <c r="G689" s="13"/>
      <c r="H689" s="13"/>
      <c r="I689" s="12"/>
      <c r="J689" s="13"/>
      <c r="K689" s="14" t="str">
        <f>IF(C689="","",IFERROR(N('Fee Settings'!$C$5)*(E689+N(F689)-N(J689))+N('Fee Settings'!$C$6)*(E689+N(F689)+N(G689))+N('Fee Settings'!$C$7)+N('Fee Settings'!$C$10)*D689+IF(I689="Yes",MIN(N('Fee Settings'!$C$8)*(E689+N(F689)),N('Fee Settings'!$C$9)),0),""))</f>
        <v/>
      </c>
      <c r="L689" s="14" t="str">
        <f>IF(C689="","",IFERROR(D689*N(INDEX(Products!$C$5:$C$29,MATCH(C689,Lists!$A$2:$A$26,0))),""))</f>
        <v/>
      </c>
      <c r="M689" s="15" t="str">
        <f t="shared" si="10"/>
        <v/>
      </c>
    </row>
    <row r="690" spans="1:13" x14ac:dyDescent="0.35">
      <c r="A690" s="11"/>
      <c r="B690" s="12"/>
      <c r="C690" s="12"/>
      <c r="D690" s="12"/>
      <c r="E690" s="13"/>
      <c r="F690" s="13"/>
      <c r="G690" s="13"/>
      <c r="H690" s="13"/>
      <c r="I690" s="12"/>
      <c r="J690" s="13"/>
      <c r="K690" s="14" t="str">
        <f>IF(C690="","",IFERROR(N('Fee Settings'!$C$5)*(E690+N(F690)-N(J690))+N('Fee Settings'!$C$6)*(E690+N(F690)+N(G690))+N('Fee Settings'!$C$7)+N('Fee Settings'!$C$10)*D690+IF(I690="Yes",MIN(N('Fee Settings'!$C$8)*(E690+N(F690)),N('Fee Settings'!$C$9)),0),""))</f>
        <v/>
      </c>
      <c r="L690" s="14" t="str">
        <f>IF(C690="","",IFERROR(D690*N(INDEX(Products!$C$5:$C$29,MATCH(C690,Lists!$A$2:$A$26,0))),""))</f>
        <v/>
      </c>
      <c r="M690" s="15" t="str">
        <f t="shared" si="10"/>
        <v/>
      </c>
    </row>
    <row r="691" spans="1:13" x14ac:dyDescent="0.35">
      <c r="A691" s="11"/>
      <c r="B691" s="12"/>
      <c r="C691" s="12"/>
      <c r="D691" s="12"/>
      <c r="E691" s="13"/>
      <c r="F691" s="13"/>
      <c r="G691" s="13"/>
      <c r="H691" s="13"/>
      <c r="I691" s="12"/>
      <c r="J691" s="13"/>
      <c r="K691" s="14" t="str">
        <f>IF(C691="","",IFERROR(N('Fee Settings'!$C$5)*(E691+N(F691)-N(J691))+N('Fee Settings'!$C$6)*(E691+N(F691)+N(G691))+N('Fee Settings'!$C$7)+N('Fee Settings'!$C$10)*D691+IF(I691="Yes",MIN(N('Fee Settings'!$C$8)*(E691+N(F691)),N('Fee Settings'!$C$9)),0),""))</f>
        <v/>
      </c>
      <c r="L691" s="14" t="str">
        <f>IF(C691="","",IFERROR(D691*N(INDEX(Products!$C$5:$C$29,MATCH(C691,Lists!$A$2:$A$26,0))),""))</f>
        <v/>
      </c>
      <c r="M691" s="15" t="str">
        <f t="shared" si="10"/>
        <v/>
      </c>
    </row>
    <row r="692" spans="1:13" x14ac:dyDescent="0.35">
      <c r="A692" s="11"/>
      <c r="B692" s="12"/>
      <c r="C692" s="12"/>
      <c r="D692" s="12"/>
      <c r="E692" s="13"/>
      <c r="F692" s="13"/>
      <c r="G692" s="13"/>
      <c r="H692" s="13"/>
      <c r="I692" s="12"/>
      <c r="J692" s="13"/>
      <c r="K692" s="14" t="str">
        <f>IF(C692="","",IFERROR(N('Fee Settings'!$C$5)*(E692+N(F692)-N(J692))+N('Fee Settings'!$C$6)*(E692+N(F692)+N(G692))+N('Fee Settings'!$C$7)+N('Fee Settings'!$C$10)*D692+IF(I692="Yes",MIN(N('Fee Settings'!$C$8)*(E692+N(F692)),N('Fee Settings'!$C$9)),0),""))</f>
        <v/>
      </c>
      <c r="L692" s="14" t="str">
        <f>IF(C692="","",IFERROR(D692*N(INDEX(Products!$C$5:$C$29,MATCH(C692,Lists!$A$2:$A$26,0))),""))</f>
        <v/>
      </c>
      <c r="M692" s="15" t="str">
        <f t="shared" si="10"/>
        <v/>
      </c>
    </row>
    <row r="693" spans="1:13" x14ac:dyDescent="0.35">
      <c r="A693" s="11"/>
      <c r="B693" s="12"/>
      <c r="C693" s="12"/>
      <c r="D693" s="12"/>
      <c r="E693" s="13"/>
      <c r="F693" s="13"/>
      <c r="G693" s="13"/>
      <c r="H693" s="13"/>
      <c r="I693" s="12"/>
      <c r="J693" s="13"/>
      <c r="K693" s="14" t="str">
        <f>IF(C693="","",IFERROR(N('Fee Settings'!$C$5)*(E693+N(F693)-N(J693))+N('Fee Settings'!$C$6)*(E693+N(F693)+N(G693))+N('Fee Settings'!$C$7)+N('Fee Settings'!$C$10)*D693+IF(I693="Yes",MIN(N('Fee Settings'!$C$8)*(E693+N(F693)),N('Fee Settings'!$C$9)),0),""))</f>
        <v/>
      </c>
      <c r="L693" s="14" t="str">
        <f>IF(C693="","",IFERROR(D693*N(INDEX(Products!$C$5:$C$29,MATCH(C693,Lists!$A$2:$A$26,0))),""))</f>
        <v/>
      </c>
      <c r="M693" s="15" t="str">
        <f t="shared" si="10"/>
        <v/>
      </c>
    </row>
    <row r="694" spans="1:13" x14ac:dyDescent="0.35">
      <c r="A694" s="11"/>
      <c r="B694" s="12"/>
      <c r="C694" s="12"/>
      <c r="D694" s="12"/>
      <c r="E694" s="13"/>
      <c r="F694" s="13"/>
      <c r="G694" s="13"/>
      <c r="H694" s="13"/>
      <c r="I694" s="12"/>
      <c r="J694" s="13"/>
      <c r="K694" s="14" t="str">
        <f>IF(C694="","",IFERROR(N('Fee Settings'!$C$5)*(E694+N(F694)-N(J694))+N('Fee Settings'!$C$6)*(E694+N(F694)+N(G694))+N('Fee Settings'!$C$7)+N('Fee Settings'!$C$10)*D694+IF(I694="Yes",MIN(N('Fee Settings'!$C$8)*(E694+N(F694)),N('Fee Settings'!$C$9)),0),""))</f>
        <v/>
      </c>
      <c r="L694" s="14" t="str">
        <f>IF(C694="","",IFERROR(D694*N(INDEX(Products!$C$5:$C$29,MATCH(C694,Lists!$A$2:$A$26,0))),""))</f>
        <v/>
      </c>
      <c r="M694" s="15" t="str">
        <f t="shared" si="10"/>
        <v/>
      </c>
    </row>
    <row r="695" spans="1:13" x14ac:dyDescent="0.35">
      <c r="A695" s="11"/>
      <c r="B695" s="12"/>
      <c r="C695" s="12"/>
      <c r="D695" s="12"/>
      <c r="E695" s="13"/>
      <c r="F695" s="13"/>
      <c r="G695" s="13"/>
      <c r="H695" s="13"/>
      <c r="I695" s="12"/>
      <c r="J695" s="13"/>
      <c r="K695" s="14" t="str">
        <f>IF(C695="","",IFERROR(N('Fee Settings'!$C$5)*(E695+N(F695)-N(J695))+N('Fee Settings'!$C$6)*(E695+N(F695)+N(G695))+N('Fee Settings'!$C$7)+N('Fee Settings'!$C$10)*D695+IF(I695="Yes",MIN(N('Fee Settings'!$C$8)*(E695+N(F695)),N('Fee Settings'!$C$9)),0),""))</f>
        <v/>
      </c>
      <c r="L695" s="14" t="str">
        <f>IF(C695="","",IFERROR(D695*N(INDEX(Products!$C$5:$C$29,MATCH(C695,Lists!$A$2:$A$26,0))),""))</f>
        <v/>
      </c>
      <c r="M695" s="15" t="str">
        <f t="shared" si="10"/>
        <v/>
      </c>
    </row>
    <row r="696" spans="1:13" x14ac:dyDescent="0.35">
      <c r="A696" s="11"/>
      <c r="B696" s="12"/>
      <c r="C696" s="12"/>
      <c r="D696" s="12"/>
      <c r="E696" s="13"/>
      <c r="F696" s="13"/>
      <c r="G696" s="13"/>
      <c r="H696" s="13"/>
      <c r="I696" s="12"/>
      <c r="J696" s="13"/>
      <c r="K696" s="14" t="str">
        <f>IF(C696="","",IFERROR(N('Fee Settings'!$C$5)*(E696+N(F696)-N(J696))+N('Fee Settings'!$C$6)*(E696+N(F696)+N(G696))+N('Fee Settings'!$C$7)+N('Fee Settings'!$C$10)*D696+IF(I696="Yes",MIN(N('Fee Settings'!$C$8)*(E696+N(F696)),N('Fee Settings'!$C$9)),0),""))</f>
        <v/>
      </c>
      <c r="L696" s="14" t="str">
        <f>IF(C696="","",IFERROR(D696*N(INDEX(Products!$C$5:$C$29,MATCH(C696,Lists!$A$2:$A$26,0))),""))</f>
        <v/>
      </c>
      <c r="M696" s="15" t="str">
        <f t="shared" si="10"/>
        <v/>
      </c>
    </row>
    <row r="697" spans="1:13" x14ac:dyDescent="0.35">
      <c r="A697" s="11"/>
      <c r="B697" s="12"/>
      <c r="C697" s="12"/>
      <c r="D697" s="12"/>
      <c r="E697" s="13"/>
      <c r="F697" s="13"/>
      <c r="G697" s="13"/>
      <c r="H697" s="13"/>
      <c r="I697" s="12"/>
      <c r="J697" s="13"/>
      <c r="K697" s="14" t="str">
        <f>IF(C697="","",IFERROR(N('Fee Settings'!$C$5)*(E697+N(F697)-N(J697))+N('Fee Settings'!$C$6)*(E697+N(F697)+N(G697))+N('Fee Settings'!$C$7)+N('Fee Settings'!$C$10)*D697+IF(I697="Yes",MIN(N('Fee Settings'!$C$8)*(E697+N(F697)),N('Fee Settings'!$C$9)),0),""))</f>
        <v/>
      </c>
      <c r="L697" s="14" t="str">
        <f>IF(C697="","",IFERROR(D697*N(INDEX(Products!$C$5:$C$29,MATCH(C697,Lists!$A$2:$A$26,0))),""))</f>
        <v/>
      </c>
      <c r="M697" s="15" t="str">
        <f t="shared" si="10"/>
        <v/>
      </c>
    </row>
    <row r="698" spans="1:13" x14ac:dyDescent="0.35">
      <c r="A698" s="11"/>
      <c r="B698" s="12"/>
      <c r="C698" s="12"/>
      <c r="D698" s="12"/>
      <c r="E698" s="13"/>
      <c r="F698" s="13"/>
      <c r="G698" s="13"/>
      <c r="H698" s="13"/>
      <c r="I698" s="12"/>
      <c r="J698" s="13"/>
      <c r="K698" s="14" t="str">
        <f>IF(C698="","",IFERROR(N('Fee Settings'!$C$5)*(E698+N(F698)-N(J698))+N('Fee Settings'!$C$6)*(E698+N(F698)+N(G698))+N('Fee Settings'!$C$7)+N('Fee Settings'!$C$10)*D698+IF(I698="Yes",MIN(N('Fee Settings'!$C$8)*(E698+N(F698)),N('Fee Settings'!$C$9)),0),""))</f>
        <v/>
      </c>
      <c r="L698" s="14" t="str">
        <f>IF(C698="","",IFERROR(D698*N(INDEX(Products!$C$5:$C$29,MATCH(C698,Lists!$A$2:$A$26,0))),""))</f>
        <v/>
      </c>
      <c r="M698" s="15" t="str">
        <f t="shared" si="10"/>
        <v/>
      </c>
    </row>
    <row r="699" spans="1:13" x14ac:dyDescent="0.35">
      <c r="A699" s="11"/>
      <c r="B699" s="12"/>
      <c r="C699" s="12"/>
      <c r="D699" s="12"/>
      <c r="E699" s="13"/>
      <c r="F699" s="13"/>
      <c r="G699" s="13"/>
      <c r="H699" s="13"/>
      <c r="I699" s="12"/>
      <c r="J699" s="13"/>
      <c r="K699" s="14" t="str">
        <f>IF(C699="","",IFERROR(N('Fee Settings'!$C$5)*(E699+N(F699)-N(J699))+N('Fee Settings'!$C$6)*(E699+N(F699)+N(G699))+N('Fee Settings'!$C$7)+N('Fee Settings'!$C$10)*D699+IF(I699="Yes",MIN(N('Fee Settings'!$C$8)*(E699+N(F699)),N('Fee Settings'!$C$9)),0),""))</f>
        <v/>
      </c>
      <c r="L699" s="14" t="str">
        <f>IF(C699="","",IFERROR(D699*N(INDEX(Products!$C$5:$C$29,MATCH(C699,Lists!$A$2:$A$26,0))),""))</f>
        <v/>
      </c>
      <c r="M699" s="15" t="str">
        <f t="shared" si="10"/>
        <v/>
      </c>
    </row>
    <row r="700" spans="1:13" x14ac:dyDescent="0.35">
      <c r="A700" s="11"/>
      <c r="B700" s="12"/>
      <c r="C700" s="12"/>
      <c r="D700" s="12"/>
      <c r="E700" s="13"/>
      <c r="F700" s="13"/>
      <c r="G700" s="13"/>
      <c r="H700" s="13"/>
      <c r="I700" s="12"/>
      <c r="J700" s="13"/>
      <c r="K700" s="14" t="str">
        <f>IF(C700="","",IFERROR(N('Fee Settings'!$C$5)*(E700+N(F700)-N(J700))+N('Fee Settings'!$C$6)*(E700+N(F700)+N(G700))+N('Fee Settings'!$C$7)+N('Fee Settings'!$C$10)*D700+IF(I700="Yes",MIN(N('Fee Settings'!$C$8)*(E700+N(F700)),N('Fee Settings'!$C$9)),0),""))</f>
        <v/>
      </c>
      <c r="L700" s="14" t="str">
        <f>IF(C700="","",IFERROR(D700*N(INDEX(Products!$C$5:$C$29,MATCH(C700,Lists!$A$2:$A$26,0))),""))</f>
        <v/>
      </c>
      <c r="M700" s="15" t="str">
        <f t="shared" si="10"/>
        <v/>
      </c>
    </row>
    <row r="701" spans="1:13" x14ac:dyDescent="0.35">
      <c r="A701" s="11"/>
      <c r="B701" s="12"/>
      <c r="C701" s="12"/>
      <c r="D701" s="12"/>
      <c r="E701" s="13"/>
      <c r="F701" s="13"/>
      <c r="G701" s="13"/>
      <c r="H701" s="13"/>
      <c r="I701" s="12"/>
      <c r="J701" s="13"/>
      <c r="K701" s="14" t="str">
        <f>IF(C701="","",IFERROR(N('Fee Settings'!$C$5)*(E701+N(F701)-N(J701))+N('Fee Settings'!$C$6)*(E701+N(F701)+N(G701))+N('Fee Settings'!$C$7)+N('Fee Settings'!$C$10)*D701+IF(I701="Yes",MIN(N('Fee Settings'!$C$8)*(E701+N(F701)),N('Fee Settings'!$C$9)),0),""))</f>
        <v/>
      </c>
      <c r="L701" s="14" t="str">
        <f>IF(C701="","",IFERROR(D701*N(INDEX(Products!$C$5:$C$29,MATCH(C701,Lists!$A$2:$A$26,0))),""))</f>
        <v/>
      </c>
      <c r="M701" s="15" t="str">
        <f t="shared" si="10"/>
        <v/>
      </c>
    </row>
    <row r="702" spans="1:13" x14ac:dyDescent="0.35">
      <c r="A702" s="11"/>
      <c r="B702" s="12"/>
      <c r="C702" s="12"/>
      <c r="D702" s="12"/>
      <c r="E702" s="13"/>
      <c r="F702" s="13"/>
      <c r="G702" s="13"/>
      <c r="H702" s="13"/>
      <c r="I702" s="12"/>
      <c r="J702" s="13"/>
      <c r="K702" s="14" t="str">
        <f>IF(C702="","",IFERROR(N('Fee Settings'!$C$5)*(E702+N(F702)-N(J702))+N('Fee Settings'!$C$6)*(E702+N(F702)+N(G702))+N('Fee Settings'!$C$7)+N('Fee Settings'!$C$10)*D702+IF(I702="Yes",MIN(N('Fee Settings'!$C$8)*(E702+N(F702)),N('Fee Settings'!$C$9)),0),""))</f>
        <v/>
      </c>
      <c r="L702" s="14" t="str">
        <f>IF(C702="","",IFERROR(D702*N(INDEX(Products!$C$5:$C$29,MATCH(C702,Lists!$A$2:$A$26,0))),""))</f>
        <v/>
      </c>
      <c r="M702" s="15" t="str">
        <f t="shared" si="10"/>
        <v/>
      </c>
    </row>
    <row r="703" spans="1:13" x14ac:dyDescent="0.35">
      <c r="A703" s="11"/>
      <c r="B703" s="12"/>
      <c r="C703" s="12"/>
      <c r="D703" s="12"/>
      <c r="E703" s="13"/>
      <c r="F703" s="13"/>
      <c r="G703" s="13"/>
      <c r="H703" s="13"/>
      <c r="I703" s="12"/>
      <c r="J703" s="13"/>
      <c r="K703" s="14" t="str">
        <f>IF(C703="","",IFERROR(N('Fee Settings'!$C$5)*(E703+N(F703)-N(J703))+N('Fee Settings'!$C$6)*(E703+N(F703)+N(G703))+N('Fee Settings'!$C$7)+N('Fee Settings'!$C$10)*D703+IF(I703="Yes",MIN(N('Fee Settings'!$C$8)*(E703+N(F703)),N('Fee Settings'!$C$9)),0),""))</f>
        <v/>
      </c>
      <c r="L703" s="14" t="str">
        <f>IF(C703="","",IFERROR(D703*N(INDEX(Products!$C$5:$C$29,MATCH(C703,Lists!$A$2:$A$26,0))),""))</f>
        <v/>
      </c>
      <c r="M703" s="15" t="str">
        <f t="shared" si="10"/>
        <v/>
      </c>
    </row>
    <row r="704" spans="1:13" x14ac:dyDescent="0.35">
      <c r="A704" s="11"/>
      <c r="B704" s="12"/>
      <c r="C704" s="12"/>
      <c r="D704" s="12"/>
      <c r="E704" s="13"/>
      <c r="F704" s="13"/>
      <c r="G704" s="13"/>
      <c r="H704" s="13"/>
      <c r="I704" s="12"/>
      <c r="J704" s="13"/>
      <c r="K704" s="14" t="str">
        <f>IF(C704="","",IFERROR(N('Fee Settings'!$C$5)*(E704+N(F704)-N(J704))+N('Fee Settings'!$C$6)*(E704+N(F704)+N(G704))+N('Fee Settings'!$C$7)+N('Fee Settings'!$C$10)*D704+IF(I704="Yes",MIN(N('Fee Settings'!$C$8)*(E704+N(F704)),N('Fee Settings'!$C$9)),0),""))</f>
        <v/>
      </c>
      <c r="L704" s="14" t="str">
        <f>IF(C704="","",IFERROR(D704*N(INDEX(Products!$C$5:$C$29,MATCH(C704,Lists!$A$2:$A$26,0))),""))</f>
        <v/>
      </c>
      <c r="M704" s="15" t="str">
        <f t="shared" si="10"/>
        <v/>
      </c>
    </row>
    <row r="705" spans="1:13" x14ac:dyDescent="0.35">
      <c r="A705" s="11"/>
      <c r="B705" s="12"/>
      <c r="C705" s="12"/>
      <c r="D705" s="12"/>
      <c r="E705" s="13"/>
      <c r="F705" s="13"/>
      <c r="G705" s="13"/>
      <c r="H705" s="13"/>
      <c r="I705" s="12"/>
      <c r="J705" s="13"/>
      <c r="K705" s="14" t="str">
        <f>IF(C705="","",IFERROR(N('Fee Settings'!$C$5)*(E705+N(F705)-N(J705))+N('Fee Settings'!$C$6)*(E705+N(F705)+N(G705))+N('Fee Settings'!$C$7)+N('Fee Settings'!$C$10)*D705+IF(I705="Yes",MIN(N('Fee Settings'!$C$8)*(E705+N(F705)),N('Fee Settings'!$C$9)),0),""))</f>
        <v/>
      </c>
      <c r="L705" s="14" t="str">
        <f>IF(C705="","",IFERROR(D705*N(INDEX(Products!$C$5:$C$29,MATCH(C705,Lists!$A$2:$A$26,0))),""))</f>
        <v/>
      </c>
      <c r="M705" s="15" t="str">
        <f t="shared" si="10"/>
        <v/>
      </c>
    </row>
    <row r="706" spans="1:13" x14ac:dyDescent="0.35">
      <c r="A706" s="11"/>
      <c r="B706" s="12"/>
      <c r="C706" s="12"/>
      <c r="D706" s="12"/>
      <c r="E706" s="13"/>
      <c r="F706" s="13"/>
      <c r="G706" s="13"/>
      <c r="H706" s="13"/>
      <c r="I706" s="12"/>
      <c r="J706" s="13"/>
      <c r="K706" s="14" t="str">
        <f>IF(C706="","",IFERROR(N('Fee Settings'!$C$5)*(E706+N(F706)-N(J706))+N('Fee Settings'!$C$6)*(E706+N(F706)+N(G706))+N('Fee Settings'!$C$7)+N('Fee Settings'!$C$10)*D706+IF(I706="Yes",MIN(N('Fee Settings'!$C$8)*(E706+N(F706)),N('Fee Settings'!$C$9)),0),""))</f>
        <v/>
      </c>
      <c r="L706" s="14" t="str">
        <f>IF(C706="","",IFERROR(D706*N(INDEX(Products!$C$5:$C$29,MATCH(C706,Lists!$A$2:$A$26,0))),""))</f>
        <v/>
      </c>
      <c r="M706" s="15" t="str">
        <f t="shared" si="10"/>
        <v/>
      </c>
    </row>
    <row r="707" spans="1:13" x14ac:dyDescent="0.35">
      <c r="A707" s="11"/>
      <c r="B707" s="12"/>
      <c r="C707" s="12"/>
      <c r="D707" s="12"/>
      <c r="E707" s="13"/>
      <c r="F707" s="13"/>
      <c r="G707" s="13"/>
      <c r="H707" s="13"/>
      <c r="I707" s="12"/>
      <c r="J707" s="13"/>
      <c r="K707" s="14" t="str">
        <f>IF(C707="","",IFERROR(N('Fee Settings'!$C$5)*(E707+N(F707)-N(J707))+N('Fee Settings'!$C$6)*(E707+N(F707)+N(G707))+N('Fee Settings'!$C$7)+N('Fee Settings'!$C$10)*D707+IF(I707="Yes",MIN(N('Fee Settings'!$C$8)*(E707+N(F707)),N('Fee Settings'!$C$9)),0),""))</f>
        <v/>
      </c>
      <c r="L707" s="14" t="str">
        <f>IF(C707="","",IFERROR(D707*N(INDEX(Products!$C$5:$C$29,MATCH(C707,Lists!$A$2:$A$26,0))),""))</f>
        <v/>
      </c>
      <c r="M707" s="15" t="str">
        <f t="shared" si="10"/>
        <v/>
      </c>
    </row>
    <row r="708" spans="1:13" x14ac:dyDescent="0.35">
      <c r="A708" s="11"/>
      <c r="B708" s="12"/>
      <c r="C708" s="12"/>
      <c r="D708" s="12"/>
      <c r="E708" s="13"/>
      <c r="F708" s="13"/>
      <c r="G708" s="13"/>
      <c r="H708" s="13"/>
      <c r="I708" s="12"/>
      <c r="J708" s="13"/>
      <c r="K708" s="14" t="str">
        <f>IF(C708="","",IFERROR(N('Fee Settings'!$C$5)*(E708+N(F708)-N(J708))+N('Fee Settings'!$C$6)*(E708+N(F708)+N(G708))+N('Fee Settings'!$C$7)+N('Fee Settings'!$C$10)*D708+IF(I708="Yes",MIN(N('Fee Settings'!$C$8)*(E708+N(F708)),N('Fee Settings'!$C$9)),0),""))</f>
        <v/>
      </c>
      <c r="L708" s="14" t="str">
        <f>IF(C708="","",IFERROR(D708*N(INDEX(Products!$C$5:$C$29,MATCH(C708,Lists!$A$2:$A$26,0))),""))</f>
        <v/>
      </c>
      <c r="M708" s="15" t="str">
        <f t="shared" si="10"/>
        <v/>
      </c>
    </row>
    <row r="709" spans="1:13" x14ac:dyDescent="0.35">
      <c r="A709" s="11"/>
      <c r="B709" s="12"/>
      <c r="C709" s="12"/>
      <c r="D709" s="12"/>
      <c r="E709" s="13"/>
      <c r="F709" s="13"/>
      <c r="G709" s="13"/>
      <c r="H709" s="13"/>
      <c r="I709" s="12"/>
      <c r="J709" s="13"/>
      <c r="K709" s="14" t="str">
        <f>IF(C709="","",IFERROR(N('Fee Settings'!$C$5)*(E709+N(F709)-N(J709))+N('Fee Settings'!$C$6)*(E709+N(F709)+N(G709))+N('Fee Settings'!$C$7)+N('Fee Settings'!$C$10)*D709+IF(I709="Yes",MIN(N('Fee Settings'!$C$8)*(E709+N(F709)),N('Fee Settings'!$C$9)),0),""))</f>
        <v/>
      </c>
      <c r="L709" s="14" t="str">
        <f>IF(C709="","",IFERROR(D709*N(INDEX(Products!$C$5:$C$29,MATCH(C709,Lists!$A$2:$A$26,0))),""))</f>
        <v/>
      </c>
      <c r="M709" s="15" t="str">
        <f t="shared" ref="M709:M772" si="11">IF(C709="","",IFERROR(E709+N(F709)-N(J709)-K709-L709-N(H709),""))</f>
        <v/>
      </c>
    </row>
    <row r="710" spans="1:13" x14ac:dyDescent="0.35">
      <c r="A710" s="11"/>
      <c r="B710" s="12"/>
      <c r="C710" s="12"/>
      <c r="D710" s="12"/>
      <c r="E710" s="13"/>
      <c r="F710" s="13"/>
      <c r="G710" s="13"/>
      <c r="H710" s="13"/>
      <c r="I710" s="12"/>
      <c r="J710" s="13"/>
      <c r="K710" s="14" t="str">
        <f>IF(C710="","",IFERROR(N('Fee Settings'!$C$5)*(E710+N(F710)-N(J710))+N('Fee Settings'!$C$6)*(E710+N(F710)+N(G710))+N('Fee Settings'!$C$7)+N('Fee Settings'!$C$10)*D710+IF(I710="Yes",MIN(N('Fee Settings'!$C$8)*(E710+N(F710)),N('Fee Settings'!$C$9)),0),""))</f>
        <v/>
      </c>
      <c r="L710" s="14" t="str">
        <f>IF(C710="","",IFERROR(D710*N(INDEX(Products!$C$5:$C$29,MATCH(C710,Lists!$A$2:$A$26,0))),""))</f>
        <v/>
      </c>
      <c r="M710" s="15" t="str">
        <f t="shared" si="11"/>
        <v/>
      </c>
    </row>
    <row r="711" spans="1:13" x14ac:dyDescent="0.35">
      <c r="A711" s="11"/>
      <c r="B711" s="12"/>
      <c r="C711" s="12"/>
      <c r="D711" s="12"/>
      <c r="E711" s="13"/>
      <c r="F711" s="13"/>
      <c r="G711" s="13"/>
      <c r="H711" s="13"/>
      <c r="I711" s="12"/>
      <c r="J711" s="13"/>
      <c r="K711" s="14" t="str">
        <f>IF(C711="","",IFERROR(N('Fee Settings'!$C$5)*(E711+N(F711)-N(J711))+N('Fee Settings'!$C$6)*(E711+N(F711)+N(G711))+N('Fee Settings'!$C$7)+N('Fee Settings'!$C$10)*D711+IF(I711="Yes",MIN(N('Fee Settings'!$C$8)*(E711+N(F711)),N('Fee Settings'!$C$9)),0),""))</f>
        <v/>
      </c>
      <c r="L711" s="14" t="str">
        <f>IF(C711="","",IFERROR(D711*N(INDEX(Products!$C$5:$C$29,MATCH(C711,Lists!$A$2:$A$26,0))),""))</f>
        <v/>
      </c>
      <c r="M711" s="15" t="str">
        <f t="shared" si="11"/>
        <v/>
      </c>
    </row>
    <row r="712" spans="1:13" x14ac:dyDescent="0.35">
      <c r="A712" s="11"/>
      <c r="B712" s="12"/>
      <c r="C712" s="12"/>
      <c r="D712" s="12"/>
      <c r="E712" s="13"/>
      <c r="F712" s="13"/>
      <c r="G712" s="13"/>
      <c r="H712" s="13"/>
      <c r="I712" s="12"/>
      <c r="J712" s="13"/>
      <c r="K712" s="14" t="str">
        <f>IF(C712="","",IFERROR(N('Fee Settings'!$C$5)*(E712+N(F712)-N(J712))+N('Fee Settings'!$C$6)*(E712+N(F712)+N(G712))+N('Fee Settings'!$C$7)+N('Fee Settings'!$C$10)*D712+IF(I712="Yes",MIN(N('Fee Settings'!$C$8)*(E712+N(F712)),N('Fee Settings'!$C$9)),0),""))</f>
        <v/>
      </c>
      <c r="L712" s="14" t="str">
        <f>IF(C712="","",IFERROR(D712*N(INDEX(Products!$C$5:$C$29,MATCH(C712,Lists!$A$2:$A$26,0))),""))</f>
        <v/>
      </c>
      <c r="M712" s="15" t="str">
        <f t="shared" si="11"/>
        <v/>
      </c>
    </row>
    <row r="713" spans="1:13" x14ac:dyDescent="0.35">
      <c r="A713" s="11"/>
      <c r="B713" s="12"/>
      <c r="C713" s="12"/>
      <c r="D713" s="12"/>
      <c r="E713" s="13"/>
      <c r="F713" s="13"/>
      <c r="G713" s="13"/>
      <c r="H713" s="13"/>
      <c r="I713" s="12"/>
      <c r="J713" s="13"/>
      <c r="K713" s="14" t="str">
        <f>IF(C713="","",IFERROR(N('Fee Settings'!$C$5)*(E713+N(F713)-N(J713))+N('Fee Settings'!$C$6)*(E713+N(F713)+N(G713))+N('Fee Settings'!$C$7)+N('Fee Settings'!$C$10)*D713+IF(I713="Yes",MIN(N('Fee Settings'!$C$8)*(E713+N(F713)),N('Fee Settings'!$C$9)),0),""))</f>
        <v/>
      </c>
      <c r="L713" s="14" t="str">
        <f>IF(C713="","",IFERROR(D713*N(INDEX(Products!$C$5:$C$29,MATCH(C713,Lists!$A$2:$A$26,0))),""))</f>
        <v/>
      </c>
      <c r="M713" s="15" t="str">
        <f t="shared" si="11"/>
        <v/>
      </c>
    </row>
    <row r="714" spans="1:13" x14ac:dyDescent="0.35">
      <c r="A714" s="11"/>
      <c r="B714" s="12"/>
      <c r="C714" s="12"/>
      <c r="D714" s="12"/>
      <c r="E714" s="13"/>
      <c r="F714" s="13"/>
      <c r="G714" s="13"/>
      <c r="H714" s="13"/>
      <c r="I714" s="12"/>
      <c r="J714" s="13"/>
      <c r="K714" s="14" t="str">
        <f>IF(C714="","",IFERROR(N('Fee Settings'!$C$5)*(E714+N(F714)-N(J714))+N('Fee Settings'!$C$6)*(E714+N(F714)+N(G714))+N('Fee Settings'!$C$7)+N('Fee Settings'!$C$10)*D714+IF(I714="Yes",MIN(N('Fee Settings'!$C$8)*(E714+N(F714)),N('Fee Settings'!$C$9)),0),""))</f>
        <v/>
      </c>
      <c r="L714" s="14" t="str">
        <f>IF(C714="","",IFERROR(D714*N(INDEX(Products!$C$5:$C$29,MATCH(C714,Lists!$A$2:$A$26,0))),""))</f>
        <v/>
      </c>
      <c r="M714" s="15" t="str">
        <f t="shared" si="11"/>
        <v/>
      </c>
    </row>
    <row r="715" spans="1:13" x14ac:dyDescent="0.35">
      <c r="A715" s="11"/>
      <c r="B715" s="12"/>
      <c r="C715" s="12"/>
      <c r="D715" s="12"/>
      <c r="E715" s="13"/>
      <c r="F715" s="13"/>
      <c r="G715" s="13"/>
      <c r="H715" s="13"/>
      <c r="I715" s="12"/>
      <c r="J715" s="13"/>
      <c r="K715" s="14" t="str">
        <f>IF(C715="","",IFERROR(N('Fee Settings'!$C$5)*(E715+N(F715)-N(J715))+N('Fee Settings'!$C$6)*(E715+N(F715)+N(G715))+N('Fee Settings'!$C$7)+N('Fee Settings'!$C$10)*D715+IF(I715="Yes",MIN(N('Fee Settings'!$C$8)*(E715+N(F715)),N('Fee Settings'!$C$9)),0),""))</f>
        <v/>
      </c>
      <c r="L715" s="14" t="str">
        <f>IF(C715="","",IFERROR(D715*N(INDEX(Products!$C$5:$C$29,MATCH(C715,Lists!$A$2:$A$26,0))),""))</f>
        <v/>
      </c>
      <c r="M715" s="15" t="str">
        <f t="shared" si="11"/>
        <v/>
      </c>
    </row>
    <row r="716" spans="1:13" x14ac:dyDescent="0.35">
      <c r="A716" s="11"/>
      <c r="B716" s="12"/>
      <c r="C716" s="12"/>
      <c r="D716" s="12"/>
      <c r="E716" s="13"/>
      <c r="F716" s="13"/>
      <c r="G716" s="13"/>
      <c r="H716" s="13"/>
      <c r="I716" s="12"/>
      <c r="J716" s="13"/>
      <c r="K716" s="14" t="str">
        <f>IF(C716="","",IFERROR(N('Fee Settings'!$C$5)*(E716+N(F716)-N(J716))+N('Fee Settings'!$C$6)*(E716+N(F716)+N(G716))+N('Fee Settings'!$C$7)+N('Fee Settings'!$C$10)*D716+IF(I716="Yes",MIN(N('Fee Settings'!$C$8)*(E716+N(F716)),N('Fee Settings'!$C$9)),0),""))</f>
        <v/>
      </c>
      <c r="L716" s="14" t="str">
        <f>IF(C716="","",IFERROR(D716*N(INDEX(Products!$C$5:$C$29,MATCH(C716,Lists!$A$2:$A$26,0))),""))</f>
        <v/>
      </c>
      <c r="M716" s="15" t="str">
        <f t="shared" si="11"/>
        <v/>
      </c>
    </row>
    <row r="717" spans="1:13" x14ac:dyDescent="0.35">
      <c r="A717" s="11"/>
      <c r="B717" s="12"/>
      <c r="C717" s="12"/>
      <c r="D717" s="12"/>
      <c r="E717" s="13"/>
      <c r="F717" s="13"/>
      <c r="G717" s="13"/>
      <c r="H717" s="13"/>
      <c r="I717" s="12"/>
      <c r="J717" s="13"/>
      <c r="K717" s="14" t="str">
        <f>IF(C717="","",IFERROR(N('Fee Settings'!$C$5)*(E717+N(F717)-N(J717))+N('Fee Settings'!$C$6)*(E717+N(F717)+N(G717))+N('Fee Settings'!$C$7)+N('Fee Settings'!$C$10)*D717+IF(I717="Yes",MIN(N('Fee Settings'!$C$8)*(E717+N(F717)),N('Fee Settings'!$C$9)),0),""))</f>
        <v/>
      </c>
      <c r="L717" s="14" t="str">
        <f>IF(C717="","",IFERROR(D717*N(INDEX(Products!$C$5:$C$29,MATCH(C717,Lists!$A$2:$A$26,0))),""))</f>
        <v/>
      </c>
      <c r="M717" s="15" t="str">
        <f t="shared" si="11"/>
        <v/>
      </c>
    </row>
    <row r="718" spans="1:13" x14ac:dyDescent="0.35">
      <c r="A718" s="11"/>
      <c r="B718" s="12"/>
      <c r="C718" s="12"/>
      <c r="D718" s="12"/>
      <c r="E718" s="13"/>
      <c r="F718" s="13"/>
      <c r="G718" s="13"/>
      <c r="H718" s="13"/>
      <c r="I718" s="12"/>
      <c r="J718" s="13"/>
      <c r="K718" s="14" t="str">
        <f>IF(C718="","",IFERROR(N('Fee Settings'!$C$5)*(E718+N(F718)-N(J718))+N('Fee Settings'!$C$6)*(E718+N(F718)+N(G718))+N('Fee Settings'!$C$7)+N('Fee Settings'!$C$10)*D718+IF(I718="Yes",MIN(N('Fee Settings'!$C$8)*(E718+N(F718)),N('Fee Settings'!$C$9)),0),""))</f>
        <v/>
      </c>
      <c r="L718" s="14" t="str">
        <f>IF(C718="","",IFERROR(D718*N(INDEX(Products!$C$5:$C$29,MATCH(C718,Lists!$A$2:$A$26,0))),""))</f>
        <v/>
      </c>
      <c r="M718" s="15" t="str">
        <f t="shared" si="11"/>
        <v/>
      </c>
    </row>
    <row r="719" spans="1:13" x14ac:dyDescent="0.35">
      <c r="A719" s="11"/>
      <c r="B719" s="12"/>
      <c r="C719" s="12"/>
      <c r="D719" s="12"/>
      <c r="E719" s="13"/>
      <c r="F719" s="13"/>
      <c r="G719" s="13"/>
      <c r="H719" s="13"/>
      <c r="I719" s="12"/>
      <c r="J719" s="13"/>
      <c r="K719" s="14" t="str">
        <f>IF(C719="","",IFERROR(N('Fee Settings'!$C$5)*(E719+N(F719)-N(J719))+N('Fee Settings'!$C$6)*(E719+N(F719)+N(G719))+N('Fee Settings'!$C$7)+N('Fee Settings'!$C$10)*D719+IF(I719="Yes",MIN(N('Fee Settings'!$C$8)*(E719+N(F719)),N('Fee Settings'!$C$9)),0),""))</f>
        <v/>
      </c>
      <c r="L719" s="14" t="str">
        <f>IF(C719="","",IFERROR(D719*N(INDEX(Products!$C$5:$C$29,MATCH(C719,Lists!$A$2:$A$26,0))),""))</f>
        <v/>
      </c>
      <c r="M719" s="15" t="str">
        <f t="shared" si="11"/>
        <v/>
      </c>
    </row>
    <row r="720" spans="1:13" x14ac:dyDescent="0.35">
      <c r="A720" s="11"/>
      <c r="B720" s="12"/>
      <c r="C720" s="12"/>
      <c r="D720" s="12"/>
      <c r="E720" s="13"/>
      <c r="F720" s="13"/>
      <c r="G720" s="13"/>
      <c r="H720" s="13"/>
      <c r="I720" s="12"/>
      <c r="J720" s="13"/>
      <c r="K720" s="14" t="str">
        <f>IF(C720="","",IFERROR(N('Fee Settings'!$C$5)*(E720+N(F720)-N(J720))+N('Fee Settings'!$C$6)*(E720+N(F720)+N(G720))+N('Fee Settings'!$C$7)+N('Fee Settings'!$C$10)*D720+IF(I720="Yes",MIN(N('Fee Settings'!$C$8)*(E720+N(F720)),N('Fee Settings'!$C$9)),0),""))</f>
        <v/>
      </c>
      <c r="L720" s="14" t="str">
        <f>IF(C720="","",IFERROR(D720*N(INDEX(Products!$C$5:$C$29,MATCH(C720,Lists!$A$2:$A$26,0))),""))</f>
        <v/>
      </c>
      <c r="M720" s="15" t="str">
        <f t="shared" si="11"/>
        <v/>
      </c>
    </row>
    <row r="721" spans="1:13" x14ac:dyDescent="0.35">
      <c r="A721" s="11"/>
      <c r="B721" s="12"/>
      <c r="C721" s="12"/>
      <c r="D721" s="12"/>
      <c r="E721" s="13"/>
      <c r="F721" s="13"/>
      <c r="G721" s="13"/>
      <c r="H721" s="13"/>
      <c r="I721" s="12"/>
      <c r="J721" s="13"/>
      <c r="K721" s="14" t="str">
        <f>IF(C721="","",IFERROR(N('Fee Settings'!$C$5)*(E721+N(F721)-N(J721))+N('Fee Settings'!$C$6)*(E721+N(F721)+N(G721))+N('Fee Settings'!$C$7)+N('Fee Settings'!$C$10)*D721+IF(I721="Yes",MIN(N('Fee Settings'!$C$8)*(E721+N(F721)),N('Fee Settings'!$C$9)),0),""))</f>
        <v/>
      </c>
      <c r="L721" s="14" t="str">
        <f>IF(C721="","",IFERROR(D721*N(INDEX(Products!$C$5:$C$29,MATCH(C721,Lists!$A$2:$A$26,0))),""))</f>
        <v/>
      </c>
      <c r="M721" s="15" t="str">
        <f t="shared" si="11"/>
        <v/>
      </c>
    </row>
    <row r="722" spans="1:13" x14ac:dyDescent="0.35">
      <c r="A722" s="11"/>
      <c r="B722" s="12"/>
      <c r="C722" s="12"/>
      <c r="D722" s="12"/>
      <c r="E722" s="13"/>
      <c r="F722" s="13"/>
      <c r="G722" s="13"/>
      <c r="H722" s="13"/>
      <c r="I722" s="12"/>
      <c r="J722" s="13"/>
      <c r="K722" s="14" t="str">
        <f>IF(C722="","",IFERROR(N('Fee Settings'!$C$5)*(E722+N(F722)-N(J722))+N('Fee Settings'!$C$6)*(E722+N(F722)+N(G722))+N('Fee Settings'!$C$7)+N('Fee Settings'!$C$10)*D722+IF(I722="Yes",MIN(N('Fee Settings'!$C$8)*(E722+N(F722)),N('Fee Settings'!$C$9)),0),""))</f>
        <v/>
      </c>
      <c r="L722" s="14" t="str">
        <f>IF(C722="","",IFERROR(D722*N(INDEX(Products!$C$5:$C$29,MATCH(C722,Lists!$A$2:$A$26,0))),""))</f>
        <v/>
      </c>
      <c r="M722" s="15" t="str">
        <f t="shared" si="11"/>
        <v/>
      </c>
    </row>
    <row r="723" spans="1:13" x14ac:dyDescent="0.35">
      <c r="A723" s="11"/>
      <c r="B723" s="12"/>
      <c r="C723" s="12"/>
      <c r="D723" s="12"/>
      <c r="E723" s="13"/>
      <c r="F723" s="13"/>
      <c r="G723" s="13"/>
      <c r="H723" s="13"/>
      <c r="I723" s="12"/>
      <c r="J723" s="13"/>
      <c r="K723" s="14" t="str">
        <f>IF(C723="","",IFERROR(N('Fee Settings'!$C$5)*(E723+N(F723)-N(J723))+N('Fee Settings'!$C$6)*(E723+N(F723)+N(G723))+N('Fee Settings'!$C$7)+N('Fee Settings'!$C$10)*D723+IF(I723="Yes",MIN(N('Fee Settings'!$C$8)*(E723+N(F723)),N('Fee Settings'!$C$9)),0),""))</f>
        <v/>
      </c>
      <c r="L723" s="14" t="str">
        <f>IF(C723="","",IFERROR(D723*N(INDEX(Products!$C$5:$C$29,MATCH(C723,Lists!$A$2:$A$26,0))),""))</f>
        <v/>
      </c>
      <c r="M723" s="15" t="str">
        <f t="shared" si="11"/>
        <v/>
      </c>
    </row>
    <row r="724" spans="1:13" x14ac:dyDescent="0.35">
      <c r="A724" s="11"/>
      <c r="B724" s="12"/>
      <c r="C724" s="12"/>
      <c r="D724" s="12"/>
      <c r="E724" s="13"/>
      <c r="F724" s="13"/>
      <c r="G724" s="13"/>
      <c r="H724" s="13"/>
      <c r="I724" s="12"/>
      <c r="J724" s="13"/>
      <c r="K724" s="14" t="str">
        <f>IF(C724="","",IFERROR(N('Fee Settings'!$C$5)*(E724+N(F724)-N(J724))+N('Fee Settings'!$C$6)*(E724+N(F724)+N(G724))+N('Fee Settings'!$C$7)+N('Fee Settings'!$C$10)*D724+IF(I724="Yes",MIN(N('Fee Settings'!$C$8)*(E724+N(F724)),N('Fee Settings'!$C$9)),0),""))</f>
        <v/>
      </c>
      <c r="L724" s="14" t="str">
        <f>IF(C724="","",IFERROR(D724*N(INDEX(Products!$C$5:$C$29,MATCH(C724,Lists!$A$2:$A$26,0))),""))</f>
        <v/>
      </c>
      <c r="M724" s="15" t="str">
        <f t="shared" si="11"/>
        <v/>
      </c>
    </row>
    <row r="725" spans="1:13" x14ac:dyDescent="0.35">
      <c r="A725" s="11"/>
      <c r="B725" s="12"/>
      <c r="C725" s="12"/>
      <c r="D725" s="12"/>
      <c r="E725" s="13"/>
      <c r="F725" s="13"/>
      <c r="G725" s="13"/>
      <c r="H725" s="13"/>
      <c r="I725" s="12"/>
      <c r="J725" s="13"/>
      <c r="K725" s="14" t="str">
        <f>IF(C725="","",IFERROR(N('Fee Settings'!$C$5)*(E725+N(F725)-N(J725))+N('Fee Settings'!$C$6)*(E725+N(F725)+N(G725))+N('Fee Settings'!$C$7)+N('Fee Settings'!$C$10)*D725+IF(I725="Yes",MIN(N('Fee Settings'!$C$8)*(E725+N(F725)),N('Fee Settings'!$C$9)),0),""))</f>
        <v/>
      </c>
      <c r="L725" s="14" t="str">
        <f>IF(C725="","",IFERROR(D725*N(INDEX(Products!$C$5:$C$29,MATCH(C725,Lists!$A$2:$A$26,0))),""))</f>
        <v/>
      </c>
      <c r="M725" s="15" t="str">
        <f t="shared" si="11"/>
        <v/>
      </c>
    </row>
    <row r="726" spans="1:13" x14ac:dyDescent="0.35">
      <c r="A726" s="11"/>
      <c r="B726" s="12"/>
      <c r="C726" s="12"/>
      <c r="D726" s="12"/>
      <c r="E726" s="13"/>
      <c r="F726" s="13"/>
      <c r="G726" s="13"/>
      <c r="H726" s="13"/>
      <c r="I726" s="12"/>
      <c r="J726" s="13"/>
      <c r="K726" s="14" t="str">
        <f>IF(C726="","",IFERROR(N('Fee Settings'!$C$5)*(E726+N(F726)-N(J726))+N('Fee Settings'!$C$6)*(E726+N(F726)+N(G726))+N('Fee Settings'!$C$7)+N('Fee Settings'!$C$10)*D726+IF(I726="Yes",MIN(N('Fee Settings'!$C$8)*(E726+N(F726)),N('Fee Settings'!$C$9)),0),""))</f>
        <v/>
      </c>
      <c r="L726" s="14" t="str">
        <f>IF(C726="","",IFERROR(D726*N(INDEX(Products!$C$5:$C$29,MATCH(C726,Lists!$A$2:$A$26,0))),""))</f>
        <v/>
      </c>
      <c r="M726" s="15" t="str">
        <f t="shared" si="11"/>
        <v/>
      </c>
    </row>
    <row r="727" spans="1:13" x14ac:dyDescent="0.35">
      <c r="A727" s="11"/>
      <c r="B727" s="12"/>
      <c r="C727" s="12"/>
      <c r="D727" s="12"/>
      <c r="E727" s="13"/>
      <c r="F727" s="13"/>
      <c r="G727" s="13"/>
      <c r="H727" s="13"/>
      <c r="I727" s="12"/>
      <c r="J727" s="13"/>
      <c r="K727" s="14" t="str">
        <f>IF(C727="","",IFERROR(N('Fee Settings'!$C$5)*(E727+N(F727)-N(J727))+N('Fee Settings'!$C$6)*(E727+N(F727)+N(G727))+N('Fee Settings'!$C$7)+N('Fee Settings'!$C$10)*D727+IF(I727="Yes",MIN(N('Fee Settings'!$C$8)*(E727+N(F727)),N('Fee Settings'!$C$9)),0),""))</f>
        <v/>
      </c>
      <c r="L727" s="14" t="str">
        <f>IF(C727="","",IFERROR(D727*N(INDEX(Products!$C$5:$C$29,MATCH(C727,Lists!$A$2:$A$26,0))),""))</f>
        <v/>
      </c>
      <c r="M727" s="15" t="str">
        <f t="shared" si="11"/>
        <v/>
      </c>
    </row>
    <row r="728" spans="1:13" x14ac:dyDescent="0.35">
      <c r="A728" s="11"/>
      <c r="B728" s="12"/>
      <c r="C728" s="12"/>
      <c r="D728" s="12"/>
      <c r="E728" s="13"/>
      <c r="F728" s="13"/>
      <c r="G728" s="13"/>
      <c r="H728" s="13"/>
      <c r="I728" s="12"/>
      <c r="J728" s="13"/>
      <c r="K728" s="14" t="str">
        <f>IF(C728="","",IFERROR(N('Fee Settings'!$C$5)*(E728+N(F728)-N(J728))+N('Fee Settings'!$C$6)*(E728+N(F728)+N(G728))+N('Fee Settings'!$C$7)+N('Fee Settings'!$C$10)*D728+IF(I728="Yes",MIN(N('Fee Settings'!$C$8)*(E728+N(F728)),N('Fee Settings'!$C$9)),0),""))</f>
        <v/>
      </c>
      <c r="L728" s="14" t="str">
        <f>IF(C728="","",IFERROR(D728*N(INDEX(Products!$C$5:$C$29,MATCH(C728,Lists!$A$2:$A$26,0))),""))</f>
        <v/>
      </c>
      <c r="M728" s="15" t="str">
        <f t="shared" si="11"/>
        <v/>
      </c>
    </row>
    <row r="729" spans="1:13" x14ac:dyDescent="0.35">
      <c r="A729" s="11"/>
      <c r="B729" s="12"/>
      <c r="C729" s="12"/>
      <c r="D729" s="12"/>
      <c r="E729" s="13"/>
      <c r="F729" s="13"/>
      <c r="G729" s="13"/>
      <c r="H729" s="13"/>
      <c r="I729" s="12"/>
      <c r="J729" s="13"/>
      <c r="K729" s="14" t="str">
        <f>IF(C729="","",IFERROR(N('Fee Settings'!$C$5)*(E729+N(F729)-N(J729))+N('Fee Settings'!$C$6)*(E729+N(F729)+N(G729))+N('Fee Settings'!$C$7)+N('Fee Settings'!$C$10)*D729+IF(I729="Yes",MIN(N('Fee Settings'!$C$8)*(E729+N(F729)),N('Fee Settings'!$C$9)),0),""))</f>
        <v/>
      </c>
      <c r="L729" s="14" t="str">
        <f>IF(C729="","",IFERROR(D729*N(INDEX(Products!$C$5:$C$29,MATCH(C729,Lists!$A$2:$A$26,0))),""))</f>
        <v/>
      </c>
      <c r="M729" s="15" t="str">
        <f t="shared" si="11"/>
        <v/>
      </c>
    </row>
    <row r="730" spans="1:13" x14ac:dyDescent="0.35">
      <c r="A730" s="11"/>
      <c r="B730" s="12"/>
      <c r="C730" s="12"/>
      <c r="D730" s="12"/>
      <c r="E730" s="13"/>
      <c r="F730" s="13"/>
      <c r="G730" s="13"/>
      <c r="H730" s="13"/>
      <c r="I730" s="12"/>
      <c r="J730" s="13"/>
      <c r="K730" s="14" t="str">
        <f>IF(C730="","",IFERROR(N('Fee Settings'!$C$5)*(E730+N(F730)-N(J730))+N('Fee Settings'!$C$6)*(E730+N(F730)+N(G730))+N('Fee Settings'!$C$7)+N('Fee Settings'!$C$10)*D730+IF(I730="Yes",MIN(N('Fee Settings'!$C$8)*(E730+N(F730)),N('Fee Settings'!$C$9)),0),""))</f>
        <v/>
      </c>
      <c r="L730" s="14" t="str">
        <f>IF(C730="","",IFERROR(D730*N(INDEX(Products!$C$5:$C$29,MATCH(C730,Lists!$A$2:$A$26,0))),""))</f>
        <v/>
      </c>
      <c r="M730" s="15" t="str">
        <f t="shared" si="11"/>
        <v/>
      </c>
    </row>
    <row r="731" spans="1:13" x14ac:dyDescent="0.35">
      <c r="A731" s="11"/>
      <c r="B731" s="12"/>
      <c r="C731" s="12"/>
      <c r="D731" s="12"/>
      <c r="E731" s="13"/>
      <c r="F731" s="13"/>
      <c r="G731" s="13"/>
      <c r="H731" s="13"/>
      <c r="I731" s="12"/>
      <c r="J731" s="13"/>
      <c r="K731" s="14" t="str">
        <f>IF(C731="","",IFERROR(N('Fee Settings'!$C$5)*(E731+N(F731)-N(J731))+N('Fee Settings'!$C$6)*(E731+N(F731)+N(G731))+N('Fee Settings'!$C$7)+N('Fee Settings'!$C$10)*D731+IF(I731="Yes",MIN(N('Fee Settings'!$C$8)*(E731+N(F731)),N('Fee Settings'!$C$9)),0),""))</f>
        <v/>
      </c>
      <c r="L731" s="14" t="str">
        <f>IF(C731="","",IFERROR(D731*N(INDEX(Products!$C$5:$C$29,MATCH(C731,Lists!$A$2:$A$26,0))),""))</f>
        <v/>
      </c>
      <c r="M731" s="15" t="str">
        <f t="shared" si="11"/>
        <v/>
      </c>
    </row>
    <row r="732" spans="1:13" x14ac:dyDescent="0.35">
      <c r="A732" s="11"/>
      <c r="B732" s="12"/>
      <c r="C732" s="12"/>
      <c r="D732" s="12"/>
      <c r="E732" s="13"/>
      <c r="F732" s="13"/>
      <c r="G732" s="13"/>
      <c r="H732" s="13"/>
      <c r="I732" s="12"/>
      <c r="J732" s="13"/>
      <c r="K732" s="14" t="str">
        <f>IF(C732="","",IFERROR(N('Fee Settings'!$C$5)*(E732+N(F732)-N(J732))+N('Fee Settings'!$C$6)*(E732+N(F732)+N(G732))+N('Fee Settings'!$C$7)+N('Fee Settings'!$C$10)*D732+IF(I732="Yes",MIN(N('Fee Settings'!$C$8)*(E732+N(F732)),N('Fee Settings'!$C$9)),0),""))</f>
        <v/>
      </c>
      <c r="L732" s="14" t="str">
        <f>IF(C732="","",IFERROR(D732*N(INDEX(Products!$C$5:$C$29,MATCH(C732,Lists!$A$2:$A$26,0))),""))</f>
        <v/>
      </c>
      <c r="M732" s="15" t="str">
        <f t="shared" si="11"/>
        <v/>
      </c>
    </row>
    <row r="733" spans="1:13" x14ac:dyDescent="0.35">
      <c r="A733" s="11"/>
      <c r="B733" s="12"/>
      <c r="C733" s="12"/>
      <c r="D733" s="12"/>
      <c r="E733" s="13"/>
      <c r="F733" s="13"/>
      <c r="G733" s="13"/>
      <c r="H733" s="13"/>
      <c r="I733" s="12"/>
      <c r="J733" s="13"/>
      <c r="K733" s="14" t="str">
        <f>IF(C733="","",IFERROR(N('Fee Settings'!$C$5)*(E733+N(F733)-N(J733))+N('Fee Settings'!$C$6)*(E733+N(F733)+N(G733))+N('Fee Settings'!$C$7)+N('Fee Settings'!$C$10)*D733+IF(I733="Yes",MIN(N('Fee Settings'!$C$8)*(E733+N(F733)),N('Fee Settings'!$C$9)),0),""))</f>
        <v/>
      </c>
      <c r="L733" s="14" t="str">
        <f>IF(C733="","",IFERROR(D733*N(INDEX(Products!$C$5:$C$29,MATCH(C733,Lists!$A$2:$A$26,0))),""))</f>
        <v/>
      </c>
      <c r="M733" s="15" t="str">
        <f t="shared" si="11"/>
        <v/>
      </c>
    </row>
    <row r="734" spans="1:13" x14ac:dyDescent="0.35">
      <c r="A734" s="11"/>
      <c r="B734" s="12"/>
      <c r="C734" s="12"/>
      <c r="D734" s="12"/>
      <c r="E734" s="13"/>
      <c r="F734" s="13"/>
      <c r="G734" s="13"/>
      <c r="H734" s="13"/>
      <c r="I734" s="12"/>
      <c r="J734" s="13"/>
      <c r="K734" s="14" t="str">
        <f>IF(C734="","",IFERROR(N('Fee Settings'!$C$5)*(E734+N(F734)-N(J734))+N('Fee Settings'!$C$6)*(E734+N(F734)+N(G734))+N('Fee Settings'!$C$7)+N('Fee Settings'!$C$10)*D734+IF(I734="Yes",MIN(N('Fee Settings'!$C$8)*(E734+N(F734)),N('Fee Settings'!$C$9)),0),""))</f>
        <v/>
      </c>
      <c r="L734" s="14" t="str">
        <f>IF(C734="","",IFERROR(D734*N(INDEX(Products!$C$5:$C$29,MATCH(C734,Lists!$A$2:$A$26,0))),""))</f>
        <v/>
      </c>
      <c r="M734" s="15" t="str">
        <f t="shared" si="11"/>
        <v/>
      </c>
    </row>
    <row r="735" spans="1:13" x14ac:dyDescent="0.35">
      <c r="A735" s="11"/>
      <c r="B735" s="12"/>
      <c r="C735" s="12"/>
      <c r="D735" s="12"/>
      <c r="E735" s="13"/>
      <c r="F735" s="13"/>
      <c r="G735" s="13"/>
      <c r="H735" s="13"/>
      <c r="I735" s="12"/>
      <c r="J735" s="13"/>
      <c r="K735" s="14" t="str">
        <f>IF(C735="","",IFERROR(N('Fee Settings'!$C$5)*(E735+N(F735)-N(J735))+N('Fee Settings'!$C$6)*(E735+N(F735)+N(G735))+N('Fee Settings'!$C$7)+N('Fee Settings'!$C$10)*D735+IF(I735="Yes",MIN(N('Fee Settings'!$C$8)*(E735+N(F735)),N('Fee Settings'!$C$9)),0),""))</f>
        <v/>
      </c>
      <c r="L735" s="14" t="str">
        <f>IF(C735="","",IFERROR(D735*N(INDEX(Products!$C$5:$C$29,MATCH(C735,Lists!$A$2:$A$26,0))),""))</f>
        <v/>
      </c>
      <c r="M735" s="15" t="str">
        <f t="shared" si="11"/>
        <v/>
      </c>
    </row>
    <row r="736" spans="1:13" x14ac:dyDescent="0.35">
      <c r="A736" s="11"/>
      <c r="B736" s="12"/>
      <c r="C736" s="12"/>
      <c r="D736" s="12"/>
      <c r="E736" s="13"/>
      <c r="F736" s="13"/>
      <c r="G736" s="13"/>
      <c r="H736" s="13"/>
      <c r="I736" s="12"/>
      <c r="J736" s="13"/>
      <c r="K736" s="14" t="str">
        <f>IF(C736="","",IFERROR(N('Fee Settings'!$C$5)*(E736+N(F736)-N(J736))+N('Fee Settings'!$C$6)*(E736+N(F736)+N(G736))+N('Fee Settings'!$C$7)+N('Fee Settings'!$C$10)*D736+IF(I736="Yes",MIN(N('Fee Settings'!$C$8)*(E736+N(F736)),N('Fee Settings'!$C$9)),0),""))</f>
        <v/>
      </c>
      <c r="L736" s="14" t="str">
        <f>IF(C736="","",IFERROR(D736*N(INDEX(Products!$C$5:$C$29,MATCH(C736,Lists!$A$2:$A$26,0))),""))</f>
        <v/>
      </c>
      <c r="M736" s="15" t="str">
        <f t="shared" si="11"/>
        <v/>
      </c>
    </row>
    <row r="737" spans="1:13" x14ac:dyDescent="0.35">
      <c r="A737" s="11"/>
      <c r="B737" s="12"/>
      <c r="C737" s="12"/>
      <c r="D737" s="12"/>
      <c r="E737" s="13"/>
      <c r="F737" s="13"/>
      <c r="G737" s="13"/>
      <c r="H737" s="13"/>
      <c r="I737" s="12"/>
      <c r="J737" s="13"/>
      <c r="K737" s="14" t="str">
        <f>IF(C737="","",IFERROR(N('Fee Settings'!$C$5)*(E737+N(F737)-N(J737))+N('Fee Settings'!$C$6)*(E737+N(F737)+N(G737))+N('Fee Settings'!$C$7)+N('Fee Settings'!$C$10)*D737+IF(I737="Yes",MIN(N('Fee Settings'!$C$8)*(E737+N(F737)),N('Fee Settings'!$C$9)),0),""))</f>
        <v/>
      </c>
      <c r="L737" s="14" t="str">
        <f>IF(C737="","",IFERROR(D737*N(INDEX(Products!$C$5:$C$29,MATCH(C737,Lists!$A$2:$A$26,0))),""))</f>
        <v/>
      </c>
      <c r="M737" s="15" t="str">
        <f t="shared" si="11"/>
        <v/>
      </c>
    </row>
    <row r="738" spans="1:13" x14ac:dyDescent="0.35">
      <c r="A738" s="11"/>
      <c r="B738" s="12"/>
      <c r="C738" s="12"/>
      <c r="D738" s="12"/>
      <c r="E738" s="13"/>
      <c r="F738" s="13"/>
      <c r="G738" s="13"/>
      <c r="H738" s="13"/>
      <c r="I738" s="12"/>
      <c r="J738" s="13"/>
      <c r="K738" s="14" t="str">
        <f>IF(C738="","",IFERROR(N('Fee Settings'!$C$5)*(E738+N(F738)-N(J738))+N('Fee Settings'!$C$6)*(E738+N(F738)+N(G738))+N('Fee Settings'!$C$7)+N('Fee Settings'!$C$10)*D738+IF(I738="Yes",MIN(N('Fee Settings'!$C$8)*(E738+N(F738)),N('Fee Settings'!$C$9)),0),""))</f>
        <v/>
      </c>
      <c r="L738" s="14" t="str">
        <f>IF(C738="","",IFERROR(D738*N(INDEX(Products!$C$5:$C$29,MATCH(C738,Lists!$A$2:$A$26,0))),""))</f>
        <v/>
      </c>
      <c r="M738" s="15" t="str">
        <f t="shared" si="11"/>
        <v/>
      </c>
    </row>
    <row r="739" spans="1:13" x14ac:dyDescent="0.35">
      <c r="A739" s="11"/>
      <c r="B739" s="12"/>
      <c r="C739" s="12"/>
      <c r="D739" s="12"/>
      <c r="E739" s="13"/>
      <c r="F739" s="13"/>
      <c r="G739" s="13"/>
      <c r="H739" s="13"/>
      <c r="I739" s="12"/>
      <c r="J739" s="13"/>
      <c r="K739" s="14" t="str">
        <f>IF(C739="","",IFERROR(N('Fee Settings'!$C$5)*(E739+N(F739)-N(J739))+N('Fee Settings'!$C$6)*(E739+N(F739)+N(G739))+N('Fee Settings'!$C$7)+N('Fee Settings'!$C$10)*D739+IF(I739="Yes",MIN(N('Fee Settings'!$C$8)*(E739+N(F739)),N('Fee Settings'!$C$9)),0),""))</f>
        <v/>
      </c>
      <c r="L739" s="14" t="str">
        <f>IF(C739="","",IFERROR(D739*N(INDEX(Products!$C$5:$C$29,MATCH(C739,Lists!$A$2:$A$26,0))),""))</f>
        <v/>
      </c>
      <c r="M739" s="15" t="str">
        <f t="shared" si="11"/>
        <v/>
      </c>
    </row>
    <row r="740" spans="1:13" x14ac:dyDescent="0.35">
      <c r="A740" s="11"/>
      <c r="B740" s="12"/>
      <c r="C740" s="12"/>
      <c r="D740" s="12"/>
      <c r="E740" s="13"/>
      <c r="F740" s="13"/>
      <c r="G740" s="13"/>
      <c r="H740" s="13"/>
      <c r="I740" s="12"/>
      <c r="J740" s="13"/>
      <c r="K740" s="14" t="str">
        <f>IF(C740="","",IFERROR(N('Fee Settings'!$C$5)*(E740+N(F740)-N(J740))+N('Fee Settings'!$C$6)*(E740+N(F740)+N(G740))+N('Fee Settings'!$C$7)+N('Fee Settings'!$C$10)*D740+IF(I740="Yes",MIN(N('Fee Settings'!$C$8)*(E740+N(F740)),N('Fee Settings'!$C$9)),0),""))</f>
        <v/>
      </c>
      <c r="L740" s="14" t="str">
        <f>IF(C740="","",IFERROR(D740*N(INDEX(Products!$C$5:$C$29,MATCH(C740,Lists!$A$2:$A$26,0))),""))</f>
        <v/>
      </c>
      <c r="M740" s="15" t="str">
        <f t="shared" si="11"/>
        <v/>
      </c>
    </row>
    <row r="741" spans="1:13" x14ac:dyDescent="0.35">
      <c r="A741" s="11"/>
      <c r="B741" s="12"/>
      <c r="C741" s="12"/>
      <c r="D741" s="12"/>
      <c r="E741" s="13"/>
      <c r="F741" s="13"/>
      <c r="G741" s="13"/>
      <c r="H741" s="13"/>
      <c r="I741" s="12"/>
      <c r="J741" s="13"/>
      <c r="K741" s="14" t="str">
        <f>IF(C741="","",IFERROR(N('Fee Settings'!$C$5)*(E741+N(F741)-N(J741))+N('Fee Settings'!$C$6)*(E741+N(F741)+N(G741))+N('Fee Settings'!$C$7)+N('Fee Settings'!$C$10)*D741+IF(I741="Yes",MIN(N('Fee Settings'!$C$8)*(E741+N(F741)),N('Fee Settings'!$C$9)),0),""))</f>
        <v/>
      </c>
      <c r="L741" s="14" t="str">
        <f>IF(C741="","",IFERROR(D741*N(INDEX(Products!$C$5:$C$29,MATCH(C741,Lists!$A$2:$A$26,0))),""))</f>
        <v/>
      </c>
      <c r="M741" s="15" t="str">
        <f t="shared" si="11"/>
        <v/>
      </c>
    </row>
    <row r="742" spans="1:13" x14ac:dyDescent="0.35">
      <c r="A742" s="11"/>
      <c r="B742" s="12"/>
      <c r="C742" s="12"/>
      <c r="D742" s="12"/>
      <c r="E742" s="13"/>
      <c r="F742" s="13"/>
      <c r="G742" s="13"/>
      <c r="H742" s="13"/>
      <c r="I742" s="12"/>
      <c r="J742" s="13"/>
      <c r="K742" s="14" t="str">
        <f>IF(C742="","",IFERROR(N('Fee Settings'!$C$5)*(E742+N(F742)-N(J742))+N('Fee Settings'!$C$6)*(E742+N(F742)+N(G742))+N('Fee Settings'!$C$7)+N('Fee Settings'!$C$10)*D742+IF(I742="Yes",MIN(N('Fee Settings'!$C$8)*(E742+N(F742)),N('Fee Settings'!$C$9)),0),""))</f>
        <v/>
      </c>
      <c r="L742" s="14" t="str">
        <f>IF(C742="","",IFERROR(D742*N(INDEX(Products!$C$5:$C$29,MATCH(C742,Lists!$A$2:$A$26,0))),""))</f>
        <v/>
      </c>
      <c r="M742" s="15" t="str">
        <f t="shared" si="11"/>
        <v/>
      </c>
    </row>
    <row r="743" spans="1:13" x14ac:dyDescent="0.35">
      <c r="A743" s="11"/>
      <c r="B743" s="12"/>
      <c r="C743" s="12"/>
      <c r="D743" s="12"/>
      <c r="E743" s="13"/>
      <c r="F743" s="13"/>
      <c r="G743" s="13"/>
      <c r="H743" s="13"/>
      <c r="I743" s="12"/>
      <c r="J743" s="13"/>
      <c r="K743" s="14" t="str">
        <f>IF(C743="","",IFERROR(N('Fee Settings'!$C$5)*(E743+N(F743)-N(J743))+N('Fee Settings'!$C$6)*(E743+N(F743)+N(G743))+N('Fee Settings'!$C$7)+N('Fee Settings'!$C$10)*D743+IF(I743="Yes",MIN(N('Fee Settings'!$C$8)*(E743+N(F743)),N('Fee Settings'!$C$9)),0),""))</f>
        <v/>
      </c>
      <c r="L743" s="14" t="str">
        <f>IF(C743="","",IFERROR(D743*N(INDEX(Products!$C$5:$C$29,MATCH(C743,Lists!$A$2:$A$26,0))),""))</f>
        <v/>
      </c>
      <c r="M743" s="15" t="str">
        <f t="shared" si="11"/>
        <v/>
      </c>
    </row>
    <row r="744" spans="1:13" x14ac:dyDescent="0.35">
      <c r="A744" s="11"/>
      <c r="B744" s="12"/>
      <c r="C744" s="12"/>
      <c r="D744" s="12"/>
      <c r="E744" s="13"/>
      <c r="F744" s="13"/>
      <c r="G744" s="13"/>
      <c r="H744" s="13"/>
      <c r="I744" s="12"/>
      <c r="J744" s="13"/>
      <c r="K744" s="14" t="str">
        <f>IF(C744="","",IFERROR(N('Fee Settings'!$C$5)*(E744+N(F744)-N(J744))+N('Fee Settings'!$C$6)*(E744+N(F744)+N(G744))+N('Fee Settings'!$C$7)+N('Fee Settings'!$C$10)*D744+IF(I744="Yes",MIN(N('Fee Settings'!$C$8)*(E744+N(F744)),N('Fee Settings'!$C$9)),0),""))</f>
        <v/>
      </c>
      <c r="L744" s="14" t="str">
        <f>IF(C744="","",IFERROR(D744*N(INDEX(Products!$C$5:$C$29,MATCH(C744,Lists!$A$2:$A$26,0))),""))</f>
        <v/>
      </c>
      <c r="M744" s="15" t="str">
        <f t="shared" si="11"/>
        <v/>
      </c>
    </row>
    <row r="745" spans="1:13" x14ac:dyDescent="0.35">
      <c r="A745" s="11"/>
      <c r="B745" s="12"/>
      <c r="C745" s="12"/>
      <c r="D745" s="12"/>
      <c r="E745" s="13"/>
      <c r="F745" s="13"/>
      <c r="G745" s="13"/>
      <c r="H745" s="13"/>
      <c r="I745" s="12"/>
      <c r="J745" s="13"/>
      <c r="K745" s="14" t="str">
        <f>IF(C745="","",IFERROR(N('Fee Settings'!$C$5)*(E745+N(F745)-N(J745))+N('Fee Settings'!$C$6)*(E745+N(F745)+N(G745))+N('Fee Settings'!$C$7)+N('Fee Settings'!$C$10)*D745+IF(I745="Yes",MIN(N('Fee Settings'!$C$8)*(E745+N(F745)),N('Fee Settings'!$C$9)),0),""))</f>
        <v/>
      </c>
      <c r="L745" s="14" t="str">
        <f>IF(C745="","",IFERROR(D745*N(INDEX(Products!$C$5:$C$29,MATCH(C745,Lists!$A$2:$A$26,0))),""))</f>
        <v/>
      </c>
      <c r="M745" s="15" t="str">
        <f t="shared" si="11"/>
        <v/>
      </c>
    </row>
    <row r="746" spans="1:13" x14ac:dyDescent="0.35">
      <c r="A746" s="11"/>
      <c r="B746" s="12"/>
      <c r="C746" s="12"/>
      <c r="D746" s="12"/>
      <c r="E746" s="13"/>
      <c r="F746" s="13"/>
      <c r="G746" s="13"/>
      <c r="H746" s="13"/>
      <c r="I746" s="12"/>
      <c r="J746" s="13"/>
      <c r="K746" s="14" t="str">
        <f>IF(C746="","",IFERROR(N('Fee Settings'!$C$5)*(E746+N(F746)-N(J746))+N('Fee Settings'!$C$6)*(E746+N(F746)+N(G746))+N('Fee Settings'!$C$7)+N('Fee Settings'!$C$10)*D746+IF(I746="Yes",MIN(N('Fee Settings'!$C$8)*(E746+N(F746)),N('Fee Settings'!$C$9)),0),""))</f>
        <v/>
      </c>
      <c r="L746" s="14" t="str">
        <f>IF(C746="","",IFERROR(D746*N(INDEX(Products!$C$5:$C$29,MATCH(C746,Lists!$A$2:$A$26,0))),""))</f>
        <v/>
      </c>
      <c r="M746" s="15" t="str">
        <f t="shared" si="11"/>
        <v/>
      </c>
    </row>
    <row r="747" spans="1:13" x14ac:dyDescent="0.35">
      <c r="A747" s="11"/>
      <c r="B747" s="12"/>
      <c r="C747" s="12"/>
      <c r="D747" s="12"/>
      <c r="E747" s="13"/>
      <c r="F747" s="13"/>
      <c r="G747" s="13"/>
      <c r="H747" s="13"/>
      <c r="I747" s="12"/>
      <c r="J747" s="13"/>
      <c r="K747" s="14" t="str">
        <f>IF(C747="","",IFERROR(N('Fee Settings'!$C$5)*(E747+N(F747)-N(J747))+N('Fee Settings'!$C$6)*(E747+N(F747)+N(G747))+N('Fee Settings'!$C$7)+N('Fee Settings'!$C$10)*D747+IF(I747="Yes",MIN(N('Fee Settings'!$C$8)*(E747+N(F747)),N('Fee Settings'!$C$9)),0),""))</f>
        <v/>
      </c>
      <c r="L747" s="14" t="str">
        <f>IF(C747="","",IFERROR(D747*N(INDEX(Products!$C$5:$C$29,MATCH(C747,Lists!$A$2:$A$26,0))),""))</f>
        <v/>
      </c>
      <c r="M747" s="15" t="str">
        <f t="shared" si="11"/>
        <v/>
      </c>
    </row>
    <row r="748" spans="1:13" x14ac:dyDescent="0.35">
      <c r="A748" s="11"/>
      <c r="B748" s="12"/>
      <c r="C748" s="12"/>
      <c r="D748" s="12"/>
      <c r="E748" s="13"/>
      <c r="F748" s="13"/>
      <c r="G748" s="13"/>
      <c r="H748" s="13"/>
      <c r="I748" s="12"/>
      <c r="J748" s="13"/>
      <c r="K748" s="14" t="str">
        <f>IF(C748="","",IFERROR(N('Fee Settings'!$C$5)*(E748+N(F748)-N(J748))+N('Fee Settings'!$C$6)*(E748+N(F748)+N(G748))+N('Fee Settings'!$C$7)+N('Fee Settings'!$C$10)*D748+IF(I748="Yes",MIN(N('Fee Settings'!$C$8)*(E748+N(F748)),N('Fee Settings'!$C$9)),0),""))</f>
        <v/>
      </c>
      <c r="L748" s="14" t="str">
        <f>IF(C748="","",IFERROR(D748*N(INDEX(Products!$C$5:$C$29,MATCH(C748,Lists!$A$2:$A$26,0))),""))</f>
        <v/>
      </c>
      <c r="M748" s="15" t="str">
        <f t="shared" si="11"/>
        <v/>
      </c>
    </row>
    <row r="749" spans="1:13" x14ac:dyDescent="0.35">
      <c r="A749" s="11"/>
      <c r="B749" s="12"/>
      <c r="C749" s="12"/>
      <c r="D749" s="12"/>
      <c r="E749" s="13"/>
      <c r="F749" s="13"/>
      <c r="G749" s="13"/>
      <c r="H749" s="13"/>
      <c r="I749" s="12"/>
      <c r="J749" s="13"/>
      <c r="K749" s="14" t="str">
        <f>IF(C749="","",IFERROR(N('Fee Settings'!$C$5)*(E749+N(F749)-N(J749))+N('Fee Settings'!$C$6)*(E749+N(F749)+N(G749))+N('Fee Settings'!$C$7)+N('Fee Settings'!$C$10)*D749+IF(I749="Yes",MIN(N('Fee Settings'!$C$8)*(E749+N(F749)),N('Fee Settings'!$C$9)),0),""))</f>
        <v/>
      </c>
      <c r="L749" s="14" t="str">
        <f>IF(C749="","",IFERROR(D749*N(INDEX(Products!$C$5:$C$29,MATCH(C749,Lists!$A$2:$A$26,0))),""))</f>
        <v/>
      </c>
      <c r="M749" s="15" t="str">
        <f t="shared" si="11"/>
        <v/>
      </c>
    </row>
    <row r="750" spans="1:13" x14ac:dyDescent="0.35">
      <c r="A750" s="11"/>
      <c r="B750" s="12"/>
      <c r="C750" s="12"/>
      <c r="D750" s="12"/>
      <c r="E750" s="13"/>
      <c r="F750" s="13"/>
      <c r="G750" s="13"/>
      <c r="H750" s="13"/>
      <c r="I750" s="12"/>
      <c r="J750" s="13"/>
      <c r="K750" s="14" t="str">
        <f>IF(C750="","",IFERROR(N('Fee Settings'!$C$5)*(E750+N(F750)-N(J750))+N('Fee Settings'!$C$6)*(E750+N(F750)+N(G750))+N('Fee Settings'!$C$7)+N('Fee Settings'!$C$10)*D750+IF(I750="Yes",MIN(N('Fee Settings'!$C$8)*(E750+N(F750)),N('Fee Settings'!$C$9)),0),""))</f>
        <v/>
      </c>
      <c r="L750" s="14" t="str">
        <f>IF(C750="","",IFERROR(D750*N(INDEX(Products!$C$5:$C$29,MATCH(C750,Lists!$A$2:$A$26,0))),""))</f>
        <v/>
      </c>
      <c r="M750" s="15" t="str">
        <f t="shared" si="11"/>
        <v/>
      </c>
    </row>
    <row r="751" spans="1:13" x14ac:dyDescent="0.35">
      <c r="A751" s="11"/>
      <c r="B751" s="12"/>
      <c r="C751" s="12"/>
      <c r="D751" s="12"/>
      <c r="E751" s="13"/>
      <c r="F751" s="13"/>
      <c r="G751" s="13"/>
      <c r="H751" s="13"/>
      <c r="I751" s="12"/>
      <c r="J751" s="13"/>
      <c r="K751" s="14" t="str">
        <f>IF(C751="","",IFERROR(N('Fee Settings'!$C$5)*(E751+N(F751)-N(J751))+N('Fee Settings'!$C$6)*(E751+N(F751)+N(G751))+N('Fee Settings'!$C$7)+N('Fee Settings'!$C$10)*D751+IF(I751="Yes",MIN(N('Fee Settings'!$C$8)*(E751+N(F751)),N('Fee Settings'!$C$9)),0),""))</f>
        <v/>
      </c>
      <c r="L751" s="14" t="str">
        <f>IF(C751="","",IFERROR(D751*N(INDEX(Products!$C$5:$C$29,MATCH(C751,Lists!$A$2:$A$26,0))),""))</f>
        <v/>
      </c>
      <c r="M751" s="15" t="str">
        <f t="shared" si="11"/>
        <v/>
      </c>
    </row>
    <row r="752" spans="1:13" x14ac:dyDescent="0.35">
      <c r="A752" s="11"/>
      <c r="B752" s="12"/>
      <c r="C752" s="12"/>
      <c r="D752" s="12"/>
      <c r="E752" s="13"/>
      <c r="F752" s="13"/>
      <c r="G752" s="13"/>
      <c r="H752" s="13"/>
      <c r="I752" s="12"/>
      <c r="J752" s="13"/>
      <c r="K752" s="14" t="str">
        <f>IF(C752="","",IFERROR(N('Fee Settings'!$C$5)*(E752+N(F752)-N(J752))+N('Fee Settings'!$C$6)*(E752+N(F752)+N(G752))+N('Fee Settings'!$C$7)+N('Fee Settings'!$C$10)*D752+IF(I752="Yes",MIN(N('Fee Settings'!$C$8)*(E752+N(F752)),N('Fee Settings'!$C$9)),0),""))</f>
        <v/>
      </c>
      <c r="L752" s="14" t="str">
        <f>IF(C752="","",IFERROR(D752*N(INDEX(Products!$C$5:$C$29,MATCH(C752,Lists!$A$2:$A$26,0))),""))</f>
        <v/>
      </c>
      <c r="M752" s="15" t="str">
        <f t="shared" si="11"/>
        <v/>
      </c>
    </row>
    <row r="753" spans="1:13" x14ac:dyDescent="0.35">
      <c r="A753" s="11"/>
      <c r="B753" s="12"/>
      <c r="C753" s="12"/>
      <c r="D753" s="12"/>
      <c r="E753" s="13"/>
      <c r="F753" s="13"/>
      <c r="G753" s="13"/>
      <c r="H753" s="13"/>
      <c r="I753" s="12"/>
      <c r="J753" s="13"/>
      <c r="K753" s="14" t="str">
        <f>IF(C753="","",IFERROR(N('Fee Settings'!$C$5)*(E753+N(F753)-N(J753))+N('Fee Settings'!$C$6)*(E753+N(F753)+N(G753))+N('Fee Settings'!$C$7)+N('Fee Settings'!$C$10)*D753+IF(I753="Yes",MIN(N('Fee Settings'!$C$8)*(E753+N(F753)),N('Fee Settings'!$C$9)),0),""))</f>
        <v/>
      </c>
      <c r="L753" s="14" t="str">
        <f>IF(C753="","",IFERROR(D753*N(INDEX(Products!$C$5:$C$29,MATCH(C753,Lists!$A$2:$A$26,0))),""))</f>
        <v/>
      </c>
      <c r="M753" s="15" t="str">
        <f t="shared" si="11"/>
        <v/>
      </c>
    </row>
    <row r="754" spans="1:13" x14ac:dyDescent="0.35">
      <c r="A754" s="11"/>
      <c r="B754" s="12"/>
      <c r="C754" s="12"/>
      <c r="D754" s="12"/>
      <c r="E754" s="13"/>
      <c r="F754" s="13"/>
      <c r="G754" s="13"/>
      <c r="H754" s="13"/>
      <c r="I754" s="12"/>
      <c r="J754" s="13"/>
      <c r="K754" s="14" t="str">
        <f>IF(C754="","",IFERROR(N('Fee Settings'!$C$5)*(E754+N(F754)-N(J754))+N('Fee Settings'!$C$6)*(E754+N(F754)+N(G754))+N('Fee Settings'!$C$7)+N('Fee Settings'!$C$10)*D754+IF(I754="Yes",MIN(N('Fee Settings'!$C$8)*(E754+N(F754)),N('Fee Settings'!$C$9)),0),""))</f>
        <v/>
      </c>
      <c r="L754" s="14" t="str">
        <f>IF(C754="","",IFERROR(D754*N(INDEX(Products!$C$5:$C$29,MATCH(C754,Lists!$A$2:$A$26,0))),""))</f>
        <v/>
      </c>
      <c r="M754" s="15" t="str">
        <f t="shared" si="11"/>
        <v/>
      </c>
    </row>
    <row r="755" spans="1:13" x14ac:dyDescent="0.35">
      <c r="A755" s="11"/>
      <c r="B755" s="12"/>
      <c r="C755" s="12"/>
      <c r="D755" s="12"/>
      <c r="E755" s="13"/>
      <c r="F755" s="13"/>
      <c r="G755" s="13"/>
      <c r="H755" s="13"/>
      <c r="I755" s="12"/>
      <c r="J755" s="13"/>
      <c r="K755" s="14" t="str">
        <f>IF(C755="","",IFERROR(N('Fee Settings'!$C$5)*(E755+N(F755)-N(J755))+N('Fee Settings'!$C$6)*(E755+N(F755)+N(G755))+N('Fee Settings'!$C$7)+N('Fee Settings'!$C$10)*D755+IF(I755="Yes",MIN(N('Fee Settings'!$C$8)*(E755+N(F755)),N('Fee Settings'!$C$9)),0),""))</f>
        <v/>
      </c>
      <c r="L755" s="14" t="str">
        <f>IF(C755="","",IFERROR(D755*N(INDEX(Products!$C$5:$C$29,MATCH(C755,Lists!$A$2:$A$26,0))),""))</f>
        <v/>
      </c>
      <c r="M755" s="15" t="str">
        <f t="shared" si="11"/>
        <v/>
      </c>
    </row>
    <row r="756" spans="1:13" x14ac:dyDescent="0.35">
      <c r="A756" s="11"/>
      <c r="B756" s="12"/>
      <c r="C756" s="12"/>
      <c r="D756" s="12"/>
      <c r="E756" s="13"/>
      <c r="F756" s="13"/>
      <c r="G756" s="13"/>
      <c r="H756" s="13"/>
      <c r="I756" s="12"/>
      <c r="J756" s="13"/>
      <c r="K756" s="14" t="str">
        <f>IF(C756="","",IFERROR(N('Fee Settings'!$C$5)*(E756+N(F756)-N(J756))+N('Fee Settings'!$C$6)*(E756+N(F756)+N(G756))+N('Fee Settings'!$C$7)+N('Fee Settings'!$C$10)*D756+IF(I756="Yes",MIN(N('Fee Settings'!$C$8)*(E756+N(F756)),N('Fee Settings'!$C$9)),0),""))</f>
        <v/>
      </c>
      <c r="L756" s="14" t="str">
        <f>IF(C756="","",IFERROR(D756*N(INDEX(Products!$C$5:$C$29,MATCH(C756,Lists!$A$2:$A$26,0))),""))</f>
        <v/>
      </c>
      <c r="M756" s="15" t="str">
        <f t="shared" si="11"/>
        <v/>
      </c>
    </row>
    <row r="757" spans="1:13" x14ac:dyDescent="0.35">
      <c r="A757" s="11"/>
      <c r="B757" s="12"/>
      <c r="C757" s="12"/>
      <c r="D757" s="12"/>
      <c r="E757" s="13"/>
      <c r="F757" s="13"/>
      <c r="G757" s="13"/>
      <c r="H757" s="13"/>
      <c r="I757" s="12"/>
      <c r="J757" s="13"/>
      <c r="K757" s="14" t="str">
        <f>IF(C757="","",IFERROR(N('Fee Settings'!$C$5)*(E757+N(F757)-N(J757))+N('Fee Settings'!$C$6)*(E757+N(F757)+N(G757))+N('Fee Settings'!$C$7)+N('Fee Settings'!$C$10)*D757+IF(I757="Yes",MIN(N('Fee Settings'!$C$8)*(E757+N(F757)),N('Fee Settings'!$C$9)),0),""))</f>
        <v/>
      </c>
      <c r="L757" s="14" t="str">
        <f>IF(C757="","",IFERROR(D757*N(INDEX(Products!$C$5:$C$29,MATCH(C757,Lists!$A$2:$A$26,0))),""))</f>
        <v/>
      </c>
      <c r="M757" s="15" t="str">
        <f t="shared" si="11"/>
        <v/>
      </c>
    </row>
    <row r="758" spans="1:13" x14ac:dyDescent="0.35">
      <c r="A758" s="11"/>
      <c r="B758" s="12"/>
      <c r="C758" s="12"/>
      <c r="D758" s="12"/>
      <c r="E758" s="13"/>
      <c r="F758" s="13"/>
      <c r="G758" s="13"/>
      <c r="H758" s="13"/>
      <c r="I758" s="12"/>
      <c r="J758" s="13"/>
      <c r="K758" s="14" t="str">
        <f>IF(C758="","",IFERROR(N('Fee Settings'!$C$5)*(E758+N(F758)-N(J758))+N('Fee Settings'!$C$6)*(E758+N(F758)+N(G758))+N('Fee Settings'!$C$7)+N('Fee Settings'!$C$10)*D758+IF(I758="Yes",MIN(N('Fee Settings'!$C$8)*(E758+N(F758)),N('Fee Settings'!$C$9)),0),""))</f>
        <v/>
      </c>
      <c r="L758" s="14" t="str">
        <f>IF(C758="","",IFERROR(D758*N(INDEX(Products!$C$5:$C$29,MATCH(C758,Lists!$A$2:$A$26,0))),""))</f>
        <v/>
      </c>
      <c r="M758" s="15" t="str">
        <f t="shared" si="11"/>
        <v/>
      </c>
    </row>
    <row r="759" spans="1:13" x14ac:dyDescent="0.35">
      <c r="A759" s="11"/>
      <c r="B759" s="12"/>
      <c r="C759" s="12"/>
      <c r="D759" s="12"/>
      <c r="E759" s="13"/>
      <c r="F759" s="13"/>
      <c r="G759" s="13"/>
      <c r="H759" s="13"/>
      <c r="I759" s="12"/>
      <c r="J759" s="13"/>
      <c r="K759" s="14" t="str">
        <f>IF(C759="","",IFERROR(N('Fee Settings'!$C$5)*(E759+N(F759)-N(J759))+N('Fee Settings'!$C$6)*(E759+N(F759)+N(G759))+N('Fee Settings'!$C$7)+N('Fee Settings'!$C$10)*D759+IF(I759="Yes",MIN(N('Fee Settings'!$C$8)*(E759+N(F759)),N('Fee Settings'!$C$9)),0),""))</f>
        <v/>
      </c>
      <c r="L759" s="14" t="str">
        <f>IF(C759="","",IFERROR(D759*N(INDEX(Products!$C$5:$C$29,MATCH(C759,Lists!$A$2:$A$26,0))),""))</f>
        <v/>
      </c>
      <c r="M759" s="15" t="str">
        <f t="shared" si="11"/>
        <v/>
      </c>
    </row>
    <row r="760" spans="1:13" x14ac:dyDescent="0.35">
      <c r="A760" s="11"/>
      <c r="B760" s="12"/>
      <c r="C760" s="12"/>
      <c r="D760" s="12"/>
      <c r="E760" s="13"/>
      <c r="F760" s="13"/>
      <c r="G760" s="13"/>
      <c r="H760" s="13"/>
      <c r="I760" s="12"/>
      <c r="J760" s="13"/>
      <c r="K760" s="14" t="str">
        <f>IF(C760="","",IFERROR(N('Fee Settings'!$C$5)*(E760+N(F760)-N(J760))+N('Fee Settings'!$C$6)*(E760+N(F760)+N(G760))+N('Fee Settings'!$C$7)+N('Fee Settings'!$C$10)*D760+IF(I760="Yes",MIN(N('Fee Settings'!$C$8)*(E760+N(F760)),N('Fee Settings'!$C$9)),0),""))</f>
        <v/>
      </c>
      <c r="L760" s="14" t="str">
        <f>IF(C760="","",IFERROR(D760*N(INDEX(Products!$C$5:$C$29,MATCH(C760,Lists!$A$2:$A$26,0))),""))</f>
        <v/>
      </c>
      <c r="M760" s="15" t="str">
        <f t="shared" si="11"/>
        <v/>
      </c>
    </row>
    <row r="761" spans="1:13" x14ac:dyDescent="0.35">
      <c r="A761" s="11"/>
      <c r="B761" s="12"/>
      <c r="C761" s="12"/>
      <c r="D761" s="12"/>
      <c r="E761" s="13"/>
      <c r="F761" s="13"/>
      <c r="G761" s="13"/>
      <c r="H761" s="13"/>
      <c r="I761" s="12"/>
      <c r="J761" s="13"/>
      <c r="K761" s="14" t="str">
        <f>IF(C761="","",IFERROR(N('Fee Settings'!$C$5)*(E761+N(F761)-N(J761))+N('Fee Settings'!$C$6)*(E761+N(F761)+N(G761))+N('Fee Settings'!$C$7)+N('Fee Settings'!$C$10)*D761+IF(I761="Yes",MIN(N('Fee Settings'!$C$8)*(E761+N(F761)),N('Fee Settings'!$C$9)),0),""))</f>
        <v/>
      </c>
      <c r="L761" s="14" t="str">
        <f>IF(C761="","",IFERROR(D761*N(INDEX(Products!$C$5:$C$29,MATCH(C761,Lists!$A$2:$A$26,0))),""))</f>
        <v/>
      </c>
      <c r="M761" s="15" t="str">
        <f t="shared" si="11"/>
        <v/>
      </c>
    </row>
    <row r="762" spans="1:13" x14ac:dyDescent="0.35">
      <c r="A762" s="11"/>
      <c r="B762" s="12"/>
      <c r="C762" s="12"/>
      <c r="D762" s="12"/>
      <c r="E762" s="13"/>
      <c r="F762" s="13"/>
      <c r="G762" s="13"/>
      <c r="H762" s="13"/>
      <c r="I762" s="12"/>
      <c r="J762" s="13"/>
      <c r="K762" s="14" t="str">
        <f>IF(C762="","",IFERROR(N('Fee Settings'!$C$5)*(E762+N(F762)-N(J762))+N('Fee Settings'!$C$6)*(E762+N(F762)+N(G762))+N('Fee Settings'!$C$7)+N('Fee Settings'!$C$10)*D762+IF(I762="Yes",MIN(N('Fee Settings'!$C$8)*(E762+N(F762)),N('Fee Settings'!$C$9)),0),""))</f>
        <v/>
      </c>
      <c r="L762" s="14" t="str">
        <f>IF(C762="","",IFERROR(D762*N(INDEX(Products!$C$5:$C$29,MATCH(C762,Lists!$A$2:$A$26,0))),""))</f>
        <v/>
      </c>
      <c r="M762" s="15" t="str">
        <f t="shared" si="11"/>
        <v/>
      </c>
    </row>
    <row r="763" spans="1:13" x14ac:dyDescent="0.35">
      <c r="A763" s="11"/>
      <c r="B763" s="12"/>
      <c r="C763" s="12"/>
      <c r="D763" s="12"/>
      <c r="E763" s="13"/>
      <c r="F763" s="13"/>
      <c r="G763" s="13"/>
      <c r="H763" s="13"/>
      <c r="I763" s="12"/>
      <c r="J763" s="13"/>
      <c r="K763" s="14" t="str">
        <f>IF(C763="","",IFERROR(N('Fee Settings'!$C$5)*(E763+N(F763)-N(J763))+N('Fee Settings'!$C$6)*(E763+N(F763)+N(G763))+N('Fee Settings'!$C$7)+N('Fee Settings'!$C$10)*D763+IF(I763="Yes",MIN(N('Fee Settings'!$C$8)*(E763+N(F763)),N('Fee Settings'!$C$9)),0),""))</f>
        <v/>
      </c>
      <c r="L763" s="14" t="str">
        <f>IF(C763="","",IFERROR(D763*N(INDEX(Products!$C$5:$C$29,MATCH(C763,Lists!$A$2:$A$26,0))),""))</f>
        <v/>
      </c>
      <c r="M763" s="15" t="str">
        <f t="shared" si="11"/>
        <v/>
      </c>
    </row>
    <row r="764" spans="1:13" x14ac:dyDescent="0.35">
      <c r="A764" s="11"/>
      <c r="B764" s="12"/>
      <c r="C764" s="12"/>
      <c r="D764" s="12"/>
      <c r="E764" s="13"/>
      <c r="F764" s="13"/>
      <c r="G764" s="13"/>
      <c r="H764" s="13"/>
      <c r="I764" s="12"/>
      <c r="J764" s="13"/>
      <c r="K764" s="14" t="str">
        <f>IF(C764="","",IFERROR(N('Fee Settings'!$C$5)*(E764+N(F764)-N(J764))+N('Fee Settings'!$C$6)*(E764+N(F764)+N(G764))+N('Fee Settings'!$C$7)+N('Fee Settings'!$C$10)*D764+IF(I764="Yes",MIN(N('Fee Settings'!$C$8)*(E764+N(F764)),N('Fee Settings'!$C$9)),0),""))</f>
        <v/>
      </c>
      <c r="L764" s="14" t="str">
        <f>IF(C764="","",IFERROR(D764*N(INDEX(Products!$C$5:$C$29,MATCH(C764,Lists!$A$2:$A$26,0))),""))</f>
        <v/>
      </c>
      <c r="M764" s="15" t="str">
        <f t="shared" si="11"/>
        <v/>
      </c>
    </row>
    <row r="765" spans="1:13" x14ac:dyDescent="0.35">
      <c r="A765" s="11"/>
      <c r="B765" s="12"/>
      <c r="C765" s="12"/>
      <c r="D765" s="12"/>
      <c r="E765" s="13"/>
      <c r="F765" s="13"/>
      <c r="G765" s="13"/>
      <c r="H765" s="13"/>
      <c r="I765" s="12"/>
      <c r="J765" s="13"/>
      <c r="K765" s="14" t="str">
        <f>IF(C765="","",IFERROR(N('Fee Settings'!$C$5)*(E765+N(F765)-N(J765))+N('Fee Settings'!$C$6)*(E765+N(F765)+N(G765))+N('Fee Settings'!$C$7)+N('Fee Settings'!$C$10)*D765+IF(I765="Yes",MIN(N('Fee Settings'!$C$8)*(E765+N(F765)),N('Fee Settings'!$C$9)),0),""))</f>
        <v/>
      </c>
      <c r="L765" s="14" t="str">
        <f>IF(C765="","",IFERROR(D765*N(INDEX(Products!$C$5:$C$29,MATCH(C765,Lists!$A$2:$A$26,0))),""))</f>
        <v/>
      </c>
      <c r="M765" s="15" t="str">
        <f t="shared" si="11"/>
        <v/>
      </c>
    </row>
    <row r="766" spans="1:13" x14ac:dyDescent="0.35">
      <c r="A766" s="11"/>
      <c r="B766" s="12"/>
      <c r="C766" s="12"/>
      <c r="D766" s="12"/>
      <c r="E766" s="13"/>
      <c r="F766" s="13"/>
      <c r="G766" s="13"/>
      <c r="H766" s="13"/>
      <c r="I766" s="12"/>
      <c r="J766" s="13"/>
      <c r="K766" s="14" t="str">
        <f>IF(C766="","",IFERROR(N('Fee Settings'!$C$5)*(E766+N(F766)-N(J766))+N('Fee Settings'!$C$6)*(E766+N(F766)+N(G766))+N('Fee Settings'!$C$7)+N('Fee Settings'!$C$10)*D766+IF(I766="Yes",MIN(N('Fee Settings'!$C$8)*(E766+N(F766)),N('Fee Settings'!$C$9)),0),""))</f>
        <v/>
      </c>
      <c r="L766" s="14" t="str">
        <f>IF(C766="","",IFERROR(D766*N(INDEX(Products!$C$5:$C$29,MATCH(C766,Lists!$A$2:$A$26,0))),""))</f>
        <v/>
      </c>
      <c r="M766" s="15" t="str">
        <f t="shared" si="11"/>
        <v/>
      </c>
    </row>
    <row r="767" spans="1:13" x14ac:dyDescent="0.35">
      <c r="A767" s="11"/>
      <c r="B767" s="12"/>
      <c r="C767" s="12"/>
      <c r="D767" s="12"/>
      <c r="E767" s="13"/>
      <c r="F767" s="13"/>
      <c r="G767" s="13"/>
      <c r="H767" s="13"/>
      <c r="I767" s="12"/>
      <c r="J767" s="13"/>
      <c r="K767" s="14" t="str">
        <f>IF(C767="","",IFERROR(N('Fee Settings'!$C$5)*(E767+N(F767)-N(J767))+N('Fee Settings'!$C$6)*(E767+N(F767)+N(G767))+N('Fee Settings'!$C$7)+N('Fee Settings'!$C$10)*D767+IF(I767="Yes",MIN(N('Fee Settings'!$C$8)*(E767+N(F767)),N('Fee Settings'!$C$9)),0),""))</f>
        <v/>
      </c>
      <c r="L767" s="14" t="str">
        <f>IF(C767="","",IFERROR(D767*N(INDEX(Products!$C$5:$C$29,MATCH(C767,Lists!$A$2:$A$26,0))),""))</f>
        <v/>
      </c>
      <c r="M767" s="15" t="str">
        <f t="shared" si="11"/>
        <v/>
      </c>
    </row>
    <row r="768" spans="1:13" x14ac:dyDescent="0.35">
      <c r="A768" s="11"/>
      <c r="B768" s="12"/>
      <c r="C768" s="12"/>
      <c r="D768" s="12"/>
      <c r="E768" s="13"/>
      <c r="F768" s="13"/>
      <c r="G768" s="13"/>
      <c r="H768" s="13"/>
      <c r="I768" s="12"/>
      <c r="J768" s="13"/>
      <c r="K768" s="14" t="str">
        <f>IF(C768="","",IFERROR(N('Fee Settings'!$C$5)*(E768+N(F768)-N(J768))+N('Fee Settings'!$C$6)*(E768+N(F768)+N(G768))+N('Fee Settings'!$C$7)+N('Fee Settings'!$C$10)*D768+IF(I768="Yes",MIN(N('Fee Settings'!$C$8)*(E768+N(F768)),N('Fee Settings'!$C$9)),0),""))</f>
        <v/>
      </c>
      <c r="L768" s="14" t="str">
        <f>IF(C768="","",IFERROR(D768*N(INDEX(Products!$C$5:$C$29,MATCH(C768,Lists!$A$2:$A$26,0))),""))</f>
        <v/>
      </c>
      <c r="M768" s="15" t="str">
        <f t="shared" si="11"/>
        <v/>
      </c>
    </row>
    <row r="769" spans="1:13" x14ac:dyDescent="0.35">
      <c r="A769" s="11"/>
      <c r="B769" s="12"/>
      <c r="C769" s="12"/>
      <c r="D769" s="12"/>
      <c r="E769" s="13"/>
      <c r="F769" s="13"/>
      <c r="G769" s="13"/>
      <c r="H769" s="13"/>
      <c r="I769" s="12"/>
      <c r="J769" s="13"/>
      <c r="K769" s="14" t="str">
        <f>IF(C769="","",IFERROR(N('Fee Settings'!$C$5)*(E769+N(F769)-N(J769))+N('Fee Settings'!$C$6)*(E769+N(F769)+N(G769))+N('Fee Settings'!$C$7)+N('Fee Settings'!$C$10)*D769+IF(I769="Yes",MIN(N('Fee Settings'!$C$8)*(E769+N(F769)),N('Fee Settings'!$C$9)),0),""))</f>
        <v/>
      </c>
      <c r="L769" s="14" t="str">
        <f>IF(C769="","",IFERROR(D769*N(INDEX(Products!$C$5:$C$29,MATCH(C769,Lists!$A$2:$A$26,0))),""))</f>
        <v/>
      </c>
      <c r="M769" s="15" t="str">
        <f t="shared" si="11"/>
        <v/>
      </c>
    </row>
    <row r="770" spans="1:13" x14ac:dyDescent="0.35">
      <c r="A770" s="11"/>
      <c r="B770" s="12"/>
      <c r="C770" s="12"/>
      <c r="D770" s="12"/>
      <c r="E770" s="13"/>
      <c r="F770" s="13"/>
      <c r="G770" s="13"/>
      <c r="H770" s="13"/>
      <c r="I770" s="12"/>
      <c r="J770" s="13"/>
      <c r="K770" s="14" t="str">
        <f>IF(C770="","",IFERROR(N('Fee Settings'!$C$5)*(E770+N(F770)-N(J770))+N('Fee Settings'!$C$6)*(E770+N(F770)+N(G770))+N('Fee Settings'!$C$7)+N('Fee Settings'!$C$10)*D770+IF(I770="Yes",MIN(N('Fee Settings'!$C$8)*(E770+N(F770)),N('Fee Settings'!$C$9)),0),""))</f>
        <v/>
      </c>
      <c r="L770" s="14" t="str">
        <f>IF(C770="","",IFERROR(D770*N(INDEX(Products!$C$5:$C$29,MATCH(C770,Lists!$A$2:$A$26,0))),""))</f>
        <v/>
      </c>
      <c r="M770" s="15" t="str">
        <f t="shared" si="11"/>
        <v/>
      </c>
    </row>
    <row r="771" spans="1:13" x14ac:dyDescent="0.35">
      <c r="A771" s="11"/>
      <c r="B771" s="12"/>
      <c r="C771" s="12"/>
      <c r="D771" s="12"/>
      <c r="E771" s="13"/>
      <c r="F771" s="13"/>
      <c r="G771" s="13"/>
      <c r="H771" s="13"/>
      <c r="I771" s="12"/>
      <c r="J771" s="13"/>
      <c r="K771" s="14" t="str">
        <f>IF(C771="","",IFERROR(N('Fee Settings'!$C$5)*(E771+N(F771)-N(J771))+N('Fee Settings'!$C$6)*(E771+N(F771)+N(G771))+N('Fee Settings'!$C$7)+N('Fee Settings'!$C$10)*D771+IF(I771="Yes",MIN(N('Fee Settings'!$C$8)*(E771+N(F771)),N('Fee Settings'!$C$9)),0),""))</f>
        <v/>
      </c>
      <c r="L771" s="14" t="str">
        <f>IF(C771="","",IFERROR(D771*N(INDEX(Products!$C$5:$C$29,MATCH(C771,Lists!$A$2:$A$26,0))),""))</f>
        <v/>
      </c>
      <c r="M771" s="15" t="str">
        <f t="shared" si="11"/>
        <v/>
      </c>
    </row>
    <row r="772" spans="1:13" x14ac:dyDescent="0.35">
      <c r="A772" s="11"/>
      <c r="B772" s="12"/>
      <c r="C772" s="12"/>
      <c r="D772" s="12"/>
      <c r="E772" s="13"/>
      <c r="F772" s="13"/>
      <c r="G772" s="13"/>
      <c r="H772" s="13"/>
      <c r="I772" s="12"/>
      <c r="J772" s="13"/>
      <c r="K772" s="14" t="str">
        <f>IF(C772="","",IFERROR(N('Fee Settings'!$C$5)*(E772+N(F772)-N(J772))+N('Fee Settings'!$C$6)*(E772+N(F772)+N(G772))+N('Fee Settings'!$C$7)+N('Fee Settings'!$C$10)*D772+IF(I772="Yes",MIN(N('Fee Settings'!$C$8)*(E772+N(F772)),N('Fee Settings'!$C$9)),0),""))</f>
        <v/>
      </c>
      <c r="L772" s="14" t="str">
        <f>IF(C772="","",IFERROR(D772*N(INDEX(Products!$C$5:$C$29,MATCH(C772,Lists!$A$2:$A$26,0))),""))</f>
        <v/>
      </c>
      <c r="M772" s="15" t="str">
        <f t="shared" si="11"/>
        <v/>
      </c>
    </row>
    <row r="773" spans="1:13" x14ac:dyDescent="0.35">
      <c r="A773" s="11"/>
      <c r="B773" s="12"/>
      <c r="C773" s="12"/>
      <c r="D773" s="12"/>
      <c r="E773" s="13"/>
      <c r="F773" s="13"/>
      <c r="G773" s="13"/>
      <c r="H773" s="13"/>
      <c r="I773" s="12"/>
      <c r="J773" s="13"/>
      <c r="K773" s="14" t="str">
        <f>IF(C773="","",IFERROR(N('Fee Settings'!$C$5)*(E773+N(F773)-N(J773))+N('Fee Settings'!$C$6)*(E773+N(F773)+N(G773))+N('Fee Settings'!$C$7)+N('Fee Settings'!$C$10)*D773+IF(I773="Yes",MIN(N('Fee Settings'!$C$8)*(E773+N(F773)),N('Fee Settings'!$C$9)),0),""))</f>
        <v/>
      </c>
      <c r="L773" s="14" t="str">
        <f>IF(C773="","",IFERROR(D773*N(INDEX(Products!$C$5:$C$29,MATCH(C773,Lists!$A$2:$A$26,0))),""))</f>
        <v/>
      </c>
      <c r="M773" s="15" t="str">
        <f t="shared" ref="M773:M836" si="12">IF(C773="","",IFERROR(E773+N(F773)-N(J773)-K773-L773-N(H773),""))</f>
        <v/>
      </c>
    </row>
    <row r="774" spans="1:13" x14ac:dyDescent="0.35">
      <c r="A774" s="11"/>
      <c r="B774" s="12"/>
      <c r="C774" s="12"/>
      <c r="D774" s="12"/>
      <c r="E774" s="13"/>
      <c r="F774" s="13"/>
      <c r="G774" s="13"/>
      <c r="H774" s="13"/>
      <c r="I774" s="12"/>
      <c r="J774" s="13"/>
      <c r="K774" s="14" t="str">
        <f>IF(C774="","",IFERROR(N('Fee Settings'!$C$5)*(E774+N(F774)-N(J774))+N('Fee Settings'!$C$6)*(E774+N(F774)+N(G774))+N('Fee Settings'!$C$7)+N('Fee Settings'!$C$10)*D774+IF(I774="Yes",MIN(N('Fee Settings'!$C$8)*(E774+N(F774)),N('Fee Settings'!$C$9)),0),""))</f>
        <v/>
      </c>
      <c r="L774" s="14" t="str">
        <f>IF(C774="","",IFERROR(D774*N(INDEX(Products!$C$5:$C$29,MATCH(C774,Lists!$A$2:$A$26,0))),""))</f>
        <v/>
      </c>
      <c r="M774" s="15" t="str">
        <f t="shared" si="12"/>
        <v/>
      </c>
    </row>
    <row r="775" spans="1:13" x14ac:dyDescent="0.35">
      <c r="A775" s="11"/>
      <c r="B775" s="12"/>
      <c r="C775" s="12"/>
      <c r="D775" s="12"/>
      <c r="E775" s="13"/>
      <c r="F775" s="13"/>
      <c r="G775" s="13"/>
      <c r="H775" s="13"/>
      <c r="I775" s="12"/>
      <c r="J775" s="13"/>
      <c r="K775" s="14" t="str">
        <f>IF(C775="","",IFERROR(N('Fee Settings'!$C$5)*(E775+N(F775)-N(J775))+N('Fee Settings'!$C$6)*(E775+N(F775)+N(G775))+N('Fee Settings'!$C$7)+N('Fee Settings'!$C$10)*D775+IF(I775="Yes",MIN(N('Fee Settings'!$C$8)*(E775+N(F775)),N('Fee Settings'!$C$9)),0),""))</f>
        <v/>
      </c>
      <c r="L775" s="14" t="str">
        <f>IF(C775="","",IFERROR(D775*N(INDEX(Products!$C$5:$C$29,MATCH(C775,Lists!$A$2:$A$26,0))),""))</f>
        <v/>
      </c>
      <c r="M775" s="15" t="str">
        <f t="shared" si="12"/>
        <v/>
      </c>
    </row>
    <row r="776" spans="1:13" x14ac:dyDescent="0.35">
      <c r="A776" s="11"/>
      <c r="B776" s="12"/>
      <c r="C776" s="12"/>
      <c r="D776" s="12"/>
      <c r="E776" s="13"/>
      <c r="F776" s="13"/>
      <c r="G776" s="13"/>
      <c r="H776" s="13"/>
      <c r="I776" s="12"/>
      <c r="J776" s="13"/>
      <c r="K776" s="14" t="str">
        <f>IF(C776="","",IFERROR(N('Fee Settings'!$C$5)*(E776+N(F776)-N(J776))+N('Fee Settings'!$C$6)*(E776+N(F776)+N(G776))+N('Fee Settings'!$C$7)+N('Fee Settings'!$C$10)*D776+IF(I776="Yes",MIN(N('Fee Settings'!$C$8)*(E776+N(F776)),N('Fee Settings'!$C$9)),0),""))</f>
        <v/>
      </c>
      <c r="L776" s="14" t="str">
        <f>IF(C776="","",IFERROR(D776*N(INDEX(Products!$C$5:$C$29,MATCH(C776,Lists!$A$2:$A$26,0))),""))</f>
        <v/>
      </c>
      <c r="M776" s="15" t="str">
        <f t="shared" si="12"/>
        <v/>
      </c>
    </row>
    <row r="777" spans="1:13" x14ac:dyDescent="0.35">
      <c r="A777" s="11"/>
      <c r="B777" s="12"/>
      <c r="C777" s="12"/>
      <c r="D777" s="12"/>
      <c r="E777" s="13"/>
      <c r="F777" s="13"/>
      <c r="G777" s="13"/>
      <c r="H777" s="13"/>
      <c r="I777" s="12"/>
      <c r="J777" s="13"/>
      <c r="K777" s="14" t="str">
        <f>IF(C777="","",IFERROR(N('Fee Settings'!$C$5)*(E777+N(F777)-N(J777))+N('Fee Settings'!$C$6)*(E777+N(F777)+N(G777))+N('Fee Settings'!$C$7)+N('Fee Settings'!$C$10)*D777+IF(I777="Yes",MIN(N('Fee Settings'!$C$8)*(E777+N(F777)),N('Fee Settings'!$C$9)),0),""))</f>
        <v/>
      </c>
      <c r="L777" s="14" t="str">
        <f>IF(C777="","",IFERROR(D777*N(INDEX(Products!$C$5:$C$29,MATCH(C777,Lists!$A$2:$A$26,0))),""))</f>
        <v/>
      </c>
      <c r="M777" s="15" t="str">
        <f t="shared" si="12"/>
        <v/>
      </c>
    </row>
    <row r="778" spans="1:13" x14ac:dyDescent="0.35">
      <c r="A778" s="11"/>
      <c r="B778" s="12"/>
      <c r="C778" s="12"/>
      <c r="D778" s="12"/>
      <c r="E778" s="13"/>
      <c r="F778" s="13"/>
      <c r="G778" s="13"/>
      <c r="H778" s="13"/>
      <c r="I778" s="12"/>
      <c r="J778" s="13"/>
      <c r="K778" s="14" t="str">
        <f>IF(C778="","",IFERROR(N('Fee Settings'!$C$5)*(E778+N(F778)-N(J778))+N('Fee Settings'!$C$6)*(E778+N(F778)+N(G778))+N('Fee Settings'!$C$7)+N('Fee Settings'!$C$10)*D778+IF(I778="Yes",MIN(N('Fee Settings'!$C$8)*(E778+N(F778)),N('Fee Settings'!$C$9)),0),""))</f>
        <v/>
      </c>
      <c r="L778" s="14" t="str">
        <f>IF(C778="","",IFERROR(D778*N(INDEX(Products!$C$5:$C$29,MATCH(C778,Lists!$A$2:$A$26,0))),""))</f>
        <v/>
      </c>
      <c r="M778" s="15" t="str">
        <f t="shared" si="12"/>
        <v/>
      </c>
    </row>
    <row r="779" spans="1:13" x14ac:dyDescent="0.35">
      <c r="A779" s="11"/>
      <c r="B779" s="12"/>
      <c r="C779" s="12"/>
      <c r="D779" s="12"/>
      <c r="E779" s="13"/>
      <c r="F779" s="13"/>
      <c r="G779" s="13"/>
      <c r="H779" s="13"/>
      <c r="I779" s="12"/>
      <c r="J779" s="13"/>
      <c r="K779" s="14" t="str">
        <f>IF(C779="","",IFERROR(N('Fee Settings'!$C$5)*(E779+N(F779)-N(J779))+N('Fee Settings'!$C$6)*(E779+N(F779)+N(G779))+N('Fee Settings'!$C$7)+N('Fee Settings'!$C$10)*D779+IF(I779="Yes",MIN(N('Fee Settings'!$C$8)*(E779+N(F779)),N('Fee Settings'!$C$9)),0),""))</f>
        <v/>
      </c>
      <c r="L779" s="14" t="str">
        <f>IF(C779="","",IFERROR(D779*N(INDEX(Products!$C$5:$C$29,MATCH(C779,Lists!$A$2:$A$26,0))),""))</f>
        <v/>
      </c>
      <c r="M779" s="15" t="str">
        <f t="shared" si="12"/>
        <v/>
      </c>
    </row>
    <row r="780" spans="1:13" x14ac:dyDescent="0.35">
      <c r="A780" s="11"/>
      <c r="B780" s="12"/>
      <c r="C780" s="12"/>
      <c r="D780" s="12"/>
      <c r="E780" s="13"/>
      <c r="F780" s="13"/>
      <c r="G780" s="13"/>
      <c r="H780" s="13"/>
      <c r="I780" s="12"/>
      <c r="J780" s="13"/>
      <c r="K780" s="14" t="str">
        <f>IF(C780="","",IFERROR(N('Fee Settings'!$C$5)*(E780+N(F780)-N(J780))+N('Fee Settings'!$C$6)*(E780+N(F780)+N(G780))+N('Fee Settings'!$C$7)+N('Fee Settings'!$C$10)*D780+IF(I780="Yes",MIN(N('Fee Settings'!$C$8)*(E780+N(F780)),N('Fee Settings'!$C$9)),0),""))</f>
        <v/>
      </c>
      <c r="L780" s="14" t="str">
        <f>IF(C780="","",IFERROR(D780*N(INDEX(Products!$C$5:$C$29,MATCH(C780,Lists!$A$2:$A$26,0))),""))</f>
        <v/>
      </c>
      <c r="M780" s="15" t="str">
        <f t="shared" si="12"/>
        <v/>
      </c>
    </row>
    <row r="781" spans="1:13" x14ac:dyDescent="0.35">
      <c r="A781" s="11"/>
      <c r="B781" s="12"/>
      <c r="C781" s="12"/>
      <c r="D781" s="12"/>
      <c r="E781" s="13"/>
      <c r="F781" s="13"/>
      <c r="G781" s="13"/>
      <c r="H781" s="13"/>
      <c r="I781" s="12"/>
      <c r="J781" s="13"/>
      <c r="K781" s="14" t="str">
        <f>IF(C781="","",IFERROR(N('Fee Settings'!$C$5)*(E781+N(F781)-N(J781))+N('Fee Settings'!$C$6)*(E781+N(F781)+N(G781))+N('Fee Settings'!$C$7)+N('Fee Settings'!$C$10)*D781+IF(I781="Yes",MIN(N('Fee Settings'!$C$8)*(E781+N(F781)),N('Fee Settings'!$C$9)),0),""))</f>
        <v/>
      </c>
      <c r="L781" s="14" t="str">
        <f>IF(C781="","",IFERROR(D781*N(INDEX(Products!$C$5:$C$29,MATCH(C781,Lists!$A$2:$A$26,0))),""))</f>
        <v/>
      </c>
      <c r="M781" s="15" t="str">
        <f t="shared" si="12"/>
        <v/>
      </c>
    </row>
    <row r="782" spans="1:13" x14ac:dyDescent="0.35">
      <c r="A782" s="11"/>
      <c r="B782" s="12"/>
      <c r="C782" s="12"/>
      <c r="D782" s="12"/>
      <c r="E782" s="13"/>
      <c r="F782" s="13"/>
      <c r="G782" s="13"/>
      <c r="H782" s="13"/>
      <c r="I782" s="12"/>
      <c r="J782" s="13"/>
      <c r="K782" s="14" t="str">
        <f>IF(C782="","",IFERROR(N('Fee Settings'!$C$5)*(E782+N(F782)-N(J782))+N('Fee Settings'!$C$6)*(E782+N(F782)+N(G782))+N('Fee Settings'!$C$7)+N('Fee Settings'!$C$10)*D782+IF(I782="Yes",MIN(N('Fee Settings'!$C$8)*(E782+N(F782)),N('Fee Settings'!$C$9)),0),""))</f>
        <v/>
      </c>
      <c r="L782" s="14" t="str">
        <f>IF(C782="","",IFERROR(D782*N(INDEX(Products!$C$5:$C$29,MATCH(C782,Lists!$A$2:$A$26,0))),""))</f>
        <v/>
      </c>
      <c r="M782" s="15" t="str">
        <f t="shared" si="12"/>
        <v/>
      </c>
    </row>
    <row r="783" spans="1:13" x14ac:dyDescent="0.35">
      <c r="A783" s="11"/>
      <c r="B783" s="12"/>
      <c r="C783" s="12"/>
      <c r="D783" s="12"/>
      <c r="E783" s="13"/>
      <c r="F783" s="13"/>
      <c r="G783" s="13"/>
      <c r="H783" s="13"/>
      <c r="I783" s="12"/>
      <c r="J783" s="13"/>
      <c r="K783" s="14" t="str">
        <f>IF(C783="","",IFERROR(N('Fee Settings'!$C$5)*(E783+N(F783)-N(J783))+N('Fee Settings'!$C$6)*(E783+N(F783)+N(G783))+N('Fee Settings'!$C$7)+N('Fee Settings'!$C$10)*D783+IF(I783="Yes",MIN(N('Fee Settings'!$C$8)*(E783+N(F783)),N('Fee Settings'!$C$9)),0),""))</f>
        <v/>
      </c>
      <c r="L783" s="14" t="str">
        <f>IF(C783="","",IFERROR(D783*N(INDEX(Products!$C$5:$C$29,MATCH(C783,Lists!$A$2:$A$26,0))),""))</f>
        <v/>
      </c>
      <c r="M783" s="15" t="str">
        <f t="shared" si="12"/>
        <v/>
      </c>
    </row>
    <row r="784" spans="1:13" x14ac:dyDescent="0.35">
      <c r="A784" s="11"/>
      <c r="B784" s="12"/>
      <c r="C784" s="12"/>
      <c r="D784" s="12"/>
      <c r="E784" s="13"/>
      <c r="F784" s="13"/>
      <c r="G784" s="13"/>
      <c r="H784" s="13"/>
      <c r="I784" s="12"/>
      <c r="J784" s="13"/>
      <c r="K784" s="14" t="str">
        <f>IF(C784="","",IFERROR(N('Fee Settings'!$C$5)*(E784+N(F784)-N(J784))+N('Fee Settings'!$C$6)*(E784+N(F784)+N(G784))+N('Fee Settings'!$C$7)+N('Fee Settings'!$C$10)*D784+IF(I784="Yes",MIN(N('Fee Settings'!$C$8)*(E784+N(F784)),N('Fee Settings'!$C$9)),0),""))</f>
        <v/>
      </c>
      <c r="L784" s="14" t="str">
        <f>IF(C784="","",IFERROR(D784*N(INDEX(Products!$C$5:$C$29,MATCH(C784,Lists!$A$2:$A$26,0))),""))</f>
        <v/>
      </c>
      <c r="M784" s="15" t="str">
        <f t="shared" si="12"/>
        <v/>
      </c>
    </row>
    <row r="785" spans="1:13" x14ac:dyDescent="0.35">
      <c r="A785" s="11"/>
      <c r="B785" s="12"/>
      <c r="C785" s="12"/>
      <c r="D785" s="12"/>
      <c r="E785" s="13"/>
      <c r="F785" s="13"/>
      <c r="G785" s="13"/>
      <c r="H785" s="13"/>
      <c r="I785" s="12"/>
      <c r="J785" s="13"/>
      <c r="K785" s="14" t="str">
        <f>IF(C785="","",IFERROR(N('Fee Settings'!$C$5)*(E785+N(F785)-N(J785))+N('Fee Settings'!$C$6)*(E785+N(F785)+N(G785))+N('Fee Settings'!$C$7)+N('Fee Settings'!$C$10)*D785+IF(I785="Yes",MIN(N('Fee Settings'!$C$8)*(E785+N(F785)),N('Fee Settings'!$C$9)),0),""))</f>
        <v/>
      </c>
      <c r="L785" s="14" t="str">
        <f>IF(C785="","",IFERROR(D785*N(INDEX(Products!$C$5:$C$29,MATCH(C785,Lists!$A$2:$A$26,0))),""))</f>
        <v/>
      </c>
      <c r="M785" s="15" t="str">
        <f t="shared" si="12"/>
        <v/>
      </c>
    </row>
    <row r="786" spans="1:13" x14ac:dyDescent="0.35">
      <c r="A786" s="11"/>
      <c r="B786" s="12"/>
      <c r="C786" s="12"/>
      <c r="D786" s="12"/>
      <c r="E786" s="13"/>
      <c r="F786" s="13"/>
      <c r="G786" s="13"/>
      <c r="H786" s="13"/>
      <c r="I786" s="12"/>
      <c r="J786" s="13"/>
      <c r="K786" s="14" t="str">
        <f>IF(C786="","",IFERROR(N('Fee Settings'!$C$5)*(E786+N(F786)-N(J786))+N('Fee Settings'!$C$6)*(E786+N(F786)+N(G786))+N('Fee Settings'!$C$7)+N('Fee Settings'!$C$10)*D786+IF(I786="Yes",MIN(N('Fee Settings'!$C$8)*(E786+N(F786)),N('Fee Settings'!$C$9)),0),""))</f>
        <v/>
      </c>
      <c r="L786" s="14" t="str">
        <f>IF(C786="","",IFERROR(D786*N(INDEX(Products!$C$5:$C$29,MATCH(C786,Lists!$A$2:$A$26,0))),""))</f>
        <v/>
      </c>
      <c r="M786" s="15" t="str">
        <f t="shared" si="12"/>
        <v/>
      </c>
    </row>
    <row r="787" spans="1:13" x14ac:dyDescent="0.35">
      <c r="A787" s="11"/>
      <c r="B787" s="12"/>
      <c r="C787" s="12"/>
      <c r="D787" s="12"/>
      <c r="E787" s="13"/>
      <c r="F787" s="13"/>
      <c r="G787" s="13"/>
      <c r="H787" s="13"/>
      <c r="I787" s="12"/>
      <c r="J787" s="13"/>
      <c r="K787" s="14" t="str">
        <f>IF(C787="","",IFERROR(N('Fee Settings'!$C$5)*(E787+N(F787)-N(J787))+N('Fee Settings'!$C$6)*(E787+N(F787)+N(G787))+N('Fee Settings'!$C$7)+N('Fee Settings'!$C$10)*D787+IF(I787="Yes",MIN(N('Fee Settings'!$C$8)*(E787+N(F787)),N('Fee Settings'!$C$9)),0),""))</f>
        <v/>
      </c>
      <c r="L787" s="14" t="str">
        <f>IF(C787="","",IFERROR(D787*N(INDEX(Products!$C$5:$C$29,MATCH(C787,Lists!$A$2:$A$26,0))),""))</f>
        <v/>
      </c>
      <c r="M787" s="15" t="str">
        <f t="shared" si="12"/>
        <v/>
      </c>
    </row>
    <row r="788" spans="1:13" x14ac:dyDescent="0.35">
      <c r="A788" s="11"/>
      <c r="B788" s="12"/>
      <c r="C788" s="12"/>
      <c r="D788" s="12"/>
      <c r="E788" s="13"/>
      <c r="F788" s="13"/>
      <c r="G788" s="13"/>
      <c r="H788" s="13"/>
      <c r="I788" s="12"/>
      <c r="J788" s="13"/>
      <c r="K788" s="14" t="str">
        <f>IF(C788="","",IFERROR(N('Fee Settings'!$C$5)*(E788+N(F788)-N(J788))+N('Fee Settings'!$C$6)*(E788+N(F788)+N(G788))+N('Fee Settings'!$C$7)+N('Fee Settings'!$C$10)*D788+IF(I788="Yes",MIN(N('Fee Settings'!$C$8)*(E788+N(F788)),N('Fee Settings'!$C$9)),0),""))</f>
        <v/>
      </c>
      <c r="L788" s="14" t="str">
        <f>IF(C788="","",IFERROR(D788*N(INDEX(Products!$C$5:$C$29,MATCH(C788,Lists!$A$2:$A$26,0))),""))</f>
        <v/>
      </c>
      <c r="M788" s="15" t="str">
        <f t="shared" si="12"/>
        <v/>
      </c>
    </row>
    <row r="789" spans="1:13" x14ac:dyDescent="0.35">
      <c r="A789" s="11"/>
      <c r="B789" s="12"/>
      <c r="C789" s="12"/>
      <c r="D789" s="12"/>
      <c r="E789" s="13"/>
      <c r="F789" s="13"/>
      <c r="G789" s="13"/>
      <c r="H789" s="13"/>
      <c r="I789" s="12"/>
      <c r="J789" s="13"/>
      <c r="K789" s="14" t="str">
        <f>IF(C789="","",IFERROR(N('Fee Settings'!$C$5)*(E789+N(F789)-N(J789))+N('Fee Settings'!$C$6)*(E789+N(F789)+N(G789))+N('Fee Settings'!$C$7)+N('Fee Settings'!$C$10)*D789+IF(I789="Yes",MIN(N('Fee Settings'!$C$8)*(E789+N(F789)),N('Fee Settings'!$C$9)),0),""))</f>
        <v/>
      </c>
      <c r="L789" s="14" t="str">
        <f>IF(C789="","",IFERROR(D789*N(INDEX(Products!$C$5:$C$29,MATCH(C789,Lists!$A$2:$A$26,0))),""))</f>
        <v/>
      </c>
      <c r="M789" s="15" t="str">
        <f t="shared" si="12"/>
        <v/>
      </c>
    </row>
    <row r="790" spans="1:13" x14ac:dyDescent="0.35">
      <c r="A790" s="11"/>
      <c r="B790" s="12"/>
      <c r="C790" s="12"/>
      <c r="D790" s="12"/>
      <c r="E790" s="13"/>
      <c r="F790" s="13"/>
      <c r="G790" s="13"/>
      <c r="H790" s="13"/>
      <c r="I790" s="12"/>
      <c r="J790" s="13"/>
      <c r="K790" s="14" t="str">
        <f>IF(C790="","",IFERROR(N('Fee Settings'!$C$5)*(E790+N(F790)-N(J790))+N('Fee Settings'!$C$6)*(E790+N(F790)+N(G790))+N('Fee Settings'!$C$7)+N('Fee Settings'!$C$10)*D790+IF(I790="Yes",MIN(N('Fee Settings'!$C$8)*(E790+N(F790)),N('Fee Settings'!$C$9)),0),""))</f>
        <v/>
      </c>
      <c r="L790" s="14" t="str">
        <f>IF(C790="","",IFERROR(D790*N(INDEX(Products!$C$5:$C$29,MATCH(C790,Lists!$A$2:$A$26,0))),""))</f>
        <v/>
      </c>
      <c r="M790" s="15" t="str">
        <f t="shared" si="12"/>
        <v/>
      </c>
    </row>
    <row r="791" spans="1:13" x14ac:dyDescent="0.35">
      <c r="A791" s="11"/>
      <c r="B791" s="12"/>
      <c r="C791" s="12"/>
      <c r="D791" s="12"/>
      <c r="E791" s="13"/>
      <c r="F791" s="13"/>
      <c r="G791" s="13"/>
      <c r="H791" s="13"/>
      <c r="I791" s="12"/>
      <c r="J791" s="13"/>
      <c r="K791" s="14" t="str">
        <f>IF(C791="","",IFERROR(N('Fee Settings'!$C$5)*(E791+N(F791)-N(J791))+N('Fee Settings'!$C$6)*(E791+N(F791)+N(G791))+N('Fee Settings'!$C$7)+N('Fee Settings'!$C$10)*D791+IF(I791="Yes",MIN(N('Fee Settings'!$C$8)*(E791+N(F791)),N('Fee Settings'!$C$9)),0),""))</f>
        <v/>
      </c>
      <c r="L791" s="14" t="str">
        <f>IF(C791="","",IFERROR(D791*N(INDEX(Products!$C$5:$C$29,MATCH(C791,Lists!$A$2:$A$26,0))),""))</f>
        <v/>
      </c>
      <c r="M791" s="15" t="str">
        <f t="shared" si="12"/>
        <v/>
      </c>
    </row>
    <row r="792" spans="1:13" x14ac:dyDescent="0.35">
      <c r="A792" s="11"/>
      <c r="B792" s="12"/>
      <c r="C792" s="12"/>
      <c r="D792" s="12"/>
      <c r="E792" s="13"/>
      <c r="F792" s="13"/>
      <c r="G792" s="13"/>
      <c r="H792" s="13"/>
      <c r="I792" s="12"/>
      <c r="J792" s="13"/>
      <c r="K792" s="14" t="str">
        <f>IF(C792="","",IFERROR(N('Fee Settings'!$C$5)*(E792+N(F792)-N(J792))+N('Fee Settings'!$C$6)*(E792+N(F792)+N(G792))+N('Fee Settings'!$C$7)+N('Fee Settings'!$C$10)*D792+IF(I792="Yes",MIN(N('Fee Settings'!$C$8)*(E792+N(F792)),N('Fee Settings'!$C$9)),0),""))</f>
        <v/>
      </c>
      <c r="L792" s="14" t="str">
        <f>IF(C792="","",IFERROR(D792*N(INDEX(Products!$C$5:$C$29,MATCH(C792,Lists!$A$2:$A$26,0))),""))</f>
        <v/>
      </c>
      <c r="M792" s="15" t="str">
        <f t="shared" si="12"/>
        <v/>
      </c>
    </row>
    <row r="793" spans="1:13" x14ac:dyDescent="0.35">
      <c r="A793" s="11"/>
      <c r="B793" s="12"/>
      <c r="C793" s="12"/>
      <c r="D793" s="12"/>
      <c r="E793" s="13"/>
      <c r="F793" s="13"/>
      <c r="G793" s="13"/>
      <c r="H793" s="13"/>
      <c r="I793" s="12"/>
      <c r="J793" s="13"/>
      <c r="K793" s="14" t="str">
        <f>IF(C793="","",IFERROR(N('Fee Settings'!$C$5)*(E793+N(F793)-N(J793))+N('Fee Settings'!$C$6)*(E793+N(F793)+N(G793))+N('Fee Settings'!$C$7)+N('Fee Settings'!$C$10)*D793+IF(I793="Yes",MIN(N('Fee Settings'!$C$8)*(E793+N(F793)),N('Fee Settings'!$C$9)),0),""))</f>
        <v/>
      </c>
      <c r="L793" s="14" t="str">
        <f>IF(C793="","",IFERROR(D793*N(INDEX(Products!$C$5:$C$29,MATCH(C793,Lists!$A$2:$A$26,0))),""))</f>
        <v/>
      </c>
      <c r="M793" s="15" t="str">
        <f t="shared" si="12"/>
        <v/>
      </c>
    </row>
    <row r="794" spans="1:13" x14ac:dyDescent="0.35">
      <c r="A794" s="11"/>
      <c r="B794" s="12"/>
      <c r="C794" s="12"/>
      <c r="D794" s="12"/>
      <c r="E794" s="13"/>
      <c r="F794" s="13"/>
      <c r="G794" s="13"/>
      <c r="H794" s="13"/>
      <c r="I794" s="12"/>
      <c r="J794" s="13"/>
      <c r="K794" s="14" t="str">
        <f>IF(C794="","",IFERROR(N('Fee Settings'!$C$5)*(E794+N(F794)-N(J794))+N('Fee Settings'!$C$6)*(E794+N(F794)+N(G794))+N('Fee Settings'!$C$7)+N('Fee Settings'!$C$10)*D794+IF(I794="Yes",MIN(N('Fee Settings'!$C$8)*(E794+N(F794)),N('Fee Settings'!$C$9)),0),""))</f>
        <v/>
      </c>
      <c r="L794" s="14" t="str">
        <f>IF(C794="","",IFERROR(D794*N(INDEX(Products!$C$5:$C$29,MATCH(C794,Lists!$A$2:$A$26,0))),""))</f>
        <v/>
      </c>
      <c r="M794" s="15" t="str">
        <f t="shared" si="12"/>
        <v/>
      </c>
    </row>
    <row r="795" spans="1:13" x14ac:dyDescent="0.35">
      <c r="A795" s="11"/>
      <c r="B795" s="12"/>
      <c r="C795" s="12"/>
      <c r="D795" s="12"/>
      <c r="E795" s="13"/>
      <c r="F795" s="13"/>
      <c r="G795" s="13"/>
      <c r="H795" s="13"/>
      <c r="I795" s="12"/>
      <c r="J795" s="13"/>
      <c r="K795" s="14" t="str">
        <f>IF(C795="","",IFERROR(N('Fee Settings'!$C$5)*(E795+N(F795)-N(J795))+N('Fee Settings'!$C$6)*(E795+N(F795)+N(G795))+N('Fee Settings'!$C$7)+N('Fee Settings'!$C$10)*D795+IF(I795="Yes",MIN(N('Fee Settings'!$C$8)*(E795+N(F795)),N('Fee Settings'!$C$9)),0),""))</f>
        <v/>
      </c>
      <c r="L795" s="14" t="str">
        <f>IF(C795="","",IFERROR(D795*N(INDEX(Products!$C$5:$C$29,MATCH(C795,Lists!$A$2:$A$26,0))),""))</f>
        <v/>
      </c>
      <c r="M795" s="15" t="str">
        <f t="shared" si="12"/>
        <v/>
      </c>
    </row>
    <row r="796" spans="1:13" x14ac:dyDescent="0.35">
      <c r="A796" s="11"/>
      <c r="B796" s="12"/>
      <c r="C796" s="12"/>
      <c r="D796" s="12"/>
      <c r="E796" s="13"/>
      <c r="F796" s="13"/>
      <c r="G796" s="13"/>
      <c r="H796" s="13"/>
      <c r="I796" s="12"/>
      <c r="J796" s="13"/>
      <c r="K796" s="14" t="str">
        <f>IF(C796="","",IFERROR(N('Fee Settings'!$C$5)*(E796+N(F796)-N(J796))+N('Fee Settings'!$C$6)*(E796+N(F796)+N(G796))+N('Fee Settings'!$C$7)+N('Fee Settings'!$C$10)*D796+IF(I796="Yes",MIN(N('Fee Settings'!$C$8)*(E796+N(F796)),N('Fee Settings'!$C$9)),0),""))</f>
        <v/>
      </c>
      <c r="L796" s="14" t="str">
        <f>IF(C796="","",IFERROR(D796*N(INDEX(Products!$C$5:$C$29,MATCH(C796,Lists!$A$2:$A$26,0))),""))</f>
        <v/>
      </c>
      <c r="M796" s="15" t="str">
        <f t="shared" si="12"/>
        <v/>
      </c>
    </row>
    <row r="797" spans="1:13" x14ac:dyDescent="0.35">
      <c r="A797" s="11"/>
      <c r="B797" s="12"/>
      <c r="C797" s="12"/>
      <c r="D797" s="12"/>
      <c r="E797" s="13"/>
      <c r="F797" s="13"/>
      <c r="G797" s="13"/>
      <c r="H797" s="13"/>
      <c r="I797" s="12"/>
      <c r="J797" s="13"/>
      <c r="K797" s="14" t="str">
        <f>IF(C797="","",IFERROR(N('Fee Settings'!$C$5)*(E797+N(F797)-N(J797))+N('Fee Settings'!$C$6)*(E797+N(F797)+N(G797))+N('Fee Settings'!$C$7)+N('Fee Settings'!$C$10)*D797+IF(I797="Yes",MIN(N('Fee Settings'!$C$8)*(E797+N(F797)),N('Fee Settings'!$C$9)),0),""))</f>
        <v/>
      </c>
      <c r="L797" s="14" t="str">
        <f>IF(C797="","",IFERROR(D797*N(INDEX(Products!$C$5:$C$29,MATCH(C797,Lists!$A$2:$A$26,0))),""))</f>
        <v/>
      </c>
      <c r="M797" s="15" t="str">
        <f t="shared" si="12"/>
        <v/>
      </c>
    </row>
    <row r="798" spans="1:13" x14ac:dyDescent="0.35">
      <c r="A798" s="11"/>
      <c r="B798" s="12"/>
      <c r="C798" s="12"/>
      <c r="D798" s="12"/>
      <c r="E798" s="13"/>
      <c r="F798" s="13"/>
      <c r="G798" s="13"/>
      <c r="H798" s="13"/>
      <c r="I798" s="12"/>
      <c r="J798" s="13"/>
      <c r="K798" s="14" t="str">
        <f>IF(C798="","",IFERROR(N('Fee Settings'!$C$5)*(E798+N(F798)-N(J798))+N('Fee Settings'!$C$6)*(E798+N(F798)+N(G798))+N('Fee Settings'!$C$7)+N('Fee Settings'!$C$10)*D798+IF(I798="Yes",MIN(N('Fee Settings'!$C$8)*(E798+N(F798)),N('Fee Settings'!$C$9)),0),""))</f>
        <v/>
      </c>
      <c r="L798" s="14" t="str">
        <f>IF(C798="","",IFERROR(D798*N(INDEX(Products!$C$5:$C$29,MATCH(C798,Lists!$A$2:$A$26,0))),""))</f>
        <v/>
      </c>
      <c r="M798" s="15" t="str">
        <f t="shared" si="12"/>
        <v/>
      </c>
    </row>
    <row r="799" spans="1:13" x14ac:dyDescent="0.35">
      <c r="A799" s="11"/>
      <c r="B799" s="12"/>
      <c r="C799" s="12"/>
      <c r="D799" s="12"/>
      <c r="E799" s="13"/>
      <c r="F799" s="13"/>
      <c r="G799" s="13"/>
      <c r="H799" s="13"/>
      <c r="I799" s="12"/>
      <c r="J799" s="13"/>
      <c r="K799" s="14" t="str">
        <f>IF(C799="","",IFERROR(N('Fee Settings'!$C$5)*(E799+N(F799)-N(J799))+N('Fee Settings'!$C$6)*(E799+N(F799)+N(G799))+N('Fee Settings'!$C$7)+N('Fee Settings'!$C$10)*D799+IF(I799="Yes",MIN(N('Fee Settings'!$C$8)*(E799+N(F799)),N('Fee Settings'!$C$9)),0),""))</f>
        <v/>
      </c>
      <c r="L799" s="14" t="str">
        <f>IF(C799="","",IFERROR(D799*N(INDEX(Products!$C$5:$C$29,MATCH(C799,Lists!$A$2:$A$26,0))),""))</f>
        <v/>
      </c>
      <c r="M799" s="15" t="str">
        <f t="shared" si="12"/>
        <v/>
      </c>
    </row>
    <row r="800" spans="1:13" x14ac:dyDescent="0.35">
      <c r="A800" s="11"/>
      <c r="B800" s="12"/>
      <c r="C800" s="12"/>
      <c r="D800" s="12"/>
      <c r="E800" s="13"/>
      <c r="F800" s="13"/>
      <c r="G800" s="13"/>
      <c r="H800" s="13"/>
      <c r="I800" s="12"/>
      <c r="J800" s="13"/>
      <c r="K800" s="14" t="str">
        <f>IF(C800="","",IFERROR(N('Fee Settings'!$C$5)*(E800+N(F800)-N(J800))+N('Fee Settings'!$C$6)*(E800+N(F800)+N(G800))+N('Fee Settings'!$C$7)+N('Fee Settings'!$C$10)*D800+IF(I800="Yes",MIN(N('Fee Settings'!$C$8)*(E800+N(F800)),N('Fee Settings'!$C$9)),0),""))</f>
        <v/>
      </c>
      <c r="L800" s="14" t="str">
        <f>IF(C800="","",IFERROR(D800*N(INDEX(Products!$C$5:$C$29,MATCH(C800,Lists!$A$2:$A$26,0))),""))</f>
        <v/>
      </c>
      <c r="M800" s="15" t="str">
        <f t="shared" si="12"/>
        <v/>
      </c>
    </row>
    <row r="801" spans="1:13" x14ac:dyDescent="0.35">
      <c r="A801" s="11"/>
      <c r="B801" s="12"/>
      <c r="C801" s="12"/>
      <c r="D801" s="12"/>
      <c r="E801" s="13"/>
      <c r="F801" s="13"/>
      <c r="G801" s="13"/>
      <c r="H801" s="13"/>
      <c r="I801" s="12"/>
      <c r="J801" s="13"/>
      <c r="K801" s="14" t="str">
        <f>IF(C801="","",IFERROR(N('Fee Settings'!$C$5)*(E801+N(F801)-N(J801))+N('Fee Settings'!$C$6)*(E801+N(F801)+N(G801))+N('Fee Settings'!$C$7)+N('Fee Settings'!$C$10)*D801+IF(I801="Yes",MIN(N('Fee Settings'!$C$8)*(E801+N(F801)),N('Fee Settings'!$C$9)),0),""))</f>
        <v/>
      </c>
      <c r="L801" s="14" t="str">
        <f>IF(C801="","",IFERROR(D801*N(INDEX(Products!$C$5:$C$29,MATCH(C801,Lists!$A$2:$A$26,0))),""))</f>
        <v/>
      </c>
      <c r="M801" s="15" t="str">
        <f t="shared" si="12"/>
        <v/>
      </c>
    </row>
    <row r="802" spans="1:13" x14ac:dyDescent="0.35">
      <c r="A802" s="11"/>
      <c r="B802" s="12"/>
      <c r="C802" s="12"/>
      <c r="D802" s="12"/>
      <c r="E802" s="13"/>
      <c r="F802" s="13"/>
      <c r="G802" s="13"/>
      <c r="H802" s="13"/>
      <c r="I802" s="12"/>
      <c r="J802" s="13"/>
      <c r="K802" s="14" t="str">
        <f>IF(C802="","",IFERROR(N('Fee Settings'!$C$5)*(E802+N(F802)-N(J802))+N('Fee Settings'!$C$6)*(E802+N(F802)+N(G802))+N('Fee Settings'!$C$7)+N('Fee Settings'!$C$10)*D802+IF(I802="Yes",MIN(N('Fee Settings'!$C$8)*(E802+N(F802)),N('Fee Settings'!$C$9)),0),""))</f>
        <v/>
      </c>
      <c r="L802" s="14" t="str">
        <f>IF(C802="","",IFERROR(D802*N(INDEX(Products!$C$5:$C$29,MATCH(C802,Lists!$A$2:$A$26,0))),""))</f>
        <v/>
      </c>
      <c r="M802" s="15" t="str">
        <f t="shared" si="12"/>
        <v/>
      </c>
    </row>
    <row r="803" spans="1:13" x14ac:dyDescent="0.35">
      <c r="A803" s="11"/>
      <c r="B803" s="12"/>
      <c r="C803" s="12"/>
      <c r="D803" s="12"/>
      <c r="E803" s="13"/>
      <c r="F803" s="13"/>
      <c r="G803" s="13"/>
      <c r="H803" s="13"/>
      <c r="I803" s="12"/>
      <c r="J803" s="13"/>
      <c r="K803" s="14" t="str">
        <f>IF(C803="","",IFERROR(N('Fee Settings'!$C$5)*(E803+N(F803)-N(J803))+N('Fee Settings'!$C$6)*(E803+N(F803)+N(G803))+N('Fee Settings'!$C$7)+N('Fee Settings'!$C$10)*D803+IF(I803="Yes",MIN(N('Fee Settings'!$C$8)*(E803+N(F803)),N('Fee Settings'!$C$9)),0),""))</f>
        <v/>
      </c>
      <c r="L803" s="14" t="str">
        <f>IF(C803="","",IFERROR(D803*N(INDEX(Products!$C$5:$C$29,MATCH(C803,Lists!$A$2:$A$26,0))),""))</f>
        <v/>
      </c>
      <c r="M803" s="15" t="str">
        <f t="shared" si="12"/>
        <v/>
      </c>
    </row>
    <row r="804" spans="1:13" x14ac:dyDescent="0.35">
      <c r="A804" s="11"/>
      <c r="B804" s="12"/>
      <c r="C804" s="12"/>
      <c r="D804" s="12"/>
      <c r="E804" s="13"/>
      <c r="F804" s="13"/>
      <c r="G804" s="13"/>
      <c r="H804" s="13"/>
      <c r="I804" s="12"/>
      <c r="J804" s="13"/>
      <c r="K804" s="14" t="str">
        <f>IF(C804="","",IFERROR(N('Fee Settings'!$C$5)*(E804+N(F804)-N(J804))+N('Fee Settings'!$C$6)*(E804+N(F804)+N(G804))+N('Fee Settings'!$C$7)+N('Fee Settings'!$C$10)*D804+IF(I804="Yes",MIN(N('Fee Settings'!$C$8)*(E804+N(F804)),N('Fee Settings'!$C$9)),0),""))</f>
        <v/>
      </c>
      <c r="L804" s="14" t="str">
        <f>IF(C804="","",IFERROR(D804*N(INDEX(Products!$C$5:$C$29,MATCH(C804,Lists!$A$2:$A$26,0))),""))</f>
        <v/>
      </c>
      <c r="M804" s="15" t="str">
        <f t="shared" si="12"/>
        <v/>
      </c>
    </row>
    <row r="805" spans="1:13" x14ac:dyDescent="0.35">
      <c r="A805" s="11"/>
      <c r="B805" s="12"/>
      <c r="C805" s="12"/>
      <c r="D805" s="12"/>
      <c r="E805" s="13"/>
      <c r="F805" s="13"/>
      <c r="G805" s="13"/>
      <c r="H805" s="13"/>
      <c r="I805" s="12"/>
      <c r="J805" s="13"/>
      <c r="K805" s="14" t="str">
        <f>IF(C805="","",IFERROR(N('Fee Settings'!$C$5)*(E805+N(F805)-N(J805))+N('Fee Settings'!$C$6)*(E805+N(F805)+N(G805))+N('Fee Settings'!$C$7)+N('Fee Settings'!$C$10)*D805+IF(I805="Yes",MIN(N('Fee Settings'!$C$8)*(E805+N(F805)),N('Fee Settings'!$C$9)),0),""))</f>
        <v/>
      </c>
      <c r="L805" s="14" t="str">
        <f>IF(C805="","",IFERROR(D805*N(INDEX(Products!$C$5:$C$29,MATCH(C805,Lists!$A$2:$A$26,0))),""))</f>
        <v/>
      </c>
      <c r="M805" s="15" t="str">
        <f t="shared" si="12"/>
        <v/>
      </c>
    </row>
    <row r="806" spans="1:13" x14ac:dyDescent="0.35">
      <c r="A806" s="11"/>
      <c r="B806" s="12"/>
      <c r="C806" s="12"/>
      <c r="D806" s="12"/>
      <c r="E806" s="13"/>
      <c r="F806" s="13"/>
      <c r="G806" s="13"/>
      <c r="H806" s="13"/>
      <c r="I806" s="12"/>
      <c r="J806" s="13"/>
      <c r="K806" s="14" t="str">
        <f>IF(C806="","",IFERROR(N('Fee Settings'!$C$5)*(E806+N(F806)-N(J806))+N('Fee Settings'!$C$6)*(E806+N(F806)+N(G806))+N('Fee Settings'!$C$7)+N('Fee Settings'!$C$10)*D806+IF(I806="Yes",MIN(N('Fee Settings'!$C$8)*(E806+N(F806)),N('Fee Settings'!$C$9)),0),""))</f>
        <v/>
      </c>
      <c r="L806" s="14" t="str">
        <f>IF(C806="","",IFERROR(D806*N(INDEX(Products!$C$5:$C$29,MATCH(C806,Lists!$A$2:$A$26,0))),""))</f>
        <v/>
      </c>
      <c r="M806" s="15" t="str">
        <f t="shared" si="12"/>
        <v/>
      </c>
    </row>
    <row r="807" spans="1:13" x14ac:dyDescent="0.35">
      <c r="A807" s="11"/>
      <c r="B807" s="12"/>
      <c r="C807" s="12"/>
      <c r="D807" s="12"/>
      <c r="E807" s="13"/>
      <c r="F807" s="13"/>
      <c r="G807" s="13"/>
      <c r="H807" s="13"/>
      <c r="I807" s="12"/>
      <c r="J807" s="13"/>
      <c r="K807" s="14" t="str">
        <f>IF(C807="","",IFERROR(N('Fee Settings'!$C$5)*(E807+N(F807)-N(J807))+N('Fee Settings'!$C$6)*(E807+N(F807)+N(G807))+N('Fee Settings'!$C$7)+N('Fee Settings'!$C$10)*D807+IF(I807="Yes",MIN(N('Fee Settings'!$C$8)*(E807+N(F807)),N('Fee Settings'!$C$9)),0),""))</f>
        <v/>
      </c>
      <c r="L807" s="14" t="str">
        <f>IF(C807="","",IFERROR(D807*N(INDEX(Products!$C$5:$C$29,MATCH(C807,Lists!$A$2:$A$26,0))),""))</f>
        <v/>
      </c>
      <c r="M807" s="15" t="str">
        <f t="shared" si="12"/>
        <v/>
      </c>
    </row>
    <row r="808" spans="1:13" x14ac:dyDescent="0.35">
      <c r="A808" s="11"/>
      <c r="B808" s="12"/>
      <c r="C808" s="12"/>
      <c r="D808" s="12"/>
      <c r="E808" s="13"/>
      <c r="F808" s="13"/>
      <c r="G808" s="13"/>
      <c r="H808" s="13"/>
      <c r="I808" s="12"/>
      <c r="J808" s="13"/>
      <c r="K808" s="14" t="str">
        <f>IF(C808="","",IFERROR(N('Fee Settings'!$C$5)*(E808+N(F808)-N(J808))+N('Fee Settings'!$C$6)*(E808+N(F808)+N(G808))+N('Fee Settings'!$C$7)+N('Fee Settings'!$C$10)*D808+IF(I808="Yes",MIN(N('Fee Settings'!$C$8)*(E808+N(F808)),N('Fee Settings'!$C$9)),0),""))</f>
        <v/>
      </c>
      <c r="L808" s="14" t="str">
        <f>IF(C808="","",IFERROR(D808*N(INDEX(Products!$C$5:$C$29,MATCH(C808,Lists!$A$2:$A$26,0))),""))</f>
        <v/>
      </c>
      <c r="M808" s="15" t="str">
        <f t="shared" si="12"/>
        <v/>
      </c>
    </row>
    <row r="809" spans="1:13" x14ac:dyDescent="0.35">
      <c r="A809" s="11"/>
      <c r="B809" s="12"/>
      <c r="C809" s="12"/>
      <c r="D809" s="12"/>
      <c r="E809" s="13"/>
      <c r="F809" s="13"/>
      <c r="G809" s="13"/>
      <c r="H809" s="13"/>
      <c r="I809" s="12"/>
      <c r="J809" s="13"/>
      <c r="K809" s="14" t="str">
        <f>IF(C809="","",IFERROR(N('Fee Settings'!$C$5)*(E809+N(F809)-N(J809))+N('Fee Settings'!$C$6)*(E809+N(F809)+N(G809))+N('Fee Settings'!$C$7)+N('Fee Settings'!$C$10)*D809+IF(I809="Yes",MIN(N('Fee Settings'!$C$8)*(E809+N(F809)),N('Fee Settings'!$C$9)),0),""))</f>
        <v/>
      </c>
      <c r="L809" s="14" t="str">
        <f>IF(C809="","",IFERROR(D809*N(INDEX(Products!$C$5:$C$29,MATCH(C809,Lists!$A$2:$A$26,0))),""))</f>
        <v/>
      </c>
      <c r="M809" s="15" t="str">
        <f t="shared" si="12"/>
        <v/>
      </c>
    </row>
    <row r="810" spans="1:13" x14ac:dyDescent="0.35">
      <c r="A810" s="11"/>
      <c r="B810" s="12"/>
      <c r="C810" s="12"/>
      <c r="D810" s="12"/>
      <c r="E810" s="13"/>
      <c r="F810" s="13"/>
      <c r="G810" s="13"/>
      <c r="H810" s="13"/>
      <c r="I810" s="12"/>
      <c r="J810" s="13"/>
      <c r="K810" s="14" t="str">
        <f>IF(C810="","",IFERROR(N('Fee Settings'!$C$5)*(E810+N(F810)-N(J810))+N('Fee Settings'!$C$6)*(E810+N(F810)+N(G810))+N('Fee Settings'!$C$7)+N('Fee Settings'!$C$10)*D810+IF(I810="Yes",MIN(N('Fee Settings'!$C$8)*(E810+N(F810)),N('Fee Settings'!$C$9)),0),""))</f>
        <v/>
      </c>
      <c r="L810" s="14" t="str">
        <f>IF(C810="","",IFERROR(D810*N(INDEX(Products!$C$5:$C$29,MATCH(C810,Lists!$A$2:$A$26,0))),""))</f>
        <v/>
      </c>
      <c r="M810" s="15" t="str">
        <f t="shared" si="12"/>
        <v/>
      </c>
    </row>
    <row r="811" spans="1:13" x14ac:dyDescent="0.35">
      <c r="A811" s="11"/>
      <c r="B811" s="12"/>
      <c r="C811" s="12"/>
      <c r="D811" s="12"/>
      <c r="E811" s="13"/>
      <c r="F811" s="13"/>
      <c r="G811" s="13"/>
      <c r="H811" s="13"/>
      <c r="I811" s="12"/>
      <c r="J811" s="13"/>
      <c r="K811" s="14" t="str">
        <f>IF(C811="","",IFERROR(N('Fee Settings'!$C$5)*(E811+N(F811)-N(J811))+N('Fee Settings'!$C$6)*(E811+N(F811)+N(G811))+N('Fee Settings'!$C$7)+N('Fee Settings'!$C$10)*D811+IF(I811="Yes",MIN(N('Fee Settings'!$C$8)*(E811+N(F811)),N('Fee Settings'!$C$9)),0),""))</f>
        <v/>
      </c>
      <c r="L811" s="14" t="str">
        <f>IF(C811="","",IFERROR(D811*N(INDEX(Products!$C$5:$C$29,MATCH(C811,Lists!$A$2:$A$26,0))),""))</f>
        <v/>
      </c>
      <c r="M811" s="15" t="str">
        <f t="shared" si="12"/>
        <v/>
      </c>
    </row>
    <row r="812" spans="1:13" x14ac:dyDescent="0.35">
      <c r="A812" s="11"/>
      <c r="B812" s="12"/>
      <c r="C812" s="12"/>
      <c r="D812" s="12"/>
      <c r="E812" s="13"/>
      <c r="F812" s="13"/>
      <c r="G812" s="13"/>
      <c r="H812" s="13"/>
      <c r="I812" s="12"/>
      <c r="J812" s="13"/>
      <c r="K812" s="14" t="str">
        <f>IF(C812="","",IFERROR(N('Fee Settings'!$C$5)*(E812+N(F812)-N(J812))+N('Fee Settings'!$C$6)*(E812+N(F812)+N(G812))+N('Fee Settings'!$C$7)+N('Fee Settings'!$C$10)*D812+IF(I812="Yes",MIN(N('Fee Settings'!$C$8)*(E812+N(F812)),N('Fee Settings'!$C$9)),0),""))</f>
        <v/>
      </c>
      <c r="L812" s="14" t="str">
        <f>IF(C812="","",IFERROR(D812*N(INDEX(Products!$C$5:$C$29,MATCH(C812,Lists!$A$2:$A$26,0))),""))</f>
        <v/>
      </c>
      <c r="M812" s="15" t="str">
        <f t="shared" si="12"/>
        <v/>
      </c>
    </row>
    <row r="813" spans="1:13" x14ac:dyDescent="0.35">
      <c r="A813" s="11"/>
      <c r="B813" s="12"/>
      <c r="C813" s="12"/>
      <c r="D813" s="12"/>
      <c r="E813" s="13"/>
      <c r="F813" s="13"/>
      <c r="G813" s="13"/>
      <c r="H813" s="13"/>
      <c r="I813" s="12"/>
      <c r="J813" s="13"/>
      <c r="K813" s="14" t="str">
        <f>IF(C813="","",IFERROR(N('Fee Settings'!$C$5)*(E813+N(F813)-N(J813))+N('Fee Settings'!$C$6)*(E813+N(F813)+N(G813))+N('Fee Settings'!$C$7)+N('Fee Settings'!$C$10)*D813+IF(I813="Yes",MIN(N('Fee Settings'!$C$8)*(E813+N(F813)),N('Fee Settings'!$C$9)),0),""))</f>
        <v/>
      </c>
      <c r="L813" s="14" t="str">
        <f>IF(C813="","",IFERROR(D813*N(INDEX(Products!$C$5:$C$29,MATCH(C813,Lists!$A$2:$A$26,0))),""))</f>
        <v/>
      </c>
      <c r="M813" s="15" t="str">
        <f t="shared" si="12"/>
        <v/>
      </c>
    </row>
    <row r="814" spans="1:13" x14ac:dyDescent="0.35">
      <c r="A814" s="11"/>
      <c r="B814" s="12"/>
      <c r="C814" s="12"/>
      <c r="D814" s="12"/>
      <c r="E814" s="13"/>
      <c r="F814" s="13"/>
      <c r="G814" s="13"/>
      <c r="H814" s="13"/>
      <c r="I814" s="12"/>
      <c r="J814" s="13"/>
      <c r="K814" s="14" t="str">
        <f>IF(C814="","",IFERROR(N('Fee Settings'!$C$5)*(E814+N(F814)-N(J814))+N('Fee Settings'!$C$6)*(E814+N(F814)+N(G814))+N('Fee Settings'!$C$7)+N('Fee Settings'!$C$10)*D814+IF(I814="Yes",MIN(N('Fee Settings'!$C$8)*(E814+N(F814)),N('Fee Settings'!$C$9)),0),""))</f>
        <v/>
      </c>
      <c r="L814" s="14" t="str">
        <f>IF(C814="","",IFERROR(D814*N(INDEX(Products!$C$5:$C$29,MATCH(C814,Lists!$A$2:$A$26,0))),""))</f>
        <v/>
      </c>
      <c r="M814" s="15" t="str">
        <f t="shared" si="12"/>
        <v/>
      </c>
    </row>
    <row r="815" spans="1:13" x14ac:dyDescent="0.35">
      <c r="A815" s="11"/>
      <c r="B815" s="12"/>
      <c r="C815" s="12"/>
      <c r="D815" s="12"/>
      <c r="E815" s="13"/>
      <c r="F815" s="13"/>
      <c r="G815" s="13"/>
      <c r="H815" s="13"/>
      <c r="I815" s="12"/>
      <c r="J815" s="13"/>
      <c r="K815" s="14" t="str">
        <f>IF(C815="","",IFERROR(N('Fee Settings'!$C$5)*(E815+N(F815)-N(J815))+N('Fee Settings'!$C$6)*(E815+N(F815)+N(G815))+N('Fee Settings'!$C$7)+N('Fee Settings'!$C$10)*D815+IF(I815="Yes",MIN(N('Fee Settings'!$C$8)*(E815+N(F815)),N('Fee Settings'!$C$9)),0),""))</f>
        <v/>
      </c>
      <c r="L815" s="14" t="str">
        <f>IF(C815="","",IFERROR(D815*N(INDEX(Products!$C$5:$C$29,MATCH(C815,Lists!$A$2:$A$26,0))),""))</f>
        <v/>
      </c>
      <c r="M815" s="15" t="str">
        <f t="shared" si="12"/>
        <v/>
      </c>
    </row>
    <row r="816" spans="1:13" x14ac:dyDescent="0.35">
      <c r="A816" s="11"/>
      <c r="B816" s="12"/>
      <c r="C816" s="12"/>
      <c r="D816" s="12"/>
      <c r="E816" s="13"/>
      <c r="F816" s="13"/>
      <c r="G816" s="13"/>
      <c r="H816" s="13"/>
      <c r="I816" s="12"/>
      <c r="J816" s="13"/>
      <c r="K816" s="14" t="str">
        <f>IF(C816="","",IFERROR(N('Fee Settings'!$C$5)*(E816+N(F816)-N(J816))+N('Fee Settings'!$C$6)*(E816+N(F816)+N(G816))+N('Fee Settings'!$C$7)+N('Fee Settings'!$C$10)*D816+IF(I816="Yes",MIN(N('Fee Settings'!$C$8)*(E816+N(F816)),N('Fee Settings'!$C$9)),0),""))</f>
        <v/>
      </c>
      <c r="L816" s="14" t="str">
        <f>IF(C816="","",IFERROR(D816*N(INDEX(Products!$C$5:$C$29,MATCH(C816,Lists!$A$2:$A$26,0))),""))</f>
        <v/>
      </c>
      <c r="M816" s="15" t="str">
        <f t="shared" si="12"/>
        <v/>
      </c>
    </row>
    <row r="817" spans="1:13" x14ac:dyDescent="0.35">
      <c r="A817" s="11"/>
      <c r="B817" s="12"/>
      <c r="C817" s="12"/>
      <c r="D817" s="12"/>
      <c r="E817" s="13"/>
      <c r="F817" s="13"/>
      <c r="G817" s="13"/>
      <c r="H817" s="13"/>
      <c r="I817" s="12"/>
      <c r="J817" s="13"/>
      <c r="K817" s="14" t="str">
        <f>IF(C817="","",IFERROR(N('Fee Settings'!$C$5)*(E817+N(F817)-N(J817))+N('Fee Settings'!$C$6)*(E817+N(F817)+N(G817))+N('Fee Settings'!$C$7)+N('Fee Settings'!$C$10)*D817+IF(I817="Yes",MIN(N('Fee Settings'!$C$8)*(E817+N(F817)),N('Fee Settings'!$C$9)),0),""))</f>
        <v/>
      </c>
      <c r="L817" s="14" t="str">
        <f>IF(C817="","",IFERROR(D817*N(INDEX(Products!$C$5:$C$29,MATCH(C817,Lists!$A$2:$A$26,0))),""))</f>
        <v/>
      </c>
      <c r="M817" s="15" t="str">
        <f t="shared" si="12"/>
        <v/>
      </c>
    </row>
    <row r="818" spans="1:13" x14ac:dyDescent="0.35">
      <c r="A818" s="11"/>
      <c r="B818" s="12"/>
      <c r="C818" s="12"/>
      <c r="D818" s="12"/>
      <c r="E818" s="13"/>
      <c r="F818" s="13"/>
      <c r="G818" s="13"/>
      <c r="H818" s="13"/>
      <c r="I818" s="12"/>
      <c r="J818" s="13"/>
      <c r="K818" s="14" t="str">
        <f>IF(C818="","",IFERROR(N('Fee Settings'!$C$5)*(E818+N(F818)-N(J818))+N('Fee Settings'!$C$6)*(E818+N(F818)+N(G818))+N('Fee Settings'!$C$7)+N('Fee Settings'!$C$10)*D818+IF(I818="Yes",MIN(N('Fee Settings'!$C$8)*(E818+N(F818)),N('Fee Settings'!$C$9)),0),""))</f>
        <v/>
      </c>
      <c r="L818" s="14" t="str">
        <f>IF(C818="","",IFERROR(D818*N(INDEX(Products!$C$5:$C$29,MATCH(C818,Lists!$A$2:$A$26,0))),""))</f>
        <v/>
      </c>
      <c r="M818" s="15" t="str">
        <f t="shared" si="12"/>
        <v/>
      </c>
    </row>
    <row r="819" spans="1:13" x14ac:dyDescent="0.35">
      <c r="A819" s="11"/>
      <c r="B819" s="12"/>
      <c r="C819" s="12"/>
      <c r="D819" s="12"/>
      <c r="E819" s="13"/>
      <c r="F819" s="13"/>
      <c r="G819" s="13"/>
      <c r="H819" s="13"/>
      <c r="I819" s="12"/>
      <c r="J819" s="13"/>
      <c r="K819" s="14" t="str">
        <f>IF(C819="","",IFERROR(N('Fee Settings'!$C$5)*(E819+N(F819)-N(J819))+N('Fee Settings'!$C$6)*(E819+N(F819)+N(G819))+N('Fee Settings'!$C$7)+N('Fee Settings'!$C$10)*D819+IF(I819="Yes",MIN(N('Fee Settings'!$C$8)*(E819+N(F819)),N('Fee Settings'!$C$9)),0),""))</f>
        <v/>
      </c>
      <c r="L819" s="14" t="str">
        <f>IF(C819="","",IFERROR(D819*N(INDEX(Products!$C$5:$C$29,MATCH(C819,Lists!$A$2:$A$26,0))),""))</f>
        <v/>
      </c>
      <c r="M819" s="15" t="str">
        <f t="shared" si="12"/>
        <v/>
      </c>
    </row>
    <row r="820" spans="1:13" x14ac:dyDescent="0.35">
      <c r="A820" s="11"/>
      <c r="B820" s="12"/>
      <c r="C820" s="12"/>
      <c r="D820" s="12"/>
      <c r="E820" s="13"/>
      <c r="F820" s="13"/>
      <c r="G820" s="13"/>
      <c r="H820" s="13"/>
      <c r="I820" s="12"/>
      <c r="J820" s="13"/>
      <c r="K820" s="14" t="str">
        <f>IF(C820="","",IFERROR(N('Fee Settings'!$C$5)*(E820+N(F820)-N(J820))+N('Fee Settings'!$C$6)*(E820+N(F820)+N(G820))+N('Fee Settings'!$C$7)+N('Fee Settings'!$C$10)*D820+IF(I820="Yes",MIN(N('Fee Settings'!$C$8)*(E820+N(F820)),N('Fee Settings'!$C$9)),0),""))</f>
        <v/>
      </c>
      <c r="L820" s="14" t="str">
        <f>IF(C820="","",IFERROR(D820*N(INDEX(Products!$C$5:$C$29,MATCH(C820,Lists!$A$2:$A$26,0))),""))</f>
        <v/>
      </c>
      <c r="M820" s="15" t="str">
        <f t="shared" si="12"/>
        <v/>
      </c>
    </row>
    <row r="821" spans="1:13" x14ac:dyDescent="0.35">
      <c r="A821" s="11"/>
      <c r="B821" s="12"/>
      <c r="C821" s="12"/>
      <c r="D821" s="12"/>
      <c r="E821" s="13"/>
      <c r="F821" s="13"/>
      <c r="G821" s="13"/>
      <c r="H821" s="13"/>
      <c r="I821" s="12"/>
      <c r="J821" s="13"/>
      <c r="K821" s="14" t="str">
        <f>IF(C821="","",IFERROR(N('Fee Settings'!$C$5)*(E821+N(F821)-N(J821))+N('Fee Settings'!$C$6)*(E821+N(F821)+N(G821))+N('Fee Settings'!$C$7)+N('Fee Settings'!$C$10)*D821+IF(I821="Yes",MIN(N('Fee Settings'!$C$8)*(E821+N(F821)),N('Fee Settings'!$C$9)),0),""))</f>
        <v/>
      </c>
      <c r="L821" s="14" t="str">
        <f>IF(C821="","",IFERROR(D821*N(INDEX(Products!$C$5:$C$29,MATCH(C821,Lists!$A$2:$A$26,0))),""))</f>
        <v/>
      </c>
      <c r="M821" s="15" t="str">
        <f t="shared" si="12"/>
        <v/>
      </c>
    </row>
    <row r="822" spans="1:13" x14ac:dyDescent="0.35">
      <c r="A822" s="11"/>
      <c r="B822" s="12"/>
      <c r="C822" s="12"/>
      <c r="D822" s="12"/>
      <c r="E822" s="13"/>
      <c r="F822" s="13"/>
      <c r="G822" s="13"/>
      <c r="H822" s="13"/>
      <c r="I822" s="12"/>
      <c r="J822" s="13"/>
      <c r="K822" s="14" t="str">
        <f>IF(C822="","",IFERROR(N('Fee Settings'!$C$5)*(E822+N(F822)-N(J822))+N('Fee Settings'!$C$6)*(E822+N(F822)+N(G822))+N('Fee Settings'!$C$7)+N('Fee Settings'!$C$10)*D822+IF(I822="Yes",MIN(N('Fee Settings'!$C$8)*(E822+N(F822)),N('Fee Settings'!$C$9)),0),""))</f>
        <v/>
      </c>
      <c r="L822" s="14" t="str">
        <f>IF(C822="","",IFERROR(D822*N(INDEX(Products!$C$5:$C$29,MATCH(C822,Lists!$A$2:$A$26,0))),""))</f>
        <v/>
      </c>
      <c r="M822" s="15" t="str">
        <f t="shared" si="12"/>
        <v/>
      </c>
    </row>
    <row r="823" spans="1:13" x14ac:dyDescent="0.35">
      <c r="A823" s="11"/>
      <c r="B823" s="12"/>
      <c r="C823" s="12"/>
      <c r="D823" s="12"/>
      <c r="E823" s="13"/>
      <c r="F823" s="13"/>
      <c r="G823" s="13"/>
      <c r="H823" s="13"/>
      <c r="I823" s="12"/>
      <c r="J823" s="13"/>
      <c r="K823" s="14" t="str">
        <f>IF(C823="","",IFERROR(N('Fee Settings'!$C$5)*(E823+N(F823)-N(J823))+N('Fee Settings'!$C$6)*(E823+N(F823)+N(G823))+N('Fee Settings'!$C$7)+N('Fee Settings'!$C$10)*D823+IF(I823="Yes",MIN(N('Fee Settings'!$C$8)*(E823+N(F823)),N('Fee Settings'!$C$9)),0),""))</f>
        <v/>
      </c>
      <c r="L823" s="14" t="str">
        <f>IF(C823="","",IFERROR(D823*N(INDEX(Products!$C$5:$C$29,MATCH(C823,Lists!$A$2:$A$26,0))),""))</f>
        <v/>
      </c>
      <c r="M823" s="15" t="str">
        <f t="shared" si="12"/>
        <v/>
      </c>
    </row>
    <row r="824" spans="1:13" x14ac:dyDescent="0.35">
      <c r="A824" s="11"/>
      <c r="B824" s="12"/>
      <c r="C824" s="12"/>
      <c r="D824" s="12"/>
      <c r="E824" s="13"/>
      <c r="F824" s="13"/>
      <c r="G824" s="13"/>
      <c r="H824" s="13"/>
      <c r="I824" s="12"/>
      <c r="J824" s="13"/>
      <c r="K824" s="14" t="str">
        <f>IF(C824="","",IFERROR(N('Fee Settings'!$C$5)*(E824+N(F824)-N(J824))+N('Fee Settings'!$C$6)*(E824+N(F824)+N(G824))+N('Fee Settings'!$C$7)+N('Fee Settings'!$C$10)*D824+IF(I824="Yes",MIN(N('Fee Settings'!$C$8)*(E824+N(F824)),N('Fee Settings'!$C$9)),0),""))</f>
        <v/>
      </c>
      <c r="L824" s="14" t="str">
        <f>IF(C824="","",IFERROR(D824*N(INDEX(Products!$C$5:$C$29,MATCH(C824,Lists!$A$2:$A$26,0))),""))</f>
        <v/>
      </c>
      <c r="M824" s="15" t="str">
        <f t="shared" si="12"/>
        <v/>
      </c>
    </row>
    <row r="825" spans="1:13" x14ac:dyDescent="0.35">
      <c r="A825" s="11"/>
      <c r="B825" s="12"/>
      <c r="C825" s="12"/>
      <c r="D825" s="12"/>
      <c r="E825" s="13"/>
      <c r="F825" s="13"/>
      <c r="G825" s="13"/>
      <c r="H825" s="13"/>
      <c r="I825" s="12"/>
      <c r="J825" s="13"/>
      <c r="K825" s="14" t="str">
        <f>IF(C825="","",IFERROR(N('Fee Settings'!$C$5)*(E825+N(F825)-N(J825))+N('Fee Settings'!$C$6)*(E825+N(F825)+N(G825))+N('Fee Settings'!$C$7)+N('Fee Settings'!$C$10)*D825+IF(I825="Yes",MIN(N('Fee Settings'!$C$8)*(E825+N(F825)),N('Fee Settings'!$C$9)),0),""))</f>
        <v/>
      </c>
      <c r="L825" s="14" t="str">
        <f>IF(C825="","",IFERROR(D825*N(INDEX(Products!$C$5:$C$29,MATCH(C825,Lists!$A$2:$A$26,0))),""))</f>
        <v/>
      </c>
      <c r="M825" s="15" t="str">
        <f t="shared" si="12"/>
        <v/>
      </c>
    </row>
    <row r="826" spans="1:13" x14ac:dyDescent="0.35">
      <c r="A826" s="11"/>
      <c r="B826" s="12"/>
      <c r="C826" s="12"/>
      <c r="D826" s="12"/>
      <c r="E826" s="13"/>
      <c r="F826" s="13"/>
      <c r="G826" s="13"/>
      <c r="H826" s="13"/>
      <c r="I826" s="12"/>
      <c r="J826" s="13"/>
      <c r="K826" s="14" t="str">
        <f>IF(C826="","",IFERROR(N('Fee Settings'!$C$5)*(E826+N(F826)-N(J826))+N('Fee Settings'!$C$6)*(E826+N(F826)+N(G826))+N('Fee Settings'!$C$7)+N('Fee Settings'!$C$10)*D826+IF(I826="Yes",MIN(N('Fee Settings'!$C$8)*(E826+N(F826)),N('Fee Settings'!$C$9)),0),""))</f>
        <v/>
      </c>
      <c r="L826" s="14" t="str">
        <f>IF(C826="","",IFERROR(D826*N(INDEX(Products!$C$5:$C$29,MATCH(C826,Lists!$A$2:$A$26,0))),""))</f>
        <v/>
      </c>
      <c r="M826" s="15" t="str">
        <f t="shared" si="12"/>
        <v/>
      </c>
    </row>
    <row r="827" spans="1:13" x14ac:dyDescent="0.35">
      <c r="A827" s="11"/>
      <c r="B827" s="12"/>
      <c r="C827" s="12"/>
      <c r="D827" s="12"/>
      <c r="E827" s="13"/>
      <c r="F827" s="13"/>
      <c r="G827" s="13"/>
      <c r="H827" s="13"/>
      <c r="I827" s="12"/>
      <c r="J827" s="13"/>
      <c r="K827" s="14" t="str">
        <f>IF(C827="","",IFERROR(N('Fee Settings'!$C$5)*(E827+N(F827)-N(J827))+N('Fee Settings'!$C$6)*(E827+N(F827)+N(G827))+N('Fee Settings'!$C$7)+N('Fee Settings'!$C$10)*D827+IF(I827="Yes",MIN(N('Fee Settings'!$C$8)*(E827+N(F827)),N('Fee Settings'!$C$9)),0),""))</f>
        <v/>
      </c>
      <c r="L827" s="14" t="str">
        <f>IF(C827="","",IFERROR(D827*N(INDEX(Products!$C$5:$C$29,MATCH(C827,Lists!$A$2:$A$26,0))),""))</f>
        <v/>
      </c>
      <c r="M827" s="15" t="str">
        <f t="shared" si="12"/>
        <v/>
      </c>
    </row>
    <row r="828" spans="1:13" x14ac:dyDescent="0.35">
      <c r="A828" s="11"/>
      <c r="B828" s="12"/>
      <c r="C828" s="12"/>
      <c r="D828" s="12"/>
      <c r="E828" s="13"/>
      <c r="F828" s="13"/>
      <c r="G828" s="13"/>
      <c r="H828" s="13"/>
      <c r="I828" s="12"/>
      <c r="J828" s="13"/>
      <c r="K828" s="14" t="str">
        <f>IF(C828="","",IFERROR(N('Fee Settings'!$C$5)*(E828+N(F828)-N(J828))+N('Fee Settings'!$C$6)*(E828+N(F828)+N(G828))+N('Fee Settings'!$C$7)+N('Fee Settings'!$C$10)*D828+IF(I828="Yes",MIN(N('Fee Settings'!$C$8)*(E828+N(F828)),N('Fee Settings'!$C$9)),0),""))</f>
        <v/>
      </c>
      <c r="L828" s="14" t="str">
        <f>IF(C828="","",IFERROR(D828*N(INDEX(Products!$C$5:$C$29,MATCH(C828,Lists!$A$2:$A$26,0))),""))</f>
        <v/>
      </c>
      <c r="M828" s="15" t="str">
        <f t="shared" si="12"/>
        <v/>
      </c>
    </row>
    <row r="829" spans="1:13" x14ac:dyDescent="0.35">
      <c r="A829" s="11"/>
      <c r="B829" s="12"/>
      <c r="C829" s="12"/>
      <c r="D829" s="12"/>
      <c r="E829" s="13"/>
      <c r="F829" s="13"/>
      <c r="G829" s="13"/>
      <c r="H829" s="13"/>
      <c r="I829" s="12"/>
      <c r="J829" s="13"/>
      <c r="K829" s="14" t="str">
        <f>IF(C829="","",IFERROR(N('Fee Settings'!$C$5)*(E829+N(F829)-N(J829))+N('Fee Settings'!$C$6)*(E829+N(F829)+N(G829))+N('Fee Settings'!$C$7)+N('Fee Settings'!$C$10)*D829+IF(I829="Yes",MIN(N('Fee Settings'!$C$8)*(E829+N(F829)),N('Fee Settings'!$C$9)),0),""))</f>
        <v/>
      </c>
      <c r="L829" s="14" t="str">
        <f>IF(C829="","",IFERROR(D829*N(INDEX(Products!$C$5:$C$29,MATCH(C829,Lists!$A$2:$A$26,0))),""))</f>
        <v/>
      </c>
      <c r="M829" s="15" t="str">
        <f t="shared" si="12"/>
        <v/>
      </c>
    </row>
    <row r="830" spans="1:13" x14ac:dyDescent="0.35">
      <c r="A830" s="11"/>
      <c r="B830" s="12"/>
      <c r="C830" s="12"/>
      <c r="D830" s="12"/>
      <c r="E830" s="13"/>
      <c r="F830" s="13"/>
      <c r="G830" s="13"/>
      <c r="H830" s="13"/>
      <c r="I830" s="12"/>
      <c r="J830" s="13"/>
      <c r="K830" s="14" t="str">
        <f>IF(C830="","",IFERROR(N('Fee Settings'!$C$5)*(E830+N(F830)-N(J830))+N('Fee Settings'!$C$6)*(E830+N(F830)+N(G830))+N('Fee Settings'!$C$7)+N('Fee Settings'!$C$10)*D830+IF(I830="Yes",MIN(N('Fee Settings'!$C$8)*(E830+N(F830)),N('Fee Settings'!$C$9)),0),""))</f>
        <v/>
      </c>
      <c r="L830" s="14" t="str">
        <f>IF(C830="","",IFERROR(D830*N(INDEX(Products!$C$5:$C$29,MATCH(C830,Lists!$A$2:$A$26,0))),""))</f>
        <v/>
      </c>
      <c r="M830" s="15" t="str">
        <f t="shared" si="12"/>
        <v/>
      </c>
    </row>
    <row r="831" spans="1:13" x14ac:dyDescent="0.35">
      <c r="A831" s="11"/>
      <c r="B831" s="12"/>
      <c r="C831" s="12"/>
      <c r="D831" s="12"/>
      <c r="E831" s="13"/>
      <c r="F831" s="13"/>
      <c r="G831" s="13"/>
      <c r="H831" s="13"/>
      <c r="I831" s="12"/>
      <c r="J831" s="13"/>
      <c r="K831" s="14" t="str">
        <f>IF(C831="","",IFERROR(N('Fee Settings'!$C$5)*(E831+N(F831)-N(J831))+N('Fee Settings'!$C$6)*(E831+N(F831)+N(G831))+N('Fee Settings'!$C$7)+N('Fee Settings'!$C$10)*D831+IF(I831="Yes",MIN(N('Fee Settings'!$C$8)*(E831+N(F831)),N('Fee Settings'!$C$9)),0),""))</f>
        <v/>
      </c>
      <c r="L831" s="14" t="str">
        <f>IF(C831="","",IFERROR(D831*N(INDEX(Products!$C$5:$C$29,MATCH(C831,Lists!$A$2:$A$26,0))),""))</f>
        <v/>
      </c>
      <c r="M831" s="15" t="str">
        <f t="shared" si="12"/>
        <v/>
      </c>
    </row>
    <row r="832" spans="1:13" x14ac:dyDescent="0.35">
      <c r="A832" s="11"/>
      <c r="B832" s="12"/>
      <c r="C832" s="12"/>
      <c r="D832" s="12"/>
      <c r="E832" s="13"/>
      <c r="F832" s="13"/>
      <c r="G832" s="13"/>
      <c r="H832" s="13"/>
      <c r="I832" s="12"/>
      <c r="J832" s="13"/>
      <c r="K832" s="14" t="str">
        <f>IF(C832="","",IFERROR(N('Fee Settings'!$C$5)*(E832+N(F832)-N(J832))+N('Fee Settings'!$C$6)*(E832+N(F832)+N(G832))+N('Fee Settings'!$C$7)+N('Fee Settings'!$C$10)*D832+IF(I832="Yes",MIN(N('Fee Settings'!$C$8)*(E832+N(F832)),N('Fee Settings'!$C$9)),0),""))</f>
        <v/>
      </c>
      <c r="L832" s="14" t="str">
        <f>IF(C832="","",IFERROR(D832*N(INDEX(Products!$C$5:$C$29,MATCH(C832,Lists!$A$2:$A$26,0))),""))</f>
        <v/>
      </c>
      <c r="M832" s="15" t="str">
        <f t="shared" si="12"/>
        <v/>
      </c>
    </row>
    <row r="833" spans="1:13" x14ac:dyDescent="0.35">
      <c r="A833" s="11"/>
      <c r="B833" s="12"/>
      <c r="C833" s="12"/>
      <c r="D833" s="12"/>
      <c r="E833" s="13"/>
      <c r="F833" s="13"/>
      <c r="G833" s="13"/>
      <c r="H833" s="13"/>
      <c r="I833" s="12"/>
      <c r="J833" s="13"/>
      <c r="K833" s="14" t="str">
        <f>IF(C833="","",IFERROR(N('Fee Settings'!$C$5)*(E833+N(F833)-N(J833))+N('Fee Settings'!$C$6)*(E833+N(F833)+N(G833))+N('Fee Settings'!$C$7)+N('Fee Settings'!$C$10)*D833+IF(I833="Yes",MIN(N('Fee Settings'!$C$8)*(E833+N(F833)),N('Fee Settings'!$C$9)),0),""))</f>
        <v/>
      </c>
      <c r="L833" s="14" t="str">
        <f>IF(C833="","",IFERROR(D833*N(INDEX(Products!$C$5:$C$29,MATCH(C833,Lists!$A$2:$A$26,0))),""))</f>
        <v/>
      </c>
      <c r="M833" s="15" t="str">
        <f t="shared" si="12"/>
        <v/>
      </c>
    </row>
    <row r="834" spans="1:13" x14ac:dyDescent="0.35">
      <c r="A834" s="11"/>
      <c r="B834" s="12"/>
      <c r="C834" s="12"/>
      <c r="D834" s="12"/>
      <c r="E834" s="13"/>
      <c r="F834" s="13"/>
      <c r="G834" s="13"/>
      <c r="H834" s="13"/>
      <c r="I834" s="12"/>
      <c r="J834" s="13"/>
      <c r="K834" s="14" t="str">
        <f>IF(C834="","",IFERROR(N('Fee Settings'!$C$5)*(E834+N(F834)-N(J834))+N('Fee Settings'!$C$6)*(E834+N(F834)+N(G834))+N('Fee Settings'!$C$7)+N('Fee Settings'!$C$10)*D834+IF(I834="Yes",MIN(N('Fee Settings'!$C$8)*(E834+N(F834)),N('Fee Settings'!$C$9)),0),""))</f>
        <v/>
      </c>
      <c r="L834" s="14" t="str">
        <f>IF(C834="","",IFERROR(D834*N(INDEX(Products!$C$5:$C$29,MATCH(C834,Lists!$A$2:$A$26,0))),""))</f>
        <v/>
      </c>
      <c r="M834" s="15" t="str">
        <f t="shared" si="12"/>
        <v/>
      </c>
    </row>
    <row r="835" spans="1:13" x14ac:dyDescent="0.35">
      <c r="A835" s="11"/>
      <c r="B835" s="12"/>
      <c r="C835" s="12"/>
      <c r="D835" s="12"/>
      <c r="E835" s="13"/>
      <c r="F835" s="13"/>
      <c r="G835" s="13"/>
      <c r="H835" s="13"/>
      <c r="I835" s="12"/>
      <c r="J835" s="13"/>
      <c r="K835" s="14" t="str">
        <f>IF(C835="","",IFERROR(N('Fee Settings'!$C$5)*(E835+N(F835)-N(J835))+N('Fee Settings'!$C$6)*(E835+N(F835)+N(G835))+N('Fee Settings'!$C$7)+N('Fee Settings'!$C$10)*D835+IF(I835="Yes",MIN(N('Fee Settings'!$C$8)*(E835+N(F835)),N('Fee Settings'!$C$9)),0),""))</f>
        <v/>
      </c>
      <c r="L835" s="14" t="str">
        <f>IF(C835="","",IFERROR(D835*N(INDEX(Products!$C$5:$C$29,MATCH(C835,Lists!$A$2:$A$26,0))),""))</f>
        <v/>
      </c>
      <c r="M835" s="15" t="str">
        <f t="shared" si="12"/>
        <v/>
      </c>
    </row>
    <row r="836" spans="1:13" x14ac:dyDescent="0.35">
      <c r="A836" s="11"/>
      <c r="B836" s="12"/>
      <c r="C836" s="12"/>
      <c r="D836" s="12"/>
      <c r="E836" s="13"/>
      <c r="F836" s="13"/>
      <c r="G836" s="13"/>
      <c r="H836" s="13"/>
      <c r="I836" s="12"/>
      <c r="J836" s="13"/>
      <c r="K836" s="14" t="str">
        <f>IF(C836="","",IFERROR(N('Fee Settings'!$C$5)*(E836+N(F836)-N(J836))+N('Fee Settings'!$C$6)*(E836+N(F836)+N(G836))+N('Fee Settings'!$C$7)+N('Fee Settings'!$C$10)*D836+IF(I836="Yes",MIN(N('Fee Settings'!$C$8)*(E836+N(F836)),N('Fee Settings'!$C$9)),0),""))</f>
        <v/>
      </c>
      <c r="L836" s="14" t="str">
        <f>IF(C836="","",IFERROR(D836*N(INDEX(Products!$C$5:$C$29,MATCH(C836,Lists!$A$2:$A$26,0))),""))</f>
        <v/>
      </c>
      <c r="M836" s="15" t="str">
        <f t="shared" si="12"/>
        <v/>
      </c>
    </row>
    <row r="837" spans="1:13" x14ac:dyDescent="0.35">
      <c r="A837" s="11"/>
      <c r="B837" s="12"/>
      <c r="C837" s="12"/>
      <c r="D837" s="12"/>
      <c r="E837" s="13"/>
      <c r="F837" s="13"/>
      <c r="G837" s="13"/>
      <c r="H837" s="13"/>
      <c r="I837" s="12"/>
      <c r="J837" s="13"/>
      <c r="K837" s="14" t="str">
        <f>IF(C837="","",IFERROR(N('Fee Settings'!$C$5)*(E837+N(F837)-N(J837))+N('Fee Settings'!$C$6)*(E837+N(F837)+N(G837))+N('Fee Settings'!$C$7)+N('Fee Settings'!$C$10)*D837+IF(I837="Yes",MIN(N('Fee Settings'!$C$8)*(E837+N(F837)),N('Fee Settings'!$C$9)),0),""))</f>
        <v/>
      </c>
      <c r="L837" s="14" t="str">
        <f>IF(C837="","",IFERROR(D837*N(INDEX(Products!$C$5:$C$29,MATCH(C837,Lists!$A$2:$A$26,0))),""))</f>
        <v/>
      </c>
      <c r="M837" s="15" t="str">
        <f t="shared" ref="M837:M900" si="13">IF(C837="","",IFERROR(E837+N(F837)-N(J837)-K837-L837-N(H837),""))</f>
        <v/>
      </c>
    </row>
    <row r="838" spans="1:13" x14ac:dyDescent="0.35">
      <c r="A838" s="11"/>
      <c r="B838" s="12"/>
      <c r="C838" s="12"/>
      <c r="D838" s="12"/>
      <c r="E838" s="13"/>
      <c r="F838" s="13"/>
      <c r="G838" s="13"/>
      <c r="H838" s="13"/>
      <c r="I838" s="12"/>
      <c r="J838" s="13"/>
      <c r="K838" s="14" t="str">
        <f>IF(C838="","",IFERROR(N('Fee Settings'!$C$5)*(E838+N(F838)-N(J838))+N('Fee Settings'!$C$6)*(E838+N(F838)+N(G838))+N('Fee Settings'!$C$7)+N('Fee Settings'!$C$10)*D838+IF(I838="Yes",MIN(N('Fee Settings'!$C$8)*(E838+N(F838)),N('Fee Settings'!$C$9)),0),""))</f>
        <v/>
      </c>
      <c r="L838" s="14" t="str">
        <f>IF(C838="","",IFERROR(D838*N(INDEX(Products!$C$5:$C$29,MATCH(C838,Lists!$A$2:$A$26,0))),""))</f>
        <v/>
      </c>
      <c r="M838" s="15" t="str">
        <f t="shared" si="13"/>
        <v/>
      </c>
    </row>
    <row r="839" spans="1:13" x14ac:dyDescent="0.35">
      <c r="A839" s="11"/>
      <c r="B839" s="12"/>
      <c r="C839" s="12"/>
      <c r="D839" s="12"/>
      <c r="E839" s="13"/>
      <c r="F839" s="13"/>
      <c r="G839" s="13"/>
      <c r="H839" s="13"/>
      <c r="I839" s="12"/>
      <c r="J839" s="13"/>
      <c r="K839" s="14" t="str">
        <f>IF(C839="","",IFERROR(N('Fee Settings'!$C$5)*(E839+N(F839)-N(J839))+N('Fee Settings'!$C$6)*(E839+N(F839)+N(G839))+N('Fee Settings'!$C$7)+N('Fee Settings'!$C$10)*D839+IF(I839="Yes",MIN(N('Fee Settings'!$C$8)*(E839+N(F839)),N('Fee Settings'!$C$9)),0),""))</f>
        <v/>
      </c>
      <c r="L839" s="14" t="str">
        <f>IF(C839="","",IFERROR(D839*N(INDEX(Products!$C$5:$C$29,MATCH(C839,Lists!$A$2:$A$26,0))),""))</f>
        <v/>
      </c>
      <c r="M839" s="15" t="str">
        <f t="shared" si="13"/>
        <v/>
      </c>
    </row>
    <row r="840" spans="1:13" x14ac:dyDescent="0.35">
      <c r="A840" s="11"/>
      <c r="B840" s="12"/>
      <c r="C840" s="12"/>
      <c r="D840" s="12"/>
      <c r="E840" s="13"/>
      <c r="F840" s="13"/>
      <c r="G840" s="13"/>
      <c r="H840" s="13"/>
      <c r="I840" s="12"/>
      <c r="J840" s="13"/>
      <c r="K840" s="14" t="str">
        <f>IF(C840="","",IFERROR(N('Fee Settings'!$C$5)*(E840+N(F840)-N(J840))+N('Fee Settings'!$C$6)*(E840+N(F840)+N(G840))+N('Fee Settings'!$C$7)+N('Fee Settings'!$C$10)*D840+IF(I840="Yes",MIN(N('Fee Settings'!$C$8)*(E840+N(F840)),N('Fee Settings'!$C$9)),0),""))</f>
        <v/>
      </c>
      <c r="L840" s="14" t="str">
        <f>IF(C840="","",IFERROR(D840*N(INDEX(Products!$C$5:$C$29,MATCH(C840,Lists!$A$2:$A$26,0))),""))</f>
        <v/>
      </c>
      <c r="M840" s="15" t="str">
        <f t="shared" si="13"/>
        <v/>
      </c>
    </row>
    <row r="841" spans="1:13" x14ac:dyDescent="0.35">
      <c r="A841" s="11"/>
      <c r="B841" s="12"/>
      <c r="C841" s="12"/>
      <c r="D841" s="12"/>
      <c r="E841" s="13"/>
      <c r="F841" s="13"/>
      <c r="G841" s="13"/>
      <c r="H841" s="13"/>
      <c r="I841" s="12"/>
      <c r="J841" s="13"/>
      <c r="K841" s="14" t="str">
        <f>IF(C841="","",IFERROR(N('Fee Settings'!$C$5)*(E841+N(F841)-N(J841))+N('Fee Settings'!$C$6)*(E841+N(F841)+N(G841))+N('Fee Settings'!$C$7)+N('Fee Settings'!$C$10)*D841+IF(I841="Yes",MIN(N('Fee Settings'!$C$8)*(E841+N(F841)),N('Fee Settings'!$C$9)),0),""))</f>
        <v/>
      </c>
      <c r="L841" s="14" t="str">
        <f>IF(C841="","",IFERROR(D841*N(INDEX(Products!$C$5:$C$29,MATCH(C841,Lists!$A$2:$A$26,0))),""))</f>
        <v/>
      </c>
      <c r="M841" s="15" t="str">
        <f t="shared" si="13"/>
        <v/>
      </c>
    </row>
    <row r="842" spans="1:13" x14ac:dyDescent="0.35">
      <c r="A842" s="11"/>
      <c r="B842" s="12"/>
      <c r="C842" s="12"/>
      <c r="D842" s="12"/>
      <c r="E842" s="13"/>
      <c r="F842" s="13"/>
      <c r="G842" s="13"/>
      <c r="H842" s="13"/>
      <c r="I842" s="12"/>
      <c r="J842" s="13"/>
      <c r="K842" s="14" t="str">
        <f>IF(C842="","",IFERROR(N('Fee Settings'!$C$5)*(E842+N(F842)-N(J842))+N('Fee Settings'!$C$6)*(E842+N(F842)+N(G842))+N('Fee Settings'!$C$7)+N('Fee Settings'!$C$10)*D842+IF(I842="Yes",MIN(N('Fee Settings'!$C$8)*(E842+N(F842)),N('Fee Settings'!$C$9)),0),""))</f>
        <v/>
      </c>
      <c r="L842" s="14" t="str">
        <f>IF(C842="","",IFERROR(D842*N(INDEX(Products!$C$5:$C$29,MATCH(C842,Lists!$A$2:$A$26,0))),""))</f>
        <v/>
      </c>
      <c r="M842" s="15" t="str">
        <f t="shared" si="13"/>
        <v/>
      </c>
    </row>
    <row r="843" spans="1:13" x14ac:dyDescent="0.35">
      <c r="A843" s="11"/>
      <c r="B843" s="12"/>
      <c r="C843" s="12"/>
      <c r="D843" s="12"/>
      <c r="E843" s="13"/>
      <c r="F843" s="13"/>
      <c r="G843" s="13"/>
      <c r="H843" s="13"/>
      <c r="I843" s="12"/>
      <c r="J843" s="13"/>
      <c r="K843" s="14" t="str">
        <f>IF(C843="","",IFERROR(N('Fee Settings'!$C$5)*(E843+N(F843)-N(J843))+N('Fee Settings'!$C$6)*(E843+N(F843)+N(G843))+N('Fee Settings'!$C$7)+N('Fee Settings'!$C$10)*D843+IF(I843="Yes",MIN(N('Fee Settings'!$C$8)*(E843+N(F843)),N('Fee Settings'!$C$9)),0),""))</f>
        <v/>
      </c>
      <c r="L843" s="14" t="str">
        <f>IF(C843="","",IFERROR(D843*N(INDEX(Products!$C$5:$C$29,MATCH(C843,Lists!$A$2:$A$26,0))),""))</f>
        <v/>
      </c>
      <c r="M843" s="15" t="str">
        <f t="shared" si="13"/>
        <v/>
      </c>
    </row>
    <row r="844" spans="1:13" x14ac:dyDescent="0.35">
      <c r="A844" s="11"/>
      <c r="B844" s="12"/>
      <c r="C844" s="12"/>
      <c r="D844" s="12"/>
      <c r="E844" s="13"/>
      <c r="F844" s="13"/>
      <c r="G844" s="13"/>
      <c r="H844" s="13"/>
      <c r="I844" s="12"/>
      <c r="J844" s="13"/>
      <c r="K844" s="14" t="str">
        <f>IF(C844="","",IFERROR(N('Fee Settings'!$C$5)*(E844+N(F844)-N(J844))+N('Fee Settings'!$C$6)*(E844+N(F844)+N(G844))+N('Fee Settings'!$C$7)+N('Fee Settings'!$C$10)*D844+IF(I844="Yes",MIN(N('Fee Settings'!$C$8)*(E844+N(F844)),N('Fee Settings'!$C$9)),0),""))</f>
        <v/>
      </c>
      <c r="L844" s="14" t="str">
        <f>IF(C844="","",IFERROR(D844*N(INDEX(Products!$C$5:$C$29,MATCH(C844,Lists!$A$2:$A$26,0))),""))</f>
        <v/>
      </c>
      <c r="M844" s="15" t="str">
        <f t="shared" si="13"/>
        <v/>
      </c>
    </row>
    <row r="845" spans="1:13" x14ac:dyDescent="0.35">
      <c r="A845" s="11"/>
      <c r="B845" s="12"/>
      <c r="C845" s="12"/>
      <c r="D845" s="12"/>
      <c r="E845" s="13"/>
      <c r="F845" s="13"/>
      <c r="G845" s="13"/>
      <c r="H845" s="13"/>
      <c r="I845" s="12"/>
      <c r="J845" s="13"/>
      <c r="K845" s="14" t="str">
        <f>IF(C845="","",IFERROR(N('Fee Settings'!$C$5)*(E845+N(F845)-N(J845))+N('Fee Settings'!$C$6)*(E845+N(F845)+N(G845))+N('Fee Settings'!$C$7)+N('Fee Settings'!$C$10)*D845+IF(I845="Yes",MIN(N('Fee Settings'!$C$8)*(E845+N(F845)),N('Fee Settings'!$C$9)),0),""))</f>
        <v/>
      </c>
      <c r="L845" s="14" t="str">
        <f>IF(C845="","",IFERROR(D845*N(INDEX(Products!$C$5:$C$29,MATCH(C845,Lists!$A$2:$A$26,0))),""))</f>
        <v/>
      </c>
      <c r="M845" s="15" t="str">
        <f t="shared" si="13"/>
        <v/>
      </c>
    </row>
    <row r="846" spans="1:13" x14ac:dyDescent="0.35">
      <c r="A846" s="11"/>
      <c r="B846" s="12"/>
      <c r="C846" s="12"/>
      <c r="D846" s="12"/>
      <c r="E846" s="13"/>
      <c r="F846" s="13"/>
      <c r="G846" s="13"/>
      <c r="H846" s="13"/>
      <c r="I846" s="12"/>
      <c r="J846" s="13"/>
      <c r="K846" s="14" t="str">
        <f>IF(C846="","",IFERROR(N('Fee Settings'!$C$5)*(E846+N(F846)-N(J846))+N('Fee Settings'!$C$6)*(E846+N(F846)+N(G846))+N('Fee Settings'!$C$7)+N('Fee Settings'!$C$10)*D846+IF(I846="Yes",MIN(N('Fee Settings'!$C$8)*(E846+N(F846)),N('Fee Settings'!$C$9)),0),""))</f>
        <v/>
      </c>
      <c r="L846" s="14" t="str">
        <f>IF(C846="","",IFERROR(D846*N(INDEX(Products!$C$5:$C$29,MATCH(C846,Lists!$A$2:$A$26,0))),""))</f>
        <v/>
      </c>
      <c r="M846" s="15" t="str">
        <f t="shared" si="13"/>
        <v/>
      </c>
    </row>
    <row r="847" spans="1:13" x14ac:dyDescent="0.35">
      <c r="A847" s="11"/>
      <c r="B847" s="12"/>
      <c r="C847" s="12"/>
      <c r="D847" s="12"/>
      <c r="E847" s="13"/>
      <c r="F847" s="13"/>
      <c r="G847" s="13"/>
      <c r="H847" s="13"/>
      <c r="I847" s="12"/>
      <c r="J847" s="13"/>
      <c r="K847" s="14" t="str">
        <f>IF(C847="","",IFERROR(N('Fee Settings'!$C$5)*(E847+N(F847)-N(J847))+N('Fee Settings'!$C$6)*(E847+N(F847)+N(G847))+N('Fee Settings'!$C$7)+N('Fee Settings'!$C$10)*D847+IF(I847="Yes",MIN(N('Fee Settings'!$C$8)*(E847+N(F847)),N('Fee Settings'!$C$9)),0),""))</f>
        <v/>
      </c>
      <c r="L847" s="14" t="str">
        <f>IF(C847="","",IFERROR(D847*N(INDEX(Products!$C$5:$C$29,MATCH(C847,Lists!$A$2:$A$26,0))),""))</f>
        <v/>
      </c>
      <c r="M847" s="15" t="str">
        <f t="shared" si="13"/>
        <v/>
      </c>
    </row>
    <row r="848" spans="1:13" x14ac:dyDescent="0.35">
      <c r="A848" s="11"/>
      <c r="B848" s="12"/>
      <c r="C848" s="12"/>
      <c r="D848" s="12"/>
      <c r="E848" s="13"/>
      <c r="F848" s="13"/>
      <c r="G848" s="13"/>
      <c r="H848" s="13"/>
      <c r="I848" s="12"/>
      <c r="J848" s="13"/>
      <c r="K848" s="14" t="str">
        <f>IF(C848="","",IFERROR(N('Fee Settings'!$C$5)*(E848+N(F848)-N(J848))+N('Fee Settings'!$C$6)*(E848+N(F848)+N(G848))+N('Fee Settings'!$C$7)+N('Fee Settings'!$C$10)*D848+IF(I848="Yes",MIN(N('Fee Settings'!$C$8)*(E848+N(F848)),N('Fee Settings'!$C$9)),0),""))</f>
        <v/>
      </c>
      <c r="L848" s="14" t="str">
        <f>IF(C848="","",IFERROR(D848*N(INDEX(Products!$C$5:$C$29,MATCH(C848,Lists!$A$2:$A$26,0))),""))</f>
        <v/>
      </c>
      <c r="M848" s="15" t="str">
        <f t="shared" si="13"/>
        <v/>
      </c>
    </row>
    <row r="849" spans="1:13" x14ac:dyDescent="0.35">
      <c r="A849" s="11"/>
      <c r="B849" s="12"/>
      <c r="C849" s="12"/>
      <c r="D849" s="12"/>
      <c r="E849" s="13"/>
      <c r="F849" s="13"/>
      <c r="G849" s="13"/>
      <c r="H849" s="13"/>
      <c r="I849" s="12"/>
      <c r="J849" s="13"/>
      <c r="K849" s="14" t="str">
        <f>IF(C849="","",IFERROR(N('Fee Settings'!$C$5)*(E849+N(F849)-N(J849))+N('Fee Settings'!$C$6)*(E849+N(F849)+N(G849))+N('Fee Settings'!$C$7)+N('Fee Settings'!$C$10)*D849+IF(I849="Yes",MIN(N('Fee Settings'!$C$8)*(E849+N(F849)),N('Fee Settings'!$C$9)),0),""))</f>
        <v/>
      </c>
      <c r="L849" s="14" t="str">
        <f>IF(C849="","",IFERROR(D849*N(INDEX(Products!$C$5:$C$29,MATCH(C849,Lists!$A$2:$A$26,0))),""))</f>
        <v/>
      </c>
      <c r="M849" s="15" t="str">
        <f t="shared" si="13"/>
        <v/>
      </c>
    </row>
    <row r="850" spans="1:13" x14ac:dyDescent="0.35">
      <c r="A850" s="11"/>
      <c r="B850" s="12"/>
      <c r="C850" s="12"/>
      <c r="D850" s="12"/>
      <c r="E850" s="13"/>
      <c r="F850" s="13"/>
      <c r="G850" s="13"/>
      <c r="H850" s="13"/>
      <c r="I850" s="12"/>
      <c r="J850" s="13"/>
      <c r="K850" s="14" t="str">
        <f>IF(C850="","",IFERROR(N('Fee Settings'!$C$5)*(E850+N(F850)-N(J850))+N('Fee Settings'!$C$6)*(E850+N(F850)+N(G850))+N('Fee Settings'!$C$7)+N('Fee Settings'!$C$10)*D850+IF(I850="Yes",MIN(N('Fee Settings'!$C$8)*(E850+N(F850)),N('Fee Settings'!$C$9)),0),""))</f>
        <v/>
      </c>
      <c r="L850" s="14" t="str">
        <f>IF(C850="","",IFERROR(D850*N(INDEX(Products!$C$5:$C$29,MATCH(C850,Lists!$A$2:$A$26,0))),""))</f>
        <v/>
      </c>
      <c r="M850" s="15" t="str">
        <f t="shared" si="13"/>
        <v/>
      </c>
    </row>
    <row r="851" spans="1:13" x14ac:dyDescent="0.35">
      <c r="A851" s="11"/>
      <c r="B851" s="12"/>
      <c r="C851" s="12"/>
      <c r="D851" s="12"/>
      <c r="E851" s="13"/>
      <c r="F851" s="13"/>
      <c r="G851" s="13"/>
      <c r="H851" s="13"/>
      <c r="I851" s="12"/>
      <c r="J851" s="13"/>
      <c r="K851" s="14" t="str">
        <f>IF(C851="","",IFERROR(N('Fee Settings'!$C$5)*(E851+N(F851)-N(J851))+N('Fee Settings'!$C$6)*(E851+N(F851)+N(G851))+N('Fee Settings'!$C$7)+N('Fee Settings'!$C$10)*D851+IF(I851="Yes",MIN(N('Fee Settings'!$C$8)*(E851+N(F851)),N('Fee Settings'!$C$9)),0),""))</f>
        <v/>
      </c>
      <c r="L851" s="14" t="str">
        <f>IF(C851="","",IFERROR(D851*N(INDEX(Products!$C$5:$C$29,MATCH(C851,Lists!$A$2:$A$26,0))),""))</f>
        <v/>
      </c>
      <c r="M851" s="15" t="str">
        <f t="shared" si="13"/>
        <v/>
      </c>
    </row>
    <row r="852" spans="1:13" x14ac:dyDescent="0.35">
      <c r="A852" s="11"/>
      <c r="B852" s="12"/>
      <c r="C852" s="12"/>
      <c r="D852" s="12"/>
      <c r="E852" s="13"/>
      <c r="F852" s="13"/>
      <c r="G852" s="13"/>
      <c r="H852" s="13"/>
      <c r="I852" s="12"/>
      <c r="J852" s="13"/>
      <c r="K852" s="14" t="str">
        <f>IF(C852="","",IFERROR(N('Fee Settings'!$C$5)*(E852+N(F852)-N(J852))+N('Fee Settings'!$C$6)*(E852+N(F852)+N(G852))+N('Fee Settings'!$C$7)+N('Fee Settings'!$C$10)*D852+IF(I852="Yes",MIN(N('Fee Settings'!$C$8)*(E852+N(F852)),N('Fee Settings'!$C$9)),0),""))</f>
        <v/>
      </c>
      <c r="L852" s="14" t="str">
        <f>IF(C852="","",IFERROR(D852*N(INDEX(Products!$C$5:$C$29,MATCH(C852,Lists!$A$2:$A$26,0))),""))</f>
        <v/>
      </c>
      <c r="M852" s="15" t="str">
        <f t="shared" si="13"/>
        <v/>
      </c>
    </row>
    <row r="853" spans="1:13" x14ac:dyDescent="0.35">
      <c r="A853" s="11"/>
      <c r="B853" s="12"/>
      <c r="C853" s="12"/>
      <c r="D853" s="12"/>
      <c r="E853" s="13"/>
      <c r="F853" s="13"/>
      <c r="G853" s="13"/>
      <c r="H853" s="13"/>
      <c r="I853" s="12"/>
      <c r="J853" s="13"/>
      <c r="K853" s="14" t="str">
        <f>IF(C853="","",IFERROR(N('Fee Settings'!$C$5)*(E853+N(F853)-N(J853))+N('Fee Settings'!$C$6)*(E853+N(F853)+N(G853))+N('Fee Settings'!$C$7)+N('Fee Settings'!$C$10)*D853+IF(I853="Yes",MIN(N('Fee Settings'!$C$8)*(E853+N(F853)),N('Fee Settings'!$C$9)),0),""))</f>
        <v/>
      </c>
      <c r="L853" s="14" t="str">
        <f>IF(C853="","",IFERROR(D853*N(INDEX(Products!$C$5:$C$29,MATCH(C853,Lists!$A$2:$A$26,0))),""))</f>
        <v/>
      </c>
      <c r="M853" s="15" t="str">
        <f t="shared" si="13"/>
        <v/>
      </c>
    </row>
    <row r="854" spans="1:13" x14ac:dyDescent="0.35">
      <c r="A854" s="11"/>
      <c r="B854" s="12"/>
      <c r="C854" s="12"/>
      <c r="D854" s="12"/>
      <c r="E854" s="13"/>
      <c r="F854" s="13"/>
      <c r="G854" s="13"/>
      <c r="H854" s="13"/>
      <c r="I854" s="12"/>
      <c r="J854" s="13"/>
      <c r="K854" s="14" t="str">
        <f>IF(C854="","",IFERROR(N('Fee Settings'!$C$5)*(E854+N(F854)-N(J854))+N('Fee Settings'!$C$6)*(E854+N(F854)+N(G854))+N('Fee Settings'!$C$7)+N('Fee Settings'!$C$10)*D854+IF(I854="Yes",MIN(N('Fee Settings'!$C$8)*(E854+N(F854)),N('Fee Settings'!$C$9)),0),""))</f>
        <v/>
      </c>
      <c r="L854" s="14" t="str">
        <f>IF(C854="","",IFERROR(D854*N(INDEX(Products!$C$5:$C$29,MATCH(C854,Lists!$A$2:$A$26,0))),""))</f>
        <v/>
      </c>
      <c r="M854" s="15" t="str">
        <f t="shared" si="13"/>
        <v/>
      </c>
    </row>
    <row r="855" spans="1:13" x14ac:dyDescent="0.35">
      <c r="A855" s="11"/>
      <c r="B855" s="12"/>
      <c r="C855" s="12"/>
      <c r="D855" s="12"/>
      <c r="E855" s="13"/>
      <c r="F855" s="13"/>
      <c r="G855" s="13"/>
      <c r="H855" s="13"/>
      <c r="I855" s="12"/>
      <c r="J855" s="13"/>
      <c r="K855" s="14" t="str">
        <f>IF(C855="","",IFERROR(N('Fee Settings'!$C$5)*(E855+N(F855)-N(J855))+N('Fee Settings'!$C$6)*(E855+N(F855)+N(G855))+N('Fee Settings'!$C$7)+N('Fee Settings'!$C$10)*D855+IF(I855="Yes",MIN(N('Fee Settings'!$C$8)*(E855+N(F855)),N('Fee Settings'!$C$9)),0),""))</f>
        <v/>
      </c>
      <c r="L855" s="14" t="str">
        <f>IF(C855="","",IFERROR(D855*N(INDEX(Products!$C$5:$C$29,MATCH(C855,Lists!$A$2:$A$26,0))),""))</f>
        <v/>
      </c>
      <c r="M855" s="15" t="str">
        <f t="shared" si="13"/>
        <v/>
      </c>
    </row>
    <row r="856" spans="1:13" x14ac:dyDescent="0.35">
      <c r="A856" s="11"/>
      <c r="B856" s="12"/>
      <c r="C856" s="12"/>
      <c r="D856" s="12"/>
      <c r="E856" s="13"/>
      <c r="F856" s="13"/>
      <c r="G856" s="13"/>
      <c r="H856" s="13"/>
      <c r="I856" s="12"/>
      <c r="J856" s="13"/>
      <c r="K856" s="14" t="str">
        <f>IF(C856="","",IFERROR(N('Fee Settings'!$C$5)*(E856+N(F856)-N(J856))+N('Fee Settings'!$C$6)*(E856+N(F856)+N(G856))+N('Fee Settings'!$C$7)+N('Fee Settings'!$C$10)*D856+IF(I856="Yes",MIN(N('Fee Settings'!$C$8)*(E856+N(F856)),N('Fee Settings'!$C$9)),0),""))</f>
        <v/>
      </c>
      <c r="L856" s="14" t="str">
        <f>IF(C856="","",IFERROR(D856*N(INDEX(Products!$C$5:$C$29,MATCH(C856,Lists!$A$2:$A$26,0))),""))</f>
        <v/>
      </c>
      <c r="M856" s="15" t="str">
        <f t="shared" si="13"/>
        <v/>
      </c>
    </row>
    <row r="857" spans="1:13" x14ac:dyDescent="0.35">
      <c r="A857" s="11"/>
      <c r="B857" s="12"/>
      <c r="C857" s="12"/>
      <c r="D857" s="12"/>
      <c r="E857" s="13"/>
      <c r="F857" s="13"/>
      <c r="G857" s="13"/>
      <c r="H857" s="13"/>
      <c r="I857" s="12"/>
      <c r="J857" s="13"/>
      <c r="K857" s="14" t="str">
        <f>IF(C857="","",IFERROR(N('Fee Settings'!$C$5)*(E857+N(F857)-N(J857))+N('Fee Settings'!$C$6)*(E857+N(F857)+N(G857))+N('Fee Settings'!$C$7)+N('Fee Settings'!$C$10)*D857+IF(I857="Yes",MIN(N('Fee Settings'!$C$8)*(E857+N(F857)),N('Fee Settings'!$C$9)),0),""))</f>
        <v/>
      </c>
      <c r="L857" s="14" t="str">
        <f>IF(C857="","",IFERROR(D857*N(INDEX(Products!$C$5:$C$29,MATCH(C857,Lists!$A$2:$A$26,0))),""))</f>
        <v/>
      </c>
      <c r="M857" s="15" t="str">
        <f t="shared" si="13"/>
        <v/>
      </c>
    </row>
    <row r="858" spans="1:13" x14ac:dyDescent="0.35">
      <c r="A858" s="11"/>
      <c r="B858" s="12"/>
      <c r="C858" s="12"/>
      <c r="D858" s="12"/>
      <c r="E858" s="13"/>
      <c r="F858" s="13"/>
      <c r="G858" s="13"/>
      <c r="H858" s="13"/>
      <c r="I858" s="12"/>
      <c r="J858" s="13"/>
      <c r="K858" s="14" t="str">
        <f>IF(C858="","",IFERROR(N('Fee Settings'!$C$5)*(E858+N(F858)-N(J858))+N('Fee Settings'!$C$6)*(E858+N(F858)+N(G858))+N('Fee Settings'!$C$7)+N('Fee Settings'!$C$10)*D858+IF(I858="Yes",MIN(N('Fee Settings'!$C$8)*(E858+N(F858)),N('Fee Settings'!$C$9)),0),""))</f>
        <v/>
      </c>
      <c r="L858" s="14" t="str">
        <f>IF(C858="","",IFERROR(D858*N(INDEX(Products!$C$5:$C$29,MATCH(C858,Lists!$A$2:$A$26,0))),""))</f>
        <v/>
      </c>
      <c r="M858" s="15" t="str">
        <f t="shared" si="13"/>
        <v/>
      </c>
    </row>
    <row r="859" spans="1:13" x14ac:dyDescent="0.35">
      <c r="A859" s="11"/>
      <c r="B859" s="12"/>
      <c r="C859" s="12"/>
      <c r="D859" s="12"/>
      <c r="E859" s="13"/>
      <c r="F859" s="13"/>
      <c r="G859" s="13"/>
      <c r="H859" s="13"/>
      <c r="I859" s="12"/>
      <c r="J859" s="13"/>
      <c r="K859" s="14" t="str">
        <f>IF(C859="","",IFERROR(N('Fee Settings'!$C$5)*(E859+N(F859)-N(J859))+N('Fee Settings'!$C$6)*(E859+N(F859)+N(G859))+N('Fee Settings'!$C$7)+N('Fee Settings'!$C$10)*D859+IF(I859="Yes",MIN(N('Fee Settings'!$C$8)*(E859+N(F859)),N('Fee Settings'!$C$9)),0),""))</f>
        <v/>
      </c>
      <c r="L859" s="14" t="str">
        <f>IF(C859="","",IFERROR(D859*N(INDEX(Products!$C$5:$C$29,MATCH(C859,Lists!$A$2:$A$26,0))),""))</f>
        <v/>
      </c>
      <c r="M859" s="15" t="str">
        <f t="shared" si="13"/>
        <v/>
      </c>
    </row>
    <row r="860" spans="1:13" x14ac:dyDescent="0.35">
      <c r="A860" s="11"/>
      <c r="B860" s="12"/>
      <c r="C860" s="12"/>
      <c r="D860" s="12"/>
      <c r="E860" s="13"/>
      <c r="F860" s="13"/>
      <c r="G860" s="13"/>
      <c r="H860" s="13"/>
      <c r="I860" s="12"/>
      <c r="J860" s="13"/>
      <c r="K860" s="14" t="str">
        <f>IF(C860="","",IFERROR(N('Fee Settings'!$C$5)*(E860+N(F860)-N(J860))+N('Fee Settings'!$C$6)*(E860+N(F860)+N(G860))+N('Fee Settings'!$C$7)+N('Fee Settings'!$C$10)*D860+IF(I860="Yes",MIN(N('Fee Settings'!$C$8)*(E860+N(F860)),N('Fee Settings'!$C$9)),0),""))</f>
        <v/>
      </c>
      <c r="L860" s="14" t="str">
        <f>IF(C860="","",IFERROR(D860*N(INDEX(Products!$C$5:$C$29,MATCH(C860,Lists!$A$2:$A$26,0))),""))</f>
        <v/>
      </c>
      <c r="M860" s="15" t="str">
        <f t="shared" si="13"/>
        <v/>
      </c>
    </row>
    <row r="861" spans="1:13" x14ac:dyDescent="0.35">
      <c r="A861" s="11"/>
      <c r="B861" s="12"/>
      <c r="C861" s="12"/>
      <c r="D861" s="12"/>
      <c r="E861" s="13"/>
      <c r="F861" s="13"/>
      <c r="G861" s="13"/>
      <c r="H861" s="13"/>
      <c r="I861" s="12"/>
      <c r="J861" s="13"/>
      <c r="K861" s="14" t="str">
        <f>IF(C861="","",IFERROR(N('Fee Settings'!$C$5)*(E861+N(F861)-N(J861))+N('Fee Settings'!$C$6)*(E861+N(F861)+N(G861))+N('Fee Settings'!$C$7)+N('Fee Settings'!$C$10)*D861+IF(I861="Yes",MIN(N('Fee Settings'!$C$8)*(E861+N(F861)),N('Fee Settings'!$C$9)),0),""))</f>
        <v/>
      </c>
      <c r="L861" s="14" t="str">
        <f>IF(C861="","",IFERROR(D861*N(INDEX(Products!$C$5:$C$29,MATCH(C861,Lists!$A$2:$A$26,0))),""))</f>
        <v/>
      </c>
      <c r="M861" s="15" t="str">
        <f t="shared" si="13"/>
        <v/>
      </c>
    </row>
    <row r="862" spans="1:13" x14ac:dyDescent="0.35">
      <c r="A862" s="11"/>
      <c r="B862" s="12"/>
      <c r="C862" s="12"/>
      <c r="D862" s="12"/>
      <c r="E862" s="13"/>
      <c r="F862" s="13"/>
      <c r="G862" s="13"/>
      <c r="H862" s="13"/>
      <c r="I862" s="12"/>
      <c r="J862" s="13"/>
      <c r="K862" s="14" t="str">
        <f>IF(C862="","",IFERROR(N('Fee Settings'!$C$5)*(E862+N(F862)-N(J862))+N('Fee Settings'!$C$6)*(E862+N(F862)+N(G862))+N('Fee Settings'!$C$7)+N('Fee Settings'!$C$10)*D862+IF(I862="Yes",MIN(N('Fee Settings'!$C$8)*(E862+N(F862)),N('Fee Settings'!$C$9)),0),""))</f>
        <v/>
      </c>
      <c r="L862" s="14" t="str">
        <f>IF(C862="","",IFERROR(D862*N(INDEX(Products!$C$5:$C$29,MATCH(C862,Lists!$A$2:$A$26,0))),""))</f>
        <v/>
      </c>
      <c r="M862" s="15" t="str">
        <f t="shared" si="13"/>
        <v/>
      </c>
    </row>
    <row r="863" spans="1:13" x14ac:dyDescent="0.35">
      <c r="A863" s="11"/>
      <c r="B863" s="12"/>
      <c r="C863" s="12"/>
      <c r="D863" s="12"/>
      <c r="E863" s="13"/>
      <c r="F863" s="13"/>
      <c r="G863" s="13"/>
      <c r="H863" s="13"/>
      <c r="I863" s="12"/>
      <c r="J863" s="13"/>
      <c r="K863" s="14" t="str">
        <f>IF(C863="","",IFERROR(N('Fee Settings'!$C$5)*(E863+N(F863)-N(J863))+N('Fee Settings'!$C$6)*(E863+N(F863)+N(G863))+N('Fee Settings'!$C$7)+N('Fee Settings'!$C$10)*D863+IF(I863="Yes",MIN(N('Fee Settings'!$C$8)*(E863+N(F863)),N('Fee Settings'!$C$9)),0),""))</f>
        <v/>
      </c>
      <c r="L863" s="14" t="str">
        <f>IF(C863="","",IFERROR(D863*N(INDEX(Products!$C$5:$C$29,MATCH(C863,Lists!$A$2:$A$26,0))),""))</f>
        <v/>
      </c>
      <c r="M863" s="15" t="str">
        <f t="shared" si="13"/>
        <v/>
      </c>
    </row>
    <row r="864" spans="1:13" x14ac:dyDescent="0.35">
      <c r="A864" s="11"/>
      <c r="B864" s="12"/>
      <c r="C864" s="12"/>
      <c r="D864" s="12"/>
      <c r="E864" s="13"/>
      <c r="F864" s="13"/>
      <c r="G864" s="13"/>
      <c r="H864" s="13"/>
      <c r="I864" s="12"/>
      <c r="J864" s="13"/>
      <c r="K864" s="14" t="str">
        <f>IF(C864="","",IFERROR(N('Fee Settings'!$C$5)*(E864+N(F864)-N(J864))+N('Fee Settings'!$C$6)*(E864+N(F864)+N(G864))+N('Fee Settings'!$C$7)+N('Fee Settings'!$C$10)*D864+IF(I864="Yes",MIN(N('Fee Settings'!$C$8)*(E864+N(F864)),N('Fee Settings'!$C$9)),0),""))</f>
        <v/>
      </c>
      <c r="L864" s="14" t="str">
        <f>IF(C864="","",IFERROR(D864*N(INDEX(Products!$C$5:$C$29,MATCH(C864,Lists!$A$2:$A$26,0))),""))</f>
        <v/>
      </c>
      <c r="M864" s="15" t="str">
        <f t="shared" si="13"/>
        <v/>
      </c>
    </row>
    <row r="865" spans="1:13" x14ac:dyDescent="0.35">
      <c r="A865" s="11"/>
      <c r="B865" s="12"/>
      <c r="C865" s="12"/>
      <c r="D865" s="12"/>
      <c r="E865" s="13"/>
      <c r="F865" s="13"/>
      <c r="G865" s="13"/>
      <c r="H865" s="13"/>
      <c r="I865" s="12"/>
      <c r="J865" s="13"/>
      <c r="K865" s="14" t="str">
        <f>IF(C865="","",IFERROR(N('Fee Settings'!$C$5)*(E865+N(F865)-N(J865))+N('Fee Settings'!$C$6)*(E865+N(F865)+N(G865))+N('Fee Settings'!$C$7)+N('Fee Settings'!$C$10)*D865+IF(I865="Yes",MIN(N('Fee Settings'!$C$8)*(E865+N(F865)),N('Fee Settings'!$C$9)),0),""))</f>
        <v/>
      </c>
      <c r="L865" s="14" t="str">
        <f>IF(C865="","",IFERROR(D865*N(INDEX(Products!$C$5:$C$29,MATCH(C865,Lists!$A$2:$A$26,0))),""))</f>
        <v/>
      </c>
      <c r="M865" s="15" t="str">
        <f t="shared" si="13"/>
        <v/>
      </c>
    </row>
    <row r="866" spans="1:13" x14ac:dyDescent="0.35">
      <c r="A866" s="11"/>
      <c r="B866" s="12"/>
      <c r="C866" s="12"/>
      <c r="D866" s="12"/>
      <c r="E866" s="13"/>
      <c r="F866" s="13"/>
      <c r="G866" s="13"/>
      <c r="H866" s="13"/>
      <c r="I866" s="12"/>
      <c r="J866" s="13"/>
      <c r="K866" s="14" t="str">
        <f>IF(C866="","",IFERROR(N('Fee Settings'!$C$5)*(E866+N(F866)-N(J866))+N('Fee Settings'!$C$6)*(E866+N(F866)+N(G866))+N('Fee Settings'!$C$7)+N('Fee Settings'!$C$10)*D866+IF(I866="Yes",MIN(N('Fee Settings'!$C$8)*(E866+N(F866)),N('Fee Settings'!$C$9)),0),""))</f>
        <v/>
      </c>
      <c r="L866" s="14" t="str">
        <f>IF(C866="","",IFERROR(D866*N(INDEX(Products!$C$5:$C$29,MATCH(C866,Lists!$A$2:$A$26,0))),""))</f>
        <v/>
      </c>
      <c r="M866" s="15" t="str">
        <f t="shared" si="13"/>
        <v/>
      </c>
    </row>
    <row r="867" spans="1:13" x14ac:dyDescent="0.35">
      <c r="A867" s="11"/>
      <c r="B867" s="12"/>
      <c r="C867" s="12"/>
      <c r="D867" s="12"/>
      <c r="E867" s="13"/>
      <c r="F867" s="13"/>
      <c r="G867" s="13"/>
      <c r="H867" s="13"/>
      <c r="I867" s="12"/>
      <c r="J867" s="13"/>
      <c r="K867" s="14" t="str">
        <f>IF(C867="","",IFERROR(N('Fee Settings'!$C$5)*(E867+N(F867)-N(J867))+N('Fee Settings'!$C$6)*(E867+N(F867)+N(G867))+N('Fee Settings'!$C$7)+N('Fee Settings'!$C$10)*D867+IF(I867="Yes",MIN(N('Fee Settings'!$C$8)*(E867+N(F867)),N('Fee Settings'!$C$9)),0),""))</f>
        <v/>
      </c>
      <c r="L867" s="14" t="str">
        <f>IF(C867="","",IFERROR(D867*N(INDEX(Products!$C$5:$C$29,MATCH(C867,Lists!$A$2:$A$26,0))),""))</f>
        <v/>
      </c>
      <c r="M867" s="15" t="str">
        <f t="shared" si="13"/>
        <v/>
      </c>
    </row>
    <row r="868" spans="1:13" x14ac:dyDescent="0.35">
      <c r="A868" s="11"/>
      <c r="B868" s="12"/>
      <c r="C868" s="12"/>
      <c r="D868" s="12"/>
      <c r="E868" s="13"/>
      <c r="F868" s="13"/>
      <c r="G868" s="13"/>
      <c r="H868" s="13"/>
      <c r="I868" s="12"/>
      <c r="J868" s="13"/>
      <c r="K868" s="14" t="str">
        <f>IF(C868="","",IFERROR(N('Fee Settings'!$C$5)*(E868+N(F868)-N(J868))+N('Fee Settings'!$C$6)*(E868+N(F868)+N(G868))+N('Fee Settings'!$C$7)+N('Fee Settings'!$C$10)*D868+IF(I868="Yes",MIN(N('Fee Settings'!$C$8)*(E868+N(F868)),N('Fee Settings'!$C$9)),0),""))</f>
        <v/>
      </c>
      <c r="L868" s="14" t="str">
        <f>IF(C868="","",IFERROR(D868*N(INDEX(Products!$C$5:$C$29,MATCH(C868,Lists!$A$2:$A$26,0))),""))</f>
        <v/>
      </c>
      <c r="M868" s="15" t="str">
        <f t="shared" si="13"/>
        <v/>
      </c>
    </row>
    <row r="869" spans="1:13" x14ac:dyDescent="0.35">
      <c r="A869" s="11"/>
      <c r="B869" s="12"/>
      <c r="C869" s="12"/>
      <c r="D869" s="12"/>
      <c r="E869" s="13"/>
      <c r="F869" s="13"/>
      <c r="G869" s="13"/>
      <c r="H869" s="13"/>
      <c r="I869" s="12"/>
      <c r="J869" s="13"/>
      <c r="K869" s="14" t="str">
        <f>IF(C869="","",IFERROR(N('Fee Settings'!$C$5)*(E869+N(F869)-N(J869))+N('Fee Settings'!$C$6)*(E869+N(F869)+N(G869))+N('Fee Settings'!$C$7)+N('Fee Settings'!$C$10)*D869+IF(I869="Yes",MIN(N('Fee Settings'!$C$8)*(E869+N(F869)),N('Fee Settings'!$C$9)),0),""))</f>
        <v/>
      </c>
      <c r="L869" s="14" t="str">
        <f>IF(C869="","",IFERROR(D869*N(INDEX(Products!$C$5:$C$29,MATCH(C869,Lists!$A$2:$A$26,0))),""))</f>
        <v/>
      </c>
      <c r="M869" s="15" t="str">
        <f t="shared" si="13"/>
        <v/>
      </c>
    </row>
    <row r="870" spans="1:13" x14ac:dyDescent="0.35">
      <c r="A870" s="11"/>
      <c r="B870" s="12"/>
      <c r="C870" s="12"/>
      <c r="D870" s="12"/>
      <c r="E870" s="13"/>
      <c r="F870" s="13"/>
      <c r="G870" s="13"/>
      <c r="H870" s="13"/>
      <c r="I870" s="12"/>
      <c r="J870" s="13"/>
      <c r="K870" s="14" t="str">
        <f>IF(C870="","",IFERROR(N('Fee Settings'!$C$5)*(E870+N(F870)-N(J870))+N('Fee Settings'!$C$6)*(E870+N(F870)+N(G870))+N('Fee Settings'!$C$7)+N('Fee Settings'!$C$10)*D870+IF(I870="Yes",MIN(N('Fee Settings'!$C$8)*(E870+N(F870)),N('Fee Settings'!$C$9)),0),""))</f>
        <v/>
      </c>
      <c r="L870" s="14" t="str">
        <f>IF(C870="","",IFERROR(D870*N(INDEX(Products!$C$5:$C$29,MATCH(C870,Lists!$A$2:$A$26,0))),""))</f>
        <v/>
      </c>
      <c r="M870" s="15" t="str">
        <f t="shared" si="13"/>
        <v/>
      </c>
    </row>
    <row r="871" spans="1:13" x14ac:dyDescent="0.35">
      <c r="A871" s="11"/>
      <c r="B871" s="12"/>
      <c r="C871" s="12"/>
      <c r="D871" s="12"/>
      <c r="E871" s="13"/>
      <c r="F871" s="13"/>
      <c r="G871" s="13"/>
      <c r="H871" s="13"/>
      <c r="I871" s="12"/>
      <c r="J871" s="13"/>
      <c r="K871" s="14" t="str">
        <f>IF(C871="","",IFERROR(N('Fee Settings'!$C$5)*(E871+N(F871)-N(J871))+N('Fee Settings'!$C$6)*(E871+N(F871)+N(G871))+N('Fee Settings'!$C$7)+N('Fee Settings'!$C$10)*D871+IF(I871="Yes",MIN(N('Fee Settings'!$C$8)*(E871+N(F871)),N('Fee Settings'!$C$9)),0),""))</f>
        <v/>
      </c>
      <c r="L871" s="14" t="str">
        <f>IF(C871="","",IFERROR(D871*N(INDEX(Products!$C$5:$C$29,MATCH(C871,Lists!$A$2:$A$26,0))),""))</f>
        <v/>
      </c>
      <c r="M871" s="15" t="str">
        <f t="shared" si="13"/>
        <v/>
      </c>
    </row>
    <row r="872" spans="1:13" x14ac:dyDescent="0.35">
      <c r="A872" s="11"/>
      <c r="B872" s="12"/>
      <c r="C872" s="12"/>
      <c r="D872" s="12"/>
      <c r="E872" s="13"/>
      <c r="F872" s="13"/>
      <c r="G872" s="13"/>
      <c r="H872" s="13"/>
      <c r="I872" s="12"/>
      <c r="J872" s="13"/>
      <c r="K872" s="14" t="str">
        <f>IF(C872="","",IFERROR(N('Fee Settings'!$C$5)*(E872+N(F872)-N(J872))+N('Fee Settings'!$C$6)*(E872+N(F872)+N(G872))+N('Fee Settings'!$C$7)+N('Fee Settings'!$C$10)*D872+IF(I872="Yes",MIN(N('Fee Settings'!$C$8)*(E872+N(F872)),N('Fee Settings'!$C$9)),0),""))</f>
        <v/>
      </c>
      <c r="L872" s="14" t="str">
        <f>IF(C872="","",IFERROR(D872*N(INDEX(Products!$C$5:$C$29,MATCH(C872,Lists!$A$2:$A$26,0))),""))</f>
        <v/>
      </c>
      <c r="M872" s="15" t="str">
        <f t="shared" si="13"/>
        <v/>
      </c>
    </row>
    <row r="873" spans="1:13" x14ac:dyDescent="0.35">
      <c r="A873" s="11"/>
      <c r="B873" s="12"/>
      <c r="C873" s="12"/>
      <c r="D873" s="12"/>
      <c r="E873" s="13"/>
      <c r="F873" s="13"/>
      <c r="G873" s="13"/>
      <c r="H873" s="13"/>
      <c r="I873" s="12"/>
      <c r="J873" s="13"/>
      <c r="K873" s="14" t="str">
        <f>IF(C873="","",IFERROR(N('Fee Settings'!$C$5)*(E873+N(F873)-N(J873))+N('Fee Settings'!$C$6)*(E873+N(F873)+N(G873))+N('Fee Settings'!$C$7)+N('Fee Settings'!$C$10)*D873+IF(I873="Yes",MIN(N('Fee Settings'!$C$8)*(E873+N(F873)),N('Fee Settings'!$C$9)),0),""))</f>
        <v/>
      </c>
      <c r="L873" s="14" t="str">
        <f>IF(C873="","",IFERROR(D873*N(INDEX(Products!$C$5:$C$29,MATCH(C873,Lists!$A$2:$A$26,0))),""))</f>
        <v/>
      </c>
      <c r="M873" s="15" t="str">
        <f t="shared" si="13"/>
        <v/>
      </c>
    </row>
    <row r="874" spans="1:13" x14ac:dyDescent="0.35">
      <c r="A874" s="11"/>
      <c r="B874" s="12"/>
      <c r="C874" s="12"/>
      <c r="D874" s="12"/>
      <c r="E874" s="13"/>
      <c r="F874" s="13"/>
      <c r="G874" s="13"/>
      <c r="H874" s="13"/>
      <c r="I874" s="12"/>
      <c r="J874" s="13"/>
      <c r="K874" s="14" t="str">
        <f>IF(C874="","",IFERROR(N('Fee Settings'!$C$5)*(E874+N(F874)-N(J874))+N('Fee Settings'!$C$6)*(E874+N(F874)+N(G874))+N('Fee Settings'!$C$7)+N('Fee Settings'!$C$10)*D874+IF(I874="Yes",MIN(N('Fee Settings'!$C$8)*(E874+N(F874)),N('Fee Settings'!$C$9)),0),""))</f>
        <v/>
      </c>
      <c r="L874" s="14" t="str">
        <f>IF(C874="","",IFERROR(D874*N(INDEX(Products!$C$5:$C$29,MATCH(C874,Lists!$A$2:$A$26,0))),""))</f>
        <v/>
      </c>
      <c r="M874" s="15" t="str">
        <f t="shared" si="13"/>
        <v/>
      </c>
    </row>
    <row r="875" spans="1:13" x14ac:dyDescent="0.35">
      <c r="A875" s="11"/>
      <c r="B875" s="12"/>
      <c r="C875" s="12"/>
      <c r="D875" s="12"/>
      <c r="E875" s="13"/>
      <c r="F875" s="13"/>
      <c r="G875" s="13"/>
      <c r="H875" s="13"/>
      <c r="I875" s="12"/>
      <c r="J875" s="13"/>
      <c r="K875" s="14" t="str">
        <f>IF(C875="","",IFERROR(N('Fee Settings'!$C$5)*(E875+N(F875)-N(J875))+N('Fee Settings'!$C$6)*(E875+N(F875)+N(G875))+N('Fee Settings'!$C$7)+N('Fee Settings'!$C$10)*D875+IF(I875="Yes",MIN(N('Fee Settings'!$C$8)*(E875+N(F875)),N('Fee Settings'!$C$9)),0),""))</f>
        <v/>
      </c>
      <c r="L875" s="14" t="str">
        <f>IF(C875="","",IFERROR(D875*N(INDEX(Products!$C$5:$C$29,MATCH(C875,Lists!$A$2:$A$26,0))),""))</f>
        <v/>
      </c>
      <c r="M875" s="15" t="str">
        <f t="shared" si="13"/>
        <v/>
      </c>
    </row>
    <row r="876" spans="1:13" x14ac:dyDescent="0.35">
      <c r="A876" s="11"/>
      <c r="B876" s="12"/>
      <c r="C876" s="12"/>
      <c r="D876" s="12"/>
      <c r="E876" s="13"/>
      <c r="F876" s="13"/>
      <c r="G876" s="13"/>
      <c r="H876" s="13"/>
      <c r="I876" s="12"/>
      <c r="J876" s="13"/>
      <c r="K876" s="14" t="str">
        <f>IF(C876="","",IFERROR(N('Fee Settings'!$C$5)*(E876+N(F876)-N(J876))+N('Fee Settings'!$C$6)*(E876+N(F876)+N(G876))+N('Fee Settings'!$C$7)+N('Fee Settings'!$C$10)*D876+IF(I876="Yes",MIN(N('Fee Settings'!$C$8)*(E876+N(F876)),N('Fee Settings'!$C$9)),0),""))</f>
        <v/>
      </c>
      <c r="L876" s="14" t="str">
        <f>IF(C876="","",IFERROR(D876*N(INDEX(Products!$C$5:$C$29,MATCH(C876,Lists!$A$2:$A$26,0))),""))</f>
        <v/>
      </c>
      <c r="M876" s="15" t="str">
        <f t="shared" si="13"/>
        <v/>
      </c>
    </row>
    <row r="877" spans="1:13" x14ac:dyDescent="0.35">
      <c r="A877" s="11"/>
      <c r="B877" s="12"/>
      <c r="C877" s="12"/>
      <c r="D877" s="12"/>
      <c r="E877" s="13"/>
      <c r="F877" s="13"/>
      <c r="G877" s="13"/>
      <c r="H877" s="13"/>
      <c r="I877" s="12"/>
      <c r="J877" s="13"/>
      <c r="K877" s="14" t="str">
        <f>IF(C877="","",IFERROR(N('Fee Settings'!$C$5)*(E877+N(F877)-N(J877))+N('Fee Settings'!$C$6)*(E877+N(F877)+N(G877))+N('Fee Settings'!$C$7)+N('Fee Settings'!$C$10)*D877+IF(I877="Yes",MIN(N('Fee Settings'!$C$8)*(E877+N(F877)),N('Fee Settings'!$C$9)),0),""))</f>
        <v/>
      </c>
      <c r="L877" s="14" t="str">
        <f>IF(C877="","",IFERROR(D877*N(INDEX(Products!$C$5:$C$29,MATCH(C877,Lists!$A$2:$A$26,0))),""))</f>
        <v/>
      </c>
      <c r="M877" s="15" t="str">
        <f t="shared" si="13"/>
        <v/>
      </c>
    </row>
    <row r="878" spans="1:13" x14ac:dyDescent="0.35">
      <c r="A878" s="11"/>
      <c r="B878" s="12"/>
      <c r="C878" s="12"/>
      <c r="D878" s="12"/>
      <c r="E878" s="13"/>
      <c r="F878" s="13"/>
      <c r="G878" s="13"/>
      <c r="H878" s="13"/>
      <c r="I878" s="12"/>
      <c r="J878" s="13"/>
      <c r="K878" s="14" t="str">
        <f>IF(C878="","",IFERROR(N('Fee Settings'!$C$5)*(E878+N(F878)-N(J878))+N('Fee Settings'!$C$6)*(E878+N(F878)+N(G878))+N('Fee Settings'!$C$7)+N('Fee Settings'!$C$10)*D878+IF(I878="Yes",MIN(N('Fee Settings'!$C$8)*(E878+N(F878)),N('Fee Settings'!$C$9)),0),""))</f>
        <v/>
      </c>
      <c r="L878" s="14" t="str">
        <f>IF(C878="","",IFERROR(D878*N(INDEX(Products!$C$5:$C$29,MATCH(C878,Lists!$A$2:$A$26,0))),""))</f>
        <v/>
      </c>
      <c r="M878" s="15" t="str">
        <f t="shared" si="13"/>
        <v/>
      </c>
    </row>
    <row r="879" spans="1:13" x14ac:dyDescent="0.35">
      <c r="A879" s="11"/>
      <c r="B879" s="12"/>
      <c r="C879" s="12"/>
      <c r="D879" s="12"/>
      <c r="E879" s="13"/>
      <c r="F879" s="13"/>
      <c r="G879" s="13"/>
      <c r="H879" s="13"/>
      <c r="I879" s="12"/>
      <c r="J879" s="13"/>
      <c r="K879" s="14" t="str">
        <f>IF(C879="","",IFERROR(N('Fee Settings'!$C$5)*(E879+N(F879)-N(J879))+N('Fee Settings'!$C$6)*(E879+N(F879)+N(G879))+N('Fee Settings'!$C$7)+N('Fee Settings'!$C$10)*D879+IF(I879="Yes",MIN(N('Fee Settings'!$C$8)*(E879+N(F879)),N('Fee Settings'!$C$9)),0),""))</f>
        <v/>
      </c>
      <c r="L879" s="14" t="str">
        <f>IF(C879="","",IFERROR(D879*N(INDEX(Products!$C$5:$C$29,MATCH(C879,Lists!$A$2:$A$26,0))),""))</f>
        <v/>
      </c>
      <c r="M879" s="15" t="str">
        <f t="shared" si="13"/>
        <v/>
      </c>
    </row>
    <row r="880" spans="1:13" x14ac:dyDescent="0.35">
      <c r="A880" s="11"/>
      <c r="B880" s="12"/>
      <c r="C880" s="12"/>
      <c r="D880" s="12"/>
      <c r="E880" s="13"/>
      <c r="F880" s="13"/>
      <c r="G880" s="13"/>
      <c r="H880" s="13"/>
      <c r="I880" s="12"/>
      <c r="J880" s="13"/>
      <c r="K880" s="14" t="str">
        <f>IF(C880="","",IFERROR(N('Fee Settings'!$C$5)*(E880+N(F880)-N(J880))+N('Fee Settings'!$C$6)*(E880+N(F880)+N(G880))+N('Fee Settings'!$C$7)+N('Fee Settings'!$C$10)*D880+IF(I880="Yes",MIN(N('Fee Settings'!$C$8)*(E880+N(F880)),N('Fee Settings'!$C$9)),0),""))</f>
        <v/>
      </c>
      <c r="L880" s="14" t="str">
        <f>IF(C880="","",IFERROR(D880*N(INDEX(Products!$C$5:$C$29,MATCH(C880,Lists!$A$2:$A$26,0))),""))</f>
        <v/>
      </c>
      <c r="M880" s="15" t="str">
        <f t="shared" si="13"/>
        <v/>
      </c>
    </row>
    <row r="881" spans="1:13" x14ac:dyDescent="0.35">
      <c r="A881" s="11"/>
      <c r="B881" s="12"/>
      <c r="C881" s="12"/>
      <c r="D881" s="12"/>
      <c r="E881" s="13"/>
      <c r="F881" s="13"/>
      <c r="G881" s="13"/>
      <c r="H881" s="13"/>
      <c r="I881" s="12"/>
      <c r="J881" s="13"/>
      <c r="K881" s="14" t="str">
        <f>IF(C881="","",IFERROR(N('Fee Settings'!$C$5)*(E881+N(F881)-N(J881))+N('Fee Settings'!$C$6)*(E881+N(F881)+N(G881))+N('Fee Settings'!$C$7)+N('Fee Settings'!$C$10)*D881+IF(I881="Yes",MIN(N('Fee Settings'!$C$8)*(E881+N(F881)),N('Fee Settings'!$C$9)),0),""))</f>
        <v/>
      </c>
      <c r="L881" s="14" t="str">
        <f>IF(C881="","",IFERROR(D881*N(INDEX(Products!$C$5:$C$29,MATCH(C881,Lists!$A$2:$A$26,0))),""))</f>
        <v/>
      </c>
      <c r="M881" s="15" t="str">
        <f t="shared" si="13"/>
        <v/>
      </c>
    </row>
    <row r="882" spans="1:13" x14ac:dyDescent="0.35">
      <c r="A882" s="11"/>
      <c r="B882" s="12"/>
      <c r="C882" s="12"/>
      <c r="D882" s="12"/>
      <c r="E882" s="13"/>
      <c r="F882" s="13"/>
      <c r="G882" s="13"/>
      <c r="H882" s="13"/>
      <c r="I882" s="12"/>
      <c r="J882" s="13"/>
      <c r="K882" s="14" t="str">
        <f>IF(C882="","",IFERROR(N('Fee Settings'!$C$5)*(E882+N(F882)-N(J882))+N('Fee Settings'!$C$6)*(E882+N(F882)+N(G882))+N('Fee Settings'!$C$7)+N('Fee Settings'!$C$10)*D882+IF(I882="Yes",MIN(N('Fee Settings'!$C$8)*(E882+N(F882)),N('Fee Settings'!$C$9)),0),""))</f>
        <v/>
      </c>
      <c r="L882" s="14" t="str">
        <f>IF(C882="","",IFERROR(D882*N(INDEX(Products!$C$5:$C$29,MATCH(C882,Lists!$A$2:$A$26,0))),""))</f>
        <v/>
      </c>
      <c r="M882" s="15" t="str">
        <f t="shared" si="13"/>
        <v/>
      </c>
    </row>
    <row r="883" spans="1:13" x14ac:dyDescent="0.35">
      <c r="A883" s="11"/>
      <c r="B883" s="12"/>
      <c r="C883" s="12"/>
      <c r="D883" s="12"/>
      <c r="E883" s="13"/>
      <c r="F883" s="13"/>
      <c r="G883" s="13"/>
      <c r="H883" s="13"/>
      <c r="I883" s="12"/>
      <c r="J883" s="13"/>
      <c r="K883" s="14" t="str">
        <f>IF(C883="","",IFERROR(N('Fee Settings'!$C$5)*(E883+N(F883)-N(J883))+N('Fee Settings'!$C$6)*(E883+N(F883)+N(G883))+N('Fee Settings'!$C$7)+N('Fee Settings'!$C$10)*D883+IF(I883="Yes",MIN(N('Fee Settings'!$C$8)*(E883+N(F883)),N('Fee Settings'!$C$9)),0),""))</f>
        <v/>
      </c>
      <c r="L883" s="14" t="str">
        <f>IF(C883="","",IFERROR(D883*N(INDEX(Products!$C$5:$C$29,MATCH(C883,Lists!$A$2:$A$26,0))),""))</f>
        <v/>
      </c>
      <c r="M883" s="15" t="str">
        <f t="shared" si="13"/>
        <v/>
      </c>
    </row>
    <row r="884" spans="1:13" x14ac:dyDescent="0.35">
      <c r="A884" s="11"/>
      <c r="B884" s="12"/>
      <c r="C884" s="12"/>
      <c r="D884" s="12"/>
      <c r="E884" s="13"/>
      <c r="F884" s="13"/>
      <c r="G884" s="13"/>
      <c r="H884" s="13"/>
      <c r="I884" s="12"/>
      <c r="J884" s="13"/>
      <c r="K884" s="14" t="str">
        <f>IF(C884="","",IFERROR(N('Fee Settings'!$C$5)*(E884+N(F884)-N(J884))+N('Fee Settings'!$C$6)*(E884+N(F884)+N(G884))+N('Fee Settings'!$C$7)+N('Fee Settings'!$C$10)*D884+IF(I884="Yes",MIN(N('Fee Settings'!$C$8)*(E884+N(F884)),N('Fee Settings'!$C$9)),0),""))</f>
        <v/>
      </c>
      <c r="L884" s="14" t="str">
        <f>IF(C884="","",IFERROR(D884*N(INDEX(Products!$C$5:$C$29,MATCH(C884,Lists!$A$2:$A$26,0))),""))</f>
        <v/>
      </c>
      <c r="M884" s="15" t="str">
        <f t="shared" si="13"/>
        <v/>
      </c>
    </row>
    <row r="885" spans="1:13" x14ac:dyDescent="0.35">
      <c r="A885" s="11"/>
      <c r="B885" s="12"/>
      <c r="C885" s="12"/>
      <c r="D885" s="12"/>
      <c r="E885" s="13"/>
      <c r="F885" s="13"/>
      <c r="G885" s="13"/>
      <c r="H885" s="13"/>
      <c r="I885" s="12"/>
      <c r="J885" s="13"/>
      <c r="K885" s="14" t="str">
        <f>IF(C885="","",IFERROR(N('Fee Settings'!$C$5)*(E885+N(F885)-N(J885))+N('Fee Settings'!$C$6)*(E885+N(F885)+N(G885))+N('Fee Settings'!$C$7)+N('Fee Settings'!$C$10)*D885+IF(I885="Yes",MIN(N('Fee Settings'!$C$8)*(E885+N(F885)),N('Fee Settings'!$C$9)),0),""))</f>
        <v/>
      </c>
      <c r="L885" s="14" t="str">
        <f>IF(C885="","",IFERROR(D885*N(INDEX(Products!$C$5:$C$29,MATCH(C885,Lists!$A$2:$A$26,0))),""))</f>
        <v/>
      </c>
      <c r="M885" s="15" t="str">
        <f t="shared" si="13"/>
        <v/>
      </c>
    </row>
    <row r="886" spans="1:13" x14ac:dyDescent="0.35">
      <c r="A886" s="11"/>
      <c r="B886" s="12"/>
      <c r="C886" s="12"/>
      <c r="D886" s="12"/>
      <c r="E886" s="13"/>
      <c r="F886" s="13"/>
      <c r="G886" s="13"/>
      <c r="H886" s="13"/>
      <c r="I886" s="12"/>
      <c r="J886" s="13"/>
      <c r="K886" s="14" t="str">
        <f>IF(C886="","",IFERROR(N('Fee Settings'!$C$5)*(E886+N(F886)-N(J886))+N('Fee Settings'!$C$6)*(E886+N(F886)+N(G886))+N('Fee Settings'!$C$7)+N('Fee Settings'!$C$10)*D886+IF(I886="Yes",MIN(N('Fee Settings'!$C$8)*(E886+N(F886)),N('Fee Settings'!$C$9)),0),""))</f>
        <v/>
      </c>
      <c r="L886" s="14" t="str">
        <f>IF(C886="","",IFERROR(D886*N(INDEX(Products!$C$5:$C$29,MATCH(C886,Lists!$A$2:$A$26,0))),""))</f>
        <v/>
      </c>
      <c r="M886" s="15" t="str">
        <f t="shared" si="13"/>
        <v/>
      </c>
    </row>
    <row r="887" spans="1:13" x14ac:dyDescent="0.35">
      <c r="A887" s="11"/>
      <c r="B887" s="12"/>
      <c r="C887" s="12"/>
      <c r="D887" s="12"/>
      <c r="E887" s="13"/>
      <c r="F887" s="13"/>
      <c r="G887" s="13"/>
      <c r="H887" s="13"/>
      <c r="I887" s="12"/>
      <c r="J887" s="13"/>
      <c r="K887" s="14" t="str">
        <f>IF(C887="","",IFERROR(N('Fee Settings'!$C$5)*(E887+N(F887)-N(J887))+N('Fee Settings'!$C$6)*(E887+N(F887)+N(G887))+N('Fee Settings'!$C$7)+N('Fee Settings'!$C$10)*D887+IF(I887="Yes",MIN(N('Fee Settings'!$C$8)*(E887+N(F887)),N('Fee Settings'!$C$9)),0),""))</f>
        <v/>
      </c>
      <c r="L887" s="14" t="str">
        <f>IF(C887="","",IFERROR(D887*N(INDEX(Products!$C$5:$C$29,MATCH(C887,Lists!$A$2:$A$26,0))),""))</f>
        <v/>
      </c>
      <c r="M887" s="15" t="str">
        <f t="shared" si="13"/>
        <v/>
      </c>
    </row>
    <row r="888" spans="1:13" x14ac:dyDescent="0.35">
      <c r="A888" s="11"/>
      <c r="B888" s="12"/>
      <c r="C888" s="12"/>
      <c r="D888" s="12"/>
      <c r="E888" s="13"/>
      <c r="F888" s="13"/>
      <c r="G888" s="13"/>
      <c r="H888" s="13"/>
      <c r="I888" s="12"/>
      <c r="J888" s="13"/>
      <c r="K888" s="14" t="str">
        <f>IF(C888="","",IFERROR(N('Fee Settings'!$C$5)*(E888+N(F888)-N(J888))+N('Fee Settings'!$C$6)*(E888+N(F888)+N(G888))+N('Fee Settings'!$C$7)+N('Fee Settings'!$C$10)*D888+IF(I888="Yes",MIN(N('Fee Settings'!$C$8)*(E888+N(F888)),N('Fee Settings'!$C$9)),0),""))</f>
        <v/>
      </c>
      <c r="L888" s="14" t="str">
        <f>IF(C888="","",IFERROR(D888*N(INDEX(Products!$C$5:$C$29,MATCH(C888,Lists!$A$2:$A$26,0))),""))</f>
        <v/>
      </c>
      <c r="M888" s="15" t="str">
        <f t="shared" si="13"/>
        <v/>
      </c>
    </row>
    <row r="889" spans="1:13" x14ac:dyDescent="0.35">
      <c r="A889" s="11"/>
      <c r="B889" s="12"/>
      <c r="C889" s="12"/>
      <c r="D889" s="12"/>
      <c r="E889" s="13"/>
      <c r="F889" s="13"/>
      <c r="G889" s="13"/>
      <c r="H889" s="13"/>
      <c r="I889" s="12"/>
      <c r="J889" s="13"/>
      <c r="K889" s="14" t="str">
        <f>IF(C889="","",IFERROR(N('Fee Settings'!$C$5)*(E889+N(F889)-N(J889))+N('Fee Settings'!$C$6)*(E889+N(F889)+N(G889))+N('Fee Settings'!$C$7)+N('Fee Settings'!$C$10)*D889+IF(I889="Yes",MIN(N('Fee Settings'!$C$8)*(E889+N(F889)),N('Fee Settings'!$C$9)),0),""))</f>
        <v/>
      </c>
      <c r="L889" s="14" t="str">
        <f>IF(C889="","",IFERROR(D889*N(INDEX(Products!$C$5:$C$29,MATCH(C889,Lists!$A$2:$A$26,0))),""))</f>
        <v/>
      </c>
      <c r="M889" s="15" t="str">
        <f t="shared" si="13"/>
        <v/>
      </c>
    </row>
    <row r="890" spans="1:13" x14ac:dyDescent="0.35">
      <c r="A890" s="11"/>
      <c r="B890" s="12"/>
      <c r="C890" s="12"/>
      <c r="D890" s="12"/>
      <c r="E890" s="13"/>
      <c r="F890" s="13"/>
      <c r="G890" s="13"/>
      <c r="H890" s="13"/>
      <c r="I890" s="12"/>
      <c r="J890" s="13"/>
      <c r="K890" s="14" t="str">
        <f>IF(C890="","",IFERROR(N('Fee Settings'!$C$5)*(E890+N(F890)-N(J890))+N('Fee Settings'!$C$6)*(E890+N(F890)+N(G890))+N('Fee Settings'!$C$7)+N('Fee Settings'!$C$10)*D890+IF(I890="Yes",MIN(N('Fee Settings'!$C$8)*(E890+N(F890)),N('Fee Settings'!$C$9)),0),""))</f>
        <v/>
      </c>
      <c r="L890" s="14" t="str">
        <f>IF(C890="","",IFERROR(D890*N(INDEX(Products!$C$5:$C$29,MATCH(C890,Lists!$A$2:$A$26,0))),""))</f>
        <v/>
      </c>
      <c r="M890" s="15" t="str">
        <f t="shared" si="13"/>
        <v/>
      </c>
    </row>
    <row r="891" spans="1:13" x14ac:dyDescent="0.35">
      <c r="A891" s="11"/>
      <c r="B891" s="12"/>
      <c r="C891" s="12"/>
      <c r="D891" s="12"/>
      <c r="E891" s="13"/>
      <c r="F891" s="13"/>
      <c r="G891" s="13"/>
      <c r="H891" s="13"/>
      <c r="I891" s="12"/>
      <c r="J891" s="13"/>
      <c r="K891" s="14" t="str">
        <f>IF(C891="","",IFERROR(N('Fee Settings'!$C$5)*(E891+N(F891)-N(J891))+N('Fee Settings'!$C$6)*(E891+N(F891)+N(G891))+N('Fee Settings'!$C$7)+N('Fee Settings'!$C$10)*D891+IF(I891="Yes",MIN(N('Fee Settings'!$C$8)*(E891+N(F891)),N('Fee Settings'!$C$9)),0),""))</f>
        <v/>
      </c>
      <c r="L891" s="14" t="str">
        <f>IF(C891="","",IFERROR(D891*N(INDEX(Products!$C$5:$C$29,MATCH(C891,Lists!$A$2:$A$26,0))),""))</f>
        <v/>
      </c>
      <c r="M891" s="15" t="str">
        <f t="shared" si="13"/>
        <v/>
      </c>
    </row>
    <row r="892" spans="1:13" x14ac:dyDescent="0.35">
      <c r="A892" s="11"/>
      <c r="B892" s="12"/>
      <c r="C892" s="12"/>
      <c r="D892" s="12"/>
      <c r="E892" s="13"/>
      <c r="F892" s="13"/>
      <c r="G892" s="13"/>
      <c r="H892" s="13"/>
      <c r="I892" s="12"/>
      <c r="J892" s="13"/>
      <c r="K892" s="14" t="str">
        <f>IF(C892="","",IFERROR(N('Fee Settings'!$C$5)*(E892+N(F892)-N(J892))+N('Fee Settings'!$C$6)*(E892+N(F892)+N(G892))+N('Fee Settings'!$C$7)+N('Fee Settings'!$C$10)*D892+IF(I892="Yes",MIN(N('Fee Settings'!$C$8)*(E892+N(F892)),N('Fee Settings'!$C$9)),0),""))</f>
        <v/>
      </c>
      <c r="L892" s="14" t="str">
        <f>IF(C892="","",IFERROR(D892*N(INDEX(Products!$C$5:$C$29,MATCH(C892,Lists!$A$2:$A$26,0))),""))</f>
        <v/>
      </c>
      <c r="M892" s="15" t="str">
        <f t="shared" si="13"/>
        <v/>
      </c>
    </row>
    <row r="893" spans="1:13" x14ac:dyDescent="0.35">
      <c r="A893" s="11"/>
      <c r="B893" s="12"/>
      <c r="C893" s="12"/>
      <c r="D893" s="12"/>
      <c r="E893" s="13"/>
      <c r="F893" s="13"/>
      <c r="G893" s="13"/>
      <c r="H893" s="13"/>
      <c r="I893" s="12"/>
      <c r="J893" s="13"/>
      <c r="K893" s="14" t="str">
        <f>IF(C893="","",IFERROR(N('Fee Settings'!$C$5)*(E893+N(F893)-N(J893))+N('Fee Settings'!$C$6)*(E893+N(F893)+N(G893))+N('Fee Settings'!$C$7)+N('Fee Settings'!$C$10)*D893+IF(I893="Yes",MIN(N('Fee Settings'!$C$8)*(E893+N(F893)),N('Fee Settings'!$C$9)),0),""))</f>
        <v/>
      </c>
      <c r="L893" s="14" t="str">
        <f>IF(C893="","",IFERROR(D893*N(INDEX(Products!$C$5:$C$29,MATCH(C893,Lists!$A$2:$A$26,0))),""))</f>
        <v/>
      </c>
      <c r="M893" s="15" t="str">
        <f t="shared" si="13"/>
        <v/>
      </c>
    </row>
    <row r="894" spans="1:13" x14ac:dyDescent="0.35">
      <c r="A894" s="11"/>
      <c r="B894" s="12"/>
      <c r="C894" s="12"/>
      <c r="D894" s="12"/>
      <c r="E894" s="13"/>
      <c r="F894" s="13"/>
      <c r="G894" s="13"/>
      <c r="H894" s="13"/>
      <c r="I894" s="12"/>
      <c r="J894" s="13"/>
      <c r="K894" s="14" t="str">
        <f>IF(C894="","",IFERROR(N('Fee Settings'!$C$5)*(E894+N(F894)-N(J894))+N('Fee Settings'!$C$6)*(E894+N(F894)+N(G894))+N('Fee Settings'!$C$7)+N('Fee Settings'!$C$10)*D894+IF(I894="Yes",MIN(N('Fee Settings'!$C$8)*(E894+N(F894)),N('Fee Settings'!$C$9)),0),""))</f>
        <v/>
      </c>
      <c r="L894" s="14" t="str">
        <f>IF(C894="","",IFERROR(D894*N(INDEX(Products!$C$5:$C$29,MATCH(C894,Lists!$A$2:$A$26,0))),""))</f>
        <v/>
      </c>
      <c r="M894" s="15" t="str">
        <f t="shared" si="13"/>
        <v/>
      </c>
    </row>
    <row r="895" spans="1:13" x14ac:dyDescent="0.35">
      <c r="A895" s="11"/>
      <c r="B895" s="12"/>
      <c r="C895" s="12"/>
      <c r="D895" s="12"/>
      <c r="E895" s="13"/>
      <c r="F895" s="13"/>
      <c r="G895" s="13"/>
      <c r="H895" s="13"/>
      <c r="I895" s="12"/>
      <c r="J895" s="13"/>
      <c r="K895" s="14" t="str">
        <f>IF(C895="","",IFERROR(N('Fee Settings'!$C$5)*(E895+N(F895)-N(J895))+N('Fee Settings'!$C$6)*(E895+N(F895)+N(G895))+N('Fee Settings'!$C$7)+N('Fee Settings'!$C$10)*D895+IF(I895="Yes",MIN(N('Fee Settings'!$C$8)*(E895+N(F895)),N('Fee Settings'!$C$9)),0),""))</f>
        <v/>
      </c>
      <c r="L895" s="14" t="str">
        <f>IF(C895="","",IFERROR(D895*N(INDEX(Products!$C$5:$C$29,MATCH(C895,Lists!$A$2:$A$26,0))),""))</f>
        <v/>
      </c>
      <c r="M895" s="15" t="str">
        <f t="shared" si="13"/>
        <v/>
      </c>
    </row>
    <row r="896" spans="1:13" x14ac:dyDescent="0.35">
      <c r="A896" s="11"/>
      <c r="B896" s="12"/>
      <c r="C896" s="12"/>
      <c r="D896" s="12"/>
      <c r="E896" s="13"/>
      <c r="F896" s="13"/>
      <c r="G896" s="13"/>
      <c r="H896" s="13"/>
      <c r="I896" s="12"/>
      <c r="J896" s="13"/>
      <c r="K896" s="14" t="str">
        <f>IF(C896="","",IFERROR(N('Fee Settings'!$C$5)*(E896+N(F896)-N(J896))+N('Fee Settings'!$C$6)*(E896+N(F896)+N(G896))+N('Fee Settings'!$C$7)+N('Fee Settings'!$C$10)*D896+IF(I896="Yes",MIN(N('Fee Settings'!$C$8)*(E896+N(F896)),N('Fee Settings'!$C$9)),0),""))</f>
        <v/>
      </c>
      <c r="L896" s="14" t="str">
        <f>IF(C896="","",IFERROR(D896*N(INDEX(Products!$C$5:$C$29,MATCH(C896,Lists!$A$2:$A$26,0))),""))</f>
        <v/>
      </c>
      <c r="M896" s="15" t="str">
        <f t="shared" si="13"/>
        <v/>
      </c>
    </row>
    <row r="897" spans="1:13" x14ac:dyDescent="0.35">
      <c r="A897" s="11"/>
      <c r="B897" s="12"/>
      <c r="C897" s="12"/>
      <c r="D897" s="12"/>
      <c r="E897" s="13"/>
      <c r="F897" s="13"/>
      <c r="G897" s="13"/>
      <c r="H897" s="13"/>
      <c r="I897" s="12"/>
      <c r="J897" s="13"/>
      <c r="K897" s="14" t="str">
        <f>IF(C897="","",IFERROR(N('Fee Settings'!$C$5)*(E897+N(F897)-N(J897))+N('Fee Settings'!$C$6)*(E897+N(F897)+N(G897))+N('Fee Settings'!$C$7)+N('Fee Settings'!$C$10)*D897+IF(I897="Yes",MIN(N('Fee Settings'!$C$8)*(E897+N(F897)),N('Fee Settings'!$C$9)),0),""))</f>
        <v/>
      </c>
      <c r="L897" s="14" t="str">
        <f>IF(C897="","",IFERROR(D897*N(INDEX(Products!$C$5:$C$29,MATCH(C897,Lists!$A$2:$A$26,0))),""))</f>
        <v/>
      </c>
      <c r="M897" s="15" t="str">
        <f t="shared" si="13"/>
        <v/>
      </c>
    </row>
    <row r="898" spans="1:13" x14ac:dyDescent="0.35">
      <c r="A898" s="11"/>
      <c r="B898" s="12"/>
      <c r="C898" s="12"/>
      <c r="D898" s="12"/>
      <c r="E898" s="13"/>
      <c r="F898" s="13"/>
      <c r="G898" s="13"/>
      <c r="H898" s="13"/>
      <c r="I898" s="12"/>
      <c r="J898" s="13"/>
      <c r="K898" s="14" t="str">
        <f>IF(C898="","",IFERROR(N('Fee Settings'!$C$5)*(E898+N(F898)-N(J898))+N('Fee Settings'!$C$6)*(E898+N(F898)+N(G898))+N('Fee Settings'!$C$7)+N('Fee Settings'!$C$10)*D898+IF(I898="Yes",MIN(N('Fee Settings'!$C$8)*(E898+N(F898)),N('Fee Settings'!$C$9)),0),""))</f>
        <v/>
      </c>
      <c r="L898" s="14" t="str">
        <f>IF(C898="","",IFERROR(D898*N(INDEX(Products!$C$5:$C$29,MATCH(C898,Lists!$A$2:$A$26,0))),""))</f>
        <v/>
      </c>
      <c r="M898" s="15" t="str">
        <f t="shared" si="13"/>
        <v/>
      </c>
    </row>
    <row r="899" spans="1:13" x14ac:dyDescent="0.35">
      <c r="A899" s="11"/>
      <c r="B899" s="12"/>
      <c r="C899" s="12"/>
      <c r="D899" s="12"/>
      <c r="E899" s="13"/>
      <c r="F899" s="13"/>
      <c r="G899" s="13"/>
      <c r="H899" s="13"/>
      <c r="I899" s="12"/>
      <c r="J899" s="13"/>
      <c r="K899" s="14" t="str">
        <f>IF(C899="","",IFERROR(N('Fee Settings'!$C$5)*(E899+N(F899)-N(J899))+N('Fee Settings'!$C$6)*(E899+N(F899)+N(G899))+N('Fee Settings'!$C$7)+N('Fee Settings'!$C$10)*D899+IF(I899="Yes",MIN(N('Fee Settings'!$C$8)*(E899+N(F899)),N('Fee Settings'!$C$9)),0),""))</f>
        <v/>
      </c>
      <c r="L899" s="14" t="str">
        <f>IF(C899="","",IFERROR(D899*N(INDEX(Products!$C$5:$C$29,MATCH(C899,Lists!$A$2:$A$26,0))),""))</f>
        <v/>
      </c>
      <c r="M899" s="15" t="str">
        <f t="shared" si="13"/>
        <v/>
      </c>
    </row>
    <row r="900" spans="1:13" x14ac:dyDescent="0.35">
      <c r="A900" s="11"/>
      <c r="B900" s="12"/>
      <c r="C900" s="12"/>
      <c r="D900" s="12"/>
      <c r="E900" s="13"/>
      <c r="F900" s="13"/>
      <c r="G900" s="13"/>
      <c r="H900" s="13"/>
      <c r="I900" s="12"/>
      <c r="J900" s="13"/>
      <c r="K900" s="14" t="str">
        <f>IF(C900="","",IFERROR(N('Fee Settings'!$C$5)*(E900+N(F900)-N(J900))+N('Fee Settings'!$C$6)*(E900+N(F900)+N(G900))+N('Fee Settings'!$C$7)+N('Fee Settings'!$C$10)*D900+IF(I900="Yes",MIN(N('Fee Settings'!$C$8)*(E900+N(F900)),N('Fee Settings'!$C$9)),0),""))</f>
        <v/>
      </c>
      <c r="L900" s="14" t="str">
        <f>IF(C900="","",IFERROR(D900*N(INDEX(Products!$C$5:$C$29,MATCH(C900,Lists!$A$2:$A$26,0))),""))</f>
        <v/>
      </c>
      <c r="M900" s="15" t="str">
        <f t="shared" si="13"/>
        <v/>
      </c>
    </row>
    <row r="901" spans="1:13" x14ac:dyDescent="0.35">
      <c r="A901" s="11"/>
      <c r="B901" s="12"/>
      <c r="C901" s="12"/>
      <c r="D901" s="12"/>
      <c r="E901" s="13"/>
      <c r="F901" s="13"/>
      <c r="G901" s="13"/>
      <c r="H901" s="13"/>
      <c r="I901" s="12"/>
      <c r="J901" s="13"/>
      <c r="K901" s="14" t="str">
        <f>IF(C901="","",IFERROR(N('Fee Settings'!$C$5)*(E901+N(F901)-N(J901))+N('Fee Settings'!$C$6)*(E901+N(F901)+N(G901))+N('Fee Settings'!$C$7)+N('Fee Settings'!$C$10)*D901+IF(I901="Yes",MIN(N('Fee Settings'!$C$8)*(E901+N(F901)),N('Fee Settings'!$C$9)),0),""))</f>
        <v/>
      </c>
      <c r="L901" s="14" t="str">
        <f>IF(C901="","",IFERROR(D901*N(INDEX(Products!$C$5:$C$29,MATCH(C901,Lists!$A$2:$A$26,0))),""))</f>
        <v/>
      </c>
      <c r="M901" s="15" t="str">
        <f t="shared" ref="M901:M964" si="14">IF(C901="","",IFERROR(E901+N(F901)-N(J901)-K901-L901-N(H901),""))</f>
        <v/>
      </c>
    </row>
    <row r="902" spans="1:13" x14ac:dyDescent="0.35">
      <c r="A902" s="11"/>
      <c r="B902" s="12"/>
      <c r="C902" s="12"/>
      <c r="D902" s="12"/>
      <c r="E902" s="13"/>
      <c r="F902" s="13"/>
      <c r="G902" s="13"/>
      <c r="H902" s="13"/>
      <c r="I902" s="12"/>
      <c r="J902" s="13"/>
      <c r="K902" s="14" t="str">
        <f>IF(C902="","",IFERROR(N('Fee Settings'!$C$5)*(E902+N(F902)-N(J902))+N('Fee Settings'!$C$6)*(E902+N(F902)+N(G902))+N('Fee Settings'!$C$7)+N('Fee Settings'!$C$10)*D902+IF(I902="Yes",MIN(N('Fee Settings'!$C$8)*(E902+N(F902)),N('Fee Settings'!$C$9)),0),""))</f>
        <v/>
      </c>
      <c r="L902" s="14" t="str">
        <f>IF(C902="","",IFERROR(D902*N(INDEX(Products!$C$5:$C$29,MATCH(C902,Lists!$A$2:$A$26,0))),""))</f>
        <v/>
      </c>
      <c r="M902" s="15" t="str">
        <f t="shared" si="14"/>
        <v/>
      </c>
    </row>
    <row r="903" spans="1:13" x14ac:dyDescent="0.35">
      <c r="A903" s="11"/>
      <c r="B903" s="12"/>
      <c r="C903" s="12"/>
      <c r="D903" s="12"/>
      <c r="E903" s="13"/>
      <c r="F903" s="13"/>
      <c r="G903" s="13"/>
      <c r="H903" s="13"/>
      <c r="I903" s="12"/>
      <c r="J903" s="13"/>
      <c r="K903" s="14" t="str">
        <f>IF(C903="","",IFERROR(N('Fee Settings'!$C$5)*(E903+N(F903)-N(J903))+N('Fee Settings'!$C$6)*(E903+N(F903)+N(G903))+N('Fee Settings'!$C$7)+N('Fee Settings'!$C$10)*D903+IF(I903="Yes",MIN(N('Fee Settings'!$C$8)*(E903+N(F903)),N('Fee Settings'!$C$9)),0),""))</f>
        <v/>
      </c>
      <c r="L903" s="14" t="str">
        <f>IF(C903="","",IFERROR(D903*N(INDEX(Products!$C$5:$C$29,MATCH(C903,Lists!$A$2:$A$26,0))),""))</f>
        <v/>
      </c>
      <c r="M903" s="15" t="str">
        <f t="shared" si="14"/>
        <v/>
      </c>
    </row>
    <row r="904" spans="1:13" x14ac:dyDescent="0.35">
      <c r="A904" s="11"/>
      <c r="B904" s="12"/>
      <c r="C904" s="12"/>
      <c r="D904" s="12"/>
      <c r="E904" s="13"/>
      <c r="F904" s="13"/>
      <c r="G904" s="13"/>
      <c r="H904" s="13"/>
      <c r="I904" s="12"/>
      <c r="J904" s="13"/>
      <c r="K904" s="14" t="str">
        <f>IF(C904="","",IFERROR(N('Fee Settings'!$C$5)*(E904+N(F904)-N(J904))+N('Fee Settings'!$C$6)*(E904+N(F904)+N(G904))+N('Fee Settings'!$C$7)+N('Fee Settings'!$C$10)*D904+IF(I904="Yes",MIN(N('Fee Settings'!$C$8)*(E904+N(F904)),N('Fee Settings'!$C$9)),0),""))</f>
        <v/>
      </c>
      <c r="L904" s="14" t="str">
        <f>IF(C904="","",IFERROR(D904*N(INDEX(Products!$C$5:$C$29,MATCH(C904,Lists!$A$2:$A$26,0))),""))</f>
        <v/>
      </c>
      <c r="M904" s="15" t="str">
        <f t="shared" si="14"/>
        <v/>
      </c>
    </row>
    <row r="905" spans="1:13" x14ac:dyDescent="0.35">
      <c r="A905" s="11"/>
      <c r="B905" s="12"/>
      <c r="C905" s="12"/>
      <c r="D905" s="12"/>
      <c r="E905" s="13"/>
      <c r="F905" s="13"/>
      <c r="G905" s="13"/>
      <c r="H905" s="13"/>
      <c r="I905" s="12"/>
      <c r="J905" s="13"/>
      <c r="K905" s="14" t="str">
        <f>IF(C905="","",IFERROR(N('Fee Settings'!$C$5)*(E905+N(F905)-N(J905))+N('Fee Settings'!$C$6)*(E905+N(F905)+N(G905))+N('Fee Settings'!$C$7)+N('Fee Settings'!$C$10)*D905+IF(I905="Yes",MIN(N('Fee Settings'!$C$8)*(E905+N(F905)),N('Fee Settings'!$C$9)),0),""))</f>
        <v/>
      </c>
      <c r="L905" s="14" t="str">
        <f>IF(C905="","",IFERROR(D905*N(INDEX(Products!$C$5:$C$29,MATCH(C905,Lists!$A$2:$A$26,0))),""))</f>
        <v/>
      </c>
      <c r="M905" s="15" t="str">
        <f t="shared" si="14"/>
        <v/>
      </c>
    </row>
    <row r="906" spans="1:13" x14ac:dyDescent="0.35">
      <c r="A906" s="11"/>
      <c r="B906" s="12"/>
      <c r="C906" s="12"/>
      <c r="D906" s="12"/>
      <c r="E906" s="13"/>
      <c r="F906" s="13"/>
      <c r="G906" s="13"/>
      <c r="H906" s="13"/>
      <c r="I906" s="12"/>
      <c r="J906" s="13"/>
      <c r="K906" s="14" t="str">
        <f>IF(C906="","",IFERROR(N('Fee Settings'!$C$5)*(E906+N(F906)-N(J906))+N('Fee Settings'!$C$6)*(E906+N(F906)+N(G906))+N('Fee Settings'!$C$7)+N('Fee Settings'!$C$10)*D906+IF(I906="Yes",MIN(N('Fee Settings'!$C$8)*(E906+N(F906)),N('Fee Settings'!$C$9)),0),""))</f>
        <v/>
      </c>
      <c r="L906" s="14" t="str">
        <f>IF(C906="","",IFERROR(D906*N(INDEX(Products!$C$5:$C$29,MATCH(C906,Lists!$A$2:$A$26,0))),""))</f>
        <v/>
      </c>
      <c r="M906" s="15" t="str">
        <f t="shared" si="14"/>
        <v/>
      </c>
    </row>
    <row r="907" spans="1:13" x14ac:dyDescent="0.35">
      <c r="A907" s="11"/>
      <c r="B907" s="12"/>
      <c r="C907" s="12"/>
      <c r="D907" s="12"/>
      <c r="E907" s="13"/>
      <c r="F907" s="13"/>
      <c r="G907" s="13"/>
      <c r="H907" s="13"/>
      <c r="I907" s="12"/>
      <c r="J907" s="13"/>
      <c r="K907" s="14" t="str">
        <f>IF(C907="","",IFERROR(N('Fee Settings'!$C$5)*(E907+N(F907)-N(J907))+N('Fee Settings'!$C$6)*(E907+N(F907)+N(G907))+N('Fee Settings'!$C$7)+N('Fee Settings'!$C$10)*D907+IF(I907="Yes",MIN(N('Fee Settings'!$C$8)*(E907+N(F907)),N('Fee Settings'!$C$9)),0),""))</f>
        <v/>
      </c>
      <c r="L907" s="14" t="str">
        <f>IF(C907="","",IFERROR(D907*N(INDEX(Products!$C$5:$C$29,MATCH(C907,Lists!$A$2:$A$26,0))),""))</f>
        <v/>
      </c>
      <c r="M907" s="15" t="str">
        <f t="shared" si="14"/>
        <v/>
      </c>
    </row>
    <row r="908" spans="1:13" x14ac:dyDescent="0.35">
      <c r="A908" s="11"/>
      <c r="B908" s="12"/>
      <c r="C908" s="12"/>
      <c r="D908" s="12"/>
      <c r="E908" s="13"/>
      <c r="F908" s="13"/>
      <c r="G908" s="13"/>
      <c r="H908" s="13"/>
      <c r="I908" s="12"/>
      <c r="J908" s="13"/>
      <c r="K908" s="14" t="str">
        <f>IF(C908="","",IFERROR(N('Fee Settings'!$C$5)*(E908+N(F908)-N(J908))+N('Fee Settings'!$C$6)*(E908+N(F908)+N(G908))+N('Fee Settings'!$C$7)+N('Fee Settings'!$C$10)*D908+IF(I908="Yes",MIN(N('Fee Settings'!$C$8)*(E908+N(F908)),N('Fee Settings'!$C$9)),0),""))</f>
        <v/>
      </c>
      <c r="L908" s="14" t="str">
        <f>IF(C908="","",IFERROR(D908*N(INDEX(Products!$C$5:$C$29,MATCH(C908,Lists!$A$2:$A$26,0))),""))</f>
        <v/>
      </c>
      <c r="M908" s="15" t="str">
        <f t="shared" si="14"/>
        <v/>
      </c>
    </row>
    <row r="909" spans="1:13" x14ac:dyDescent="0.35">
      <c r="A909" s="11"/>
      <c r="B909" s="12"/>
      <c r="C909" s="12"/>
      <c r="D909" s="12"/>
      <c r="E909" s="13"/>
      <c r="F909" s="13"/>
      <c r="G909" s="13"/>
      <c r="H909" s="13"/>
      <c r="I909" s="12"/>
      <c r="J909" s="13"/>
      <c r="K909" s="14" t="str">
        <f>IF(C909="","",IFERROR(N('Fee Settings'!$C$5)*(E909+N(F909)-N(J909))+N('Fee Settings'!$C$6)*(E909+N(F909)+N(G909))+N('Fee Settings'!$C$7)+N('Fee Settings'!$C$10)*D909+IF(I909="Yes",MIN(N('Fee Settings'!$C$8)*(E909+N(F909)),N('Fee Settings'!$C$9)),0),""))</f>
        <v/>
      </c>
      <c r="L909" s="14" t="str">
        <f>IF(C909="","",IFERROR(D909*N(INDEX(Products!$C$5:$C$29,MATCH(C909,Lists!$A$2:$A$26,0))),""))</f>
        <v/>
      </c>
      <c r="M909" s="15" t="str">
        <f t="shared" si="14"/>
        <v/>
      </c>
    </row>
    <row r="910" spans="1:13" x14ac:dyDescent="0.35">
      <c r="A910" s="11"/>
      <c r="B910" s="12"/>
      <c r="C910" s="12"/>
      <c r="D910" s="12"/>
      <c r="E910" s="13"/>
      <c r="F910" s="13"/>
      <c r="G910" s="13"/>
      <c r="H910" s="13"/>
      <c r="I910" s="12"/>
      <c r="J910" s="13"/>
      <c r="K910" s="14" t="str">
        <f>IF(C910="","",IFERROR(N('Fee Settings'!$C$5)*(E910+N(F910)-N(J910))+N('Fee Settings'!$C$6)*(E910+N(F910)+N(G910))+N('Fee Settings'!$C$7)+N('Fee Settings'!$C$10)*D910+IF(I910="Yes",MIN(N('Fee Settings'!$C$8)*(E910+N(F910)),N('Fee Settings'!$C$9)),0),""))</f>
        <v/>
      </c>
      <c r="L910" s="14" t="str">
        <f>IF(C910="","",IFERROR(D910*N(INDEX(Products!$C$5:$C$29,MATCH(C910,Lists!$A$2:$A$26,0))),""))</f>
        <v/>
      </c>
      <c r="M910" s="15" t="str">
        <f t="shared" si="14"/>
        <v/>
      </c>
    </row>
    <row r="911" spans="1:13" x14ac:dyDescent="0.35">
      <c r="A911" s="11"/>
      <c r="B911" s="12"/>
      <c r="C911" s="12"/>
      <c r="D911" s="12"/>
      <c r="E911" s="13"/>
      <c r="F911" s="13"/>
      <c r="G911" s="13"/>
      <c r="H911" s="13"/>
      <c r="I911" s="12"/>
      <c r="J911" s="13"/>
      <c r="K911" s="14" t="str">
        <f>IF(C911="","",IFERROR(N('Fee Settings'!$C$5)*(E911+N(F911)-N(J911))+N('Fee Settings'!$C$6)*(E911+N(F911)+N(G911))+N('Fee Settings'!$C$7)+N('Fee Settings'!$C$10)*D911+IF(I911="Yes",MIN(N('Fee Settings'!$C$8)*(E911+N(F911)),N('Fee Settings'!$C$9)),0),""))</f>
        <v/>
      </c>
      <c r="L911" s="14" t="str">
        <f>IF(C911="","",IFERROR(D911*N(INDEX(Products!$C$5:$C$29,MATCH(C911,Lists!$A$2:$A$26,0))),""))</f>
        <v/>
      </c>
      <c r="M911" s="15" t="str">
        <f t="shared" si="14"/>
        <v/>
      </c>
    </row>
    <row r="912" spans="1:13" x14ac:dyDescent="0.35">
      <c r="A912" s="11"/>
      <c r="B912" s="12"/>
      <c r="C912" s="12"/>
      <c r="D912" s="12"/>
      <c r="E912" s="13"/>
      <c r="F912" s="13"/>
      <c r="G912" s="13"/>
      <c r="H912" s="13"/>
      <c r="I912" s="12"/>
      <c r="J912" s="13"/>
      <c r="K912" s="14" t="str">
        <f>IF(C912="","",IFERROR(N('Fee Settings'!$C$5)*(E912+N(F912)-N(J912))+N('Fee Settings'!$C$6)*(E912+N(F912)+N(G912))+N('Fee Settings'!$C$7)+N('Fee Settings'!$C$10)*D912+IF(I912="Yes",MIN(N('Fee Settings'!$C$8)*(E912+N(F912)),N('Fee Settings'!$C$9)),0),""))</f>
        <v/>
      </c>
      <c r="L912" s="14" t="str">
        <f>IF(C912="","",IFERROR(D912*N(INDEX(Products!$C$5:$C$29,MATCH(C912,Lists!$A$2:$A$26,0))),""))</f>
        <v/>
      </c>
      <c r="M912" s="15" t="str">
        <f t="shared" si="14"/>
        <v/>
      </c>
    </row>
    <row r="913" spans="1:13" x14ac:dyDescent="0.35">
      <c r="A913" s="11"/>
      <c r="B913" s="12"/>
      <c r="C913" s="12"/>
      <c r="D913" s="12"/>
      <c r="E913" s="13"/>
      <c r="F913" s="13"/>
      <c r="G913" s="13"/>
      <c r="H913" s="13"/>
      <c r="I913" s="12"/>
      <c r="J913" s="13"/>
      <c r="K913" s="14" t="str">
        <f>IF(C913="","",IFERROR(N('Fee Settings'!$C$5)*(E913+N(F913)-N(J913))+N('Fee Settings'!$C$6)*(E913+N(F913)+N(G913))+N('Fee Settings'!$C$7)+N('Fee Settings'!$C$10)*D913+IF(I913="Yes",MIN(N('Fee Settings'!$C$8)*(E913+N(F913)),N('Fee Settings'!$C$9)),0),""))</f>
        <v/>
      </c>
      <c r="L913" s="14" t="str">
        <f>IF(C913="","",IFERROR(D913*N(INDEX(Products!$C$5:$C$29,MATCH(C913,Lists!$A$2:$A$26,0))),""))</f>
        <v/>
      </c>
      <c r="M913" s="15" t="str">
        <f t="shared" si="14"/>
        <v/>
      </c>
    </row>
    <row r="914" spans="1:13" x14ac:dyDescent="0.35">
      <c r="A914" s="11"/>
      <c r="B914" s="12"/>
      <c r="C914" s="12"/>
      <c r="D914" s="12"/>
      <c r="E914" s="13"/>
      <c r="F914" s="13"/>
      <c r="G914" s="13"/>
      <c r="H914" s="13"/>
      <c r="I914" s="12"/>
      <c r="J914" s="13"/>
      <c r="K914" s="14" t="str">
        <f>IF(C914="","",IFERROR(N('Fee Settings'!$C$5)*(E914+N(F914)-N(J914))+N('Fee Settings'!$C$6)*(E914+N(F914)+N(G914))+N('Fee Settings'!$C$7)+N('Fee Settings'!$C$10)*D914+IF(I914="Yes",MIN(N('Fee Settings'!$C$8)*(E914+N(F914)),N('Fee Settings'!$C$9)),0),""))</f>
        <v/>
      </c>
      <c r="L914" s="14" t="str">
        <f>IF(C914="","",IFERROR(D914*N(INDEX(Products!$C$5:$C$29,MATCH(C914,Lists!$A$2:$A$26,0))),""))</f>
        <v/>
      </c>
      <c r="M914" s="15" t="str">
        <f t="shared" si="14"/>
        <v/>
      </c>
    </row>
    <row r="915" spans="1:13" x14ac:dyDescent="0.35">
      <c r="A915" s="11"/>
      <c r="B915" s="12"/>
      <c r="C915" s="12"/>
      <c r="D915" s="12"/>
      <c r="E915" s="13"/>
      <c r="F915" s="13"/>
      <c r="G915" s="13"/>
      <c r="H915" s="13"/>
      <c r="I915" s="12"/>
      <c r="J915" s="13"/>
      <c r="K915" s="14" t="str">
        <f>IF(C915="","",IFERROR(N('Fee Settings'!$C$5)*(E915+N(F915)-N(J915))+N('Fee Settings'!$C$6)*(E915+N(F915)+N(G915))+N('Fee Settings'!$C$7)+N('Fee Settings'!$C$10)*D915+IF(I915="Yes",MIN(N('Fee Settings'!$C$8)*(E915+N(F915)),N('Fee Settings'!$C$9)),0),""))</f>
        <v/>
      </c>
      <c r="L915" s="14" t="str">
        <f>IF(C915="","",IFERROR(D915*N(INDEX(Products!$C$5:$C$29,MATCH(C915,Lists!$A$2:$A$26,0))),""))</f>
        <v/>
      </c>
      <c r="M915" s="15" t="str">
        <f t="shared" si="14"/>
        <v/>
      </c>
    </row>
    <row r="916" spans="1:13" x14ac:dyDescent="0.35">
      <c r="A916" s="11"/>
      <c r="B916" s="12"/>
      <c r="C916" s="12"/>
      <c r="D916" s="12"/>
      <c r="E916" s="13"/>
      <c r="F916" s="13"/>
      <c r="G916" s="13"/>
      <c r="H916" s="13"/>
      <c r="I916" s="12"/>
      <c r="J916" s="13"/>
      <c r="K916" s="14" t="str">
        <f>IF(C916="","",IFERROR(N('Fee Settings'!$C$5)*(E916+N(F916)-N(J916))+N('Fee Settings'!$C$6)*(E916+N(F916)+N(G916))+N('Fee Settings'!$C$7)+N('Fee Settings'!$C$10)*D916+IF(I916="Yes",MIN(N('Fee Settings'!$C$8)*(E916+N(F916)),N('Fee Settings'!$C$9)),0),""))</f>
        <v/>
      </c>
      <c r="L916" s="14" t="str">
        <f>IF(C916="","",IFERROR(D916*N(INDEX(Products!$C$5:$C$29,MATCH(C916,Lists!$A$2:$A$26,0))),""))</f>
        <v/>
      </c>
      <c r="M916" s="15" t="str">
        <f t="shared" si="14"/>
        <v/>
      </c>
    </row>
    <row r="917" spans="1:13" x14ac:dyDescent="0.35">
      <c r="A917" s="11"/>
      <c r="B917" s="12"/>
      <c r="C917" s="12"/>
      <c r="D917" s="12"/>
      <c r="E917" s="13"/>
      <c r="F917" s="13"/>
      <c r="G917" s="13"/>
      <c r="H917" s="13"/>
      <c r="I917" s="12"/>
      <c r="J917" s="13"/>
      <c r="K917" s="14" t="str">
        <f>IF(C917="","",IFERROR(N('Fee Settings'!$C$5)*(E917+N(F917)-N(J917))+N('Fee Settings'!$C$6)*(E917+N(F917)+N(G917))+N('Fee Settings'!$C$7)+N('Fee Settings'!$C$10)*D917+IF(I917="Yes",MIN(N('Fee Settings'!$C$8)*(E917+N(F917)),N('Fee Settings'!$C$9)),0),""))</f>
        <v/>
      </c>
      <c r="L917" s="14" t="str">
        <f>IF(C917="","",IFERROR(D917*N(INDEX(Products!$C$5:$C$29,MATCH(C917,Lists!$A$2:$A$26,0))),""))</f>
        <v/>
      </c>
      <c r="M917" s="15" t="str">
        <f t="shared" si="14"/>
        <v/>
      </c>
    </row>
    <row r="918" spans="1:13" x14ac:dyDescent="0.35">
      <c r="A918" s="11"/>
      <c r="B918" s="12"/>
      <c r="C918" s="12"/>
      <c r="D918" s="12"/>
      <c r="E918" s="13"/>
      <c r="F918" s="13"/>
      <c r="G918" s="13"/>
      <c r="H918" s="13"/>
      <c r="I918" s="12"/>
      <c r="J918" s="13"/>
      <c r="K918" s="14" t="str">
        <f>IF(C918="","",IFERROR(N('Fee Settings'!$C$5)*(E918+N(F918)-N(J918))+N('Fee Settings'!$C$6)*(E918+N(F918)+N(G918))+N('Fee Settings'!$C$7)+N('Fee Settings'!$C$10)*D918+IF(I918="Yes",MIN(N('Fee Settings'!$C$8)*(E918+N(F918)),N('Fee Settings'!$C$9)),0),""))</f>
        <v/>
      </c>
      <c r="L918" s="14" t="str">
        <f>IF(C918="","",IFERROR(D918*N(INDEX(Products!$C$5:$C$29,MATCH(C918,Lists!$A$2:$A$26,0))),""))</f>
        <v/>
      </c>
      <c r="M918" s="15" t="str">
        <f t="shared" si="14"/>
        <v/>
      </c>
    </row>
    <row r="919" spans="1:13" x14ac:dyDescent="0.35">
      <c r="A919" s="11"/>
      <c r="B919" s="12"/>
      <c r="C919" s="12"/>
      <c r="D919" s="12"/>
      <c r="E919" s="13"/>
      <c r="F919" s="13"/>
      <c r="G919" s="13"/>
      <c r="H919" s="13"/>
      <c r="I919" s="12"/>
      <c r="J919" s="13"/>
      <c r="K919" s="14" t="str">
        <f>IF(C919="","",IFERROR(N('Fee Settings'!$C$5)*(E919+N(F919)-N(J919))+N('Fee Settings'!$C$6)*(E919+N(F919)+N(G919))+N('Fee Settings'!$C$7)+N('Fee Settings'!$C$10)*D919+IF(I919="Yes",MIN(N('Fee Settings'!$C$8)*(E919+N(F919)),N('Fee Settings'!$C$9)),0),""))</f>
        <v/>
      </c>
      <c r="L919" s="14" t="str">
        <f>IF(C919="","",IFERROR(D919*N(INDEX(Products!$C$5:$C$29,MATCH(C919,Lists!$A$2:$A$26,0))),""))</f>
        <v/>
      </c>
      <c r="M919" s="15" t="str">
        <f t="shared" si="14"/>
        <v/>
      </c>
    </row>
    <row r="920" spans="1:13" x14ac:dyDescent="0.35">
      <c r="A920" s="11"/>
      <c r="B920" s="12"/>
      <c r="C920" s="12"/>
      <c r="D920" s="12"/>
      <c r="E920" s="13"/>
      <c r="F920" s="13"/>
      <c r="G920" s="13"/>
      <c r="H920" s="13"/>
      <c r="I920" s="12"/>
      <c r="J920" s="13"/>
      <c r="K920" s="14" t="str">
        <f>IF(C920="","",IFERROR(N('Fee Settings'!$C$5)*(E920+N(F920)-N(J920))+N('Fee Settings'!$C$6)*(E920+N(F920)+N(G920))+N('Fee Settings'!$C$7)+N('Fee Settings'!$C$10)*D920+IF(I920="Yes",MIN(N('Fee Settings'!$C$8)*(E920+N(F920)),N('Fee Settings'!$C$9)),0),""))</f>
        <v/>
      </c>
      <c r="L920" s="14" t="str">
        <f>IF(C920="","",IFERROR(D920*N(INDEX(Products!$C$5:$C$29,MATCH(C920,Lists!$A$2:$A$26,0))),""))</f>
        <v/>
      </c>
      <c r="M920" s="15" t="str">
        <f t="shared" si="14"/>
        <v/>
      </c>
    </row>
    <row r="921" spans="1:13" x14ac:dyDescent="0.35">
      <c r="A921" s="11"/>
      <c r="B921" s="12"/>
      <c r="C921" s="12"/>
      <c r="D921" s="12"/>
      <c r="E921" s="13"/>
      <c r="F921" s="13"/>
      <c r="G921" s="13"/>
      <c r="H921" s="13"/>
      <c r="I921" s="12"/>
      <c r="J921" s="13"/>
      <c r="K921" s="14" t="str">
        <f>IF(C921="","",IFERROR(N('Fee Settings'!$C$5)*(E921+N(F921)-N(J921))+N('Fee Settings'!$C$6)*(E921+N(F921)+N(G921))+N('Fee Settings'!$C$7)+N('Fee Settings'!$C$10)*D921+IF(I921="Yes",MIN(N('Fee Settings'!$C$8)*(E921+N(F921)),N('Fee Settings'!$C$9)),0),""))</f>
        <v/>
      </c>
      <c r="L921" s="14" t="str">
        <f>IF(C921="","",IFERROR(D921*N(INDEX(Products!$C$5:$C$29,MATCH(C921,Lists!$A$2:$A$26,0))),""))</f>
        <v/>
      </c>
      <c r="M921" s="15" t="str">
        <f t="shared" si="14"/>
        <v/>
      </c>
    </row>
    <row r="922" spans="1:13" x14ac:dyDescent="0.35">
      <c r="A922" s="11"/>
      <c r="B922" s="12"/>
      <c r="C922" s="12"/>
      <c r="D922" s="12"/>
      <c r="E922" s="13"/>
      <c r="F922" s="13"/>
      <c r="G922" s="13"/>
      <c r="H922" s="13"/>
      <c r="I922" s="12"/>
      <c r="J922" s="13"/>
      <c r="K922" s="14" t="str">
        <f>IF(C922="","",IFERROR(N('Fee Settings'!$C$5)*(E922+N(F922)-N(J922))+N('Fee Settings'!$C$6)*(E922+N(F922)+N(G922))+N('Fee Settings'!$C$7)+N('Fee Settings'!$C$10)*D922+IF(I922="Yes",MIN(N('Fee Settings'!$C$8)*(E922+N(F922)),N('Fee Settings'!$C$9)),0),""))</f>
        <v/>
      </c>
      <c r="L922" s="14" t="str">
        <f>IF(C922="","",IFERROR(D922*N(INDEX(Products!$C$5:$C$29,MATCH(C922,Lists!$A$2:$A$26,0))),""))</f>
        <v/>
      </c>
      <c r="M922" s="15" t="str">
        <f t="shared" si="14"/>
        <v/>
      </c>
    </row>
    <row r="923" spans="1:13" x14ac:dyDescent="0.35">
      <c r="A923" s="11"/>
      <c r="B923" s="12"/>
      <c r="C923" s="12"/>
      <c r="D923" s="12"/>
      <c r="E923" s="13"/>
      <c r="F923" s="13"/>
      <c r="G923" s="13"/>
      <c r="H923" s="13"/>
      <c r="I923" s="12"/>
      <c r="J923" s="13"/>
      <c r="K923" s="14" t="str">
        <f>IF(C923="","",IFERROR(N('Fee Settings'!$C$5)*(E923+N(F923)-N(J923))+N('Fee Settings'!$C$6)*(E923+N(F923)+N(G923))+N('Fee Settings'!$C$7)+N('Fee Settings'!$C$10)*D923+IF(I923="Yes",MIN(N('Fee Settings'!$C$8)*(E923+N(F923)),N('Fee Settings'!$C$9)),0),""))</f>
        <v/>
      </c>
      <c r="L923" s="14" t="str">
        <f>IF(C923="","",IFERROR(D923*N(INDEX(Products!$C$5:$C$29,MATCH(C923,Lists!$A$2:$A$26,0))),""))</f>
        <v/>
      </c>
      <c r="M923" s="15" t="str">
        <f t="shared" si="14"/>
        <v/>
      </c>
    </row>
    <row r="924" spans="1:13" x14ac:dyDescent="0.35">
      <c r="A924" s="11"/>
      <c r="B924" s="12"/>
      <c r="C924" s="12"/>
      <c r="D924" s="12"/>
      <c r="E924" s="13"/>
      <c r="F924" s="13"/>
      <c r="G924" s="13"/>
      <c r="H924" s="13"/>
      <c r="I924" s="12"/>
      <c r="J924" s="13"/>
      <c r="K924" s="14" t="str">
        <f>IF(C924="","",IFERROR(N('Fee Settings'!$C$5)*(E924+N(F924)-N(J924))+N('Fee Settings'!$C$6)*(E924+N(F924)+N(G924))+N('Fee Settings'!$C$7)+N('Fee Settings'!$C$10)*D924+IF(I924="Yes",MIN(N('Fee Settings'!$C$8)*(E924+N(F924)),N('Fee Settings'!$C$9)),0),""))</f>
        <v/>
      </c>
      <c r="L924" s="14" t="str">
        <f>IF(C924="","",IFERROR(D924*N(INDEX(Products!$C$5:$C$29,MATCH(C924,Lists!$A$2:$A$26,0))),""))</f>
        <v/>
      </c>
      <c r="M924" s="15" t="str">
        <f t="shared" si="14"/>
        <v/>
      </c>
    </row>
    <row r="925" spans="1:13" x14ac:dyDescent="0.35">
      <c r="A925" s="11"/>
      <c r="B925" s="12"/>
      <c r="C925" s="12"/>
      <c r="D925" s="12"/>
      <c r="E925" s="13"/>
      <c r="F925" s="13"/>
      <c r="G925" s="13"/>
      <c r="H925" s="13"/>
      <c r="I925" s="12"/>
      <c r="J925" s="13"/>
      <c r="K925" s="14" t="str">
        <f>IF(C925="","",IFERROR(N('Fee Settings'!$C$5)*(E925+N(F925)-N(J925))+N('Fee Settings'!$C$6)*(E925+N(F925)+N(G925))+N('Fee Settings'!$C$7)+N('Fee Settings'!$C$10)*D925+IF(I925="Yes",MIN(N('Fee Settings'!$C$8)*(E925+N(F925)),N('Fee Settings'!$C$9)),0),""))</f>
        <v/>
      </c>
      <c r="L925" s="14" t="str">
        <f>IF(C925="","",IFERROR(D925*N(INDEX(Products!$C$5:$C$29,MATCH(C925,Lists!$A$2:$A$26,0))),""))</f>
        <v/>
      </c>
      <c r="M925" s="15" t="str">
        <f t="shared" si="14"/>
        <v/>
      </c>
    </row>
    <row r="926" spans="1:13" x14ac:dyDescent="0.35">
      <c r="A926" s="11"/>
      <c r="B926" s="12"/>
      <c r="C926" s="12"/>
      <c r="D926" s="12"/>
      <c r="E926" s="13"/>
      <c r="F926" s="13"/>
      <c r="G926" s="13"/>
      <c r="H926" s="13"/>
      <c r="I926" s="12"/>
      <c r="J926" s="13"/>
      <c r="K926" s="14" t="str">
        <f>IF(C926="","",IFERROR(N('Fee Settings'!$C$5)*(E926+N(F926)-N(J926))+N('Fee Settings'!$C$6)*(E926+N(F926)+N(G926))+N('Fee Settings'!$C$7)+N('Fee Settings'!$C$10)*D926+IF(I926="Yes",MIN(N('Fee Settings'!$C$8)*(E926+N(F926)),N('Fee Settings'!$C$9)),0),""))</f>
        <v/>
      </c>
      <c r="L926" s="14" t="str">
        <f>IF(C926="","",IFERROR(D926*N(INDEX(Products!$C$5:$C$29,MATCH(C926,Lists!$A$2:$A$26,0))),""))</f>
        <v/>
      </c>
      <c r="M926" s="15" t="str">
        <f t="shared" si="14"/>
        <v/>
      </c>
    </row>
    <row r="927" spans="1:13" x14ac:dyDescent="0.35">
      <c r="A927" s="11"/>
      <c r="B927" s="12"/>
      <c r="C927" s="12"/>
      <c r="D927" s="12"/>
      <c r="E927" s="13"/>
      <c r="F927" s="13"/>
      <c r="G927" s="13"/>
      <c r="H927" s="13"/>
      <c r="I927" s="12"/>
      <c r="J927" s="13"/>
      <c r="K927" s="14" t="str">
        <f>IF(C927="","",IFERROR(N('Fee Settings'!$C$5)*(E927+N(F927)-N(J927))+N('Fee Settings'!$C$6)*(E927+N(F927)+N(G927))+N('Fee Settings'!$C$7)+N('Fee Settings'!$C$10)*D927+IF(I927="Yes",MIN(N('Fee Settings'!$C$8)*(E927+N(F927)),N('Fee Settings'!$C$9)),0),""))</f>
        <v/>
      </c>
      <c r="L927" s="14" t="str">
        <f>IF(C927="","",IFERROR(D927*N(INDEX(Products!$C$5:$C$29,MATCH(C927,Lists!$A$2:$A$26,0))),""))</f>
        <v/>
      </c>
      <c r="M927" s="15" t="str">
        <f t="shared" si="14"/>
        <v/>
      </c>
    </row>
    <row r="928" spans="1:13" x14ac:dyDescent="0.35">
      <c r="A928" s="11"/>
      <c r="B928" s="12"/>
      <c r="C928" s="12"/>
      <c r="D928" s="12"/>
      <c r="E928" s="13"/>
      <c r="F928" s="13"/>
      <c r="G928" s="13"/>
      <c r="H928" s="13"/>
      <c r="I928" s="12"/>
      <c r="J928" s="13"/>
      <c r="K928" s="14" t="str">
        <f>IF(C928="","",IFERROR(N('Fee Settings'!$C$5)*(E928+N(F928)-N(J928))+N('Fee Settings'!$C$6)*(E928+N(F928)+N(G928))+N('Fee Settings'!$C$7)+N('Fee Settings'!$C$10)*D928+IF(I928="Yes",MIN(N('Fee Settings'!$C$8)*(E928+N(F928)),N('Fee Settings'!$C$9)),0),""))</f>
        <v/>
      </c>
      <c r="L928" s="14" t="str">
        <f>IF(C928="","",IFERROR(D928*N(INDEX(Products!$C$5:$C$29,MATCH(C928,Lists!$A$2:$A$26,0))),""))</f>
        <v/>
      </c>
      <c r="M928" s="15" t="str">
        <f t="shared" si="14"/>
        <v/>
      </c>
    </row>
    <row r="929" spans="1:13" x14ac:dyDescent="0.35">
      <c r="A929" s="11"/>
      <c r="B929" s="12"/>
      <c r="C929" s="12"/>
      <c r="D929" s="12"/>
      <c r="E929" s="13"/>
      <c r="F929" s="13"/>
      <c r="G929" s="13"/>
      <c r="H929" s="13"/>
      <c r="I929" s="12"/>
      <c r="J929" s="13"/>
      <c r="K929" s="14" t="str">
        <f>IF(C929="","",IFERROR(N('Fee Settings'!$C$5)*(E929+N(F929)-N(J929))+N('Fee Settings'!$C$6)*(E929+N(F929)+N(G929))+N('Fee Settings'!$C$7)+N('Fee Settings'!$C$10)*D929+IF(I929="Yes",MIN(N('Fee Settings'!$C$8)*(E929+N(F929)),N('Fee Settings'!$C$9)),0),""))</f>
        <v/>
      </c>
      <c r="L929" s="14" t="str">
        <f>IF(C929="","",IFERROR(D929*N(INDEX(Products!$C$5:$C$29,MATCH(C929,Lists!$A$2:$A$26,0))),""))</f>
        <v/>
      </c>
      <c r="M929" s="15" t="str">
        <f t="shared" si="14"/>
        <v/>
      </c>
    </row>
    <row r="930" spans="1:13" x14ac:dyDescent="0.35">
      <c r="A930" s="11"/>
      <c r="B930" s="12"/>
      <c r="C930" s="12"/>
      <c r="D930" s="12"/>
      <c r="E930" s="13"/>
      <c r="F930" s="13"/>
      <c r="G930" s="13"/>
      <c r="H930" s="13"/>
      <c r="I930" s="12"/>
      <c r="J930" s="13"/>
      <c r="K930" s="14" t="str">
        <f>IF(C930="","",IFERROR(N('Fee Settings'!$C$5)*(E930+N(F930)-N(J930))+N('Fee Settings'!$C$6)*(E930+N(F930)+N(G930))+N('Fee Settings'!$C$7)+N('Fee Settings'!$C$10)*D930+IF(I930="Yes",MIN(N('Fee Settings'!$C$8)*(E930+N(F930)),N('Fee Settings'!$C$9)),0),""))</f>
        <v/>
      </c>
      <c r="L930" s="14" t="str">
        <f>IF(C930="","",IFERROR(D930*N(INDEX(Products!$C$5:$C$29,MATCH(C930,Lists!$A$2:$A$26,0))),""))</f>
        <v/>
      </c>
      <c r="M930" s="15" t="str">
        <f t="shared" si="14"/>
        <v/>
      </c>
    </row>
    <row r="931" spans="1:13" x14ac:dyDescent="0.35">
      <c r="A931" s="11"/>
      <c r="B931" s="12"/>
      <c r="C931" s="12"/>
      <c r="D931" s="12"/>
      <c r="E931" s="13"/>
      <c r="F931" s="13"/>
      <c r="G931" s="13"/>
      <c r="H931" s="13"/>
      <c r="I931" s="12"/>
      <c r="J931" s="13"/>
      <c r="K931" s="14" t="str">
        <f>IF(C931="","",IFERROR(N('Fee Settings'!$C$5)*(E931+N(F931)-N(J931))+N('Fee Settings'!$C$6)*(E931+N(F931)+N(G931))+N('Fee Settings'!$C$7)+N('Fee Settings'!$C$10)*D931+IF(I931="Yes",MIN(N('Fee Settings'!$C$8)*(E931+N(F931)),N('Fee Settings'!$C$9)),0),""))</f>
        <v/>
      </c>
      <c r="L931" s="14" t="str">
        <f>IF(C931="","",IFERROR(D931*N(INDEX(Products!$C$5:$C$29,MATCH(C931,Lists!$A$2:$A$26,0))),""))</f>
        <v/>
      </c>
      <c r="M931" s="15" t="str">
        <f t="shared" si="14"/>
        <v/>
      </c>
    </row>
    <row r="932" spans="1:13" x14ac:dyDescent="0.35">
      <c r="A932" s="11"/>
      <c r="B932" s="12"/>
      <c r="C932" s="12"/>
      <c r="D932" s="12"/>
      <c r="E932" s="13"/>
      <c r="F932" s="13"/>
      <c r="G932" s="13"/>
      <c r="H932" s="13"/>
      <c r="I932" s="12"/>
      <c r="J932" s="13"/>
      <c r="K932" s="14" t="str">
        <f>IF(C932="","",IFERROR(N('Fee Settings'!$C$5)*(E932+N(F932)-N(J932))+N('Fee Settings'!$C$6)*(E932+N(F932)+N(G932))+N('Fee Settings'!$C$7)+N('Fee Settings'!$C$10)*D932+IF(I932="Yes",MIN(N('Fee Settings'!$C$8)*(E932+N(F932)),N('Fee Settings'!$C$9)),0),""))</f>
        <v/>
      </c>
      <c r="L932" s="14" t="str">
        <f>IF(C932="","",IFERROR(D932*N(INDEX(Products!$C$5:$C$29,MATCH(C932,Lists!$A$2:$A$26,0))),""))</f>
        <v/>
      </c>
      <c r="M932" s="15" t="str">
        <f t="shared" si="14"/>
        <v/>
      </c>
    </row>
    <row r="933" spans="1:13" x14ac:dyDescent="0.35">
      <c r="A933" s="11"/>
      <c r="B933" s="12"/>
      <c r="C933" s="12"/>
      <c r="D933" s="12"/>
      <c r="E933" s="13"/>
      <c r="F933" s="13"/>
      <c r="G933" s="13"/>
      <c r="H933" s="13"/>
      <c r="I933" s="12"/>
      <c r="J933" s="13"/>
      <c r="K933" s="14" t="str">
        <f>IF(C933="","",IFERROR(N('Fee Settings'!$C$5)*(E933+N(F933)-N(J933))+N('Fee Settings'!$C$6)*(E933+N(F933)+N(G933))+N('Fee Settings'!$C$7)+N('Fee Settings'!$C$10)*D933+IF(I933="Yes",MIN(N('Fee Settings'!$C$8)*(E933+N(F933)),N('Fee Settings'!$C$9)),0),""))</f>
        <v/>
      </c>
      <c r="L933" s="14" t="str">
        <f>IF(C933="","",IFERROR(D933*N(INDEX(Products!$C$5:$C$29,MATCH(C933,Lists!$A$2:$A$26,0))),""))</f>
        <v/>
      </c>
      <c r="M933" s="15" t="str">
        <f t="shared" si="14"/>
        <v/>
      </c>
    </row>
    <row r="934" spans="1:13" x14ac:dyDescent="0.35">
      <c r="A934" s="11"/>
      <c r="B934" s="12"/>
      <c r="C934" s="12"/>
      <c r="D934" s="12"/>
      <c r="E934" s="13"/>
      <c r="F934" s="13"/>
      <c r="G934" s="13"/>
      <c r="H934" s="13"/>
      <c r="I934" s="12"/>
      <c r="J934" s="13"/>
      <c r="K934" s="14" t="str">
        <f>IF(C934="","",IFERROR(N('Fee Settings'!$C$5)*(E934+N(F934)-N(J934))+N('Fee Settings'!$C$6)*(E934+N(F934)+N(G934))+N('Fee Settings'!$C$7)+N('Fee Settings'!$C$10)*D934+IF(I934="Yes",MIN(N('Fee Settings'!$C$8)*(E934+N(F934)),N('Fee Settings'!$C$9)),0),""))</f>
        <v/>
      </c>
      <c r="L934" s="14" t="str">
        <f>IF(C934="","",IFERROR(D934*N(INDEX(Products!$C$5:$C$29,MATCH(C934,Lists!$A$2:$A$26,0))),""))</f>
        <v/>
      </c>
      <c r="M934" s="15" t="str">
        <f t="shared" si="14"/>
        <v/>
      </c>
    </row>
    <row r="935" spans="1:13" x14ac:dyDescent="0.35">
      <c r="A935" s="11"/>
      <c r="B935" s="12"/>
      <c r="C935" s="12"/>
      <c r="D935" s="12"/>
      <c r="E935" s="13"/>
      <c r="F935" s="13"/>
      <c r="G935" s="13"/>
      <c r="H935" s="13"/>
      <c r="I935" s="12"/>
      <c r="J935" s="13"/>
      <c r="K935" s="14" t="str">
        <f>IF(C935="","",IFERROR(N('Fee Settings'!$C$5)*(E935+N(F935)-N(J935))+N('Fee Settings'!$C$6)*(E935+N(F935)+N(G935))+N('Fee Settings'!$C$7)+N('Fee Settings'!$C$10)*D935+IF(I935="Yes",MIN(N('Fee Settings'!$C$8)*(E935+N(F935)),N('Fee Settings'!$C$9)),0),""))</f>
        <v/>
      </c>
      <c r="L935" s="14" t="str">
        <f>IF(C935="","",IFERROR(D935*N(INDEX(Products!$C$5:$C$29,MATCH(C935,Lists!$A$2:$A$26,0))),""))</f>
        <v/>
      </c>
      <c r="M935" s="15" t="str">
        <f t="shared" si="14"/>
        <v/>
      </c>
    </row>
    <row r="936" spans="1:13" x14ac:dyDescent="0.35">
      <c r="A936" s="11"/>
      <c r="B936" s="12"/>
      <c r="C936" s="12"/>
      <c r="D936" s="12"/>
      <c r="E936" s="13"/>
      <c r="F936" s="13"/>
      <c r="G936" s="13"/>
      <c r="H936" s="13"/>
      <c r="I936" s="12"/>
      <c r="J936" s="13"/>
      <c r="K936" s="14" t="str">
        <f>IF(C936="","",IFERROR(N('Fee Settings'!$C$5)*(E936+N(F936)-N(J936))+N('Fee Settings'!$C$6)*(E936+N(F936)+N(G936))+N('Fee Settings'!$C$7)+N('Fee Settings'!$C$10)*D936+IF(I936="Yes",MIN(N('Fee Settings'!$C$8)*(E936+N(F936)),N('Fee Settings'!$C$9)),0),""))</f>
        <v/>
      </c>
      <c r="L936" s="14" t="str">
        <f>IF(C936="","",IFERROR(D936*N(INDEX(Products!$C$5:$C$29,MATCH(C936,Lists!$A$2:$A$26,0))),""))</f>
        <v/>
      </c>
      <c r="M936" s="15" t="str">
        <f t="shared" si="14"/>
        <v/>
      </c>
    </row>
    <row r="937" spans="1:13" x14ac:dyDescent="0.35">
      <c r="A937" s="11"/>
      <c r="B937" s="12"/>
      <c r="C937" s="12"/>
      <c r="D937" s="12"/>
      <c r="E937" s="13"/>
      <c r="F937" s="13"/>
      <c r="G937" s="13"/>
      <c r="H937" s="13"/>
      <c r="I937" s="12"/>
      <c r="J937" s="13"/>
      <c r="K937" s="14" t="str">
        <f>IF(C937="","",IFERROR(N('Fee Settings'!$C$5)*(E937+N(F937)-N(J937))+N('Fee Settings'!$C$6)*(E937+N(F937)+N(G937))+N('Fee Settings'!$C$7)+N('Fee Settings'!$C$10)*D937+IF(I937="Yes",MIN(N('Fee Settings'!$C$8)*(E937+N(F937)),N('Fee Settings'!$C$9)),0),""))</f>
        <v/>
      </c>
      <c r="L937" s="14" t="str">
        <f>IF(C937="","",IFERROR(D937*N(INDEX(Products!$C$5:$C$29,MATCH(C937,Lists!$A$2:$A$26,0))),""))</f>
        <v/>
      </c>
      <c r="M937" s="15" t="str">
        <f t="shared" si="14"/>
        <v/>
      </c>
    </row>
    <row r="938" spans="1:13" x14ac:dyDescent="0.35">
      <c r="A938" s="11"/>
      <c r="B938" s="12"/>
      <c r="C938" s="12"/>
      <c r="D938" s="12"/>
      <c r="E938" s="13"/>
      <c r="F938" s="13"/>
      <c r="G938" s="13"/>
      <c r="H938" s="13"/>
      <c r="I938" s="12"/>
      <c r="J938" s="13"/>
      <c r="K938" s="14" t="str">
        <f>IF(C938="","",IFERROR(N('Fee Settings'!$C$5)*(E938+N(F938)-N(J938))+N('Fee Settings'!$C$6)*(E938+N(F938)+N(G938))+N('Fee Settings'!$C$7)+N('Fee Settings'!$C$10)*D938+IF(I938="Yes",MIN(N('Fee Settings'!$C$8)*(E938+N(F938)),N('Fee Settings'!$C$9)),0),""))</f>
        <v/>
      </c>
      <c r="L938" s="14" t="str">
        <f>IF(C938="","",IFERROR(D938*N(INDEX(Products!$C$5:$C$29,MATCH(C938,Lists!$A$2:$A$26,0))),""))</f>
        <v/>
      </c>
      <c r="M938" s="15" t="str">
        <f t="shared" si="14"/>
        <v/>
      </c>
    </row>
    <row r="939" spans="1:13" x14ac:dyDescent="0.35">
      <c r="A939" s="11"/>
      <c r="B939" s="12"/>
      <c r="C939" s="12"/>
      <c r="D939" s="12"/>
      <c r="E939" s="13"/>
      <c r="F939" s="13"/>
      <c r="G939" s="13"/>
      <c r="H939" s="13"/>
      <c r="I939" s="12"/>
      <c r="J939" s="13"/>
      <c r="K939" s="14" t="str">
        <f>IF(C939="","",IFERROR(N('Fee Settings'!$C$5)*(E939+N(F939)-N(J939))+N('Fee Settings'!$C$6)*(E939+N(F939)+N(G939))+N('Fee Settings'!$C$7)+N('Fee Settings'!$C$10)*D939+IF(I939="Yes",MIN(N('Fee Settings'!$C$8)*(E939+N(F939)),N('Fee Settings'!$C$9)),0),""))</f>
        <v/>
      </c>
      <c r="L939" s="14" t="str">
        <f>IF(C939="","",IFERROR(D939*N(INDEX(Products!$C$5:$C$29,MATCH(C939,Lists!$A$2:$A$26,0))),""))</f>
        <v/>
      </c>
      <c r="M939" s="15" t="str">
        <f t="shared" si="14"/>
        <v/>
      </c>
    </row>
    <row r="940" spans="1:13" x14ac:dyDescent="0.35">
      <c r="A940" s="11"/>
      <c r="B940" s="12"/>
      <c r="C940" s="12"/>
      <c r="D940" s="12"/>
      <c r="E940" s="13"/>
      <c r="F940" s="13"/>
      <c r="G940" s="13"/>
      <c r="H940" s="13"/>
      <c r="I940" s="12"/>
      <c r="J940" s="13"/>
      <c r="K940" s="14" t="str">
        <f>IF(C940="","",IFERROR(N('Fee Settings'!$C$5)*(E940+N(F940)-N(J940))+N('Fee Settings'!$C$6)*(E940+N(F940)+N(G940))+N('Fee Settings'!$C$7)+N('Fee Settings'!$C$10)*D940+IF(I940="Yes",MIN(N('Fee Settings'!$C$8)*(E940+N(F940)),N('Fee Settings'!$C$9)),0),""))</f>
        <v/>
      </c>
      <c r="L940" s="14" t="str">
        <f>IF(C940="","",IFERROR(D940*N(INDEX(Products!$C$5:$C$29,MATCH(C940,Lists!$A$2:$A$26,0))),""))</f>
        <v/>
      </c>
      <c r="M940" s="15" t="str">
        <f t="shared" si="14"/>
        <v/>
      </c>
    </row>
    <row r="941" spans="1:13" x14ac:dyDescent="0.35">
      <c r="A941" s="11"/>
      <c r="B941" s="12"/>
      <c r="C941" s="12"/>
      <c r="D941" s="12"/>
      <c r="E941" s="13"/>
      <c r="F941" s="13"/>
      <c r="G941" s="13"/>
      <c r="H941" s="13"/>
      <c r="I941" s="12"/>
      <c r="J941" s="13"/>
      <c r="K941" s="14" t="str">
        <f>IF(C941="","",IFERROR(N('Fee Settings'!$C$5)*(E941+N(F941)-N(J941))+N('Fee Settings'!$C$6)*(E941+N(F941)+N(G941))+N('Fee Settings'!$C$7)+N('Fee Settings'!$C$10)*D941+IF(I941="Yes",MIN(N('Fee Settings'!$C$8)*(E941+N(F941)),N('Fee Settings'!$C$9)),0),""))</f>
        <v/>
      </c>
      <c r="L941" s="14" t="str">
        <f>IF(C941="","",IFERROR(D941*N(INDEX(Products!$C$5:$C$29,MATCH(C941,Lists!$A$2:$A$26,0))),""))</f>
        <v/>
      </c>
      <c r="M941" s="15" t="str">
        <f t="shared" si="14"/>
        <v/>
      </c>
    </row>
    <row r="942" spans="1:13" x14ac:dyDescent="0.35">
      <c r="A942" s="11"/>
      <c r="B942" s="12"/>
      <c r="C942" s="12"/>
      <c r="D942" s="12"/>
      <c r="E942" s="13"/>
      <c r="F942" s="13"/>
      <c r="G942" s="13"/>
      <c r="H942" s="13"/>
      <c r="I942" s="12"/>
      <c r="J942" s="13"/>
      <c r="K942" s="14" t="str">
        <f>IF(C942="","",IFERROR(N('Fee Settings'!$C$5)*(E942+N(F942)-N(J942))+N('Fee Settings'!$C$6)*(E942+N(F942)+N(G942))+N('Fee Settings'!$C$7)+N('Fee Settings'!$C$10)*D942+IF(I942="Yes",MIN(N('Fee Settings'!$C$8)*(E942+N(F942)),N('Fee Settings'!$C$9)),0),""))</f>
        <v/>
      </c>
      <c r="L942" s="14" t="str">
        <f>IF(C942="","",IFERROR(D942*N(INDEX(Products!$C$5:$C$29,MATCH(C942,Lists!$A$2:$A$26,0))),""))</f>
        <v/>
      </c>
      <c r="M942" s="15" t="str">
        <f t="shared" si="14"/>
        <v/>
      </c>
    </row>
    <row r="943" spans="1:13" x14ac:dyDescent="0.35">
      <c r="A943" s="11"/>
      <c r="B943" s="12"/>
      <c r="C943" s="12"/>
      <c r="D943" s="12"/>
      <c r="E943" s="13"/>
      <c r="F943" s="13"/>
      <c r="G943" s="13"/>
      <c r="H943" s="13"/>
      <c r="I943" s="12"/>
      <c r="J943" s="13"/>
      <c r="K943" s="14" t="str">
        <f>IF(C943="","",IFERROR(N('Fee Settings'!$C$5)*(E943+N(F943)-N(J943))+N('Fee Settings'!$C$6)*(E943+N(F943)+N(G943))+N('Fee Settings'!$C$7)+N('Fee Settings'!$C$10)*D943+IF(I943="Yes",MIN(N('Fee Settings'!$C$8)*(E943+N(F943)),N('Fee Settings'!$C$9)),0),""))</f>
        <v/>
      </c>
      <c r="L943" s="14" t="str">
        <f>IF(C943="","",IFERROR(D943*N(INDEX(Products!$C$5:$C$29,MATCH(C943,Lists!$A$2:$A$26,0))),""))</f>
        <v/>
      </c>
      <c r="M943" s="15" t="str">
        <f t="shared" si="14"/>
        <v/>
      </c>
    </row>
    <row r="944" spans="1:13" x14ac:dyDescent="0.35">
      <c r="A944" s="11"/>
      <c r="B944" s="12"/>
      <c r="C944" s="12"/>
      <c r="D944" s="12"/>
      <c r="E944" s="13"/>
      <c r="F944" s="13"/>
      <c r="G944" s="13"/>
      <c r="H944" s="13"/>
      <c r="I944" s="12"/>
      <c r="J944" s="13"/>
      <c r="K944" s="14" t="str">
        <f>IF(C944="","",IFERROR(N('Fee Settings'!$C$5)*(E944+N(F944)-N(J944))+N('Fee Settings'!$C$6)*(E944+N(F944)+N(G944))+N('Fee Settings'!$C$7)+N('Fee Settings'!$C$10)*D944+IF(I944="Yes",MIN(N('Fee Settings'!$C$8)*(E944+N(F944)),N('Fee Settings'!$C$9)),0),""))</f>
        <v/>
      </c>
      <c r="L944" s="14" t="str">
        <f>IF(C944="","",IFERROR(D944*N(INDEX(Products!$C$5:$C$29,MATCH(C944,Lists!$A$2:$A$26,0))),""))</f>
        <v/>
      </c>
      <c r="M944" s="15" t="str">
        <f t="shared" si="14"/>
        <v/>
      </c>
    </row>
    <row r="945" spans="1:13" x14ac:dyDescent="0.35">
      <c r="A945" s="11"/>
      <c r="B945" s="12"/>
      <c r="C945" s="12"/>
      <c r="D945" s="12"/>
      <c r="E945" s="13"/>
      <c r="F945" s="13"/>
      <c r="G945" s="13"/>
      <c r="H945" s="13"/>
      <c r="I945" s="12"/>
      <c r="J945" s="13"/>
      <c r="K945" s="14" t="str">
        <f>IF(C945="","",IFERROR(N('Fee Settings'!$C$5)*(E945+N(F945)-N(J945))+N('Fee Settings'!$C$6)*(E945+N(F945)+N(G945))+N('Fee Settings'!$C$7)+N('Fee Settings'!$C$10)*D945+IF(I945="Yes",MIN(N('Fee Settings'!$C$8)*(E945+N(F945)),N('Fee Settings'!$C$9)),0),""))</f>
        <v/>
      </c>
      <c r="L945" s="14" t="str">
        <f>IF(C945="","",IFERROR(D945*N(INDEX(Products!$C$5:$C$29,MATCH(C945,Lists!$A$2:$A$26,0))),""))</f>
        <v/>
      </c>
      <c r="M945" s="15" t="str">
        <f t="shared" si="14"/>
        <v/>
      </c>
    </row>
    <row r="946" spans="1:13" x14ac:dyDescent="0.35">
      <c r="A946" s="11"/>
      <c r="B946" s="12"/>
      <c r="C946" s="12"/>
      <c r="D946" s="12"/>
      <c r="E946" s="13"/>
      <c r="F946" s="13"/>
      <c r="G946" s="13"/>
      <c r="H946" s="13"/>
      <c r="I946" s="12"/>
      <c r="J946" s="13"/>
      <c r="K946" s="14" t="str">
        <f>IF(C946="","",IFERROR(N('Fee Settings'!$C$5)*(E946+N(F946)-N(J946))+N('Fee Settings'!$C$6)*(E946+N(F946)+N(G946))+N('Fee Settings'!$C$7)+N('Fee Settings'!$C$10)*D946+IF(I946="Yes",MIN(N('Fee Settings'!$C$8)*(E946+N(F946)),N('Fee Settings'!$C$9)),0),""))</f>
        <v/>
      </c>
      <c r="L946" s="14" t="str">
        <f>IF(C946="","",IFERROR(D946*N(INDEX(Products!$C$5:$C$29,MATCH(C946,Lists!$A$2:$A$26,0))),""))</f>
        <v/>
      </c>
      <c r="M946" s="15" t="str">
        <f t="shared" si="14"/>
        <v/>
      </c>
    </row>
    <row r="947" spans="1:13" x14ac:dyDescent="0.35">
      <c r="A947" s="11"/>
      <c r="B947" s="12"/>
      <c r="C947" s="12"/>
      <c r="D947" s="12"/>
      <c r="E947" s="13"/>
      <c r="F947" s="13"/>
      <c r="G947" s="13"/>
      <c r="H947" s="13"/>
      <c r="I947" s="12"/>
      <c r="J947" s="13"/>
      <c r="K947" s="14" t="str">
        <f>IF(C947="","",IFERROR(N('Fee Settings'!$C$5)*(E947+N(F947)-N(J947))+N('Fee Settings'!$C$6)*(E947+N(F947)+N(G947))+N('Fee Settings'!$C$7)+N('Fee Settings'!$C$10)*D947+IF(I947="Yes",MIN(N('Fee Settings'!$C$8)*(E947+N(F947)),N('Fee Settings'!$C$9)),0),""))</f>
        <v/>
      </c>
      <c r="L947" s="14" t="str">
        <f>IF(C947="","",IFERROR(D947*N(INDEX(Products!$C$5:$C$29,MATCH(C947,Lists!$A$2:$A$26,0))),""))</f>
        <v/>
      </c>
      <c r="M947" s="15" t="str">
        <f t="shared" si="14"/>
        <v/>
      </c>
    </row>
    <row r="948" spans="1:13" x14ac:dyDescent="0.35">
      <c r="A948" s="11"/>
      <c r="B948" s="12"/>
      <c r="C948" s="12"/>
      <c r="D948" s="12"/>
      <c r="E948" s="13"/>
      <c r="F948" s="13"/>
      <c r="G948" s="13"/>
      <c r="H948" s="13"/>
      <c r="I948" s="12"/>
      <c r="J948" s="13"/>
      <c r="K948" s="14" t="str">
        <f>IF(C948="","",IFERROR(N('Fee Settings'!$C$5)*(E948+N(F948)-N(J948))+N('Fee Settings'!$C$6)*(E948+N(F948)+N(G948))+N('Fee Settings'!$C$7)+N('Fee Settings'!$C$10)*D948+IF(I948="Yes",MIN(N('Fee Settings'!$C$8)*(E948+N(F948)),N('Fee Settings'!$C$9)),0),""))</f>
        <v/>
      </c>
      <c r="L948" s="14" t="str">
        <f>IF(C948="","",IFERROR(D948*N(INDEX(Products!$C$5:$C$29,MATCH(C948,Lists!$A$2:$A$26,0))),""))</f>
        <v/>
      </c>
      <c r="M948" s="15" t="str">
        <f t="shared" si="14"/>
        <v/>
      </c>
    </row>
    <row r="949" spans="1:13" x14ac:dyDescent="0.35">
      <c r="A949" s="11"/>
      <c r="B949" s="12"/>
      <c r="C949" s="12"/>
      <c r="D949" s="12"/>
      <c r="E949" s="13"/>
      <c r="F949" s="13"/>
      <c r="G949" s="13"/>
      <c r="H949" s="13"/>
      <c r="I949" s="12"/>
      <c r="J949" s="13"/>
      <c r="K949" s="14" t="str">
        <f>IF(C949="","",IFERROR(N('Fee Settings'!$C$5)*(E949+N(F949)-N(J949))+N('Fee Settings'!$C$6)*(E949+N(F949)+N(G949))+N('Fee Settings'!$C$7)+N('Fee Settings'!$C$10)*D949+IF(I949="Yes",MIN(N('Fee Settings'!$C$8)*(E949+N(F949)),N('Fee Settings'!$C$9)),0),""))</f>
        <v/>
      </c>
      <c r="L949" s="14" t="str">
        <f>IF(C949="","",IFERROR(D949*N(INDEX(Products!$C$5:$C$29,MATCH(C949,Lists!$A$2:$A$26,0))),""))</f>
        <v/>
      </c>
      <c r="M949" s="15" t="str">
        <f t="shared" si="14"/>
        <v/>
      </c>
    </row>
    <row r="950" spans="1:13" x14ac:dyDescent="0.35">
      <c r="A950" s="11"/>
      <c r="B950" s="12"/>
      <c r="C950" s="12"/>
      <c r="D950" s="12"/>
      <c r="E950" s="13"/>
      <c r="F950" s="13"/>
      <c r="G950" s="13"/>
      <c r="H950" s="13"/>
      <c r="I950" s="12"/>
      <c r="J950" s="13"/>
      <c r="K950" s="14" t="str">
        <f>IF(C950="","",IFERROR(N('Fee Settings'!$C$5)*(E950+N(F950)-N(J950))+N('Fee Settings'!$C$6)*(E950+N(F950)+N(G950))+N('Fee Settings'!$C$7)+N('Fee Settings'!$C$10)*D950+IF(I950="Yes",MIN(N('Fee Settings'!$C$8)*(E950+N(F950)),N('Fee Settings'!$C$9)),0),""))</f>
        <v/>
      </c>
      <c r="L950" s="14" t="str">
        <f>IF(C950="","",IFERROR(D950*N(INDEX(Products!$C$5:$C$29,MATCH(C950,Lists!$A$2:$A$26,0))),""))</f>
        <v/>
      </c>
      <c r="M950" s="15" t="str">
        <f t="shared" si="14"/>
        <v/>
      </c>
    </row>
    <row r="951" spans="1:13" x14ac:dyDescent="0.35">
      <c r="A951" s="11"/>
      <c r="B951" s="12"/>
      <c r="C951" s="12"/>
      <c r="D951" s="12"/>
      <c r="E951" s="13"/>
      <c r="F951" s="13"/>
      <c r="G951" s="13"/>
      <c r="H951" s="13"/>
      <c r="I951" s="12"/>
      <c r="J951" s="13"/>
      <c r="K951" s="14" t="str">
        <f>IF(C951="","",IFERROR(N('Fee Settings'!$C$5)*(E951+N(F951)-N(J951))+N('Fee Settings'!$C$6)*(E951+N(F951)+N(G951))+N('Fee Settings'!$C$7)+N('Fee Settings'!$C$10)*D951+IF(I951="Yes",MIN(N('Fee Settings'!$C$8)*(E951+N(F951)),N('Fee Settings'!$C$9)),0),""))</f>
        <v/>
      </c>
      <c r="L951" s="14" t="str">
        <f>IF(C951="","",IFERROR(D951*N(INDEX(Products!$C$5:$C$29,MATCH(C951,Lists!$A$2:$A$26,0))),""))</f>
        <v/>
      </c>
      <c r="M951" s="15" t="str">
        <f t="shared" si="14"/>
        <v/>
      </c>
    </row>
    <row r="952" spans="1:13" x14ac:dyDescent="0.35">
      <c r="A952" s="11"/>
      <c r="B952" s="12"/>
      <c r="C952" s="12"/>
      <c r="D952" s="12"/>
      <c r="E952" s="13"/>
      <c r="F952" s="13"/>
      <c r="G952" s="13"/>
      <c r="H952" s="13"/>
      <c r="I952" s="12"/>
      <c r="J952" s="13"/>
      <c r="K952" s="14" t="str">
        <f>IF(C952="","",IFERROR(N('Fee Settings'!$C$5)*(E952+N(F952)-N(J952))+N('Fee Settings'!$C$6)*(E952+N(F952)+N(G952))+N('Fee Settings'!$C$7)+N('Fee Settings'!$C$10)*D952+IF(I952="Yes",MIN(N('Fee Settings'!$C$8)*(E952+N(F952)),N('Fee Settings'!$C$9)),0),""))</f>
        <v/>
      </c>
      <c r="L952" s="14" t="str">
        <f>IF(C952="","",IFERROR(D952*N(INDEX(Products!$C$5:$C$29,MATCH(C952,Lists!$A$2:$A$26,0))),""))</f>
        <v/>
      </c>
      <c r="M952" s="15" t="str">
        <f t="shared" si="14"/>
        <v/>
      </c>
    </row>
    <row r="953" spans="1:13" x14ac:dyDescent="0.35">
      <c r="A953" s="11"/>
      <c r="B953" s="12"/>
      <c r="C953" s="12"/>
      <c r="D953" s="12"/>
      <c r="E953" s="13"/>
      <c r="F953" s="13"/>
      <c r="G953" s="13"/>
      <c r="H953" s="13"/>
      <c r="I953" s="12"/>
      <c r="J953" s="13"/>
      <c r="K953" s="14" t="str">
        <f>IF(C953="","",IFERROR(N('Fee Settings'!$C$5)*(E953+N(F953)-N(J953))+N('Fee Settings'!$C$6)*(E953+N(F953)+N(G953))+N('Fee Settings'!$C$7)+N('Fee Settings'!$C$10)*D953+IF(I953="Yes",MIN(N('Fee Settings'!$C$8)*(E953+N(F953)),N('Fee Settings'!$C$9)),0),""))</f>
        <v/>
      </c>
      <c r="L953" s="14" t="str">
        <f>IF(C953="","",IFERROR(D953*N(INDEX(Products!$C$5:$C$29,MATCH(C953,Lists!$A$2:$A$26,0))),""))</f>
        <v/>
      </c>
      <c r="M953" s="15" t="str">
        <f t="shared" si="14"/>
        <v/>
      </c>
    </row>
    <row r="954" spans="1:13" x14ac:dyDescent="0.35">
      <c r="A954" s="11"/>
      <c r="B954" s="12"/>
      <c r="C954" s="12"/>
      <c r="D954" s="12"/>
      <c r="E954" s="13"/>
      <c r="F954" s="13"/>
      <c r="G954" s="13"/>
      <c r="H954" s="13"/>
      <c r="I954" s="12"/>
      <c r="J954" s="13"/>
      <c r="K954" s="14" t="str">
        <f>IF(C954="","",IFERROR(N('Fee Settings'!$C$5)*(E954+N(F954)-N(J954))+N('Fee Settings'!$C$6)*(E954+N(F954)+N(G954))+N('Fee Settings'!$C$7)+N('Fee Settings'!$C$10)*D954+IF(I954="Yes",MIN(N('Fee Settings'!$C$8)*(E954+N(F954)),N('Fee Settings'!$C$9)),0),""))</f>
        <v/>
      </c>
      <c r="L954" s="14" t="str">
        <f>IF(C954="","",IFERROR(D954*N(INDEX(Products!$C$5:$C$29,MATCH(C954,Lists!$A$2:$A$26,0))),""))</f>
        <v/>
      </c>
      <c r="M954" s="15" t="str">
        <f t="shared" si="14"/>
        <v/>
      </c>
    </row>
    <row r="955" spans="1:13" x14ac:dyDescent="0.35">
      <c r="A955" s="11"/>
      <c r="B955" s="12"/>
      <c r="C955" s="12"/>
      <c r="D955" s="12"/>
      <c r="E955" s="13"/>
      <c r="F955" s="13"/>
      <c r="G955" s="13"/>
      <c r="H955" s="13"/>
      <c r="I955" s="12"/>
      <c r="J955" s="13"/>
      <c r="K955" s="14" t="str">
        <f>IF(C955="","",IFERROR(N('Fee Settings'!$C$5)*(E955+N(F955)-N(J955))+N('Fee Settings'!$C$6)*(E955+N(F955)+N(G955))+N('Fee Settings'!$C$7)+N('Fee Settings'!$C$10)*D955+IF(I955="Yes",MIN(N('Fee Settings'!$C$8)*(E955+N(F955)),N('Fee Settings'!$C$9)),0),""))</f>
        <v/>
      </c>
      <c r="L955" s="14" t="str">
        <f>IF(C955="","",IFERROR(D955*N(INDEX(Products!$C$5:$C$29,MATCH(C955,Lists!$A$2:$A$26,0))),""))</f>
        <v/>
      </c>
      <c r="M955" s="15" t="str">
        <f t="shared" si="14"/>
        <v/>
      </c>
    </row>
    <row r="956" spans="1:13" x14ac:dyDescent="0.35">
      <c r="A956" s="11"/>
      <c r="B956" s="12"/>
      <c r="C956" s="12"/>
      <c r="D956" s="12"/>
      <c r="E956" s="13"/>
      <c r="F956" s="13"/>
      <c r="G956" s="13"/>
      <c r="H956" s="13"/>
      <c r="I956" s="12"/>
      <c r="J956" s="13"/>
      <c r="K956" s="14" t="str">
        <f>IF(C956="","",IFERROR(N('Fee Settings'!$C$5)*(E956+N(F956)-N(J956))+N('Fee Settings'!$C$6)*(E956+N(F956)+N(G956))+N('Fee Settings'!$C$7)+N('Fee Settings'!$C$10)*D956+IF(I956="Yes",MIN(N('Fee Settings'!$C$8)*(E956+N(F956)),N('Fee Settings'!$C$9)),0),""))</f>
        <v/>
      </c>
      <c r="L956" s="14" t="str">
        <f>IF(C956="","",IFERROR(D956*N(INDEX(Products!$C$5:$C$29,MATCH(C956,Lists!$A$2:$A$26,0))),""))</f>
        <v/>
      </c>
      <c r="M956" s="15" t="str">
        <f t="shared" si="14"/>
        <v/>
      </c>
    </row>
    <row r="957" spans="1:13" x14ac:dyDescent="0.35">
      <c r="A957" s="11"/>
      <c r="B957" s="12"/>
      <c r="C957" s="12"/>
      <c r="D957" s="12"/>
      <c r="E957" s="13"/>
      <c r="F957" s="13"/>
      <c r="G957" s="13"/>
      <c r="H957" s="13"/>
      <c r="I957" s="12"/>
      <c r="J957" s="13"/>
      <c r="K957" s="14" t="str">
        <f>IF(C957="","",IFERROR(N('Fee Settings'!$C$5)*(E957+N(F957)-N(J957))+N('Fee Settings'!$C$6)*(E957+N(F957)+N(G957))+N('Fee Settings'!$C$7)+N('Fee Settings'!$C$10)*D957+IF(I957="Yes",MIN(N('Fee Settings'!$C$8)*(E957+N(F957)),N('Fee Settings'!$C$9)),0),""))</f>
        <v/>
      </c>
      <c r="L957" s="14" t="str">
        <f>IF(C957="","",IFERROR(D957*N(INDEX(Products!$C$5:$C$29,MATCH(C957,Lists!$A$2:$A$26,0))),""))</f>
        <v/>
      </c>
      <c r="M957" s="15" t="str">
        <f t="shared" si="14"/>
        <v/>
      </c>
    </row>
    <row r="958" spans="1:13" x14ac:dyDescent="0.35">
      <c r="A958" s="11"/>
      <c r="B958" s="12"/>
      <c r="C958" s="12"/>
      <c r="D958" s="12"/>
      <c r="E958" s="13"/>
      <c r="F958" s="13"/>
      <c r="G958" s="13"/>
      <c r="H958" s="13"/>
      <c r="I958" s="12"/>
      <c r="J958" s="13"/>
      <c r="K958" s="14" t="str">
        <f>IF(C958="","",IFERROR(N('Fee Settings'!$C$5)*(E958+N(F958)-N(J958))+N('Fee Settings'!$C$6)*(E958+N(F958)+N(G958))+N('Fee Settings'!$C$7)+N('Fee Settings'!$C$10)*D958+IF(I958="Yes",MIN(N('Fee Settings'!$C$8)*(E958+N(F958)),N('Fee Settings'!$C$9)),0),""))</f>
        <v/>
      </c>
      <c r="L958" s="14" t="str">
        <f>IF(C958="","",IFERROR(D958*N(INDEX(Products!$C$5:$C$29,MATCH(C958,Lists!$A$2:$A$26,0))),""))</f>
        <v/>
      </c>
      <c r="M958" s="15" t="str">
        <f t="shared" si="14"/>
        <v/>
      </c>
    </row>
    <row r="959" spans="1:13" x14ac:dyDescent="0.35">
      <c r="A959" s="11"/>
      <c r="B959" s="12"/>
      <c r="C959" s="12"/>
      <c r="D959" s="12"/>
      <c r="E959" s="13"/>
      <c r="F959" s="13"/>
      <c r="G959" s="13"/>
      <c r="H959" s="13"/>
      <c r="I959" s="12"/>
      <c r="J959" s="13"/>
      <c r="K959" s="14" t="str">
        <f>IF(C959="","",IFERROR(N('Fee Settings'!$C$5)*(E959+N(F959)-N(J959))+N('Fee Settings'!$C$6)*(E959+N(F959)+N(G959))+N('Fee Settings'!$C$7)+N('Fee Settings'!$C$10)*D959+IF(I959="Yes",MIN(N('Fee Settings'!$C$8)*(E959+N(F959)),N('Fee Settings'!$C$9)),0),""))</f>
        <v/>
      </c>
      <c r="L959" s="14" t="str">
        <f>IF(C959="","",IFERROR(D959*N(INDEX(Products!$C$5:$C$29,MATCH(C959,Lists!$A$2:$A$26,0))),""))</f>
        <v/>
      </c>
      <c r="M959" s="15" t="str">
        <f t="shared" si="14"/>
        <v/>
      </c>
    </row>
    <row r="960" spans="1:13" x14ac:dyDescent="0.35">
      <c r="A960" s="11"/>
      <c r="B960" s="12"/>
      <c r="C960" s="12"/>
      <c r="D960" s="12"/>
      <c r="E960" s="13"/>
      <c r="F960" s="13"/>
      <c r="G960" s="13"/>
      <c r="H960" s="13"/>
      <c r="I960" s="12"/>
      <c r="J960" s="13"/>
      <c r="K960" s="14" t="str">
        <f>IF(C960="","",IFERROR(N('Fee Settings'!$C$5)*(E960+N(F960)-N(J960))+N('Fee Settings'!$C$6)*(E960+N(F960)+N(G960))+N('Fee Settings'!$C$7)+N('Fee Settings'!$C$10)*D960+IF(I960="Yes",MIN(N('Fee Settings'!$C$8)*(E960+N(F960)),N('Fee Settings'!$C$9)),0),""))</f>
        <v/>
      </c>
      <c r="L960" s="14" t="str">
        <f>IF(C960="","",IFERROR(D960*N(INDEX(Products!$C$5:$C$29,MATCH(C960,Lists!$A$2:$A$26,0))),""))</f>
        <v/>
      </c>
      <c r="M960" s="15" t="str">
        <f t="shared" si="14"/>
        <v/>
      </c>
    </row>
    <row r="961" spans="1:13" x14ac:dyDescent="0.35">
      <c r="A961" s="11"/>
      <c r="B961" s="12"/>
      <c r="C961" s="12"/>
      <c r="D961" s="12"/>
      <c r="E961" s="13"/>
      <c r="F961" s="13"/>
      <c r="G961" s="13"/>
      <c r="H961" s="13"/>
      <c r="I961" s="12"/>
      <c r="J961" s="13"/>
      <c r="K961" s="14" t="str">
        <f>IF(C961="","",IFERROR(N('Fee Settings'!$C$5)*(E961+N(F961)-N(J961))+N('Fee Settings'!$C$6)*(E961+N(F961)+N(G961))+N('Fee Settings'!$C$7)+N('Fee Settings'!$C$10)*D961+IF(I961="Yes",MIN(N('Fee Settings'!$C$8)*(E961+N(F961)),N('Fee Settings'!$C$9)),0),""))</f>
        <v/>
      </c>
      <c r="L961" s="14" t="str">
        <f>IF(C961="","",IFERROR(D961*N(INDEX(Products!$C$5:$C$29,MATCH(C961,Lists!$A$2:$A$26,0))),""))</f>
        <v/>
      </c>
      <c r="M961" s="15" t="str">
        <f t="shared" si="14"/>
        <v/>
      </c>
    </row>
    <row r="962" spans="1:13" x14ac:dyDescent="0.35">
      <c r="A962" s="11"/>
      <c r="B962" s="12"/>
      <c r="C962" s="12"/>
      <c r="D962" s="12"/>
      <c r="E962" s="13"/>
      <c r="F962" s="13"/>
      <c r="G962" s="13"/>
      <c r="H962" s="13"/>
      <c r="I962" s="12"/>
      <c r="J962" s="13"/>
      <c r="K962" s="14" t="str">
        <f>IF(C962="","",IFERROR(N('Fee Settings'!$C$5)*(E962+N(F962)-N(J962))+N('Fee Settings'!$C$6)*(E962+N(F962)+N(G962))+N('Fee Settings'!$C$7)+N('Fee Settings'!$C$10)*D962+IF(I962="Yes",MIN(N('Fee Settings'!$C$8)*(E962+N(F962)),N('Fee Settings'!$C$9)),0),""))</f>
        <v/>
      </c>
      <c r="L962" s="14" t="str">
        <f>IF(C962="","",IFERROR(D962*N(INDEX(Products!$C$5:$C$29,MATCH(C962,Lists!$A$2:$A$26,0))),""))</f>
        <v/>
      </c>
      <c r="M962" s="15" t="str">
        <f t="shared" si="14"/>
        <v/>
      </c>
    </row>
    <row r="963" spans="1:13" x14ac:dyDescent="0.35">
      <c r="A963" s="11"/>
      <c r="B963" s="12"/>
      <c r="C963" s="12"/>
      <c r="D963" s="12"/>
      <c r="E963" s="13"/>
      <c r="F963" s="13"/>
      <c r="G963" s="13"/>
      <c r="H963" s="13"/>
      <c r="I963" s="12"/>
      <c r="J963" s="13"/>
      <c r="K963" s="14" t="str">
        <f>IF(C963="","",IFERROR(N('Fee Settings'!$C$5)*(E963+N(F963)-N(J963))+N('Fee Settings'!$C$6)*(E963+N(F963)+N(G963))+N('Fee Settings'!$C$7)+N('Fee Settings'!$C$10)*D963+IF(I963="Yes",MIN(N('Fee Settings'!$C$8)*(E963+N(F963)),N('Fee Settings'!$C$9)),0),""))</f>
        <v/>
      </c>
      <c r="L963" s="14" t="str">
        <f>IF(C963="","",IFERROR(D963*N(INDEX(Products!$C$5:$C$29,MATCH(C963,Lists!$A$2:$A$26,0))),""))</f>
        <v/>
      </c>
      <c r="M963" s="15" t="str">
        <f t="shared" si="14"/>
        <v/>
      </c>
    </row>
    <row r="964" spans="1:13" x14ac:dyDescent="0.35">
      <c r="A964" s="11"/>
      <c r="B964" s="12"/>
      <c r="C964" s="12"/>
      <c r="D964" s="12"/>
      <c r="E964" s="13"/>
      <c r="F964" s="13"/>
      <c r="G964" s="13"/>
      <c r="H964" s="13"/>
      <c r="I964" s="12"/>
      <c r="J964" s="13"/>
      <c r="K964" s="14" t="str">
        <f>IF(C964="","",IFERROR(N('Fee Settings'!$C$5)*(E964+N(F964)-N(J964))+N('Fee Settings'!$C$6)*(E964+N(F964)+N(G964))+N('Fee Settings'!$C$7)+N('Fee Settings'!$C$10)*D964+IF(I964="Yes",MIN(N('Fee Settings'!$C$8)*(E964+N(F964)),N('Fee Settings'!$C$9)),0),""))</f>
        <v/>
      </c>
      <c r="L964" s="14" t="str">
        <f>IF(C964="","",IFERROR(D964*N(INDEX(Products!$C$5:$C$29,MATCH(C964,Lists!$A$2:$A$26,0))),""))</f>
        <v/>
      </c>
      <c r="M964" s="15" t="str">
        <f t="shared" si="14"/>
        <v/>
      </c>
    </row>
    <row r="965" spans="1:13" x14ac:dyDescent="0.35">
      <c r="A965" s="11"/>
      <c r="B965" s="12"/>
      <c r="C965" s="12"/>
      <c r="D965" s="12"/>
      <c r="E965" s="13"/>
      <c r="F965" s="13"/>
      <c r="G965" s="13"/>
      <c r="H965" s="13"/>
      <c r="I965" s="12"/>
      <c r="J965" s="13"/>
      <c r="K965" s="14" t="str">
        <f>IF(C965="","",IFERROR(N('Fee Settings'!$C$5)*(E965+N(F965)-N(J965))+N('Fee Settings'!$C$6)*(E965+N(F965)+N(G965))+N('Fee Settings'!$C$7)+N('Fee Settings'!$C$10)*D965+IF(I965="Yes",MIN(N('Fee Settings'!$C$8)*(E965+N(F965)),N('Fee Settings'!$C$9)),0),""))</f>
        <v/>
      </c>
      <c r="L965" s="14" t="str">
        <f>IF(C965="","",IFERROR(D965*N(INDEX(Products!$C$5:$C$29,MATCH(C965,Lists!$A$2:$A$26,0))),""))</f>
        <v/>
      </c>
      <c r="M965" s="15" t="str">
        <f t="shared" ref="M965:M1028" si="15">IF(C965="","",IFERROR(E965+N(F965)-N(J965)-K965-L965-N(H965),""))</f>
        <v/>
      </c>
    </row>
    <row r="966" spans="1:13" x14ac:dyDescent="0.35">
      <c r="A966" s="11"/>
      <c r="B966" s="12"/>
      <c r="C966" s="12"/>
      <c r="D966" s="12"/>
      <c r="E966" s="13"/>
      <c r="F966" s="13"/>
      <c r="G966" s="13"/>
      <c r="H966" s="13"/>
      <c r="I966" s="12"/>
      <c r="J966" s="13"/>
      <c r="K966" s="14" t="str">
        <f>IF(C966="","",IFERROR(N('Fee Settings'!$C$5)*(E966+N(F966)-N(J966))+N('Fee Settings'!$C$6)*(E966+N(F966)+N(G966))+N('Fee Settings'!$C$7)+N('Fee Settings'!$C$10)*D966+IF(I966="Yes",MIN(N('Fee Settings'!$C$8)*(E966+N(F966)),N('Fee Settings'!$C$9)),0),""))</f>
        <v/>
      </c>
      <c r="L966" s="14" t="str">
        <f>IF(C966="","",IFERROR(D966*N(INDEX(Products!$C$5:$C$29,MATCH(C966,Lists!$A$2:$A$26,0))),""))</f>
        <v/>
      </c>
      <c r="M966" s="15" t="str">
        <f t="shared" si="15"/>
        <v/>
      </c>
    </row>
    <row r="967" spans="1:13" x14ac:dyDescent="0.35">
      <c r="A967" s="11"/>
      <c r="B967" s="12"/>
      <c r="C967" s="12"/>
      <c r="D967" s="12"/>
      <c r="E967" s="13"/>
      <c r="F967" s="13"/>
      <c r="G967" s="13"/>
      <c r="H967" s="13"/>
      <c r="I967" s="12"/>
      <c r="J967" s="13"/>
      <c r="K967" s="14" t="str">
        <f>IF(C967="","",IFERROR(N('Fee Settings'!$C$5)*(E967+N(F967)-N(J967))+N('Fee Settings'!$C$6)*(E967+N(F967)+N(G967))+N('Fee Settings'!$C$7)+N('Fee Settings'!$C$10)*D967+IF(I967="Yes",MIN(N('Fee Settings'!$C$8)*(E967+N(F967)),N('Fee Settings'!$C$9)),0),""))</f>
        <v/>
      </c>
      <c r="L967" s="14" t="str">
        <f>IF(C967="","",IFERROR(D967*N(INDEX(Products!$C$5:$C$29,MATCH(C967,Lists!$A$2:$A$26,0))),""))</f>
        <v/>
      </c>
      <c r="M967" s="15" t="str">
        <f t="shared" si="15"/>
        <v/>
      </c>
    </row>
    <row r="968" spans="1:13" x14ac:dyDescent="0.35">
      <c r="A968" s="11"/>
      <c r="B968" s="12"/>
      <c r="C968" s="12"/>
      <c r="D968" s="12"/>
      <c r="E968" s="13"/>
      <c r="F968" s="13"/>
      <c r="G968" s="13"/>
      <c r="H968" s="13"/>
      <c r="I968" s="12"/>
      <c r="J968" s="13"/>
      <c r="K968" s="14" t="str">
        <f>IF(C968="","",IFERROR(N('Fee Settings'!$C$5)*(E968+N(F968)-N(J968))+N('Fee Settings'!$C$6)*(E968+N(F968)+N(G968))+N('Fee Settings'!$C$7)+N('Fee Settings'!$C$10)*D968+IF(I968="Yes",MIN(N('Fee Settings'!$C$8)*(E968+N(F968)),N('Fee Settings'!$C$9)),0),""))</f>
        <v/>
      </c>
      <c r="L968" s="14" t="str">
        <f>IF(C968="","",IFERROR(D968*N(INDEX(Products!$C$5:$C$29,MATCH(C968,Lists!$A$2:$A$26,0))),""))</f>
        <v/>
      </c>
      <c r="M968" s="15" t="str">
        <f t="shared" si="15"/>
        <v/>
      </c>
    </row>
    <row r="969" spans="1:13" x14ac:dyDescent="0.35">
      <c r="A969" s="11"/>
      <c r="B969" s="12"/>
      <c r="C969" s="12"/>
      <c r="D969" s="12"/>
      <c r="E969" s="13"/>
      <c r="F969" s="13"/>
      <c r="G969" s="13"/>
      <c r="H969" s="13"/>
      <c r="I969" s="12"/>
      <c r="J969" s="13"/>
      <c r="K969" s="14" t="str">
        <f>IF(C969="","",IFERROR(N('Fee Settings'!$C$5)*(E969+N(F969)-N(J969))+N('Fee Settings'!$C$6)*(E969+N(F969)+N(G969))+N('Fee Settings'!$C$7)+N('Fee Settings'!$C$10)*D969+IF(I969="Yes",MIN(N('Fee Settings'!$C$8)*(E969+N(F969)),N('Fee Settings'!$C$9)),0),""))</f>
        <v/>
      </c>
      <c r="L969" s="14" t="str">
        <f>IF(C969="","",IFERROR(D969*N(INDEX(Products!$C$5:$C$29,MATCH(C969,Lists!$A$2:$A$26,0))),""))</f>
        <v/>
      </c>
      <c r="M969" s="15" t="str">
        <f t="shared" si="15"/>
        <v/>
      </c>
    </row>
    <row r="970" spans="1:13" x14ac:dyDescent="0.35">
      <c r="A970" s="11"/>
      <c r="B970" s="12"/>
      <c r="C970" s="12"/>
      <c r="D970" s="12"/>
      <c r="E970" s="13"/>
      <c r="F970" s="13"/>
      <c r="G970" s="13"/>
      <c r="H970" s="13"/>
      <c r="I970" s="12"/>
      <c r="J970" s="13"/>
      <c r="K970" s="14" t="str">
        <f>IF(C970="","",IFERROR(N('Fee Settings'!$C$5)*(E970+N(F970)-N(J970))+N('Fee Settings'!$C$6)*(E970+N(F970)+N(G970))+N('Fee Settings'!$C$7)+N('Fee Settings'!$C$10)*D970+IF(I970="Yes",MIN(N('Fee Settings'!$C$8)*(E970+N(F970)),N('Fee Settings'!$C$9)),0),""))</f>
        <v/>
      </c>
      <c r="L970" s="14" t="str">
        <f>IF(C970="","",IFERROR(D970*N(INDEX(Products!$C$5:$C$29,MATCH(C970,Lists!$A$2:$A$26,0))),""))</f>
        <v/>
      </c>
      <c r="M970" s="15" t="str">
        <f t="shared" si="15"/>
        <v/>
      </c>
    </row>
    <row r="971" spans="1:13" x14ac:dyDescent="0.35">
      <c r="A971" s="11"/>
      <c r="B971" s="12"/>
      <c r="C971" s="12"/>
      <c r="D971" s="12"/>
      <c r="E971" s="13"/>
      <c r="F971" s="13"/>
      <c r="G971" s="13"/>
      <c r="H971" s="13"/>
      <c r="I971" s="12"/>
      <c r="J971" s="13"/>
      <c r="K971" s="14" t="str">
        <f>IF(C971="","",IFERROR(N('Fee Settings'!$C$5)*(E971+N(F971)-N(J971))+N('Fee Settings'!$C$6)*(E971+N(F971)+N(G971))+N('Fee Settings'!$C$7)+N('Fee Settings'!$C$10)*D971+IF(I971="Yes",MIN(N('Fee Settings'!$C$8)*(E971+N(F971)),N('Fee Settings'!$C$9)),0),""))</f>
        <v/>
      </c>
      <c r="L971" s="14" t="str">
        <f>IF(C971="","",IFERROR(D971*N(INDEX(Products!$C$5:$C$29,MATCH(C971,Lists!$A$2:$A$26,0))),""))</f>
        <v/>
      </c>
      <c r="M971" s="15" t="str">
        <f t="shared" si="15"/>
        <v/>
      </c>
    </row>
    <row r="972" spans="1:13" x14ac:dyDescent="0.35">
      <c r="A972" s="11"/>
      <c r="B972" s="12"/>
      <c r="C972" s="12"/>
      <c r="D972" s="12"/>
      <c r="E972" s="13"/>
      <c r="F972" s="13"/>
      <c r="G972" s="13"/>
      <c r="H972" s="13"/>
      <c r="I972" s="12"/>
      <c r="J972" s="13"/>
      <c r="K972" s="14" t="str">
        <f>IF(C972="","",IFERROR(N('Fee Settings'!$C$5)*(E972+N(F972)-N(J972))+N('Fee Settings'!$C$6)*(E972+N(F972)+N(G972))+N('Fee Settings'!$C$7)+N('Fee Settings'!$C$10)*D972+IF(I972="Yes",MIN(N('Fee Settings'!$C$8)*(E972+N(F972)),N('Fee Settings'!$C$9)),0),""))</f>
        <v/>
      </c>
      <c r="L972" s="14" t="str">
        <f>IF(C972="","",IFERROR(D972*N(INDEX(Products!$C$5:$C$29,MATCH(C972,Lists!$A$2:$A$26,0))),""))</f>
        <v/>
      </c>
      <c r="M972" s="15" t="str">
        <f t="shared" si="15"/>
        <v/>
      </c>
    </row>
    <row r="973" spans="1:13" x14ac:dyDescent="0.35">
      <c r="A973" s="11"/>
      <c r="B973" s="12"/>
      <c r="C973" s="12"/>
      <c r="D973" s="12"/>
      <c r="E973" s="13"/>
      <c r="F973" s="13"/>
      <c r="G973" s="13"/>
      <c r="H973" s="13"/>
      <c r="I973" s="12"/>
      <c r="J973" s="13"/>
      <c r="K973" s="14" t="str">
        <f>IF(C973="","",IFERROR(N('Fee Settings'!$C$5)*(E973+N(F973)-N(J973))+N('Fee Settings'!$C$6)*(E973+N(F973)+N(G973))+N('Fee Settings'!$C$7)+N('Fee Settings'!$C$10)*D973+IF(I973="Yes",MIN(N('Fee Settings'!$C$8)*(E973+N(F973)),N('Fee Settings'!$C$9)),0),""))</f>
        <v/>
      </c>
      <c r="L973" s="14" t="str">
        <f>IF(C973="","",IFERROR(D973*N(INDEX(Products!$C$5:$C$29,MATCH(C973,Lists!$A$2:$A$26,0))),""))</f>
        <v/>
      </c>
      <c r="M973" s="15" t="str">
        <f t="shared" si="15"/>
        <v/>
      </c>
    </row>
    <row r="974" spans="1:13" x14ac:dyDescent="0.35">
      <c r="A974" s="11"/>
      <c r="B974" s="12"/>
      <c r="C974" s="12"/>
      <c r="D974" s="12"/>
      <c r="E974" s="13"/>
      <c r="F974" s="13"/>
      <c r="G974" s="13"/>
      <c r="H974" s="13"/>
      <c r="I974" s="12"/>
      <c r="J974" s="13"/>
      <c r="K974" s="14" t="str">
        <f>IF(C974="","",IFERROR(N('Fee Settings'!$C$5)*(E974+N(F974)-N(J974))+N('Fee Settings'!$C$6)*(E974+N(F974)+N(G974))+N('Fee Settings'!$C$7)+N('Fee Settings'!$C$10)*D974+IF(I974="Yes",MIN(N('Fee Settings'!$C$8)*(E974+N(F974)),N('Fee Settings'!$C$9)),0),""))</f>
        <v/>
      </c>
      <c r="L974" s="14" t="str">
        <f>IF(C974="","",IFERROR(D974*N(INDEX(Products!$C$5:$C$29,MATCH(C974,Lists!$A$2:$A$26,0))),""))</f>
        <v/>
      </c>
      <c r="M974" s="15" t="str">
        <f t="shared" si="15"/>
        <v/>
      </c>
    </row>
    <row r="975" spans="1:13" x14ac:dyDescent="0.35">
      <c r="A975" s="11"/>
      <c r="B975" s="12"/>
      <c r="C975" s="12"/>
      <c r="D975" s="12"/>
      <c r="E975" s="13"/>
      <c r="F975" s="13"/>
      <c r="G975" s="13"/>
      <c r="H975" s="13"/>
      <c r="I975" s="12"/>
      <c r="J975" s="13"/>
      <c r="K975" s="14" t="str">
        <f>IF(C975="","",IFERROR(N('Fee Settings'!$C$5)*(E975+N(F975)-N(J975))+N('Fee Settings'!$C$6)*(E975+N(F975)+N(G975))+N('Fee Settings'!$C$7)+N('Fee Settings'!$C$10)*D975+IF(I975="Yes",MIN(N('Fee Settings'!$C$8)*(E975+N(F975)),N('Fee Settings'!$C$9)),0),""))</f>
        <v/>
      </c>
      <c r="L975" s="14" t="str">
        <f>IF(C975="","",IFERROR(D975*N(INDEX(Products!$C$5:$C$29,MATCH(C975,Lists!$A$2:$A$26,0))),""))</f>
        <v/>
      </c>
      <c r="M975" s="15" t="str">
        <f t="shared" si="15"/>
        <v/>
      </c>
    </row>
    <row r="976" spans="1:13" x14ac:dyDescent="0.35">
      <c r="A976" s="11"/>
      <c r="B976" s="12"/>
      <c r="C976" s="12"/>
      <c r="D976" s="12"/>
      <c r="E976" s="13"/>
      <c r="F976" s="13"/>
      <c r="G976" s="13"/>
      <c r="H976" s="13"/>
      <c r="I976" s="12"/>
      <c r="J976" s="13"/>
      <c r="K976" s="14" t="str">
        <f>IF(C976="","",IFERROR(N('Fee Settings'!$C$5)*(E976+N(F976)-N(J976))+N('Fee Settings'!$C$6)*(E976+N(F976)+N(G976))+N('Fee Settings'!$C$7)+N('Fee Settings'!$C$10)*D976+IF(I976="Yes",MIN(N('Fee Settings'!$C$8)*(E976+N(F976)),N('Fee Settings'!$C$9)),0),""))</f>
        <v/>
      </c>
      <c r="L976" s="14" t="str">
        <f>IF(C976="","",IFERROR(D976*N(INDEX(Products!$C$5:$C$29,MATCH(C976,Lists!$A$2:$A$26,0))),""))</f>
        <v/>
      </c>
      <c r="M976" s="15" t="str">
        <f t="shared" si="15"/>
        <v/>
      </c>
    </row>
    <row r="977" spans="1:13" x14ac:dyDescent="0.35">
      <c r="A977" s="11"/>
      <c r="B977" s="12"/>
      <c r="C977" s="12"/>
      <c r="D977" s="12"/>
      <c r="E977" s="13"/>
      <c r="F977" s="13"/>
      <c r="G977" s="13"/>
      <c r="H977" s="13"/>
      <c r="I977" s="12"/>
      <c r="J977" s="13"/>
      <c r="K977" s="14" t="str">
        <f>IF(C977="","",IFERROR(N('Fee Settings'!$C$5)*(E977+N(F977)-N(J977))+N('Fee Settings'!$C$6)*(E977+N(F977)+N(G977))+N('Fee Settings'!$C$7)+N('Fee Settings'!$C$10)*D977+IF(I977="Yes",MIN(N('Fee Settings'!$C$8)*(E977+N(F977)),N('Fee Settings'!$C$9)),0),""))</f>
        <v/>
      </c>
      <c r="L977" s="14" t="str">
        <f>IF(C977="","",IFERROR(D977*N(INDEX(Products!$C$5:$C$29,MATCH(C977,Lists!$A$2:$A$26,0))),""))</f>
        <v/>
      </c>
      <c r="M977" s="15" t="str">
        <f t="shared" si="15"/>
        <v/>
      </c>
    </row>
    <row r="978" spans="1:13" x14ac:dyDescent="0.35">
      <c r="A978" s="11"/>
      <c r="B978" s="12"/>
      <c r="C978" s="12"/>
      <c r="D978" s="12"/>
      <c r="E978" s="13"/>
      <c r="F978" s="13"/>
      <c r="G978" s="13"/>
      <c r="H978" s="13"/>
      <c r="I978" s="12"/>
      <c r="J978" s="13"/>
      <c r="K978" s="14" t="str">
        <f>IF(C978="","",IFERROR(N('Fee Settings'!$C$5)*(E978+N(F978)-N(J978))+N('Fee Settings'!$C$6)*(E978+N(F978)+N(G978))+N('Fee Settings'!$C$7)+N('Fee Settings'!$C$10)*D978+IF(I978="Yes",MIN(N('Fee Settings'!$C$8)*(E978+N(F978)),N('Fee Settings'!$C$9)),0),""))</f>
        <v/>
      </c>
      <c r="L978" s="14" t="str">
        <f>IF(C978="","",IFERROR(D978*N(INDEX(Products!$C$5:$C$29,MATCH(C978,Lists!$A$2:$A$26,0))),""))</f>
        <v/>
      </c>
      <c r="M978" s="15" t="str">
        <f t="shared" si="15"/>
        <v/>
      </c>
    </row>
    <row r="979" spans="1:13" x14ac:dyDescent="0.35">
      <c r="A979" s="11"/>
      <c r="B979" s="12"/>
      <c r="C979" s="12"/>
      <c r="D979" s="12"/>
      <c r="E979" s="13"/>
      <c r="F979" s="13"/>
      <c r="G979" s="13"/>
      <c r="H979" s="13"/>
      <c r="I979" s="12"/>
      <c r="J979" s="13"/>
      <c r="K979" s="14" t="str">
        <f>IF(C979="","",IFERROR(N('Fee Settings'!$C$5)*(E979+N(F979)-N(J979))+N('Fee Settings'!$C$6)*(E979+N(F979)+N(G979))+N('Fee Settings'!$C$7)+N('Fee Settings'!$C$10)*D979+IF(I979="Yes",MIN(N('Fee Settings'!$C$8)*(E979+N(F979)),N('Fee Settings'!$C$9)),0),""))</f>
        <v/>
      </c>
      <c r="L979" s="14" t="str">
        <f>IF(C979="","",IFERROR(D979*N(INDEX(Products!$C$5:$C$29,MATCH(C979,Lists!$A$2:$A$26,0))),""))</f>
        <v/>
      </c>
      <c r="M979" s="15" t="str">
        <f t="shared" si="15"/>
        <v/>
      </c>
    </row>
    <row r="980" spans="1:13" x14ac:dyDescent="0.35">
      <c r="A980" s="11"/>
      <c r="B980" s="12"/>
      <c r="C980" s="12"/>
      <c r="D980" s="12"/>
      <c r="E980" s="13"/>
      <c r="F980" s="13"/>
      <c r="G980" s="13"/>
      <c r="H980" s="13"/>
      <c r="I980" s="12"/>
      <c r="J980" s="13"/>
      <c r="K980" s="14" t="str">
        <f>IF(C980="","",IFERROR(N('Fee Settings'!$C$5)*(E980+N(F980)-N(J980))+N('Fee Settings'!$C$6)*(E980+N(F980)+N(G980))+N('Fee Settings'!$C$7)+N('Fee Settings'!$C$10)*D980+IF(I980="Yes",MIN(N('Fee Settings'!$C$8)*(E980+N(F980)),N('Fee Settings'!$C$9)),0),""))</f>
        <v/>
      </c>
      <c r="L980" s="14" t="str">
        <f>IF(C980="","",IFERROR(D980*N(INDEX(Products!$C$5:$C$29,MATCH(C980,Lists!$A$2:$A$26,0))),""))</f>
        <v/>
      </c>
      <c r="M980" s="15" t="str">
        <f t="shared" si="15"/>
        <v/>
      </c>
    </row>
    <row r="981" spans="1:13" x14ac:dyDescent="0.35">
      <c r="A981" s="11"/>
      <c r="B981" s="12"/>
      <c r="C981" s="12"/>
      <c r="D981" s="12"/>
      <c r="E981" s="13"/>
      <c r="F981" s="13"/>
      <c r="G981" s="13"/>
      <c r="H981" s="13"/>
      <c r="I981" s="12"/>
      <c r="J981" s="13"/>
      <c r="K981" s="14" t="str">
        <f>IF(C981="","",IFERROR(N('Fee Settings'!$C$5)*(E981+N(F981)-N(J981))+N('Fee Settings'!$C$6)*(E981+N(F981)+N(G981))+N('Fee Settings'!$C$7)+N('Fee Settings'!$C$10)*D981+IF(I981="Yes",MIN(N('Fee Settings'!$C$8)*(E981+N(F981)),N('Fee Settings'!$C$9)),0),""))</f>
        <v/>
      </c>
      <c r="L981" s="14" t="str">
        <f>IF(C981="","",IFERROR(D981*N(INDEX(Products!$C$5:$C$29,MATCH(C981,Lists!$A$2:$A$26,0))),""))</f>
        <v/>
      </c>
      <c r="M981" s="15" t="str">
        <f t="shared" si="15"/>
        <v/>
      </c>
    </row>
    <row r="982" spans="1:13" x14ac:dyDescent="0.35">
      <c r="A982" s="11"/>
      <c r="B982" s="12"/>
      <c r="C982" s="12"/>
      <c r="D982" s="12"/>
      <c r="E982" s="13"/>
      <c r="F982" s="13"/>
      <c r="G982" s="13"/>
      <c r="H982" s="13"/>
      <c r="I982" s="12"/>
      <c r="J982" s="13"/>
      <c r="K982" s="14" t="str">
        <f>IF(C982="","",IFERROR(N('Fee Settings'!$C$5)*(E982+N(F982)-N(J982))+N('Fee Settings'!$C$6)*(E982+N(F982)+N(G982))+N('Fee Settings'!$C$7)+N('Fee Settings'!$C$10)*D982+IF(I982="Yes",MIN(N('Fee Settings'!$C$8)*(E982+N(F982)),N('Fee Settings'!$C$9)),0),""))</f>
        <v/>
      </c>
      <c r="L982" s="14" t="str">
        <f>IF(C982="","",IFERROR(D982*N(INDEX(Products!$C$5:$C$29,MATCH(C982,Lists!$A$2:$A$26,0))),""))</f>
        <v/>
      </c>
      <c r="M982" s="15" t="str">
        <f t="shared" si="15"/>
        <v/>
      </c>
    </row>
    <row r="983" spans="1:13" x14ac:dyDescent="0.35">
      <c r="A983" s="11"/>
      <c r="B983" s="12"/>
      <c r="C983" s="12"/>
      <c r="D983" s="12"/>
      <c r="E983" s="13"/>
      <c r="F983" s="13"/>
      <c r="G983" s="13"/>
      <c r="H983" s="13"/>
      <c r="I983" s="12"/>
      <c r="J983" s="13"/>
      <c r="K983" s="14" t="str">
        <f>IF(C983="","",IFERROR(N('Fee Settings'!$C$5)*(E983+N(F983)-N(J983))+N('Fee Settings'!$C$6)*(E983+N(F983)+N(G983))+N('Fee Settings'!$C$7)+N('Fee Settings'!$C$10)*D983+IF(I983="Yes",MIN(N('Fee Settings'!$C$8)*(E983+N(F983)),N('Fee Settings'!$C$9)),0),""))</f>
        <v/>
      </c>
      <c r="L983" s="14" t="str">
        <f>IF(C983="","",IFERROR(D983*N(INDEX(Products!$C$5:$C$29,MATCH(C983,Lists!$A$2:$A$26,0))),""))</f>
        <v/>
      </c>
      <c r="M983" s="15" t="str">
        <f t="shared" si="15"/>
        <v/>
      </c>
    </row>
    <row r="984" spans="1:13" x14ac:dyDescent="0.35">
      <c r="A984" s="11"/>
      <c r="B984" s="12"/>
      <c r="C984" s="12"/>
      <c r="D984" s="12"/>
      <c r="E984" s="13"/>
      <c r="F984" s="13"/>
      <c r="G984" s="13"/>
      <c r="H984" s="13"/>
      <c r="I984" s="12"/>
      <c r="J984" s="13"/>
      <c r="K984" s="14" t="str">
        <f>IF(C984="","",IFERROR(N('Fee Settings'!$C$5)*(E984+N(F984)-N(J984))+N('Fee Settings'!$C$6)*(E984+N(F984)+N(G984))+N('Fee Settings'!$C$7)+N('Fee Settings'!$C$10)*D984+IF(I984="Yes",MIN(N('Fee Settings'!$C$8)*(E984+N(F984)),N('Fee Settings'!$C$9)),0),""))</f>
        <v/>
      </c>
      <c r="L984" s="14" t="str">
        <f>IF(C984="","",IFERROR(D984*N(INDEX(Products!$C$5:$C$29,MATCH(C984,Lists!$A$2:$A$26,0))),""))</f>
        <v/>
      </c>
      <c r="M984" s="15" t="str">
        <f t="shared" si="15"/>
        <v/>
      </c>
    </row>
    <row r="985" spans="1:13" x14ac:dyDescent="0.35">
      <c r="A985" s="11"/>
      <c r="B985" s="12"/>
      <c r="C985" s="12"/>
      <c r="D985" s="12"/>
      <c r="E985" s="13"/>
      <c r="F985" s="13"/>
      <c r="G985" s="13"/>
      <c r="H985" s="13"/>
      <c r="I985" s="12"/>
      <c r="J985" s="13"/>
      <c r="K985" s="14" t="str">
        <f>IF(C985="","",IFERROR(N('Fee Settings'!$C$5)*(E985+N(F985)-N(J985))+N('Fee Settings'!$C$6)*(E985+N(F985)+N(G985))+N('Fee Settings'!$C$7)+N('Fee Settings'!$C$10)*D985+IF(I985="Yes",MIN(N('Fee Settings'!$C$8)*(E985+N(F985)),N('Fee Settings'!$C$9)),0),""))</f>
        <v/>
      </c>
      <c r="L985" s="14" t="str">
        <f>IF(C985="","",IFERROR(D985*N(INDEX(Products!$C$5:$C$29,MATCH(C985,Lists!$A$2:$A$26,0))),""))</f>
        <v/>
      </c>
      <c r="M985" s="15" t="str">
        <f t="shared" si="15"/>
        <v/>
      </c>
    </row>
    <row r="986" spans="1:13" x14ac:dyDescent="0.35">
      <c r="A986" s="11"/>
      <c r="B986" s="12"/>
      <c r="C986" s="12"/>
      <c r="D986" s="12"/>
      <c r="E986" s="13"/>
      <c r="F986" s="13"/>
      <c r="G986" s="13"/>
      <c r="H986" s="13"/>
      <c r="I986" s="12"/>
      <c r="J986" s="13"/>
      <c r="K986" s="14" t="str">
        <f>IF(C986="","",IFERROR(N('Fee Settings'!$C$5)*(E986+N(F986)-N(J986))+N('Fee Settings'!$C$6)*(E986+N(F986)+N(G986))+N('Fee Settings'!$C$7)+N('Fee Settings'!$C$10)*D986+IF(I986="Yes",MIN(N('Fee Settings'!$C$8)*(E986+N(F986)),N('Fee Settings'!$C$9)),0),""))</f>
        <v/>
      </c>
      <c r="L986" s="14" t="str">
        <f>IF(C986="","",IFERROR(D986*N(INDEX(Products!$C$5:$C$29,MATCH(C986,Lists!$A$2:$A$26,0))),""))</f>
        <v/>
      </c>
      <c r="M986" s="15" t="str">
        <f t="shared" si="15"/>
        <v/>
      </c>
    </row>
    <row r="987" spans="1:13" x14ac:dyDescent="0.35">
      <c r="A987" s="11"/>
      <c r="B987" s="12"/>
      <c r="C987" s="12"/>
      <c r="D987" s="12"/>
      <c r="E987" s="13"/>
      <c r="F987" s="13"/>
      <c r="G987" s="13"/>
      <c r="H987" s="13"/>
      <c r="I987" s="12"/>
      <c r="J987" s="13"/>
      <c r="K987" s="14" t="str">
        <f>IF(C987="","",IFERROR(N('Fee Settings'!$C$5)*(E987+N(F987)-N(J987))+N('Fee Settings'!$C$6)*(E987+N(F987)+N(G987))+N('Fee Settings'!$C$7)+N('Fee Settings'!$C$10)*D987+IF(I987="Yes",MIN(N('Fee Settings'!$C$8)*(E987+N(F987)),N('Fee Settings'!$C$9)),0),""))</f>
        <v/>
      </c>
      <c r="L987" s="14" t="str">
        <f>IF(C987="","",IFERROR(D987*N(INDEX(Products!$C$5:$C$29,MATCH(C987,Lists!$A$2:$A$26,0))),""))</f>
        <v/>
      </c>
      <c r="M987" s="15" t="str">
        <f t="shared" si="15"/>
        <v/>
      </c>
    </row>
    <row r="988" spans="1:13" x14ac:dyDescent="0.35">
      <c r="A988" s="11"/>
      <c r="B988" s="12"/>
      <c r="C988" s="12"/>
      <c r="D988" s="12"/>
      <c r="E988" s="13"/>
      <c r="F988" s="13"/>
      <c r="G988" s="13"/>
      <c r="H988" s="13"/>
      <c r="I988" s="12"/>
      <c r="J988" s="13"/>
      <c r="K988" s="14" t="str">
        <f>IF(C988="","",IFERROR(N('Fee Settings'!$C$5)*(E988+N(F988)-N(J988))+N('Fee Settings'!$C$6)*(E988+N(F988)+N(G988))+N('Fee Settings'!$C$7)+N('Fee Settings'!$C$10)*D988+IF(I988="Yes",MIN(N('Fee Settings'!$C$8)*(E988+N(F988)),N('Fee Settings'!$C$9)),0),""))</f>
        <v/>
      </c>
      <c r="L988" s="14" t="str">
        <f>IF(C988="","",IFERROR(D988*N(INDEX(Products!$C$5:$C$29,MATCH(C988,Lists!$A$2:$A$26,0))),""))</f>
        <v/>
      </c>
      <c r="M988" s="15" t="str">
        <f t="shared" si="15"/>
        <v/>
      </c>
    </row>
    <row r="989" spans="1:13" x14ac:dyDescent="0.35">
      <c r="A989" s="11"/>
      <c r="B989" s="12"/>
      <c r="C989" s="12"/>
      <c r="D989" s="12"/>
      <c r="E989" s="13"/>
      <c r="F989" s="13"/>
      <c r="G989" s="13"/>
      <c r="H989" s="13"/>
      <c r="I989" s="12"/>
      <c r="J989" s="13"/>
      <c r="K989" s="14" t="str">
        <f>IF(C989="","",IFERROR(N('Fee Settings'!$C$5)*(E989+N(F989)-N(J989))+N('Fee Settings'!$C$6)*(E989+N(F989)+N(G989))+N('Fee Settings'!$C$7)+N('Fee Settings'!$C$10)*D989+IF(I989="Yes",MIN(N('Fee Settings'!$C$8)*(E989+N(F989)),N('Fee Settings'!$C$9)),0),""))</f>
        <v/>
      </c>
      <c r="L989" s="14" t="str">
        <f>IF(C989="","",IFERROR(D989*N(INDEX(Products!$C$5:$C$29,MATCH(C989,Lists!$A$2:$A$26,0))),""))</f>
        <v/>
      </c>
      <c r="M989" s="15" t="str">
        <f t="shared" si="15"/>
        <v/>
      </c>
    </row>
    <row r="990" spans="1:13" x14ac:dyDescent="0.35">
      <c r="A990" s="11"/>
      <c r="B990" s="12"/>
      <c r="C990" s="12"/>
      <c r="D990" s="12"/>
      <c r="E990" s="13"/>
      <c r="F990" s="13"/>
      <c r="G990" s="13"/>
      <c r="H990" s="13"/>
      <c r="I990" s="12"/>
      <c r="J990" s="13"/>
      <c r="K990" s="14" t="str">
        <f>IF(C990="","",IFERROR(N('Fee Settings'!$C$5)*(E990+N(F990)-N(J990))+N('Fee Settings'!$C$6)*(E990+N(F990)+N(G990))+N('Fee Settings'!$C$7)+N('Fee Settings'!$C$10)*D990+IF(I990="Yes",MIN(N('Fee Settings'!$C$8)*(E990+N(F990)),N('Fee Settings'!$C$9)),0),""))</f>
        <v/>
      </c>
      <c r="L990" s="14" t="str">
        <f>IF(C990="","",IFERROR(D990*N(INDEX(Products!$C$5:$C$29,MATCH(C990,Lists!$A$2:$A$26,0))),""))</f>
        <v/>
      </c>
      <c r="M990" s="15" t="str">
        <f t="shared" si="15"/>
        <v/>
      </c>
    </row>
    <row r="991" spans="1:13" x14ac:dyDescent="0.35">
      <c r="A991" s="11"/>
      <c r="B991" s="12"/>
      <c r="C991" s="12"/>
      <c r="D991" s="12"/>
      <c r="E991" s="13"/>
      <c r="F991" s="13"/>
      <c r="G991" s="13"/>
      <c r="H991" s="13"/>
      <c r="I991" s="12"/>
      <c r="J991" s="13"/>
      <c r="K991" s="14" t="str">
        <f>IF(C991="","",IFERROR(N('Fee Settings'!$C$5)*(E991+N(F991)-N(J991))+N('Fee Settings'!$C$6)*(E991+N(F991)+N(G991))+N('Fee Settings'!$C$7)+N('Fee Settings'!$C$10)*D991+IF(I991="Yes",MIN(N('Fee Settings'!$C$8)*(E991+N(F991)),N('Fee Settings'!$C$9)),0),""))</f>
        <v/>
      </c>
      <c r="L991" s="14" t="str">
        <f>IF(C991="","",IFERROR(D991*N(INDEX(Products!$C$5:$C$29,MATCH(C991,Lists!$A$2:$A$26,0))),""))</f>
        <v/>
      </c>
      <c r="M991" s="15" t="str">
        <f t="shared" si="15"/>
        <v/>
      </c>
    </row>
    <row r="992" spans="1:13" x14ac:dyDescent="0.35">
      <c r="A992" s="11"/>
      <c r="B992" s="12"/>
      <c r="C992" s="12"/>
      <c r="D992" s="12"/>
      <c r="E992" s="13"/>
      <c r="F992" s="13"/>
      <c r="G992" s="13"/>
      <c r="H992" s="13"/>
      <c r="I992" s="12"/>
      <c r="J992" s="13"/>
      <c r="K992" s="14" t="str">
        <f>IF(C992="","",IFERROR(N('Fee Settings'!$C$5)*(E992+N(F992)-N(J992))+N('Fee Settings'!$C$6)*(E992+N(F992)+N(G992))+N('Fee Settings'!$C$7)+N('Fee Settings'!$C$10)*D992+IF(I992="Yes",MIN(N('Fee Settings'!$C$8)*(E992+N(F992)),N('Fee Settings'!$C$9)),0),""))</f>
        <v/>
      </c>
      <c r="L992" s="14" t="str">
        <f>IF(C992="","",IFERROR(D992*N(INDEX(Products!$C$5:$C$29,MATCH(C992,Lists!$A$2:$A$26,0))),""))</f>
        <v/>
      </c>
      <c r="M992" s="15" t="str">
        <f t="shared" si="15"/>
        <v/>
      </c>
    </row>
    <row r="993" spans="1:13" x14ac:dyDescent="0.35">
      <c r="A993" s="11"/>
      <c r="B993" s="12"/>
      <c r="C993" s="12"/>
      <c r="D993" s="12"/>
      <c r="E993" s="13"/>
      <c r="F993" s="13"/>
      <c r="G993" s="13"/>
      <c r="H993" s="13"/>
      <c r="I993" s="12"/>
      <c r="J993" s="13"/>
      <c r="K993" s="14" t="str">
        <f>IF(C993="","",IFERROR(N('Fee Settings'!$C$5)*(E993+N(F993)-N(J993))+N('Fee Settings'!$C$6)*(E993+N(F993)+N(G993))+N('Fee Settings'!$C$7)+N('Fee Settings'!$C$10)*D993+IF(I993="Yes",MIN(N('Fee Settings'!$C$8)*(E993+N(F993)),N('Fee Settings'!$C$9)),0),""))</f>
        <v/>
      </c>
      <c r="L993" s="14" t="str">
        <f>IF(C993="","",IFERROR(D993*N(INDEX(Products!$C$5:$C$29,MATCH(C993,Lists!$A$2:$A$26,0))),""))</f>
        <v/>
      </c>
      <c r="M993" s="15" t="str">
        <f t="shared" si="15"/>
        <v/>
      </c>
    </row>
    <row r="994" spans="1:13" x14ac:dyDescent="0.35">
      <c r="A994" s="11"/>
      <c r="B994" s="12"/>
      <c r="C994" s="12"/>
      <c r="D994" s="12"/>
      <c r="E994" s="13"/>
      <c r="F994" s="13"/>
      <c r="G994" s="13"/>
      <c r="H994" s="13"/>
      <c r="I994" s="12"/>
      <c r="J994" s="13"/>
      <c r="K994" s="14" t="str">
        <f>IF(C994="","",IFERROR(N('Fee Settings'!$C$5)*(E994+N(F994)-N(J994))+N('Fee Settings'!$C$6)*(E994+N(F994)+N(G994))+N('Fee Settings'!$C$7)+N('Fee Settings'!$C$10)*D994+IF(I994="Yes",MIN(N('Fee Settings'!$C$8)*(E994+N(F994)),N('Fee Settings'!$C$9)),0),""))</f>
        <v/>
      </c>
      <c r="L994" s="14" t="str">
        <f>IF(C994="","",IFERROR(D994*N(INDEX(Products!$C$5:$C$29,MATCH(C994,Lists!$A$2:$A$26,0))),""))</f>
        <v/>
      </c>
      <c r="M994" s="15" t="str">
        <f t="shared" si="15"/>
        <v/>
      </c>
    </row>
    <row r="995" spans="1:13" x14ac:dyDescent="0.35">
      <c r="A995" s="11"/>
      <c r="B995" s="12"/>
      <c r="C995" s="12"/>
      <c r="D995" s="12"/>
      <c r="E995" s="13"/>
      <c r="F995" s="13"/>
      <c r="G995" s="13"/>
      <c r="H995" s="13"/>
      <c r="I995" s="12"/>
      <c r="J995" s="13"/>
      <c r="K995" s="14" t="str">
        <f>IF(C995="","",IFERROR(N('Fee Settings'!$C$5)*(E995+N(F995)-N(J995))+N('Fee Settings'!$C$6)*(E995+N(F995)+N(G995))+N('Fee Settings'!$C$7)+N('Fee Settings'!$C$10)*D995+IF(I995="Yes",MIN(N('Fee Settings'!$C$8)*(E995+N(F995)),N('Fee Settings'!$C$9)),0),""))</f>
        <v/>
      </c>
      <c r="L995" s="14" t="str">
        <f>IF(C995="","",IFERROR(D995*N(INDEX(Products!$C$5:$C$29,MATCH(C995,Lists!$A$2:$A$26,0))),""))</f>
        <v/>
      </c>
      <c r="M995" s="15" t="str">
        <f t="shared" si="15"/>
        <v/>
      </c>
    </row>
    <row r="996" spans="1:13" x14ac:dyDescent="0.35">
      <c r="A996" s="11"/>
      <c r="B996" s="12"/>
      <c r="C996" s="12"/>
      <c r="D996" s="12"/>
      <c r="E996" s="13"/>
      <c r="F996" s="13"/>
      <c r="G996" s="13"/>
      <c r="H996" s="13"/>
      <c r="I996" s="12"/>
      <c r="J996" s="13"/>
      <c r="K996" s="14" t="str">
        <f>IF(C996="","",IFERROR(N('Fee Settings'!$C$5)*(E996+N(F996)-N(J996))+N('Fee Settings'!$C$6)*(E996+N(F996)+N(G996))+N('Fee Settings'!$C$7)+N('Fee Settings'!$C$10)*D996+IF(I996="Yes",MIN(N('Fee Settings'!$C$8)*(E996+N(F996)),N('Fee Settings'!$C$9)),0),""))</f>
        <v/>
      </c>
      <c r="L996" s="14" t="str">
        <f>IF(C996="","",IFERROR(D996*N(INDEX(Products!$C$5:$C$29,MATCH(C996,Lists!$A$2:$A$26,0))),""))</f>
        <v/>
      </c>
      <c r="M996" s="15" t="str">
        <f t="shared" si="15"/>
        <v/>
      </c>
    </row>
    <row r="997" spans="1:13" x14ac:dyDescent="0.35">
      <c r="A997" s="11"/>
      <c r="B997" s="12"/>
      <c r="C997" s="12"/>
      <c r="D997" s="12"/>
      <c r="E997" s="13"/>
      <c r="F997" s="13"/>
      <c r="G997" s="13"/>
      <c r="H997" s="13"/>
      <c r="I997" s="12"/>
      <c r="J997" s="13"/>
      <c r="K997" s="14" t="str">
        <f>IF(C997="","",IFERROR(N('Fee Settings'!$C$5)*(E997+N(F997)-N(J997))+N('Fee Settings'!$C$6)*(E997+N(F997)+N(G997))+N('Fee Settings'!$C$7)+N('Fee Settings'!$C$10)*D997+IF(I997="Yes",MIN(N('Fee Settings'!$C$8)*(E997+N(F997)),N('Fee Settings'!$C$9)),0),""))</f>
        <v/>
      </c>
      <c r="L997" s="14" t="str">
        <f>IF(C997="","",IFERROR(D997*N(INDEX(Products!$C$5:$C$29,MATCH(C997,Lists!$A$2:$A$26,0))),""))</f>
        <v/>
      </c>
      <c r="M997" s="15" t="str">
        <f t="shared" si="15"/>
        <v/>
      </c>
    </row>
    <row r="998" spans="1:13" x14ac:dyDescent="0.35">
      <c r="A998" s="11"/>
      <c r="B998" s="12"/>
      <c r="C998" s="12"/>
      <c r="D998" s="12"/>
      <c r="E998" s="13"/>
      <c r="F998" s="13"/>
      <c r="G998" s="13"/>
      <c r="H998" s="13"/>
      <c r="I998" s="12"/>
      <c r="J998" s="13"/>
      <c r="K998" s="14" t="str">
        <f>IF(C998="","",IFERROR(N('Fee Settings'!$C$5)*(E998+N(F998)-N(J998))+N('Fee Settings'!$C$6)*(E998+N(F998)+N(G998))+N('Fee Settings'!$C$7)+N('Fee Settings'!$C$10)*D998+IF(I998="Yes",MIN(N('Fee Settings'!$C$8)*(E998+N(F998)),N('Fee Settings'!$C$9)),0),""))</f>
        <v/>
      </c>
      <c r="L998" s="14" t="str">
        <f>IF(C998="","",IFERROR(D998*N(INDEX(Products!$C$5:$C$29,MATCH(C998,Lists!$A$2:$A$26,0))),""))</f>
        <v/>
      </c>
      <c r="M998" s="15" t="str">
        <f t="shared" si="15"/>
        <v/>
      </c>
    </row>
    <row r="999" spans="1:13" x14ac:dyDescent="0.35">
      <c r="A999" s="11"/>
      <c r="B999" s="12"/>
      <c r="C999" s="12"/>
      <c r="D999" s="12"/>
      <c r="E999" s="13"/>
      <c r="F999" s="13"/>
      <c r="G999" s="13"/>
      <c r="H999" s="13"/>
      <c r="I999" s="12"/>
      <c r="J999" s="13"/>
      <c r="K999" s="14" t="str">
        <f>IF(C999="","",IFERROR(N('Fee Settings'!$C$5)*(E999+N(F999)-N(J999))+N('Fee Settings'!$C$6)*(E999+N(F999)+N(G999))+N('Fee Settings'!$C$7)+N('Fee Settings'!$C$10)*D999+IF(I999="Yes",MIN(N('Fee Settings'!$C$8)*(E999+N(F999)),N('Fee Settings'!$C$9)),0),""))</f>
        <v/>
      </c>
      <c r="L999" s="14" t="str">
        <f>IF(C999="","",IFERROR(D999*N(INDEX(Products!$C$5:$C$29,MATCH(C999,Lists!$A$2:$A$26,0))),""))</f>
        <v/>
      </c>
      <c r="M999" s="15" t="str">
        <f t="shared" si="15"/>
        <v/>
      </c>
    </row>
    <row r="1000" spans="1:13" x14ac:dyDescent="0.35">
      <c r="A1000" s="11"/>
      <c r="B1000" s="12"/>
      <c r="C1000" s="12"/>
      <c r="D1000" s="12"/>
      <c r="E1000" s="13"/>
      <c r="F1000" s="13"/>
      <c r="G1000" s="13"/>
      <c r="H1000" s="13"/>
      <c r="I1000" s="12"/>
      <c r="J1000" s="13"/>
      <c r="K1000" s="14" t="str">
        <f>IF(C1000="","",IFERROR(N('Fee Settings'!$C$5)*(E1000+N(F1000)-N(J1000))+N('Fee Settings'!$C$6)*(E1000+N(F1000)+N(G1000))+N('Fee Settings'!$C$7)+N('Fee Settings'!$C$10)*D1000+IF(I1000="Yes",MIN(N('Fee Settings'!$C$8)*(E1000+N(F1000)),N('Fee Settings'!$C$9)),0),""))</f>
        <v/>
      </c>
      <c r="L1000" s="14" t="str">
        <f>IF(C1000="","",IFERROR(D1000*N(INDEX(Products!$C$5:$C$29,MATCH(C1000,Lists!$A$2:$A$26,0))),""))</f>
        <v/>
      </c>
      <c r="M1000" s="15" t="str">
        <f t="shared" si="15"/>
        <v/>
      </c>
    </row>
    <row r="1001" spans="1:13" x14ac:dyDescent="0.35">
      <c r="A1001" s="11"/>
      <c r="B1001" s="12"/>
      <c r="C1001" s="12"/>
      <c r="D1001" s="12"/>
      <c r="E1001" s="13"/>
      <c r="F1001" s="13"/>
      <c r="G1001" s="13"/>
      <c r="H1001" s="13"/>
      <c r="I1001" s="12"/>
      <c r="J1001" s="13"/>
      <c r="K1001" s="14" t="str">
        <f>IF(C1001="","",IFERROR(N('Fee Settings'!$C$5)*(E1001+N(F1001)-N(J1001))+N('Fee Settings'!$C$6)*(E1001+N(F1001)+N(G1001))+N('Fee Settings'!$C$7)+N('Fee Settings'!$C$10)*D1001+IF(I1001="Yes",MIN(N('Fee Settings'!$C$8)*(E1001+N(F1001)),N('Fee Settings'!$C$9)),0),""))</f>
        <v/>
      </c>
      <c r="L1001" s="14" t="str">
        <f>IF(C1001="","",IFERROR(D1001*N(INDEX(Products!$C$5:$C$29,MATCH(C1001,Lists!$A$2:$A$26,0))),""))</f>
        <v/>
      </c>
      <c r="M1001" s="15" t="str">
        <f t="shared" si="15"/>
        <v/>
      </c>
    </row>
    <row r="1002" spans="1:13" x14ac:dyDescent="0.35">
      <c r="A1002" s="11"/>
      <c r="B1002" s="12"/>
      <c r="C1002" s="12"/>
      <c r="D1002" s="12"/>
      <c r="E1002" s="13"/>
      <c r="F1002" s="13"/>
      <c r="G1002" s="13"/>
      <c r="H1002" s="13"/>
      <c r="I1002" s="12"/>
      <c r="J1002" s="13"/>
      <c r="K1002" s="14" t="str">
        <f>IF(C1002="","",IFERROR(N('Fee Settings'!$C$5)*(E1002+N(F1002)-N(J1002))+N('Fee Settings'!$C$6)*(E1002+N(F1002)+N(G1002))+N('Fee Settings'!$C$7)+N('Fee Settings'!$C$10)*D1002+IF(I1002="Yes",MIN(N('Fee Settings'!$C$8)*(E1002+N(F1002)),N('Fee Settings'!$C$9)),0),""))</f>
        <v/>
      </c>
      <c r="L1002" s="14" t="str">
        <f>IF(C1002="","",IFERROR(D1002*N(INDEX(Products!$C$5:$C$29,MATCH(C1002,Lists!$A$2:$A$26,0))),""))</f>
        <v/>
      </c>
      <c r="M1002" s="15" t="str">
        <f t="shared" si="15"/>
        <v/>
      </c>
    </row>
    <row r="1003" spans="1:13" x14ac:dyDescent="0.35">
      <c r="A1003" s="11"/>
      <c r="B1003" s="12"/>
      <c r="C1003" s="12"/>
      <c r="D1003" s="12"/>
      <c r="E1003" s="13"/>
      <c r="F1003" s="13"/>
      <c r="G1003" s="13"/>
      <c r="H1003" s="13"/>
      <c r="I1003" s="12"/>
      <c r="J1003" s="13"/>
      <c r="K1003" s="14" t="str">
        <f>IF(C1003="","",IFERROR(N('Fee Settings'!$C$5)*(E1003+N(F1003)-N(J1003))+N('Fee Settings'!$C$6)*(E1003+N(F1003)+N(G1003))+N('Fee Settings'!$C$7)+N('Fee Settings'!$C$10)*D1003+IF(I1003="Yes",MIN(N('Fee Settings'!$C$8)*(E1003+N(F1003)),N('Fee Settings'!$C$9)),0),""))</f>
        <v/>
      </c>
      <c r="L1003" s="14" t="str">
        <f>IF(C1003="","",IFERROR(D1003*N(INDEX(Products!$C$5:$C$29,MATCH(C1003,Lists!$A$2:$A$26,0))),""))</f>
        <v/>
      </c>
      <c r="M1003" s="15" t="str">
        <f t="shared" si="15"/>
        <v/>
      </c>
    </row>
    <row r="1004" spans="1:13" x14ac:dyDescent="0.35">
      <c r="A1004" s="11"/>
      <c r="B1004" s="12"/>
      <c r="C1004" s="12"/>
      <c r="D1004" s="12"/>
      <c r="E1004" s="13"/>
      <c r="F1004" s="13"/>
      <c r="G1004" s="13"/>
      <c r="H1004" s="13"/>
      <c r="I1004" s="12"/>
      <c r="J1004" s="13"/>
      <c r="K1004" s="14" t="str">
        <f>IF(C1004="","",IFERROR(N('Fee Settings'!$C$5)*(E1004+N(F1004)-N(J1004))+N('Fee Settings'!$C$6)*(E1004+N(F1004)+N(G1004))+N('Fee Settings'!$C$7)+N('Fee Settings'!$C$10)*D1004+IF(I1004="Yes",MIN(N('Fee Settings'!$C$8)*(E1004+N(F1004)),N('Fee Settings'!$C$9)),0),""))</f>
        <v/>
      </c>
      <c r="L1004" s="14" t="str">
        <f>IF(C1004="","",IFERROR(D1004*N(INDEX(Products!$C$5:$C$29,MATCH(C1004,Lists!$A$2:$A$26,0))),""))</f>
        <v/>
      </c>
      <c r="M1004" s="15" t="str">
        <f t="shared" si="15"/>
        <v/>
      </c>
    </row>
    <row r="1005" spans="1:13" x14ac:dyDescent="0.35">
      <c r="A1005" s="11"/>
      <c r="B1005" s="12"/>
      <c r="C1005" s="12"/>
      <c r="D1005" s="12"/>
      <c r="E1005" s="13"/>
      <c r="F1005" s="13"/>
      <c r="G1005" s="13"/>
      <c r="H1005" s="13"/>
      <c r="I1005" s="12"/>
      <c r="J1005" s="13"/>
      <c r="K1005" s="14" t="str">
        <f>IF(C1005="","",IFERROR(N('Fee Settings'!$C$5)*(E1005+N(F1005)-N(J1005))+N('Fee Settings'!$C$6)*(E1005+N(F1005)+N(G1005))+N('Fee Settings'!$C$7)+N('Fee Settings'!$C$10)*D1005+IF(I1005="Yes",MIN(N('Fee Settings'!$C$8)*(E1005+N(F1005)),N('Fee Settings'!$C$9)),0),""))</f>
        <v/>
      </c>
      <c r="L1005" s="14" t="str">
        <f>IF(C1005="","",IFERROR(D1005*N(INDEX(Products!$C$5:$C$29,MATCH(C1005,Lists!$A$2:$A$26,0))),""))</f>
        <v/>
      </c>
      <c r="M1005" s="15" t="str">
        <f t="shared" si="15"/>
        <v/>
      </c>
    </row>
    <row r="1006" spans="1:13" x14ac:dyDescent="0.35">
      <c r="A1006" s="11"/>
      <c r="B1006" s="12"/>
      <c r="C1006" s="12"/>
      <c r="D1006" s="12"/>
      <c r="E1006" s="13"/>
      <c r="F1006" s="13"/>
      <c r="G1006" s="13"/>
      <c r="H1006" s="13"/>
      <c r="I1006" s="12"/>
      <c r="J1006" s="13"/>
      <c r="K1006" s="14" t="str">
        <f>IF(C1006="","",IFERROR(N('Fee Settings'!$C$5)*(E1006+N(F1006)-N(J1006))+N('Fee Settings'!$C$6)*(E1006+N(F1006)+N(G1006))+N('Fee Settings'!$C$7)+N('Fee Settings'!$C$10)*D1006+IF(I1006="Yes",MIN(N('Fee Settings'!$C$8)*(E1006+N(F1006)),N('Fee Settings'!$C$9)),0),""))</f>
        <v/>
      </c>
      <c r="L1006" s="14" t="str">
        <f>IF(C1006="","",IFERROR(D1006*N(INDEX(Products!$C$5:$C$29,MATCH(C1006,Lists!$A$2:$A$26,0))),""))</f>
        <v/>
      </c>
      <c r="M1006" s="15" t="str">
        <f t="shared" si="15"/>
        <v/>
      </c>
    </row>
    <row r="1007" spans="1:13" x14ac:dyDescent="0.35">
      <c r="A1007" s="11"/>
      <c r="B1007" s="12"/>
      <c r="C1007" s="12"/>
      <c r="D1007" s="12"/>
      <c r="E1007" s="13"/>
      <c r="F1007" s="13"/>
      <c r="G1007" s="13"/>
      <c r="H1007" s="13"/>
      <c r="I1007" s="12"/>
      <c r="J1007" s="13"/>
      <c r="K1007" s="14" t="str">
        <f>IF(C1007="","",IFERROR(N('Fee Settings'!$C$5)*(E1007+N(F1007)-N(J1007))+N('Fee Settings'!$C$6)*(E1007+N(F1007)+N(G1007))+N('Fee Settings'!$C$7)+N('Fee Settings'!$C$10)*D1007+IF(I1007="Yes",MIN(N('Fee Settings'!$C$8)*(E1007+N(F1007)),N('Fee Settings'!$C$9)),0),""))</f>
        <v/>
      </c>
      <c r="L1007" s="14" t="str">
        <f>IF(C1007="","",IFERROR(D1007*N(INDEX(Products!$C$5:$C$29,MATCH(C1007,Lists!$A$2:$A$26,0))),""))</f>
        <v/>
      </c>
      <c r="M1007" s="15" t="str">
        <f t="shared" si="15"/>
        <v/>
      </c>
    </row>
    <row r="1008" spans="1:13" x14ac:dyDescent="0.35">
      <c r="A1008" s="11"/>
      <c r="B1008" s="12"/>
      <c r="C1008" s="12"/>
      <c r="D1008" s="12"/>
      <c r="E1008" s="13"/>
      <c r="F1008" s="13"/>
      <c r="G1008" s="13"/>
      <c r="H1008" s="13"/>
      <c r="I1008" s="12"/>
      <c r="J1008" s="13"/>
      <c r="K1008" s="14" t="str">
        <f>IF(C1008="","",IFERROR(N('Fee Settings'!$C$5)*(E1008+N(F1008)-N(J1008))+N('Fee Settings'!$C$6)*(E1008+N(F1008)+N(G1008))+N('Fee Settings'!$C$7)+N('Fee Settings'!$C$10)*D1008+IF(I1008="Yes",MIN(N('Fee Settings'!$C$8)*(E1008+N(F1008)),N('Fee Settings'!$C$9)),0),""))</f>
        <v/>
      </c>
      <c r="L1008" s="14" t="str">
        <f>IF(C1008="","",IFERROR(D1008*N(INDEX(Products!$C$5:$C$29,MATCH(C1008,Lists!$A$2:$A$26,0))),""))</f>
        <v/>
      </c>
      <c r="M1008" s="15" t="str">
        <f t="shared" si="15"/>
        <v/>
      </c>
    </row>
    <row r="1009" spans="1:13" x14ac:dyDescent="0.35">
      <c r="A1009" s="11"/>
      <c r="B1009" s="12"/>
      <c r="C1009" s="12"/>
      <c r="D1009" s="12"/>
      <c r="E1009" s="13"/>
      <c r="F1009" s="13"/>
      <c r="G1009" s="13"/>
      <c r="H1009" s="13"/>
      <c r="I1009" s="12"/>
      <c r="J1009" s="13"/>
      <c r="K1009" s="14" t="str">
        <f>IF(C1009="","",IFERROR(N('Fee Settings'!$C$5)*(E1009+N(F1009)-N(J1009))+N('Fee Settings'!$C$6)*(E1009+N(F1009)+N(G1009))+N('Fee Settings'!$C$7)+N('Fee Settings'!$C$10)*D1009+IF(I1009="Yes",MIN(N('Fee Settings'!$C$8)*(E1009+N(F1009)),N('Fee Settings'!$C$9)),0),""))</f>
        <v/>
      </c>
      <c r="L1009" s="14" t="str">
        <f>IF(C1009="","",IFERROR(D1009*N(INDEX(Products!$C$5:$C$29,MATCH(C1009,Lists!$A$2:$A$26,0))),""))</f>
        <v/>
      </c>
      <c r="M1009" s="15" t="str">
        <f t="shared" si="15"/>
        <v/>
      </c>
    </row>
    <row r="1010" spans="1:13" x14ac:dyDescent="0.35">
      <c r="A1010" s="11"/>
      <c r="B1010" s="12"/>
      <c r="C1010" s="12"/>
      <c r="D1010" s="12"/>
      <c r="E1010" s="13"/>
      <c r="F1010" s="13"/>
      <c r="G1010" s="13"/>
      <c r="H1010" s="13"/>
      <c r="I1010" s="12"/>
      <c r="J1010" s="13"/>
      <c r="K1010" s="14" t="str">
        <f>IF(C1010="","",IFERROR(N('Fee Settings'!$C$5)*(E1010+N(F1010)-N(J1010))+N('Fee Settings'!$C$6)*(E1010+N(F1010)+N(G1010))+N('Fee Settings'!$C$7)+N('Fee Settings'!$C$10)*D1010+IF(I1010="Yes",MIN(N('Fee Settings'!$C$8)*(E1010+N(F1010)),N('Fee Settings'!$C$9)),0),""))</f>
        <v/>
      </c>
      <c r="L1010" s="14" t="str">
        <f>IF(C1010="","",IFERROR(D1010*N(INDEX(Products!$C$5:$C$29,MATCH(C1010,Lists!$A$2:$A$26,0))),""))</f>
        <v/>
      </c>
      <c r="M1010" s="15" t="str">
        <f t="shared" si="15"/>
        <v/>
      </c>
    </row>
    <row r="1011" spans="1:13" x14ac:dyDescent="0.35">
      <c r="A1011" s="11"/>
      <c r="B1011" s="12"/>
      <c r="C1011" s="12"/>
      <c r="D1011" s="12"/>
      <c r="E1011" s="13"/>
      <c r="F1011" s="13"/>
      <c r="G1011" s="13"/>
      <c r="H1011" s="13"/>
      <c r="I1011" s="12"/>
      <c r="J1011" s="13"/>
      <c r="K1011" s="14" t="str">
        <f>IF(C1011="","",IFERROR(N('Fee Settings'!$C$5)*(E1011+N(F1011)-N(J1011))+N('Fee Settings'!$C$6)*(E1011+N(F1011)+N(G1011))+N('Fee Settings'!$C$7)+N('Fee Settings'!$C$10)*D1011+IF(I1011="Yes",MIN(N('Fee Settings'!$C$8)*(E1011+N(F1011)),N('Fee Settings'!$C$9)),0),""))</f>
        <v/>
      </c>
      <c r="L1011" s="14" t="str">
        <f>IF(C1011="","",IFERROR(D1011*N(INDEX(Products!$C$5:$C$29,MATCH(C1011,Lists!$A$2:$A$26,0))),""))</f>
        <v/>
      </c>
      <c r="M1011" s="15" t="str">
        <f t="shared" si="15"/>
        <v/>
      </c>
    </row>
    <row r="1012" spans="1:13" x14ac:dyDescent="0.35">
      <c r="A1012" s="11"/>
      <c r="B1012" s="12"/>
      <c r="C1012" s="12"/>
      <c r="D1012" s="12"/>
      <c r="E1012" s="13"/>
      <c r="F1012" s="13"/>
      <c r="G1012" s="13"/>
      <c r="H1012" s="13"/>
      <c r="I1012" s="12"/>
      <c r="J1012" s="13"/>
      <c r="K1012" s="14" t="str">
        <f>IF(C1012="","",IFERROR(N('Fee Settings'!$C$5)*(E1012+N(F1012)-N(J1012))+N('Fee Settings'!$C$6)*(E1012+N(F1012)+N(G1012))+N('Fee Settings'!$C$7)+N('Fee Settings'!$C$10)*D1012+IF(I1012="Yes",MIN(N('Fee Settings'!$C$8)*(E1012+N(F1012)),N('Fee Settings'!$C$9)),0),""))</f>
        <v/>
      </c>
      <c r="L1012" s="14" t="str">
        <f>IF(C1012="","",IFERROR(D1012*N(INDEX(Products!$C$5:$C$29,MATCH(C1012,Lists!$A$2:$A$26,0))),""))</f>
        <v/>
      </c>
      <c r="M1012" s="15" t="str">
        <f t="shared" si="15"/>
        <v/>
      </c>
    </row>
    <row r="1013" spans="1:13" x14ac:dyDescent="0.35">
      <c r="A1013" s="11"/>
      <c r="B1013" s="12"/>
      <c r="C1013" s="12"/>
      <c r="D1013" s="12"/>
      <c r="E1013" s="13"/>
      <c r="F1013" s="13"/>
      <c r="G1013" s="13"/>
      <c r="H1013" s="13"/>
      <c r="I1013" s="12"/>
      <c r="J1013" s="13"/>
      <c r="K1013" s="14" t="str">
        <f>IF(C1013="","",IFERROR(N('Fee Settings'!$C$5)*(E1013+N(F1013)-N(J1013))+N('Fee Settings'!$C$6)*(E1013+N(F1013)+N(G1013))+N('Fee Settings'!$C$7)+N('Fee Settings'!$C$10)*D1013+IF(I1013="Yes",MIN(N('Fee Settings'!$C$8)*(E1013+N(F1013)),N('Fee Settings'!$C$9)),0),""))</f>
        <v/>
      </c>
      <c r="L1013" s="14" t="str">
        <f>IF(C1013="","",IFERROR(D1013*N(INDEX(Products!$C$5:$C$29,MATCH(C1013,Lists!$A$2:$A$26,0))),""))</f>
        <v/>
      </c>
      <c r="M1013" s="15" t="str">
        <f t="shared" si="15"/>
        <v/>
      </c>
    </row>
    <row r="1014" spans="1:13" x14ac:dyDescent="0.35">
      <c r="A1014" s="11"/>
      <c r="B1014" s="12"/>
      <c r="C1014" s="12"/>
      <c r="D1014" s="12"/>
      <c r="E1014" s="13"/>
      <c r="F1014" s="13"/>
      <c r="G1014" s="13"/>
      <c r="H1014" s="13"/>
      <c r="I1014" s="12"/>
      <c r="J1014" s="13"/>
      <c r="K1014" s="14" t="str">
        <f>IF(C1014="","",IFERROR(N('Fee Settings'!$C$5)*(E1014+N(F1014)-N(J1014))+N('Fee Settings'!$C$6)*(E1014+N(F1014)+N(G1014))+N('Fee Settings'!$C$7)+N('Fee Settings'!$C$10)*D1014+IF(I1014="Yes",MIN(N('Fee Settings'!$C$8)*(E1014+N(F1014)),N('Fee Settings'!$C$9)),0),""))</f>
        <v/>
      </c>
      <c r="L1014" s="14" t="str">
        <f>IF(C1014="","",IFERROR(D1014*N(INDEX(Products!$C$5:$C$29,MATCH(C1014,Lists!$A$2:$A$26,0))),""))</f>
        <v/>
      </c>
      <c r="M1014" s="15" t="str">
        <f t="shared" si="15"/>
        <v/>
      </c>
    </row>
    <row r="1015" spans="1:13" x14ac:dyDescent="0.35">
      <c r="A1015" s="11"/>
      <c r="B1015" s="12"/>
      <c r="C1015" s="12"/>
      <c r="D1015" s="12"/>
      <c r="E1015" s="13"/>
      <c r="F1015" s="13"/>
      <c r="G1015" s="13"/>
      <c r="H1015" s="13"/>
      <c r="I1015" s="12"/>
      <c r="J1015" s="13"/>
      <c r="K1015" s="14" t="str">
        <f>IF(C1015="","",IFERROR(N('Fee Settings'!$C$5)*(E1015+N(F1015)-N(J1015))+N('Fee Settings'!$C$6)*(E1015+N(F1015)+N(G1015))+N('Fee Settings'!$C$7)+N('Fee Settings'!$C$10)*D1015+IF(I1015="Yes",MIN(N('Fee Settings'!$C$8)*(E1015+N(F1015)),N('Fee Settings'!$C$9)),0),""))</f>
        <v/>
      </c>
      <c r="L1015" s="14" t="str">
        <f>IF(C1015="","",IFERROR(D1015*N(INDEX(Products!$C$5:$C$29,MATCH(C1015,Lists!$A$2:$A$26,0))),""))</f>
        <v/>
      </c>
      <c r="M1015" s="15" t="str">
        <f t="shared" si="15"/>
        <v/>
      </c>
    </row>
    <row r="1016" spans="1:13" x14ac:dyDescent="0.35">
      <c r="A1016" s="11"/>
      <c r="B1016" s="12"/>
      <c r="C1016" s="12"/>
      <c r="D1016" s="12"/>
      <c r="E1016" s="13"/>
      <c r="F1016" s="13"/>
      <c r="G1016" s="13"/>
      <c r="H1016" s="13"/>
      <c r="I1016" s="12"/>
      <c r="J1016" s="13"/>
      <c r="K1016" s="14" t="str">
        <f>IF(C1016="","",IFERROR(N('Fee Settings'!$C$5)*(E1016+N(F1016)-N(J1016))+N('Fee Settings'!$C$6)*(E1016+N(F1016)+N(G1016))+N('Fee Settings'!$C$7)+N('Fee Settings'!$C$10)*D1016+IF(I1016="Yes",MIN(N('Fee Settings'!$C$8)*(E1016+N(F1016)),N('Fee Settings'!$C$9)),0),""))</f>
        <v/>
      </c>
      <c r="L1016" s="14" t="str">
        <f>IF(C1016="","",IFERROR(D1016*N(INDEX(Products!$C$5:$C$29,MATCH(C1016,Lists!$A$2:$A$26,0))),""))</f>
        <v/>
      </c>
      <c r="M1016" s="15" t="str">
        <f t="shared" si="15"/>
        <v/>
      </c>
    </row>
    <row r="1017" spans="1:13" x14ac:dyDescent="0.35">
      <c r="A1017" s="11"/>
      <c r="B1017" s="12"/>
      <c r="C1017" s="12"/>
      <c r="D1017" s="12"/>
      <c r="E1017" s="13"/>
      <c r="F1017" s="13"/>
      <c r="G1017" s="13"/>
      <c r="H1017" s="13"/>
      <c r="I1017" s="12"/>
      <c r="J1017" s="13"/>
      <c r="K1017" s="14" t="str">
        <f>IF(C1017="","",IFERROR(N('Fee Settings'!$C$5)*(E1017+N(F1017)-N(J1017))+N('Fee Settings'!$C$6)*(E1017+N(F1017)+N(G1017))+N('Fee Settings'!$C$7)+N('Fee Settings'!$C$10)*D1017+IF(I1017="Yes",MIN(N('Fee Settings'!$C$8)*(E1017+N(F1017)),N('Fee Settings'!$C$9)),0),""))</f>
        <v/>
      </c>
      <c r="L1017" s="14" t="str">
        <f>IF(C1017="","",IFERROR(D1017*N(INDEX(Products!$C$5:$C$29,MATCH(C1017,Lists!$A$2:$A$26,0))),""))</f>
        <v/>
      </c>
      <c r="M1017" s="15" t="str">
        <f t="shared" si="15"/>
        <v/>
      </c>
    </row>
    <row r="1018" spans="1:13" x14ac:dyDescent="0.35">
      <c r="A1018" s="11"/>
      <c r="B1018" s="12"/>
      <c r="C1018" s="12"/>
      <c r="D1018" s="12"/>
      <c r="E1018" s="13"/>
      <c r="F1018" s="13"/>
      <c r="G1018" s="13"/>
      <c r="H1018" s="13"/>
      <c r="I1018" s="12"/>
      <c r="J1018" s="13"/>
      <c r="K1018" s="14" t="str">
        <f>IF(C1018="","",IFERROR(N('Fee Settings'!$C$5)*(E1018+N(F1018)-N(J1018))+N('Fee Settings'!$C$6)*(E1018+N(F1018)+N(G1018))+N('Fee Settings'!$C$7)+N('Fee Settings'!$C$10)*D1018+IF(I1018="Yes",MIN(N('Fee Settings'!$C$8)*(E1018+N(F1018)),N('Fee Settings'!$C$9)),0),""))</f>
        <v/>
      </c>
      <c r="L1018" s="14" t="str">
        <f>IF(C1018="","",IFERROR(D1018*N(INDEX(Products!$C$5:$C$29,MATCH(C1018,Lists!$A$2:$A$26,0))),""))</f>
        <v/>
      </c>
      <c r="M1018" s="15" t="str">
        <f t="shared" si="15"/>
        <v/>
      </c>
    </row>
    <row r="1019" spans="1:13" x14ac:dyDescent="0.35">
      <c r="A1019" s="11"/>
      <c r="B1019" s="12"/>
      <c r="C1019" s="12"/>
      <c r="D1019" s="12"/>
      <c r="E1019" s="13"/>
      <c r="F1019" s="13"/>
      <c r="G1019" s="13"/>
      <c r="H1019" s="13"/>
      <c r="I1019" s="12"/>
      <c r="J1019" s="13"/>
      <c r="K1019" s="14" t="str">
        <f>IF(C1019="","",IFERROR(N('Fee Settings'!$C$5)*(E1019+N(F1019)-N(J1019))+N('Fee Settings'!$C$6)*(E1019+N(F1019)+N(G1019))+N('Fee Settings'!$C$7)+N('Fee Settings'!$C$10)*D1019+IF(I1019="Yes",MIN(N('Fee Settings'!$C$8)*(E1019+N(F1019)),N('Fee Settings'!$C$9)),0),""))</f>
        <v/>
      </c>
      <c r="L1019" s="14" t="str">
        <f>IF(C1019="","",IFERROR(D1019*N(INDEX(Products!$C$5:$C$29,MATCH(C1019,Lists!$A$2:$A$26,0))),""))</f>
        <v/>
      </c>
      <c r="M1019" s="15" t="str">
        <f t="shared" si="15"/>
        <v/>
      </c>
    </row>
    <row r="1020" spans="1:13" x14ac:dyDescent="0.35">
      <c r="A1020" s="11"/>
      <c r="B1020" s="12"/>
      <c r="C1020" s="12"/>
      <c r="D1020" s="12"/>
      <c r="E1020" s="13"/>
      <c r="F1020" s="13"/>
      <c r="G1020" s="13"/>
      <c r="H1020" s="13"/>
      <c r="I1020" s="12"/>
      <c r="J1020" s="13"/>
      <c r="K1020" s="14" t="str">
        <f>IF(C1020="","",IFERROR(N('Fee Settings'!$C$5)*(E1020+N(F1020)-N(J1020))+N('Fee Settings'!$C$6)*(E1020+N(F1020)+N(G1020))+N('Fee Settings'!$C$7)+N('Fee Settings'!$C$10)*D1020+IF(I1020="Yes",MIN(N('Fee Settings'!$C$8)*(E1020+N(F1020)),N('Fee Settings'!$C$9)),0),""))</f>
        <v/>
      </c>
      <c r="L1020" s="14" t="str">
        <f>IF(C1020="","",IFERROR(D1020*N(INDEX(Products!$C$5:$C$29,MATCH(C1020,Lists!$A$2:$A$26,0))),""))</f>
        <v/>
      </c>
      <c r="M1020" s="15" t="str">
        <f t="shared" si="15"/>
        <v/>
      </c>
    </row>
    <row r="1021" spans="1:13" x14ac:dyDescent="0.35">
      <c r="A1021" s="11"/>
      <c r="B1021" s="12"/>
      <c r="C1021" s="12"/>
      <c r="D1021" s="12"/>
      <c r="E1021" s="13"/>
      <c r="F1021" s="13"/>
      <c r="G1021" s="13"/>
      <c r="H1021" s="13"/>
      <c r="I1021" s="12"/>
      <c r="J1021" s="13"/>
      <c r="K1021" s="14" t="str">
        <f>IF(C1021="","",IFERROR(N('Fee Settings'!$C$5)*(E1021+N(F1021)-N(J1021))+N('Fee Settings'!$C$6)*(E1021+N(F1021)+N(G1021))+N('Fee Settings'!$C$7)+N('Fee Settings'!$C$10)*D1021+IF(I1021="Yes",MIN(N('Fee Settings'!$C$8)*(E1021+N(F1021)),N('Fee Settings'!$C$9)),0),""))</f>
        <v/>
      </c>
      <c r="L1021" s="14" t="str">
        <f>IF(C1021="","",IFERROR(D1021*N(INDEX(Products!$C$5:$C$29,MATCH(C1021,Lists!$A$2:$A$26,0))),""))</f>
        <v/>
      </c>
      <c r="M1021" s="15" t="str">
        <f t="shared" si="15"/>
        <v/>
      </c>
    </row>
    <row r="1022" spans="1:13" x14ac:dyDescent="0.35">
      <c r="A1022" s="11"/>
      <c r="B1022" s="12"/>
      <c r="C1022" s="12"/>
      <c r="D1022" s="12"/>
      <c r="E1022" s="13"/>
      <c r="F1022" s="13"/>
      <c r="G1022" s="13"/>
      <c r="H1022" s="13"/>
      <c r="I1022" s="12"/>
      <c r="J1022" s="13"/>
      <c r="K1022" s="14" t="str">
        <f>IF(C1022="","",IFERROR(N('Fee Settings'!$C$5)*(E1022+N(F1022)-N(J1022))+N('Fee Settings'!$C$6)*(E1022+N(F1022)+N(G1022))+N('Fee Settings'!$C$7)+N('Fee Settings'!$C$10)*D1022+IF(I1022="Yes",MIN(N('Fee Settings'!$C$8)*(E1022+N(F1022)),N('Fee Settings'!$C$9)),0),""))</f>
        <v/>
      </c>
      <c r="L1022" s="14" t="str">
        <f>IF(C1022="","",IFERROR(D1022*N(INDEX(Products!$C$5:$C$29,MATCH(C1022,Lists!$A$2:$A$26,0))),""))</f>
        <v/>
      </c>
      <c r="M1022" s="15" t="str">
        <f t="shared" si="15"/>
        <v/>
      </c>
    </row>
    <row r="1023" spans="1:13" x14ac:dyDescent="0.35">
      <c r="A1023" s="11"/>
      <c r="B1023" s="12"/>
      <c r="C1023" s="12"/>
      <c r="D1023" s="12"/>
      <c r="E1023" s="13"/>
      <c r="F1023" s="13"/>
      <c r="G1023" s="13"/>
      <c r="H1023" s="13"/>
      <c r="I1023" s="12"/>
      <c r="J1023" s="13"/>
      <c r="K1023" s="14" t="str">
        <f>IF(C1023="","",IFERROR(N('Fee Settings'!$C$5)*(E1023+N(F1023)-N(J1023))+N('Fee Settings'!$C$6)*(E1023+N(F1023)+N(G1023))+N('Fee Settings'!$C$7)+N('Fee Settings'!$C$10)*D1023+IF(I1023="Yes",MIN(N('Fee Settings'!$C$8)*(E1023+N(F1023)),N('Fee Settings'!$C$9)),0),""))</f>
        <v/>
      </c>
      <c r="L1023" s="14" t="str">
        <f>IF(C1023="","",IFERROR(D1023*N(INDEX(Products!$C$5:$C$29,MATCH(C1023,Lists!$A$2:$A$26,0))),""))</f>
        <v/>
      </c>
      <c r="M1023" s="15" t="str">
        <f t="shared" si="15"/>
        <v/>
      </c>
    </row>
    <row r="1024" spans="1:13" x14ac:dyDescent="0.35">
      <c r="A1024" s="11"/>
      <c r="B1024" s="12"/>
      <c r="C1024" s="12"/>
      <c r="D1024" s="12"/>
      <c r="E1024" s="13"/>
      <c r="F1024" s="13"/>
      <c r="G1024" s="13"/>
      <c r="H1024" s="13"/>
      <c r="I1024" s="12"/>
      <c r="J1024" s="13"/>
      <c r="K1024" s="14" t="str">
        <f>IF(C1024="","",IFERROR(N('Fee Settings'!$C$5)*(E1024+N(F1024)-N(J1024))+N('Fee Settings'!$C$6)*(E1024+N(F1024)+N(G1024))+N('Fee Settings'!$C$7)+N('Fee Settings'!$C$10)*D1024+IF(I1024="Yes",MIN(N('Fee Settings'!$C$8)*(E1024+N(F1024)),N('Fee Settings'!$C$9)),0),""))</f>
        <v/>
      </c>
      <c r="L1024" s="14" t="str">
        <f>IF(C1024="","",IFERROR(D1024*N(INDEX(Products!$C$5:$C$29,MATCH(C1024,Lists!$A$2:$A$26,0))),""))</f>
        <v/>
      </c>
      <c r="M1024" s="15" t="str">
        <f t="shared" si="15"/>
        <v/>
      </c>
    </row>
    <row r="1025" spans="1:13" x14ac:dyDescent="0.35">
      <c r="A1025" s="11"/>
      <c r="B1025" s="12"/>
      <c r="C1025" s="12"/>
      <c r="D1025" s="12"/>
      <c r="E1025" s="13"/>
      <c r="F1025" s="13"/>
      <c r="G1025" s="13"/>
      <c r="H1025" s="13"/>
      <c r="I1025" s="12"/>
      <c r="J1025" s="13"/>
      <c r="K1025" s="14" t="str">
        <f>IF(C1025="","",IFERROR(N('Fee Settings'!$C$5)*(E1025+N(F1025)-N(J1025))+N('Fee Settings'!$C$6)*(E1025+N(F1025)+N(G1025))+N('Fee Settings'!$C$7)+N('Fee Settings'!$C$10)*D1025+IF(I1025="Yes",MIN(N('Fee Settings'!$C$8)*(E1025+N(F1025)),N('Fee Settings'!$C$9)),0),""))</f>
        <v/>
      </c>
      <c r="L1025" s="14" t="str">
        <f>IF(C1025="","",IFERROR(D1025*N(INDEX(Products!$C$5:$C$29,MATCH(C1025,Lists!$A$2:$A$26,0))),""))</f>
        <v/>
      </c>
      <c r="M1025" s="15" t="str">
        <f t="shared" si="15"/>
        <v/>
      </c>
    </row>
    <row r="1026" spans="1:13" x14ac:dyDescent="0.35">
      <c r="A1026" s="11"/>
      <c r="B1026" s="12"/>
      <c r="C1026" s="12"/>
      <c r="D1026" s="12"/>
      <c r="E1026" s="13"/>
      <c r="F1026" s="13"/>
      <c r="G1026" s="13"/>
      <c r="H1026" s="13"/>
      <c r="I1026" s="12"/>
      <c r="J1026" s="13"/>
      <c r="K1026" s="14" t="str">
        <f>IF(C1026="","",IFERROR(N('Fee Settings'!$C$5)*(E1026+N(F1026)-N(J1026))+N('Fee Settings'!$C$6)*(E1026+N(F1026)+N(G1026))+N('Fee Settings'!$C$7)+N('Fee Settings'!$C$10)*D1026+IF(I1026="Yes",MIN(N('Fee Settings'!$C$8)*(E1026+N(F1026)),N('Fee Settings'!$C$9)),0),""))</f>
        <v/>
      </c>
      <c r="L1026" s="14" t="str">
        <f>IF(C1026="","",IFERROR(D1026*N(INDEX(Products!$C$5:$C$29,MATCH(C1026,Lists!$A$2:$A$26,0))),""))</f>
        <v/>
      </c>
      <c r="M1026" s="15" t="str">
        <f t="shared" si="15"/>
        <v/>
      </c>
    </row>
    <row r="1027" spans="1:13" x14ac:dyDescent="0.35">
      <c r="A1027" s="11"/>
      <c r="B1027" s="12"/>
      <c r="C1027" s="12"/>
      <c r="D1027" s="12"/>
      <c r="E1027" s="13"/>
      <c r="F1027" s="13"/>
      <c r="G1027" s="13"/>
      <c r="H1027" s="13"/>
      <c r="I1027" s="12"/>
      <c r="J1027" s="13"/>
      <c r="K1027" s="14" t="str">
        <f>IF(C1027="","",IFERROR(N('Fee Settings'!$C$5)*(E1027+N(F1027)-N(J1027))+N('Fee Settings'!$C$6)*(E1027+N(F1027)+N(G1027))+N('Fee Settings'!$C$7)+N('Fee Settings'!$C$10)*D1027+IF(I1027="Yes",MIN(N('Fee Settings'!$C$8)*(E1027+N(F1027)),N('Fee Settings'!$C$9)),0),""))</f>
        <v/>
      </c>
      <c r="L1027" s="14" t="str">
        <f>IF(C1027="","",IFERROR(D1027*N(INDEX(Products!$C$5:$C$29,MATCH(C1027,Lists!$A$2:$A$26,0))),""))</f>
        <v/>
      </c>
      <c r="M1027" s="15" t="str">
        <f t="shared" si="15"/>
        <v/>
      </c>
    </row>
    <row r="1028" spans="1:13" x14ac:dyDescent="0.35">
      <c r="A1028" s="11"/>
      <c r="B1028" s="12"/>
      <c r="C1028" s="12"/>
      <c r="D1028" s="12"/>
      <c r="E1028" s="13"/>
      <c r="F1028" s="13"/>
      <c r="G1028" s="13"/>
      <c r="H1028" s="13"/>
      <c r="I1028" s="12"/>
      <c r="J1028" s="13"/>
      <c r="K1028" s="14" t="str">
        <f>IF(C1028="","",IFERROR(N('Fee Settings'!$C$5)*(E1028+N(F1028)-N(J1028))+N('Fee Settings'!$C$6)*(E1028+N(F1028)+N(G1028))+N('Fee Settings'!$C$7)+N('Fee Settings'!$C$10)*D1028+IF(I1028="Yes",MIN(N('Fee Settings'!$C$8)*(E1028+N(F1028)),N('Fee Settings'!$C$9)),0),""))</f>
        <v/>
      </c>
      <c r="L1028" s="14" t="str">
        <f>IF(C1028="","",IFERROR(D1028*N(INDEX(Products!$C$5:$C$29,MATCH(C1028,Lists!$A$2:$A$26,0))),""))</f>
        <v/>
      </c>
      <c r="M1028" s="15" t="str">
        <f t="shared" si="15"/>
        <v/>
      </c>
    </row>
    <row r="1029" spans="1:13" x14ac:dyDescent="0.35">
      <c r="A1029" s="11"/>
      <c r="B1029" s="12"/>
      <c r="C1029" s="12"/>
      <c r="D1029" s="12"/>
      <c r="E1029" s="13"/>
      <c r="F1029" s="13"/>
      <c r="G1029" s="13"/>
      <c r="H1029" s="13"/>
      <c r="I1029" s="12"/>
      <c r="J1029" s="13"/>
      <c r="K1029" s="14" t="str">
        <f>IF(C1029="","",IFERROR(N('Fee Settings'!$C$5)*(E1029+N(F1029)-N(J1029))+N('Fee Settings'!$C$6)*(E1029+N(F1029)+N(G1029))+N('Fee Settings'!$C$7)+N('Fee Settings'!$C$10)*D1029+IF(I1029="Yes",MIN(N('Fee Settings'!$C$8)*(E1029+N(F1029)),N('Fee Settings'!$C$9)),0),""))</f>
        <v/>
      </c>
      <c r="L1029" s="14" t="str">
        <f>IF(C1029="","",IFERROR(D1029*N(INDEX(Products!$C$5:$C$29,MATCH(C1029,Lists!$A$2:$A$26,0))),""))</f>
        <v/>
      </c>
      <c r="M1029" s="15" t="str">
        <f t="shared" ref="M1029:M1092" si="16">IF(C1029="","",IFERROR(E1029+N(F1029)-N(J1029)-K1029-L1029-N(H1029),""))</f>
        <v/>
      </c>
    </row>
    <row r="1030" spans="1:13" x14ac:dyDescent="0.35">
      <c r="A1030" s="11"/>
      <c r="B1030" s="12"/>
      <c r="C1030" s="12"/>
      <c r="D1030" s="12"/>
      <c r="E1030" s="13"/>
      <c r="F1030" s="13"/>
      <c r="G1030" s="13"/>
      <c r="H1030" s="13"/>
      <c r="I1030" s="12"/>
      <c r="J1030" s="13"/>
      <c r="K1030" s="14" t="str">
        <f>IF(C1030="","",IFERROR(N('Fee Settings'!$C$5)*(E1030+N(F1030)-N(J1030))+N('Fee Settings'!$C$6)*(E1030+N(F1030)+N(G1030))+N('Fee Settings'!$C$7)+N('Fee Settings'!$C$10)*D1030+IF(I1030="Yes",MIN(N('Fee Settings'!$C$8)*(E1030+N(F1030)),N('Fee Settings'!$C$9)),0),""))</f>
        <v/>
      </c>
      <c r="L1030" s="14" t="str">
        <f>IF(C1030="","",IFERROR(D1030*N(INDEX(Products!$C$5:$C$29,MATCH(C1030,Lists!$A$2:$A$26,0))),""))</f>
        <v/>
      </c>
      <c r="M1030" s="15" t="str">
        <f t="shared" si="16"/>
        <v/>
      </c>
    </row>
    <row r="1031" spans="1:13" x14ac:dyDescent="0.35">
      <c r="A1031" s="11"/>
      <c r="B1031" s="12"/>
      <c r="C1031" s="12"/>
      <c r="D1031" s="12"/>
      <c r="E1031" s="13"/>
      <c r="F1031" s="13"/>
      <c r="G1031" s="13"/>
      <c r="H1031" s="13"/>
      <c r="I1031" s="12"/>
      <c r="J1031" s="13"/>
      <c r="K1031" s="14" t="str">
        <f>IF(C1031="","",IFERROR(N('Fee Settings'!$C$5)*(E1031+N(F1031)-N(J1031))+N('Fee Settings'!$C$6)*(E1031+N(F1031)+N(G1031))+N('Fee Settings'!$C$7)+N('Fee Settings'!$C$10)*D1031+IF(I1031="Yes",MIN(N('Fee Settings'!$C$8)*(E1031+N(F1031)),N('Fee Settings'!$C$9)),0),""))</f>
        <v/>
      </c>
      <c r="L1031" s="14" t="str">
        <f>IF(C1031="","",IFERROR(D1031*N(INDEX(Products!$C$5:$C$29,MATCH(C1031,Lists!$A$2:$A$26,0))),""))</f>
        <v/>
      </c>
      <c r="M1031" s="15" t="str">
        <f t="shared" si="16"/>
        <v/>
      </c>
    </row>
    <row r="1032" spans="1:13" x14ac:dyDescent="0.35">
      <c r="A1032" s="11"/>
      <c r="B1032" s="12"/>
      <c r="C1032" s="12"/>
      <c r="D1032" s="12"/>
      <c r="E1032" s="13"/>
      <c r="F1032" s="13"/>
      <c r="G1032" s="13"/>
      <c r="H1032" s="13"/>
      <c r="I1032" s="12"/>
      <c r="J1032" s="13"/>
      <c r="K1032" s="14" t="str">
        <f>IF(C1032="","",IFERROR(N('Fee Settings'!$C$5)*(E1032+N(F1032)-N(J1032))+N('Fee Settings'!$C$6)*(E1032+N(F1032)+N(G1032))+N('Fee Settings'!$C$7)+N('Fee Settings'!$C$10)*D1032+IF(I1032="Yes",MIN(N('Fee Settings'!$C$8)*(E1032+N(F1032)),N('Fee Settings'!$C$9)),0),""))</f>
        <v/>
      </c>
      <c r="L1032" s="14" t="str">
        <f>IF(C1032="","",IFERROR(D1032*N(INDEX(Products!$C$5:$C$29,MATCH(C1032,Lists!$A$2:$A$26,0))),""))</f>
        <v/>
      </c>
      <c r="M1032" s="15" t="str">
        <f t="shared" si="16"/>
        <v/>
      </c>
    </row>
    <row r="1033" spans="1:13" x14ac:dyDescent="0.35">
      <c r="A1033" s="11"/>
      <c r="B1033" s="12"/>
      <c r="C1033" s="12"/>
      <c r="D1033" s="12"/>
      <c r="E1033" s="13"/>
      <c r="F1033" s="13"/>
      <c r="G1033" s="13"/>
      <c r="H1033" s="13"/>
      <c r="I1033" s="12"/>
      <c r="J1033" s="13"/>
      <c r="K1033" s="14" t="str">
        <f>IF(C1033="","",IFERROR(N('Fee Settings'!$C$5)*(E1033+N(F1033)-N(J1033))+N('Fee Settings'!$C$6)*(E1033+N(F1033)+N(G1033))+N('Fee Settings'!$C$7)+N('Fee Settings'!$C$10)*D1033+IF(I1033="Yes",MIN(N('Fee Settings'!$C$8)*(E1033+N(F1033)),N('Fee Settings'!$C$9)),0),""))</f>
        <v/>
      </c>
      <c r="L1033" s="14" t="str">
        <f>IF(C1033="","",IFERROR(D1033*N(INDEX(Products!$C$5:$C$29,MATCH(C1033,Lists!$A$2:$A$26,0))),""))</f>
        <v/>
      </c>
      <c r="M1033" s="15" t="str">
        <f t="shared" si="16"/>
        <v/>
      </c>
    </row>
    <row r="1034" spans="1:13" x14ac:dyDescent="0.35">
      <c r="A1034" s="11"/>
      <c r="B1034" s="12"/>
      <c r="C1034" s="12"/>
      <c r="D1034" s="12"/>
      <c r="E1034" s="13"/>
      <c r="F1034" s="13"/>
      <c r="G1034" s="13"/>
      <c r="H1034" s="13"/>
      <c r="I1034" s="12"/>
      <c r="J1034" s="13"/>
      <c r="K1034" s="14" t="str">
        <f>IF(C1034="","",IFERROR(N('Fee Settings'!$C$5)*(E1034+N(F1034)-N(J1034))+N('Fee Settings'!$C$6)*(E1034+N(F1034)+N(G1034))+N('Fee Settings'!$C$7)+N('Fee Settings'!$C$10)*D1034+IF(I1034="Yes",MIN(N('Fee Settings'!$C$8)*(E1034+N(F1034)),N('Fee Settings'!$C$9)),0),""))</f>
        <v/>
      </c>
      <c r="L1034" s="14" t="str">
        <f>IF(C1034="","",IFERROR(D1034*N(INDEX(Products!$C$5:$C$29,MATCH(C1034,Lists!$A$2:$A$26,0))),""))</f>
        <v/>
      </c>
      <c r="M1034" s="15" t="str">
        <f t="shared" si="16"/>
        <v/>
      </c>
    </row>
    <row r="1035" spans="1:13" x14ac:dyDescent="0.35">
      <c r="A1035" s="11"/>
      <c r="B1035" s="12"/>
      <c r="C1035" s="12"/>
      <c r="D1035" s="12"/>
      <c r="E1035" s="13"/>
      <c r="F1035" s="13"/>
      <c r="G1035" s="13"/>
      <c r="H1035" s="13"/>
      <c r="I1035" s="12"/>
      <c r="J1035" s="13"/>
      <c r="K1035" s="14" t="str">
        <f>IF(C1035="","",IFERROR(N('Fee Settings'!$C$5)*(E1035+N(F1035)-N(J1035))+N('Fee Settings'!$C$6)*(E1035+N(F1035)+N(G1035))+N('Fee Settings'!$C$7)+N('Fee Settings'!$C$10)*D1035+IF(I1035="Yes",MIN(N('Fee Settings'!$C$8)*(E1035+N(F1035)),N('Fee Settings'!$C$9)),0),""))</f>
        <v/>
      </c>
      <c r="L1035" s="14" t="str">
        <f>IF(C1035="","",IFERROR(D1035*N(INDEX(Products!$C$5:$C$29,MATCH(C1035,Lists!$A$2:$A$26,0))),""))</f>
        <v/>
      </c>
      <c r="M1035" s="15" t="str">
        <f t="shared" si="16"/>
        <v/>
      </c>
    </row>
    <row r="1036" spans="1:13" x14ac:dyDescent="0.35">
      <c r="A1036" s="11"/>
      <c r="B1036" s="12"/>
      <c r="C1036" s="12"/>
      <c r="D1036" s="12"/>
      <c r="E1036" s="13"/>
      <c r="F1036" s="13"/>
      <c r="G1036" s="13"/>
      <c r="H1036" s="13"/>
      <c r="I1036" s="12"/>
      <c r="J1036" s="13"/>
      <c r="K1036" s="14" t="str">
        <f>IF(C1036="","",IFERROR(N('Fee Settings'!$C$5)*(E1036+N(F1036)-N(J1036))+N('Fee Settings'!$C$6)*(E1036+N(F1036)+N(G1036))+N('Fee Settings'!$C$7)+N('Fee Settings'!$C$10)*D1036+IF(I1036="Yes",MIN(N('Fee Settings'!$C$8)*(E1036+N(F1036)),N('Fee Settings'!$C$9)),0),""))</f>
        <v/>
      </c>
      <c r="L1036" s="14" t="str">
        <f>IF(C1036="","",IFERROR(D1036*N(INDEX(Products!$C$5:$C$29,MATCH(C1036,Lists!$A$2:$A$26,0))),""))</f>
        <v/>
      </c>
      <c r="M1036" s="15" t="str">
        <f t="shared" si="16"/>
        <v/>
      </c>
    </row>
    <row r="1037" spans="1:13" x14ac:dyDescent="0.35">
      <c r="A1037" s="11"/>
      <c r="B1037" s="12"/>
      <c r="C1037" s="12"/>
      <c r="D1037" s="12"/>
      <c r="E1037" s="13"/>
      <c r="F1037" s="13"/>
      <c r="G1037" s="13"/>
      <c r="H1037" s="13"/>
      <c r="I1037" s="12"/>
      <c r="J1037" s="13"/>
      <c r="K1037" s="14" t="str">
        <f>IF(C1037="","",IFERROR(N('Fee Settings'!$C$5)*(E1037+N(F1037)-N(J1037))+N('Fee Settings'!$C$6)*(E1037+N(F1037)+N(G1037))+N('Fee Settings'!$C$7)+N('Fee Settings'!$C$10)*D1037+IF(I1037="Yes",MIN(N('Fee Settings'!$C$8)*(E1037+N(F1037)),N('Fee Settings'!$C$9)),0),""))</f>
        <v/>
      </c>
      <c r="L1037" s="14" t="str">
        <f>IF(C1037="","",IFERROR(D1037*N(INDEX(Products!$C$5:$C$29,MATCH(C1037,Lists!$A$2:$A$26,0))),""))</f>
        <v/>
      </c>
      <c r="M1037" s="15" t="str">
        <f t="shared" si="16"/>
        <v/>
      </c>
    </row>
    <row r="1038" spans="1:13" x14ac:dyDescent="0.35">
      <c r="A1038" s="11"/>
      <c r="B1038" s="12"/>
      <c r="C1038" s="12"/>
      <c r="D1038" s="12"/>
      <c r="E1038" s="13"/>
      <c r="F1038" s="13"/>
      <c r="G1038" s="13"/>
      <c r="H1038" s="13"/>
      <c r="I1038" s="12"/>
      <c r="J1038" s="13"/>
      <c r="K1038" s="14" t="str">
        <f>IF(C1038="","",IFERROR(N('Fee Settings'!$C$5)*(E1038+N(F1038)-N(J1038))+N('Fee Settings'!$C$6)*(E1038+N(F1038)+N(G1038))+N('Fee Settings'!$C$7)+N('Fee Settings'!$C$10)*D1038+IF(I1038="Yes",MIN(N('Fee Settings'!$C$8)*(E1038+N(F1038)),N('Fee Settings'!$C$9)),0),""))</f>
        <v/>
      </c>
      <c r="L1038" s="14" t="str">
        <f>IF(C1038="","",IFERROR(D1038*N(INDEX(Products!$C$5:$C$29,MATCH(C1038,Lists!$A$2:$A$26,0))),""))</f>
        <v/>
      </c>
      <c r="M1038" s="15" t="str">
        <f t="shared" si="16"/>
        <v/>
      </c>
    </row>
    <row r="1039" spans="1:13" x14ac:dyDescent="0.35">
      <c r="A1039" s="11"/>
      <c r="B1039" s="12"/>
      <c r="C1039" s="12"/>
      <c r="D1039" s="12"/>
      <c r="E1039" s="13"/>
      <c r="F1039" s="13"/>
      <c r="G1039" s="13"/>
      <c r="H1039" s="13"/>
      <c r="I1039" s="12"/>
      <c r="J1039" s="13"/>
      <c r="K1039" s="14" t="str">
        <f>IF(C1039="","",IFERROR(N('Fee Settings'!$C$5)*(E1039+N(F1039)-N(J1039))+N('Fee Settings'!$C$6)*(E1039+N(F1039)+N(G1039))+N('Fee Settings'!$C$7)+N('Fee Settings'!$C$10)*D1039+IF(I1039="Yes",MIN(N('Fee Settings'!$C$8)*(E1039+N(F1039)),N('Fee Settings'!$C$9)),0),""))</f>
        <v/>
      </c>
      <c r="L1039" s="14" t="str">
        <f>IF(C1039="","",IFERROR(D1039*N(INDEX(Products!$C$5:$C$29,MATCH(C1039,Lists!$A$2:$A$26,0))),""))</f>
        <v/>
      </c>
      <c r="M1039" s="15" t="str">
        <f t="shared" si="16"/>
        <v/>
      </c>
    </row>
    <row r="1040" spans="1:13" x14ac:dyDescent="0.35">
      <c r="A1040" s="11"/>
      <c r="B1040" s="12"/>
      <c r="C1040" s="12"/>
      <c r="D1040" s="12"/>
      <c r="E1040" s="13"/>
      <c r="F1040" s="13"/>
      <c r="G1040" s="13"/>
      <c r="H1040" s="13"/>
      <c r="I1040" s="12"/>
      <c r="J1040" s="13"/>
      <c r="K1040" s="14" t="str">
        <f>IF(C1040="","",IFERROR(N('Fee Settings'!$C$5)*(E1040+N(F1040)-N(J1040))+N('Fee Settings'!$C$6)*(E1040+N(F1040)+N(G1040))+N('Fee Settings'!$C$7)+N('Fee Settings'!$C$10)*D1040+IF(I1040="Yes",MIN(N('Fee Settings'!$C$8)*(E1040+N(F1040)),N('Fee Settings'!$C$9)),0),""))</f>
        <v/>
      </c>
      <c r="L1040" s="14" t="str">
        <f>IF(C1040="","",IFERROR(D1040*N(INDEX(Products!$C$5:$C$29,MATCH(C1040,Lists!$A$2:$A$26,0))),""))</f>
        <v/>
      </c>
      <c r="M1040" s="15" t="str">
        <f t="shared" si="16"/>
        <v/>
      </c>
    </row>
    <row r="1041" spans="1:13" x14ac:dyDescent="0.35">
      <c r="A1041" s="11"/>
      <c r="B1041" s="12"/>
      <c r="C1041" s="12"/>
      <c r="D1041" s="12"/>
      <c r="E1041" s="13"/>
      <c r="F1041" s="13"/>
      <c r="G1041" s="13"/>
      <c r="H1041" s="13"/>
      <c r="I1041" s="12"/>
      <c r="J1041" s="13"/>
      <c r="K1041" s="14" t="str">
        <f>IF(C1041="","",IFERROR(N('Fee Settings'!$C$5)*(E1041+N(F1041)-N(J1041))+N('Fee Settings'!$C$6)*(E1041+N(F1041)+N(G1041))+N('Fee Settings'!$C$7)+N('Fee Settings'!$C$10)*D1041+IF(I1041="Yes",MIN(N('Fee Settings'!$C$8)*(E1041+N(F1041)),N('Fee Settings'!$C$9)),0),""))</f>
        <v/>
      </c>
      <c r="L1041" s="14" t="str">
        <f>IF(C1041="","",IFERROR(D1041*N(INDEX(Products!$C$5:$C$29,MATCH(C1041,Lists!$A$2:$A$26,0))),""))</f>
        <v/>
      </c>
      <c r="M1041" s="15" t="str">
        <f t="shared" si="16"/>
        <v/>
      </c>
    </row>
    <row r="1042" spans="1:13" x14ac:dyDescent="0.35">
      <c r="A1042" s="11"/>
      <c r="B1042" s="12"/>
      <c r="C1042" s="12"/>
      <c r="D1042" s="12"/>
      <c r="E1042" s="13"/>
      <c r="F1042" s="13"/>
      <c r="G1042" s="13"/>
      <c r="H1042" s="13"/>
      <c r="I1042" s="12"/>
      <c r="J1042" s="13"/>
      <c r="K1042" s="14" t="str">
        <f>IF(C1042="","",IFERROR(N('Fee Settings'!$C$5)*(E1042+N(F1042)-N(J1042))+N('Fee Settings'!$C$6)*(E1042+N(F1042)+N(G1042))+N('Fee Settings'!$C$7)+N('Fee Settings'!$C$10)*D1042+IF(I1042="Yes",MIN(N('Fee Settings'!$C$8)*(E1042+N(F1042)),N('Fee Settings'!$C$9)),0),""))</f>
        <v/>
      </c>
      <c r="L1042" s="14" t="str">
        <f>IF(C1042="","",IFERROR(D1042*N(INDEX(Products!$C$5:$C$29,MATCH(C1042,Lists!$A$2:$A$26,0))),""))</f>
        <v/>
      </c>
      <c r="M1042" s="15" t="str">
        <f t="shared" si="16"/>
        <v/>
      </c>
    </row>
    <row r="1043" spans="1:13" x14ac:dyDescent="0.35">
      <c r="A1043" s="11"/>
      <c r="B1043" s="12"/>
      <c r="C1043" s="12"/>
      <c r="D1043" s="12"/>
      <c r="E1043" s="13"/>
      <c r="F1043" s="13"/>
      <c r="G1043" s="13"/>
      <c r="H1043" s="13"/>
      <c r="I1043" s="12"/>
      <c r="J1043" s="13"/>
      <c r="K1043" s="14" t="str">
        <f>IF(C1043="","",IFERROR(N('Fee Settings'!$C$5)*(E1043+N(F1043)-N(J1043))+N('Fee Settings'!$C$6)*(E1043+N(F1043)+N(G1043))+N('Fee Settings'!$C$7)+N('Fee Settings'!$C$10)*D1043+IF(I1043="Yes",MIN(N('Fee Settings'!$C$8)*(E1043+N(F1043)),N('Fee Settings'!$C$9)),0),""))</f>
        <v/>
      </c>
      <c r="L1043" s="14" t="str">
        <f>IF(C1043="","",IFERROR(D1043*N(INDEX(Products!$C$5:$C$29,MATCH(C1043,Lists!$A$2:$A$26,0))),""))</f>
        <v/>
      </c>
      <c r="M1043" s="15" t="str">
        <f t="shared" si="16"/>
        <v/>
      </c>
    </row>
    <row r="1044" spans="1:13" x14ac:dyDescent="0.35">
      <c r="A1044" s="11"/>
      <c r="B1044" s="12"/>
      <c r="C1044" s="12"/>
      <c r="D1044" s="12"/>
      <c r="E1044" s="13"/>
      <c r="F1044" s="13"/>
      <c r="G1044" s="13"/>
      <c r="H1044" s="13"/>
      <c r="I1044" s="12"/>
      <c r="J1044" s="13"/>
      <c r="K1044" s="14" t="str">
        <f>IF(C1044="","",IFERROR(N('Fee Settings'!$C$5)*(E1044+N(F1044)-N(J1044))+N('Fee Settings'!$C$6)*(E1044+N(F1044)+N(G1044))+N('Fee Settings'!$C$7)+N('Fee Settings'!$C$10)*D1044+IF(I1044="Yes",MIN(N('Fee Settings'!$C$8)*(E1044+N(F1044)),N('Fee Settings'!$C$9)),0),""))</f>
        <v/>
      </c>
      <c r="L1044" s="14" t="str">
        <f>IF(C1044="","",IFERROR(D1044*N(INDEX(Products!$C$5:$C$29,MATCH(C1044,Lists!$A$2:$A$26,0))),""))</f>
        <v/>
      </c>
      <c r="M1044" s="15" t="str">
        <f t="shared" si="16"/>
        <v/>
      </c>
    </row>
    <row r="1045" spans="1:13" x14ac:dyDescent="0.35">
      <c r="A1045" s="11"/>
      <c r="B1045" s="12"/>
      <c r="C1045" s="12"/>
      <c r="D1045" s="12"/>
      <c r="E1045" s="13"/>
      <c r="F1045" s="13"/>
      <c r="G1045" s="13"/>
      <c r="H1045" s="13"/>
      <c r="I1045" s="12"/>
      <c r="J1045" s="13"/>
      <c r="K1045" s="14" t="str">
        <f>IF(C1045="","",IFERROR(N('Fee Settings'!$C$5)*(E1045+N(F1045)-N(J1045))+N('Fee Settings'!$C$6)*(E1045+N(F1045)+N(G1045))+N('Fee Settings'!$C$7)+N('Fee Settings'!$C$10)*D1045+IF(I1045="Yes",MIN(N('Fee Settings'!$C$8)*(E1045+N(F1045)),N('Fee Settings'!$C$9)),0),""))</f>
        <v/>
      </c>
      <c r="L1045" s="14" t="str">
        <f>IF(C1045="","",IFERROR(D1045*N(INDEX(Products!$C$5:$C$29,MATCH(C1045,Lists!$A$2:$A$26,0))),""))</f>
        <v/>
      </c>
      <c r="M1045" s="15" t="str">
        <f t="shared" si="16"/>
        <v/>
      </c>
    </row>
    <row r="1046" spans="1:13" x14ac:dyDescent="0.35">
      <c r="A1046" s="11"/>
      <c r="B1046" s="12"/>
      <c r="C1046" s="12"/>
      <c r="D1046" s="12"/>
      <c r="E1046" s="13"/>
      <c r="F1046" s="13"/>
      <c r="G1046" s="13"/>
      <c r="H1046" s="13"/>
      <c r="I1046" s="12"/>
      <c r="J1046" s="13"/>
      <c r="K1046" s="14" t="str">
        <f>IF(C1046="","",IFERROR(N('Fee Settings'!$C$5)*(E1046+N(F1046)-N(J1046))+N('Fee Settings'!$C$6)*(E1046+N(F1046)+N(G1046))+N('Fee Settings'!$C$7)+N('Fee Settings'!$C$10)*D1046+IF(I1046="Yes",MIN(N('Fee Settings'!$C$8)*(E1046+N(F1046)),N('Fee Settings'!$C$9)),0),""))</f>
        <v/>
      </c>
      <c r="L1046" s="14" t="str">
        <f>IF(C1046="","",IFERROR(D1046*N(INDEX(Products!$C$5:$C$29,MATCH(C1046,Lists!$A$2:$A$26,0))),""))</f>
        <v/>
      </c>
      <c r="M1046" s="15" t="str">
        <f t="shared" si="16"/>
        <v/>
      </c>
    </row>
    <row r="1047" spans="1:13" x14ac:dyDescent="0.35">
      <c r="A1047" s="11"/>
      <c r="B1047" s="12"/>
      <c r="C1047" s="12"/>
      <c r="D1047" s="12"/>
      <c r="E1047" s="13"/>
      <c r="F1047" s="13"/>
      <c r="G1047" s="13"/>
      <c r="H1047" s="13"/>
      <c r="I1047" s="12"/>
      <c r="J1047" s="13"/>
      <c r="K1047" s="14" t="str">
        <f>IF(C1047="","",IFERROR(N('Fee Settings'!$C$5)*(E1047+N(F1047)-N(J1047))+N('Fee Settings'!$C$6)*(E1047+N(F1047)+N(G1047))+N('Fee Settings'!$C$7)+N('Fee Settings'!$C$10)*D1047+IF(I1047="Yes",MIN(N('Fee Settings'!$C$8)*(E1047+N(F1047)),N('Fee Settings'!$C$9)),0),""))</f>
        <v/>
      </c>
      <c r="L1047" s="14" t="str">
        <f>IF(C1047="","",IFERROR(D1047*N(INDEX(Products!$C$5:$C$29,MATCH(C1047,Lists!$A$2:$A$26,0))),""))</f>
        <v/>
      </c>
      <c r="M1047" s="15" t="str">
        <f t="shared" si="16"/>
        <v/>
      </c>
    </row>
    <row r="1048" spans="1:13" x14ac:dyDescent="0.35">
      <c r="A1048" s="11"/>
      <c r="B1048" s="12"/>
      <c r="C1048" s="12"/>
      <c r="D1048" s="12"/>
      <c r="E1048" s="13"/>
      <c r="F1048" s="13"/>
      <c r="G1048" s="13"/>
      <c r="H1048" s="13"/>
      <c r="I1048" s="12"/>
      <c r="J1048" s="13"/>
      <c r="K1048" s="14" t="str">
        <f>IF(C1048="","",IFERROR(N('Fee Settings'!$C$5)*(E1048+N(F1048)-N(J1048))+N('Fee Settings'!$C$6)*(E1048+N(F1048)+N(G1048))+N('Fee Settings'!$C$7)+N('Fee Settings'!$C$10)*D1048+IF(I1048="Yes",MIN(N('Fee Settings'!$C$8)*(E1048+N(F1048)),N('Fee Settings'!$C$9)),0),""))</f>
        <v/>
      </c>
      <c r="L1048" s="14" t="str">
        <f>IF(C1048="","",IFERROR(D1048*N(INDEX(Products!$C$5:$C$29,MATCH(C1048,Lists!$A$2:$A$26,0))),""))</f>
        <v/>
      </c>
      <c r="M1048" s="15" t="str">
        <f t="shared" si="16"/>
        <v/>
      </c>
    </row>
    <row r="1049" spans="1:13" x14ac:dyDescent="0.35">
      <c r="A1049" s="11"/>
      <c r="B1049" s="12"/>
      <c r="C1049" s="12"/>
      <c r="D1049" s="12"/>
      <c r="E1049" s="13"/>
      <c r="F1049" s="13"/>
      <c r="G1049" s="13"/>
      <c r="H1049" s="13"/>
      <c r="I1049" s="12"/>
      <c r="J1049" s="13"/>
      <c r="K1049" s="14" t="str">
        <f>IF(C1049="","",IFERROR(N('Fee Settings'!$C$5)*(E1049+N(F1049)-N(J1049))+N('Fee Settings'!$C$6)*(E1049+N(F1049)+N(G1049))+N('Fee Settings'!$C$7)+N('Fee Settings'!$C$10)*D1049+IF(I1049="Yes",MIN(N('Fee Settings'!$C$8)*(E1049+N(F1049)),N('Fee Settings'!$C$9)),0),""))</f>
        <v/>
      </c>
      <c r="L1049" s="14" t="str">
        <f>IF(C1049="","",IFERROR(D1049*N(INDEX(Products!$C$5:$C$29,MATCH(C1049,Lists!$A$2:$A$26,0))),""))</f>
        <v/>
      </c>
      <c r="M1049" s="15" t="str">
        <f t="shared" si="16"/>
        <v/>
      </c>
    </row>
    <row r="1050" spans="1:13" x14ac:dyDescent="0.35">
      <c r="A1050" s="11"/>
      <c r="B1050" s="12"/>
      <c r="C1050" s="12"/>
      <c r="D1050" s="12"/>
      <c r="E1050" s="13"/>
      <c r="F1050" s="13"/>
      <c r="G1050" s="13"/>
      <c r="H1050" s="13"/>
      <c r="I1050" s="12"/>
      <c r="J1050" s="13"/>
      <c r="K1050" s="14" t="str">
        <f>IF(C1050="","",IFERROR(N('Fee Settings'!$C$5)*(E1050+N(F1050)-N(J1050))+N('Fee Settings'!$C$6)*(E1050+N(F1050)+N(G1050))+N('Fee Settings'!$C$7)+N('Fee Settings'!$C$10)*D1050+IF(I1050="Yes",MIN(N('Fee Settings'!$C$8)*(E1050+N(F1050)),N('Fee Settings'!$C$9)),0),""))</f>
        <v/>
      </c>
      <c r="L1050" s="14" t="str">
        <f>IF(C1050="","",IFERROR(D1050*N(INDEX(Products!$C$5:$C$29,MATCH(C1050,Lists!$A$2:$A$26,0))),""))</f>
        <v/>
      </c>
      <c r="M1050" s="15" t="str">
        <f t="shared" si="16"/>
        <v/>
      </c>
    </row>
    <row r="1051" spans="1:13" x14ac:dyDescent="0.35">
      <c r="A1051" s="11"/>
      <c r="B1051" s="12"/>
      <c r="C1051" s="12"/>
      <c r="D1051" s="12"/>
      <c r="E1051" s="13"/>
      <c r="F1051" s="13"/>
      <c r="G1051" s="13"/>
      <c r="H1051" s="13"/>
      <c r="I1051" s="12"/>
      <c r="J1051" s="13"/>
      <c r="K1051" s="14" t="str">
        <f>IF(C1051="","",IFERROR(N('Fee Settings'!$C$5)*(E1051+N(F1051)-N(J1051))+N('Fee Settings'!$C$6)*(E1051+N(F1051)+N(G1051))+N('Fee Settings'!$C$7)+N('Fee Settings'!$C$10)*D1051+IF(I1051="Yes",MIN(N('Fee Settings'!$C$8)*(E1051+N(F1051)),N('Fee Settings'!$C$9)),0),""))</f>
        <v/>
      </c>
      <c r="L1051" s="14" t="str">
        <f>IF(C1051="","",IFERROR(D1051*N(INDEX(Products!$C$5:$C$29,MATCH(C1051,Lists!$A$2:$A$26,0))),""))</f>
        <v/>
      </c>
      <c r="M1051" s="15" t="str">
        <f t="shared" si="16"/>
        <v/>
      </c>
    </row>
    <row r="1052" spans="1:13" x14ac:dyDescent="0.35">
      <c r="A1052" s="11"/>
      <c r="B1052" s="12"/>
      <c r="C1052" s="12"/>
      <c r="D1052" s="12"/>
      <c r="E1052" s="13"/>
      <c r="F1052" s="13"/>
      <c r="G1052" s="13"/>
      <c r="H1052" s="13"/>
      <c r="I1052" s="12"/>
      <c r="J1052" s="13"/>
      <c r="K1052" s="14" t="str">
        <f>IF(C1052="","",IFERROR(N('Fee Settings'!$C$5)*(E1052+N(F1052)-N(J1052))+N('Fee Settings'!$C$6)*(E1052+N(F1052)+N(G1052))+N('Fee Settings'!$C$7)+N('Fee Settings'!$C$10)*D1052+IF(I1052="Yes",MIN(N('Fee Settings'!$C$8)*(E1052+N(F1052)),N('Fee Settings'!$C$9)),0),""))</f>
        <v/>
      </c>
      <c r="L1052" s="14" t="str">
        <f>IF(C1052="","",IFERROR(D1052*N(INDEX(Products!$C$5:$C$29,MATCH(C1052,Lists!$A$2:$A$26,0))),""))</f>
        <v/>
      </c>
      <c r="M1052" s="15" t="str">
        <f t="shared" si="16"/>
        <v/>
      </c>
    </row>
    <row r="1053" spans="1:13" x14ac:dyDescent="0.35">
      <c r="A1053" s="11"/>
      <c r="B1053" s="12"/>
      <c r="C1053" s="12"/>
      <c r="D1053" s="12"/>
      <c r="E1053" s="13"/>
      <c r="F1053" s="13"/>
      <c r="G1053" s="13"/>
      <c r="H1053" s="13"/>
      <c r="I1053" s="12"/>
      <c r="J1053" s="13"/>
      <c r="K1053" s="14" t="str">
        <f>IF(C1053="","",IFERROR(N('Fee Settings'!$C$5)*(E1053+N(F1053)-N(J1053))+N('Fee Settings'!$C$6)*(E1053+N(F1053)+N(G1053))+N('Fee Settings'!$C$7)+N('Fee Settings'!$C$10)*D1053+IF(I1053="Yes",MIN(N('Fee Settings'!$C$8)*(E1053+N(F1053)),N('Fee Settings'!$C$9)),0),""))</f>
        <v/>
      </c>
      <c r="L1053" s="14" t="str">
        <f>IF(C1053="","",IFERROR(D1053*N(INDEX(Products!$C$5:$C$29,MATCH(C1053,Lists!$A$2:$A$26,0))),""))</f>
        <v/>
      </c>
      <c r="M1053" s="15" t="str">
        <f t="shared" si="16"/>
        <v/>
      </c>
    </row>
    <row r="1054" spans="1:13" x14ac:dyDescent="0.35">
      <c r="A1054" s="11"/>
      <c r="B1054" s="12"/>
      <c r="C1054" s="12"/>
      <c r="D1054" s="12"/>
      <c r="E1054" s="13"/>
      <c r="F1054" s="13"/>
      <c r="G1054" s="13"/>
      <c r="H1054" s="13"/>
      <c r="I1054" s="12"/>
      <c r="J1054" s="13"/>
      <c r="K1054" s="14" t="str">
        <f>IF(C1054="","",IFERROR(N('Fee Settings'!$C$5)*(E1054+N(F1054)-N(J1054))+N('Fee Settings'!$C$6)*(E1054+N(F1054)+N(G1054))+N('Fee Settings'!$C$7)+N('Fee Settings'!$C$10)*D1054+IF(I1054="Yes",MIN(N('Fee Settings'!$C$8)*(E1054+N(F1054)),N('Fee Settings'!$C$9)),0),""))</f>
        <v/>
      </c>
      <c r="L1054" s="14" t="str">
        <f>IF(C1054="","",IFERROR(D1054*N(INDEX(Products!$C$5:$C$29,MATCH(C1054,Lists!$A$2:$A$26,0))),""))</f>
        <v/>
      </c>
      <c r="M1054" s="15" t="str">
        <f t="shared" si="16"/>
        <v/>
      </c>
    </row>
    <row r="1055" spans="1:13" x14ac:dyDescent="0.35">
      <c r="A1055" s="11"/>
      <c r="B1055" s="12"/>
      <c r="C1055" s="12"/>
      <c r="D1055" s="12"/>
      <c r="E1055" s="13"/>
      <c r="F1055" s="13"/>
      <c r="G1055" s="13"/>
      <c r="H1055" s="13"/>
      <c r="I1055" s="12"/>
      <c r="J1055" s="13"/>
      <c r="K1055" s="14" t="str">
        <f>IF(C1055="","",IFERROR(N('Fee Settings'!$C$5)*(E1055+N(F1055)-N(J1055))+N('Fee Settings'!$C$6)*(E1055+N(F1055)+N(G1055))+N('Fee Settings'!$C$7)+N('Fee Settings'!$C$10)*D1055+IF(I1055="Yes",MIN(N('Fee Settings'!$C$8)*(E1055+N(F1055)),N('Fee Settings'!$C$9)),0),""))</f>
        <v/>
      </c>
      <c r="L1055" s="14" t="str">
        <f>IF(C1055="","",IFERROR(D1055*N(INDEX(Products!$C$5:$C$29,MATCH(C1055,Lists!$A$2:$A$26,0))),""))</f>
        <v/>
      </c>
      <c r="M1055" s="15" t="str">
        <f t="shared" si="16"/>
        <v/>
      </c>
    </row>
    <row r="1056" spans="1:13" x14ac:dyDescent="0.35">
      <c r="A1056" s="11"/>
      <c r="B1056" s="12"/>
      <c r="C1056" s="12"/>
      <c r="D1056" s="12"/>
      <c r="E1056" s="13"/>
      <c r="F1056" s="13"/>
      <c r="G1056" s="13"/>
      <c r="H1056" s="13"/>
      <c r="I1056" s="12"/>
      <c r="J1056" s="13"/>
      <c r="K1056" s="14" t="str">
        <f>IF(C1056="","",IFERROR(N('Fee Settings'!$C$5)*(E1056+N(F1056)-N(J1056))+N('Fee Settings'!$C$6)*(E1056+N(F1056)+N(G1056))+N('Fee Settings'!$C$7)+N('Fee Settings'!$C$10)*D1056+IF(I1056="Yes",MIN(N('Fee Settings'!$C$8)*(E1056+N(F1056)),N('Fee Settings'!$C$9)),0),""))</f>
        <v/>
      </c>
      <c r="L1056" s="14" t="str">
        <f>IF(C1056="","",IFERROR(D1056*N(INDEX(Products!$C$5:$C$29,MATCH(C1056,Lists!$A$2:$A$26,0))),""))</f>
        <v/>
      </c>
      <c r="M1056" s="15" t="str">
        <f t="shared" si="16"/>
        <v/>
      </c>
    </row>
    <row r="1057" spans="1:13" x14ac:dyDescent="0.35">
      <c r="A1057" s="11"/>
      <c r="B1057" s="12"/>
      <c r="C1057" s="12"/>
      <c r="D1057" s="12"/>
      <c r="E1057" s="13"/>
      <c r="F1057" s="13"/>
      <c r="G1057" s="13"/>
      <c r="H1057" s="13"/>
      <c r="I1057" s="12"/>
      <c r="J1057" s="13"/>
      <c r="K1057" s="14" t="str">
        <f>IF(C1057="","",IFERROR(N('Fee Settings'!$C$5)*(E1057+N(F1057)-N(J1057))+N('Fee Settings'!$C$6)*(E1057+N(F1057)+N(G1057))+N('Fee Settings'!$C$7)+N('Fee Settings'!$C$10)*D1057+IF(I1057="Yes",MIN(N('Fee Settings'!$C$8)*(E1057+N(F1057)),N('Fee Settings'!$C$9)),0),""))</f>
        <v/>
      </c>
      <c r="L1057" s="14" t="str">
        <f>IF(C1057="","",IFERROR(D1057*N(INDEX(Products!$C$5:$C$29,MATCH(C1057,Lists!$A$2:$A$26,0))),""))</f>
        <v/>
      </c>
      <c r="M1057" s="15" t="str">
        <f t="shared" si="16"/>
        <v/>
      </c>
    </row>
    <row r="1058" spans="1:13" x14ac:dyDescent="0.35">
      <c r="A1058" s="11"/>
      <c r="B1058" s="12"/>
      <c r="C1058" s="12"/>
      <c r="D1058" s="12"/>
      <c r="E1058" s="13"/>
      <c r="F1058" s="13"/>
      <c r="G1058" s="13"/>
      <c r="H1058" s="13"/>
      <c r="I1058" s="12"/>
      <c r="J1058" s="13"/>
      <c r="K1058" s="14" t="str">
        <f>IF(C1058="","",IFERROR(N('Fee Settings'!$C$5)*(E1058+N(F1058)-N(J1058))+N('Fee Settings'!$C$6)*(E1058+N(F1058)+N(G1058))+N('Fee Settings'!$C$7)+N('Fee Settings'!$C$10)*D1058+IF(I1058="Yes",MIN(N('Fee Settings'!$C$8)*(E1058+N(F1058)),N('Fee Settings'!$C$9)),0),""))</f>
        <v/>
      </c>
      <c r="L1058" s="14" t="str">
        <f>IF(C1058="","",IFERROR(D1058*N(INDEX(Products!$C$5:$C$29,MATCH(C1058,Lists!$A$2:$A$26,0))),""))</f>
        <v/>
      </c>
      <c r="M1058" s="15" t="str">
        <f t="shared" si="16"/>
        <v/>
      </c>
    </row>
    <row r="1059" spans="1:13" x14ac:dyDescent="0.35">
      <c r="A1059" s="11"/>
      <c r="B1059" s="12"/>
      <c r="C1059" s="12"/>
      <c r="D1059" s="12"/>
      <c r="E1059" s="13"/>
      <c r="F1059" s="13"/>
      <c r="G1059" s="13"/>
      <c r="H1059" s="13"/>
      <c r="I1059" s="12"/>
      <c r="J1059" s="13"/>
      <c r="K1059" s="14" t="str">
        <f>IF(C1059="","",IFERROR(N('Fee Settings'!$C$5)*(E1059+N(F1059)-N(J1059))+N('Fee Settings'!$C$6)*(E1059+N(F1059)+N(G1059))+N('Fee Settings'!$C$7)+N('Fee Settings'!$C$10)*D1059+IF(I1059="Yes",MIN(N('Fee Settings'!$C$8)*(E1059+N(F1059)),N('Fee Settings'!$C$9)),0),""))</f>
        <v/>
      </c>
      <c r="L1059" s="14" t="str">
        <f>IF(C1059="","",IFERROR(D1059*N(INDEX(Products!$C$5:$C$29,MATCH(C1059,Lists!$A$2:$A$26,0))),""))</f>
        <v/>
      </c>
      <c r="M1059" s="15" t="str">
        <f t="shared" si="16"/>
        <v/>
      </c>
    </row>
    <row r="1060" spans="1:13" x14ac:dyDescent="0.35">
      <c r="A1060" s="11"/>
      <c r="B1060" s="12"/>
      <c r="C1060" s="12"/>
      <c r="D1060" s="12"/>
      <c r="E1060" s="13"/>
      <c r="F1060" s="13"/>
      <c r="G1060" s="13"/>
      <c r="H1060" s="13"/>
      <c r="I1060" s="12"/>
      <c r="J1060" s="13"/>
      <c r="K1060" s="14" t="str">
        <f>IF(C1060="","",IFERROR(N('Fee Settings'!$C$5)*(E1060+N(F1060)-N(J1060))+N('Fee Settings'!$C$6)*(E1060+N(F1060)+N(G1060))+N('Fee Settings'!$C$7)+N('Fee Settings'!$C$10)*D1060+IF(I1060="Yes",MIN(N('Fee Settings'!$C$8)*(E1060+N(F1060)),N('Fee Settings'!$C$9)),0),""))</f>
        <v/>
      </c>
      <c r="L1060" s="14" t="str">
        <f>IF(C1060="","",IFERROR(D1060*N(INDEX(Products!$C$5:$C$29,MATCH(C1060,Lists!$A$2:$A$26,0))),""))</f>
        <v/>
      </c>
      <c r="M1060" s="15" t="str">
        <f t="shared" si="16"/>
        <v/>
      </c>
    </row>
    <row r="1061" spans="1:13" x14ac:dyDescent="0.35">
      <c r="A1061" s="11"/>
      <c r="B1061" s="12"/>
      <c r="C1061" s="12"/>
      <c r="D1061" s="12"/>
      <c r="E1061" s="13"/>
      <c r="F1061" s="13"/>
      <c r="G1061" s="13"/>
      <c r="H1061" s="13"/>
      <c r="I1061" s="12"/>
      <c r="J1061" s="13"/>
      <c r="K1061" s="14" t="str">
        <f>IF(C1061="","",IFERROR(N('Fee Settings'!$C$5)*(E1061+N(F1061)-N(J1061))+N('Fee Settings'!$C$6)*(E1061+N(F1061)+N(G1061))+N('Fee Settings'!$C$7)+N('Fee Settings'!$C$10)*D1061+IF(I1061="Yes",MIN(N('Fee Settings'!$C$8)*(E1061+N(F1061)),N('Fee Settings'!$C$9)),0),""))</f>
        <v/>
      </c>
      <c r="L1061" s="14" t="str">
        <f>IF(C1061="","",IFERROR(D1061*N(INDEX(Products!$C$5:$C$29,MATCH(C1061,Lists!$A$2:$A$26,0))),""))</f>
        <v/>
      </c>
      <c r="M1061" s="15" t="str">
        <f t="shared" si="16"/>
        <v/>
      </c>
    </row>
    <row r="1062" spans="1:13" x14ac:dyDescent="0.35">
      <c r="A1062" s="11"/>
      <c r="B1062" s="12"/>
      <c r="C1062" s="12"/>
      <c r="D1062" s="12"/>
      <c r="E1062" s="13"/>
      <c r="F1062" s="13"/>
      <c r="G1062" s="13"/>
      <c r="H1062" s="13"/>
      <c r="I1062" s="12"/>
      <c r="J1062" s="13"/>
      <c r="K1062" s="14" t="str">
        <f>IF(C1062="","",IFERROR(N('Fee Settings'!$C$5)*(E1062+N(F1062)-N(J1062))+N('Fee Settings'!$C$6)*(E1062+N(F1062)+N(G1062))+N('Fee Settings'!$C$7)+N('Fee Settings'!$C$10)*D1062+IF(I1062="Yes",MIN(N('Fee Settings'!$C$8)*(E1062+N(F1062)),N('Fee Settings'!$C$9)),0),""))</f>
        <v/>
      </c>
      <c r="L1062" s="14" t="str">
        <f>IF(C1062="","",IFERROR(D1062*N(INDEX(Products!$C$5:$C$29,MATCH(C1062,Lists!$A$2:$A$26,0))),""))</f>
        <v/>
      </c>
      <c r="M1062" s="15" t="str">
        <f t="shared" si="16"/>
        <v/>
      </c>
    </row>
    <row r="1063" spans="1:13" x14ac:dyDescent="0.35">
      <c r="A1063" s="11"/>
      <c r="B1063" s="12"/>
      <c r="C1063" s="12"/>
      <c r="D1063" s="12"/>
      <c r="E1063" s="13"/>
      <c r="F1063" s="13"/>
      <c r="G1063" s="13"/>
      <c r="H1063" s="13"/>
      <c r="I1063" s="12"/>
      <c r="J1063" s="13"/>
      <c r="K1063" s="14" t="str">
        <f>IF(C1063="","",IFERROR(N('Fee Settings'!$C$5)*(E1063+N(F1063)-N(J1063))+N('Fee Settings'!$C$6)*(E1063+N(F1063)+N(G1063))+N('Fee Settings'!$C$7)+N('Fee Settings'!$C$10)*D1063+IF(I1063="Yes",MIN(N('Fee Settings'!$C$8)*(E1063+N(F1063)),N('Fee Settings'!$C$9)),0),""))</f>
        <v/>
      </c>
      <c r="L1063" s="14" t="str">
        <f>IF(C1063="","",IFERROR(D1063*N(INDEX(Products!$C$5:$C$29,MATCH(C1063,Lists!$A$2:$A$26,0))),""))</f>
        <v/>
      </c>
      <c r="M1063" s="15" t="str">
        <f t="shared" si="16"/>
        <v/>
      </c>
    </row>
    <row r="1064" spans="1:13" x14ac:dyDescent="0.35">
      <c r="A1064" s="11"/>
      <c r="B1064" s="12"/>
      <c r="C1064" s="12"/>
      <c r="D1064" s="12"/>
      <c r="E1064" s="13"/>
      <c r="F1064" s="13"/>
      <c r="G1064" s="13"/>
      <c r="H1064" s="13"/>
      <c r="I1064" s="12"/>
      <c r="J1064" s="13"/>
      <c r="K1064" s="14" t="str">
        <f>IF(C1064="","",IFERROR(N('Fee Settings'!$C$5)*(E1064+N(F1064)-N(J1064))+N('Fee Settings'!$C$6)*(E1064+N(F1064)+N(G1064))+N('Fee Settings'!$C$7)+N('Fee Settings'!$C$10)*D1064+IF(I1064="Yes",MIN(N('Fee Settings'!$C$8)*(E1064+N(F1064)),N('Fee Settings'!$C$9)),0),""))</f>
        <v/>
      </c>
      <c r="L1064" s="14" t="str">
        <f>IF(C1064="","",IFERROR(D1064*N(INDEX(Products!$C$5:$C$29,MATCH(C1064,Lists!$A$2:$A$26,0))),""))</f>
        <v/>
      </c>
      <c r="M1064" s="15" t="str">
        <f t="shared" si="16"/>
        <v/>
      </c>
    </row>
    <row r="1065" spans="1:13" x14ac:dyDescent="0.35">
      <c r="A1065" s="11"/>
      <c r="B1065" s="12"/>
      <c r="C1065" s="12"/>
      <c r="D1065" s="12"/>
      <c r="E1065" s="13"/>
      <c r="F1065" s="13"/>
      <c r="G1065" s="13"/>
      <c r="H1065" s="13"/>
      <c r="I1065" s="12"/>
      <c r="J1065" s="13"/>
      <c r="K1065" s="14" t="str">
        <f>IF(C1065="","",IFERROR(N('Fee Settings'!$C$5)*(E1065+N(F1065)-N(J1065))+N('Fee Settings'!$C$6)*(E1065+N(F1065)+N(G1065))+N('Fee Settings'!$C$7)+N('Fee Settings'!$C$10)*D1065+IF(I1065="Yes",MIN(N('Fee Settings'!$C$8)*(E1065+N(F1065)),N('Fee Settings'!$C$9)),0),""))</f>
        <v/>
      </c>
      <c r="L1065" s="14" t="str">
        <f>IF(C1065="","",IFERROR(D1065*N(INDEX(Products!$C$5:$C$29,MATCH(C1065,Lists!$A$2:$A$26,0))),""))</f>
        <v/>
      </c>
      <c r="M1065" s="15" t="str">
        <f t="shared" si="16"/>
        <v/>
      </c>
    </row>
    <row r="1066" spans="1:13" x14ac:dyDescent="0.35">
      <c r="A1066" s="11"/>
      <c r="B1066" s="12"/>
      <c r="C1066" s="12"/>
      <c r="D1066" s="12"/>
      <c r="E1066" s="13"/>
      <c r="F1066" s="13"/>
      <c r="G1066" s="13"/>
      <c r="H1066" s="13"/>
      <c r="I1066" s="12"/>
      <c r="J1066" s="13"/>
      <c r="K1066" s="14" t="str">
        <f>IF(C1066="","",IFERROR(N('Fee Settings'!$C$5)*(E1066+N(F1066)-N(J1066))+N('Fee Settings'!$C$6)*(E1066+N(F1066)+N(G1066))+N('Fee Settings'!$C$7)+N('Fee Settings'!$C$10)*D1066+IF(I1066="Yes",MIN(N('Fee Settings'!$C$8)*(E1066+N(F1066)),N('Fee Settings'!$C$9)),0),""))</f>
        <v/>
      </c>
      <c r="L1066" s="14" t="str">
        <f>IF(C1066="","",IFERROR(D1066*N(INDEX(Products!$C$5:$C$29,MATCH(C1066,Lists!$A$2:$A$26,0))),""))</f>
        <v/>
      </c>
      <c r="M1066" s="15" t="str">
        <f t="shared" si="16"/>
        <v/>
      </c>
    </row>
    <row r="1067" spans="1:13" x14ac:dyDescent="0.35">
      <c r="A1067" s="11"/>
      <c r="B1067" s="12"/>
      <c r="C1067" s="12"/>
      <c r="D1067" s="12"/>
      <c r="E1067" s="13"/>
      <c r="F1067" s="13"/>
      <c r="G1067" s="13"/>
      <c r="H1067" s="13"/>
      <c r="I1067" s="12"/>
      <c r="J1067" s="13"/>
      <c r="K1067" s="14" t="str">
        <f>IF(C1067="","",IFERROR(N('Fee Settings'!$C$5)*(E1067+N(F1067)-N(J1067))+N('Fee Settings'!$C$6)*(E1067+N(F1067)+N(G1067))+N('Fee Settings'!$C$7)+N('Fee Settings'!$C$10)*D1067+IF(I1067="Yes",MIN(N('Fee Settings'!$C$8)*(E1067+N(F1067)),N('Fee Settings'!$C$9)),0),""))</f>
        <v/>
      </c>
      <c r="L1067" s="14" t="str">
        <f>IF(C1067="","",IFERROR(D1067*N(INDEX(Products!$C$5:$C$29,MATCH(C1067,Lists!$A$2:$A$26,0))),""))</f>
        <v/>
      </c>
      <c r="M1067" s="15" t="str">
        <f t="shared" si="16"/>
        <v/>
      </c>
    </row>
    <row r="1068" spans="1:13" x14ac:dyDescent="0.35">
      <c r="A1068" s="11"/>
      <c r="B1068" s="12"/>
      <c r="C1068" s="12"/>
      <c r="D1068" s="12"/>
      <c r="E1068" s="13"/>
      <c r="F1068" s="13"/>
      <c r="G1068" s="13"/>
      <c r="H1068" s="13"/>
      <c r="I1068" s="12"/>
      <c r="J1068" s="13"/>
      <c r="K1068" s="14" t="str">
        <f>IF(C1068="","",IFERROR(N('Fee Settings'!$C$5)*(E1068+N(F1068)-N(J1068))+N('Fee Settings'!$C$6)*(E1068+N(F1068)+N(G1068))+N('Fee Settings'!$C$7)+N('Fee Settings'!$C$10)*D1068+IF(I1068="Yes",MIN(N('Fee Settings'!$C$8)*(E1068+N(F1068)),N('Fee Settings'!$C$9)),0),""))</f>
        <v/>
      </c>
      <c r="L1068" s="14" t="str">
        <f>IF(C1068="","",IFERROR(D1068*N(INDEX(Products!$C$5:$C$29,MATCH(C1068,Lists!$A$2:$A$26,0))),""))</f>
        <v/>
      </c>
      <c r="M1068" s="15" t="str">
        <f t="shared" si="16"/>
        <v/>
      </c>
    </row>
    <row r="1069" spans="1:13" x14ac:dyDescent="0.35">
      <c r="A1069" s="11"/>
      <c r="B1069" s="12"/>
      <c r="C1069" s="12"/>
      <c r="D1069" s="12"/>
      <c r="E1069" s="13"/>
      <c r="F1069" s="13"/>
      <c r="G1069" s="13"/>
      <c r="H1069" s="13"/>
      <c r="I1069" s="12"/>
      <c r="J1069" s="13"/>
      <c r="K1069" s="14" t="str">
        <f>IF(C1069="","",IFERROR(N('Fee Settings'!$C$5)*(E1069+N(F1069)-N(J1069))+N('Fee Settings'!$C$6)*(E1069+N(F1069)+N(G1069))+N('Fee Settings'!$C$7)+N('Fee Settings'!$C$10)*D1069+IF(I1069="Yes",MIN(N('Fee Settings'!$C$8)*(E1069+N(F1069)),N('Fee Settings'!$C$9)),0),""))</f>
        <v/>
      </c>
      <c r="L1069" s="14" t="str">
        <f>IF(C1069="","",IFERROR(D1069*N(INDEX(Products!$C$5:$C$29,MATCH(C1069,Lists!$A$2:$A$26,0))),""))</f>
        <v/>
      </c>
      <c r="M1069" s="15" t="str">
        <f t="shared" si="16"/>
        <v/>
      </c>
    </row>
    <row r="1070" spans="1:13" x14ac:dyDescent="0.35">
      <c r="A1070" s="11"/>
      <c r="B1070" s="12"/>
      <c r="C1070" s="12"/>
      <c r="D1070" s="12"/>
      <c r="E1070" s="13"/>
      <c r="F1070" s="13"/>
      <c r="G1070" s="13"/>
      <c r="H1070" s="13"/>
      <c r="I1070" s="12"/>
      <c r="J1070" s="13"/>
      <c r="K1070" s="14" t="str">
        <f>IF(C1070="","",IFERROR(N('Fee Settings'!$C$5)*(E1070+N(F1070)-N(J1070))+N('Fee Settings'!$C$6)*(E1070+N(F1070)+N(G1070))+N('Fee Settings'!$C$7)+N('Fee Settings'!$C$10)*D1070+IF(I1070="Yes",MIN(N('Fee Settings'!$C$8)*(E1070+N(F1070)),N('Fee Settings'!$C$9)),0),""))</f>
        <v/>
      </c>
      <c r="L1070" s="14" t="str">
        <f>IF(C1070="","",IFERROR(D1070*N(INDEX(Products!$C$5:$C$29,MATCH(C1070,Lists!$A$2:$A$26,0))),""))</f>
        <v/>
      </c>
      <c r="M1070" s="15" t="str">
        <f t="shared" si="16"/>
        <v/>
      </c>
    </row>
    <row r="1071" spans="1:13" x14ac:dyDescent="0.35">
      <c r="A1071" s="11"/>
      <c r="B1071" s="12"/>
      <c r="C1071" s="12"/>
      <c r="D1071" s="12"/>
      <c r="E1071" s="13"/>
      <c r="F1071" s="13"/>
      <c r="G1071" s="13"/>
      <c r="H1071" s="13"/>
      <c r="I1071" s="12"/>
      <c r="J1071" s="13"/>
      <c r="K1071" s="14" t="str">
        <f>IF(C1071="","",IFERROR(N('Fee Settings'!$C$5)*(E1071+N(F1071)-N(J1071))+N('Fee Settings'!$C$6)*(E1071+N(F1071)+N(G1071))+N('Fee Settings'!$C$7)+N('Fee Settings'!$C$10)*D1071+IF(I1071="Yes",MIN(N('Fee Settings'!$C$8)*(E1071+N(F1071)),N('Fee Settings'!$C$9)),0),""))</f>
        <v/>
      </c>
      <c r="L1071" s="14" t="str">
        <f>IF(C1071="","",IFERROR(D1071*N(INDEX(Products!$C$5:$C$29,MATCH(C1071,Lists!$A$2:$A$26,0))),""))</f>
        <v/>
      </c>
      <c r="M1071" s="15" t="str">
        <f t="shared" si="16"/>
        <v/>
      </c>
    </row>
    <row r="1072" spans="1:13" x14ac:dyDescent="0.35">
      <c r="A1072" s="11"/>
      <c r="B1072" s="12"/>
      <c r="C1072" s="12"/>
      <c r="D1072" s="12"/>
      <c r="E1072" s="13"/>
      <c r="F1072" s="13"/>
      <c r="G1072" s="13"/>
      <c r="H1072" s="13"/>
      <c r="I1072" s="12"/>
      <c r="J1072" s="13"/>
      <c r="K1072" s="14" t="str">
        <f>IF(C1072="","",IFERROR(N('Fee Settings'!$C$5)*(E1072+N(F1072)-N(J1072))+N('Fee Settings'!$C$6)*(E1072+N(F1072)+N(G1072))+N('Fee Settings'!$C$7)+N('Fee Settings'!$C$10)*D1072+IF(I1072="Yes",MIN(N('Fee Settings'!$C$8)*(E1072+N(F1072)),N('Fee Settings'!$C$9)),0),""))</f>
        <v/>
      </c>
      <c r="L1072" s="14" t="str">
        <f>IF(C1072="","",IFERROR(D1072*N(INDEX(Products!$C$5:$C$29,MATCH(C1072,Lists!$A$2:$A$26,0))),""))</f>
        <v/>
      </c>
      <c r="M1072" s="15" t="str">
        <f t="shared" si="16"/>
        <v/>
      </c>
    </row>
    <row r="1073" spans="1:13" x14ac:dyDescent="0.35">
      <c r="A1073" s="11"/>
      <c r="B1073" s="12"/>
      <c r="C1073" s="12"/>
      <c r="D1073" s="12"/>
      <c r="E1073" s="13"/>
      <c r="F1073" s="13"/>
      <c r="G1073" s="13"/>
      <c r="H1073" s="13"/>
      <c r="I1073" s="12"/>
      <c r="J1073" s="13"/>
      <c r="K1073" s="14" t="str">
        <f>IF(C1073="","",IFERROR(N('Fee Settings'!$C$5)*(E1073+N(F1073)-N(J1073))+N('Fee Settings'!$C$6)*(E1073+N(F1073)+N(G1073))+N('Fee Settings'!$C$7)+N('Fee Settings'!$C$10)*D1073+IF(I1073="Yes",MIN(N('Fee Settings'!$C$8)*(E1073+N(F1073)),N('Fee Settings'!$C$9)),0),""))</f>
        <v/>
      </c>
      <c r="L1073" s="14" t="str">
        <f>IF(C1073="","",IFERROR(D1073*N(INDEX(Products!$C$5:$C$29,MATCH(C1073,Lists!$A$2:$A$26,0))),""))</f>
        <v/>
      </c>
      <c r="M1073" s="15" t="str">
        <f t="shared" si="16"/>
        <v/>
      </c>
    </row>
    <row r="1074" spans="1:13" x14ac:dyDescent="0.35">
      <c r="A1074" s="11"/>
      <c r="B1074" s="12"/>
      <c r="C1074" s="12"/>
      <c r="D1074" s="12"/>
      <c r="E1074" s="13"/>
      <c r="F1074" s="13"/>
      <c r="G1074" s="13"/>
      <c r="H1074" s="13"/>
      <c r="I1074" s="12"/>
      <c r="J1074" s="13"/>
      <c r="K1074" s="14" t="str">
        <f>IF(C1074="","",IFERROR(N('Fee Settings'!$C$5)*(E1074+N(F1074)-N(J1074))+N('Fee Settings'!$C$6)*(E1074+N(F1074)+N(G1074))+N('Fee Settings'!$C$7)+N('Fee Settings'!$C$10)*D1074+IF(I1074="Yes",MIN(N('Fee Settings'!$C$8)*(E1074+N(F1074)),N('Fee Settings'!$C$9)),0),""))</f>
        <v/>
      </c>
      <c r="L1074" s="14" t="str">
        <f>IF(C1074="","",IFERROR(D1074*N(INDEX(Products!$C$5:$C$29,MATCH(C1074,Lists!$A$2:$A$26,0))),""))</f>
        <v/>
      </c>
      <c r="M1074" s="15" t="str">
        <f t="shared" si="16"/>
        <v/>
      </c>
    </row>
    <row r="1075" spans="1:13" x14ac:dyDescent="0.35">
      <c r="A1075" s="11"/>
      <c r="B1075" s="12"/>
      <c r="C1075" s="12"/>
      <c r="D1075" s="12"/>
      <c r="E1075" s="13"/>
      <c r="F1075" s="13"/>
      <c r="G1075" s="13"/>
      <c r="H1075" s="13"/>
      <c r="I1075" s="12"/>
      <c r="J1075" s="13"/>
      <c r="K1075" s="14" t="str">
        <f>IF(C1075="","",IFERROR(N('Fee Settings'!$C$5)*(E1075+N(F1075)-N(J1075))+N('Fee Settings'!$C$6)*(E1075+N(F1075)+N(G1075))+N('Fee Settings'!$C$7)+N('Fee Settings'!$C$10)*D1075+IF(I1075="Yes",MIN(N('Fee Settings'!$C$8)*(E1075+N(F1075)),N('Fee Settings'!$C$9)),0),""))</f>
        <v/>
      </c>
      <c r="L1075" s="14" t="str">
        <f>IF(C1075="","",IFERROR(D1075*N(INDEX(Products!$C$5:$C$29,MATCH(C1075,Lists!$A$2:$A$26,0))),""))</f>
        <v/>
      </c>
      <c r="M1075" s="15" t="str">
        <f t="shared" si="16"/>
        <v/>
      </c>
    </row>
    <row r="1076" spans="1:13" x14ac:dyDescent="0.35">
      <c r="A1076" s="11"/>
      <c r="B1076" s="12"/>
      <c r="C1076" s="12"/>
      <c r="D1076" s="12"/>
      <c r="E1076" s="13"/>
      <c r="F1076" s="13"/>
      <c r="G1076" s="13"/>
      <c r="H1076" s="13"/>
      <c r="I1076" s="12"/>
      <c r="J1076" s="13"/>
      <c r="K1076" s="14" t="str">
        <f>IF(C1076="","",IFERROR(N('Fee Settings'!$C$5)*(E1076+N(F1076)-N(J1076))+N('Fee Settings'!$C$6)*(E1076+N(F1076)+N(G1076))+N('Fee Settings'!$C$7)+N('Fee Settings'!$C$10)*D1076+IF(I1076="Yes",MIN(N('Fee Settings'!$C$8)*(E1076+N(F1076)),N('Fee Settings'!$C$9)),0),""))</f>
        <v/>
      </c>
      <c r="L1076" s="14" t="str">
        <f>IF(C1076="","",IFERROR(D1076*N(INDEX(Products!$C$5:$C$29,MATCH(C1076,Lists!$A$2:$A$26,0))),""))</f>
        <v/>
      </c>
      <c r="M1076" s="15" t="str">
        <f t="shared" si="16"/>
        <v/>
      </c>
    </row>
    <row r="1077" spans="1:13" x14ac:dyDescent="0.35">
      <c r="A1077" s="11"/>
      <c r="B1077" s="12"/>
      <c r="C1077" s="12"/>
      <c r="D1077" s="12"/>
      <c r="E1077" s="13"/>
      <c r="F1077" s="13"/>
      <c r="G1077" s="13"/>
      <c r="H1077" s="13"/>
      <c r="I1077" s="12"/>
      <c r="J1077" s="13"/>
      <c r="K1077" s="14" t="str">
        <f>IF(C1077="","",IFERROR(N('Fee Settings'!$C$5)*(E1077+N(F1077)-N(J1077))+N('Fee Settings'!$C$6)*(E1077+N(F1077)+N(G1077))+N('Fee Settings'!$C$7)+N('Fee Settings'!$C$10)*D1077+IF(I1077="Yes",MIN(N('Fee Settings'!$C$8)*(E1077+N(F1077)),N('Fee Settings'!$C$9)),0),""))</f>
        <v/>
      </c>
      <c r="L1077" s="14" t="str">
        <f>IF(C1077="","",IFERROR(D1077*N(INDEX(Products!$C$5:$C$29,MATCH(C1077,Lists!$A$2:$A$26,0))),""))</f>
        <v/>
      </c>
      <c r="M1077" s="15" t="str">
        <f t="shared" si="16"/>
        <v/>
      </c>
    </row>
    <row r="1078" spans="1:13" x14ac:dyDescent="0.35">
      <c r="A1078" s="11"/>
      <c r="B1078" s="12"/>
      <c r="C1078" s="12"/>
      <c r="D1078" s="12"/>
      <c r="E1078" s="13"/>
      <c r="F1078" s="13"/>
      <c r="G1078" s="13"/>
      <c r="H1078" s="13"/>
      <c r="I1078" s="12"/>
      <c r="J1078" s="13"/>
      <c r="K1078" s="14" t="str">
        <f>IF(C1078="","",IFERROR(N('Fee Settings'!$C$5)*(E1078+N(F1078)-N(J1078))+N('Fee Settings'!$C$6)*(E1078+N(F1078)+N(G1078))+N('Fee Settings'!$C$7)+N('Fee Settings'!$C$10)*D1078+IF(I1078="Yes",MIN(N('Fee Settings'!$C$8)*(E1078+N(F1078)),N('Fee Settings'!$C$9)),0),""))</f>
        <v/>
      </c>
      <c r="L1078" s="14" t="str">
        <f>IF(C1078="","",IFERROR(D1078*N(INDEX(Products!$C$5:$C$29,MATCH(C1078,Lists!$A$2:$A$26,0))),""))</f>
        <v/>
      </c>
      <c r="M1078" s="15" t="str">
        <f t="shared" si="16"/>
        <v/>
      </c>
    </row>
    <row r="1079" spans="1:13" x14ac:dyDescent="0.35">
      <c r="A1079" s="11"/>
      <c r="B1079" s="12"/>
      <c r="C1079" s="12"/>
      <c r="D1079" s="12"/>
      <c r="E1079" s="13"/>
      <c r="F1079" s="13"/>
      <c r="G1079" s="13"/>
      <c r="H1079" s="13"/>
      <c r="I1079" s="12"/>
      <c r="J1079" s="13"/>
      <c r="K1079" s="14" t="str">
        <f>IF(C1079="","",IFERROR(N('Fee Settings'!$C$5)*(E1079+N(F1079)-N(J1079))+N('Fee Settings'!$C$6)*(E1079+N(F1079)+N(G1079))+N('Fee Settings'!$C$7)+N('Fee Settings'!$C$10)*D1079+IF(I1079="Yes",MIN(N('Fee Settings'!$C$8)*(E1079+N(F1079)),N('Fee Settings'!$C$9)),0),""))</f>
        <v/>
      </c>
      <c r="L1079" s="14" t="str">
        <f>IF(C1079="","",IFERROR(D1079*N(INDEX(Products!$C$5:$C$29,MATCH(C1079,Lists!$A$2:$A$26,0))),""))</f>
        <v/>
      </c>
      <c r="M1079" s="15" t="str">
        <f t="shared" si="16"/>
        <v/>
      </c>
    </row>
    <row r="1080" spans="1:13" x14ac:dyDescent="0.35">
      <c r="A1080" s="11"/>
      <c r="B1080" s="12"/>
      <c r="C1080" s="12"/>
      <c r="D1080" s="12"/>
      <c r="E1080" s="13"/>
      <c r="F1080" s="13"/>
      <c r="G1080" s="13"/>
      <c r="H1080" s="13"/>
      <c r="I1080" s="12"/>
      <c r="J1080" s="13"/>
      <c r="K1080" s="14" t="str">
        <f>IF(C1080="","",IFERROR(N('Fee Settings'!$C$5)*(E1080+N(F1080)-N(J1080))+N('Fee Settings'!$C$6)*(E1080+N(F1080)+N(G1080))+N('Fee Settings'!$C$7)+N('Fee Settings'!$C$10)*D1080+IF(I1080="Yes",MIN(N('Fee Settings'!$C$8)*(E1080+N(F1080)),N('Fee Settings'!$C$9)),0),""))</f>
        <v/>
      </c>
      <c r="L1080" s="14" t="str">
        <f>IF(C1080="","",IFERROR(D1080*N(INDEX(Products!$C$5:$C$29,MATCH(C1080,Lists!$A$2:$A$26,0))),""))</f>
        <v/>
      </c>
      <c r="M1080" s="15" t="str">
        <f t="shared" si="16"/>
        <v/>
      </c>
    </row>
    <row r="1081" spans="1:13" x14ac:dyDescent="0.35">
      <c r="A1081" s="11"/>
      <c r="B1081" s="12"/>
      <c r="C1081" s="12"/>
      <c r="D1081" s="12"/>
      <c r="E1081" s="13"/>
      <c r="F1081" s="13"/>
      <c r="G1081" s="13"/>
      <c r="H1081" s="13"/>
      <c r="I1081" s="12"/>
      <c r="J1081" s="13"/>
      <c r="K1081" s="14" t="str">
        <f>IF(C1081="","",IFERROR(N('Fee Settings'!$C$5)*(E1081+N(F1081)-N(J1081))+N('Fee Settings'!$C$6)*(E1081+N(F1081)+N(G1081))+N('Fee Settings'!$C$7)+N('Fee Settings'!$C$10)*D1081+IF(I1081="Yes",MIN(N('Fee Settings'!$C$8)*(E1081+N(F1081)),N('Fee Settings'!$C$9)),0),""))</f>
        <v/>
      </c>
      <c r="L1081" s="14" t="str">
        <f>IF(C1081="","",IFERROR(D1081*N(INDEX(Products!$C$5:$C$29,MATCH(C1081,Lists!$A$2:$A$26,0))),""))</f>
        <v/>
      </c>
      <c r="M1081" s="15" t="str">
        <f t="shared" si="16"/>
        <v/>
      </c>
    </row>
    <row r="1082" spans="1:13" x14ac:dyDescent="0.35">
      <c r="A1082" s="11"/>
      <c r="B1082" s="12"/>
      <c r="C1082" s="12"/>
      <c r="D1082" s="12"/>
      <c r="E1082" s="13"/>
      <c r="F1082" s="13"/>
      <c r="G1082" s="13"/>
      <c r="H1082" s="13"/>
      <c r="I1082" s="12"/>
      <c r="J1082" s="13"/>
      <c r="K1082" s="14" t="str">
        <f>IF(C1082="","",IFERROR(N('Fee Settings'!$C$5)*(E1082+N(F1082)-N(J1082))+N('Fee Settings'!$C$6)*(E1082+N(F1082)+N(G1082))+N('Fee Settings'!$C$7)+N('Fee Settings'!$C$10)*D1082+IF(I1082="Yes",MIN(N('Fee Settings'!$C$8)*(E1082+N(F1082)),N('Fee Settings'!$C$9)),0),""))</f>
        <v/>
      </c>
      <c r="L1082" s="14" t="str">
        <f>IF(C1082="","",IFERROR(D1082*N(INDEX(Products!$C$5:$C$29,MATCH(C1082,Lists!$A$2:$A$26,0))),""))</f>
        <v/>
      </c>
      <c r="M1082" s="15" t="str">
        <f t="shared" si="16"/>
        <v/>
      </c>
    </row>
    <row r="1083" spans="1:13" x14ac:dyDescent="0.35">
      <c r="A1083" s="11"/>
      <c r="B1083" s="12"/>
      <c r="C1083" s="12"/>
      <c r="D1083" s="12"/>
      <c r="E1083" s="13"/>
      <c r="F1083" s="13"/>
      <c r="G1083" s="13"/>
      <c r="H1083" s="13"/>
      <c r="I1083" s="12"/>
      <c r="J1083" s="13"/>
      <c r="K1083" s="14" t="str">
        <f>IF(C1083="","",IFERROR(N('Fee Settings'!$C$5)*(E1083+N(F1083)-N(J1083))+N('Fee Settings'!$C$6)*(E1083+N(F1083)+N(G1083))+N('Fee Settings'!$C$7)+N('Fee Settings'!$C$10)*D1083+IF(I1083="Yes",MIN(N('Fee Settings'!$C$8)*(E1083+N(F1083)),N('Fee Settings'!$C$9)),0),""))</f>
        <v/>
      </c>
      <c r="L1083" s="14" t="str">
        <f>IF(C1083="","",IFERROR(D1083*N(INDEX(Products!$C$5:$C$29,MATCH(C1083,Lists!$A$2:$A$26,0))),""))</f>
        <v/>
      </c>
      <c r="M1083" s="15" t="str">
        <f t="shared" si="16"/>
        <v/>
      </c>
    </row>
    <row r="1084" spans="1:13" x14ac:dyDescent="0.35">
      <c r="A1084" s="11"/>
      <c r="B1084" s="12"/>
      <c r="C1084" s="12"/>
      <c r="D1084" s="12"/>
      <c r="E1084" s="13"/>
      <c r="F1084" s="13"/>
      <c r="G1084" s="13"/>
      <c r="H1084" s="13"/>
      <c r="I1084" s="12"/>
      <c r="J1084" s="13"/>
      <c r="K1084" s="14" t="str">
        <f>IF(C1084="","",IFERROR(N('Fee Settings'!$C$5)*(E1084+N(F1084)-N(J1084))+N('Fee Settings'!$C$6)*(E1084+N(F1084)+N(G1084))+N('Fee Settings'!$C$7)+N('Fee Settings'!$C$10)*D1084+IF(I1084="Yes",MIN(N('Fee Settings'!$C$8)*(E1084+N(F1084)),N('Fee Settings'!$C$9)),0),""))</f>
        <v/>
      </c>
      <c r="L1084" s="14" t="str">
        <f>IF(C1084="","",IFERROR(D1084*N(INDEX(Products!$C$5:$C$29,MATCH(C1084,Lists!$A$2:$A$26,0))),""))</f>
        <v/>
      </c>
      <c r="M1084" s="15" t="str">
        <f t="shared" si="16"/>
        <v/>
      </c>
    </row>
    <row r="1085" spans="1:13" x14ac:dyDescent="0.35">
      <c r="A1085" s="11"/>
      <c r="B1085" s="12"/>
      <c r="C1085" s="12"/>
      <c r="D1085" s="12"/>
      <c r="E1085" s="13"/>
      <c r="F1085" s="13"/>
      <c r="G1085" s="13"/>
      <c r="H1085" s="13"/>
      <c r="I1085" s="12"/>
      <c r="J1085" s="13"/>
      <c r="K1085" s="14" t="str">
        <f>IF(C1085="","",IFERROR(N('Fee Settings'!$C$5)*(E1085+N(F1085)-N(J1085))+N('Fee Settings'!$C$6)*(E1085+N(F1085)+N(G1085))+N('Fee Settings'!$C$7)+N('Fee Settings'!$C$10)*D1085+IF(I1085="Yes",MIN(N('Fee Settings'!$C$8)*(E1085+N(F1085)),N('Fee Settings'!$C$9)),0),""))</f>
        <v/>
      </c>
      <c r="L1085" s="14" t="str">
        <f>IF(C1085="","",IFERROR(D1085*N(INDEX(Products!$C$5:$C$29,MATCH(C1085,Lists!$A$2:$A$26,0))),""))</f>
        <v/>
      </c>
      <c r="M1085" s="15" t="str">
        <f t="shared" si="16"/>
        <v/>
      </c>
    </row>
    <row r="1086" spans="1:13" x14ac:dyDescent="0.35">
      <c r="A1086" s="11"/>
      <c r="B1086" s="12"/>
      <c r="C1086" s="12"/>
      <c r="D1086" s="12"/>
      <c r="E1086" s="13"/>
      <c r="F1086" s="13"/>
      <c r="G1086" s="13"/>
      <c r="H1086" s="13"/>
      <c r="I1086" s="12"/>
      <c r="J1086" s="13"/>
      <c r="K1086" s="14" t="str">
        <f>IF(C1086="","",IFERROR(N('Fee Settings'!$C$5)*(E1086+N(F1086)-N(J1086))+N('Fee Settings'!$C$6)*(E1086+N(F1086)+N(G1086))+N('Fee Settings'!$C$7)+N('Fee Settings'!$C$10)*D1086+IF(I1086="Yes",MIN(N('Fee Settings'!$C$8)*(E1086+N(F1086)),N('Fee Settings'!$C$9)),0),""))</f>
        <v/>
      </c>
      <c r="L1086" s="14" t="str">
        <f>IF(C1086="","",IFERROR(D1086*N(INDEX(Products!$C$5:$C$29,MATCH(C1086,Lists!$A$2:$A$26,0))),""))</f>
        <v/>
      </c>
      <c r="M1086" s="15" t="str">
        <f t="shared" si="16"/>
        <v/>
      </c>
    </row>
    <row r="1087" spans="1:13" x14ac:dyDescent="0.35">
      <c r="A1087" s="11"/>
      <c r="B1087" s="12"/>
      <c r="C1087" s="12"/>
      <c r="D1087" s="12"/>
      <c r="E1087" s="13"/>
      <c r="F1087" s="13"/>
      <c r="G1087" s="13"/>
      <c r="H1087" s="13"/>
      <c r="I1087" s="12"/>
      <c r="J1087" s="13"/>
      <c r="K1087" s="14" t="str">
        <f>IF(C1087="","",IFERROR(N('Fee Settings'!$C$5)*(E1087+N(F1087)-N(J1087))+N('Fee Settings'!$C$6)*(E1087+N(F1087)+N(G1087))+N('Fee Settings'!$C$7)+N('Fee Settings'!$C$10)*D1087+IF(I1087="Yes",MIN(N('Fee Settings'!$C$8)*(E1087+N(F1087)),N('Fee Settings'!$C$9)),0),""))</f>
        <v/>
      </c>
      <c r="L1087" s="14" t="str">
        <f>IF(C1087="","",IFERROR(D1087*N(INDEX(Products!$C$5:$C$29,MATCH(C1087,Lists!$A$2:$A$26,0))),""))</f>
        <v/>
      </c>
      <c r="M1087" s="15" t="str">
        <f t="shared" si="16"/>
        <v/>
      </c>
    </row>
    <row r="1088" spans="1:13" x14ac:dyDescent="0.35">
      <c r="A1088" s="11"/>
      <c r="B1088" s="12"/>
      <c r="C1088" s="12"/>
      <c r="D1088" s="12"/>
      <c r="E1088" s="13"/>
      <c r="F1088" s="13"/>
      <c r="G1088" s="13"/>
      <c r="H1088" s="13"/>
      <c r="I1088" s="12"/>
      <c r="J1088" s="13"/>
      <c r="K1088" s="14" t="str">
        <f>IF(C1088="","",IFERROR(N('Fee Settings'!$C$5)*(E1088+N(F1088)-N(J1088))+N('Fee Settings'!$C$6)*(E1088+N(F1088)+N(G1088))+N('Fee Settings'!$C$7)+N('Fee Settings'!$C$10)*D1088+IF(I1088="Yes",MIN(N('Fee Settings'!$C$8)*(E1088+N(F1088)),N('Fee Settings'!$C$9)),0),""))</f>
        <v/>
      </c>
      <c r="L1088" s="14" t="str">
        <f>IF(C1088="","",IFERROR(D1088*N(INDEX(Products!$C$5:$C$29,MATCH(C1088,Lists!$A$2:$A$26,0))),""))</f>
        <v/>
      </c>
      <c r="M1088" s="15" t="str">
        <f t="shared" si="16"/>
        <v/>
      </c>
    </row>
    <row r="1089" spans="1:13" x14ac:dyDescent="0.35">
      <c r="A1089" s="11"/>
      <c r="B1089" s="12"/>
      <c r="C1089" s="12"/>
      <c r="D1089" s="12"/>
      <c r="E1089" s="13"/>
      <c r="F1089" s="13"/>
      <c r="G1089" s="13"/>
      <c r="H1089" s="13"/>
      <c r="I1089" s="12"/>
      <c r="J1089" s="13"/>
      <c r="K1089" s="14" t="str">
        <f>IF(C1089="","",IFERROR(N('Fee Settings'!$C$5)*(E1089+N(F1089)-N(J1089))+N('Fee Settings'!$C$6)*(E1089+N(F1089)+N(G1089))+N('Fee Settings'!$C$7)+N('Fee Settings'!$C$10)*D1089+IF(I1089="Yes",MIN(N('Fee Settings'!$C$8)*(E1089+N(F1089)),N('Fee Settings'!$C$9)),0),""))</f>
        <v/>
      </c>
      <c r="L1089" s="14" t="str">
        <f>IF(C1089="","",IFERROR(D1089*N(INDEX(Products!$C$5:$C$29,MATCH(C1089,Lists!$A$2:$A$26,0))),""))</f>
        <v/>
      </c>
      <c r="M1089" s="15" t="str">
        <f t="shared" si="16"/>
        <v/>
      </c>
    </row>
    <row r="1090" spans="1:13" x14ac:dyDescent="0.35">
      <c r="A1090" s="11"/>
      <c r="B1090" s="12"/>
      <c r="C1090" s="12"/>
      <c r="D1090" s="12"/>
      <c r="E1090" s="13"/>
      <c r="F1090" s="13"/>
      <c r="G1090" s="13"/>
      <c r="H1090" s="13"/>
      <c r="I1090" s="12"/>
      <c r="J1090" s="13"/>
      <c r="K1090" s="14" t="str">
        <f>IF(C1090="","",IFERROR(N('Fee Settings'!$C$5)*(E1090+N(F1090)-N(J1090))+N('Fee Settings'!$C$6)*(E1090+N(F1090)+N(G1090))+N('Fee Settings'!$C$7)+N('Fee Settings'!$C$10)*D1090+IF(I1090="Yes",MIN(N('Fee Settings'!$C$8)*(E1090+N(F1090)),N('Fee Settings'!$C$9)),0),""))</f>
        <v/>
      </c>
      <c r="L1090" s="14" t="str">
        <f>IF(C1090="","",IFERROR(D1090*N(INDEX(Products!$C$5:$C$29,MATCH(C1090,Lists!$A$2:$A$26,0))),""))</f>
        <v/>
      </c>
      <c r="M1090" s="15" t="str">
        <f t="shared" si="16"/>
        <v/>
      </c>
    </row>
    <row r="1091" spans="1:13" x14ac:dyDescent="0.35">
      <c r="A1091" s="11"/>
      <c r="B1091" s="12"/>
      <c r="C1091" s="12"/>
      <c r="D1091" s="12"/>
      <c r="E1091" s="13"/>
      <c r="F1091" s="13"/>
      <c r="G1091" s="13"/>
      <c r="H1091" s="13"/>
      <c r="I1091" s="12"/>
      <c r="J1091" s="13"/>
      <c r="K1091" s="14" t="str">
        <f>IF(C1091="","",IFERROR(N('Fee Settings'!$C$5)*(E1091+N(F1091)-N(J1091))+N('Fee Settings'!$C$6)*(E1091+N(F1091)+N(G1091))+N('Fee Settings'!$C$7)+N('Fee Settings'!$C$10)*D1091+IF(I1091="Yes",MIN(N('Fee Settings'!$C$8)*(E1091+N(F1091)),N('Fee Settings'!$C$9)),0),""))</f>
        <v/>
      </c>
      <c r="L1091" s="14" t="str">
        <f>IF(C1091="","",IFERROR(D1091*N(INDEX(Products!$C$5:$C$29,MATCH(C1091,Lists!$A$2:$A$26,0))),""))</f>
        <v/>
      </c>
      <c r="M1091" s="15" t="str">
        <f t="shared" si="16"/>
        <v/>
      </c>
    </row>
    <row r="1092" spans="1:13" x14ac:dyDescent="0.35">
      <c r="A1092" s="11"/>
      <c r="B1092" s="12"/>
      <c r="C1092" s="12"/>
      <c r="D1092" s="12"/>
      <c r="E1092" s="13"/>
      <c r="F1092" s="13"/>
      <c r="G1092" s="13"/>
      <c r="H1092" s="13"/>
      <c r="I1092" s="12"/>
      <c r="J1092" s="13"/>
      <c r="K1092" s="14" t="str">
        <f>IF(C1092="","",IFERROR(N('Fee Settings'!$C$5)*(E1092+N(F1092)-N(J1092))+N('Fee Settings'!$C$6)*(E1092+N(F1092)+N(G1092))+N('Fee Settings'!$C$7)+N('Fee Settings'!$C$10)*D1092+IF(I1092="Yes",MIN(N('Fee Settings'!$C$8)*(E1092+N(F1092)),N('Fee Settings'!$C$9)),0),""))</f>
        <v/>
      </c>
      <c r="L1092" s="14" t="str">
        <f>IF(C1092="","",IFERROR(D1092*N(INDEX(Products!$C$5:$C$29,MATCH(C1092,Lists!$A$2:$A$26,0))),""))</f>
        <v/>
      </c>
      <c r="M1092" s="15" t="str">
        <f t="shared" si="16"/>
        <v/>
      </c>
    </row>
    <row r="1093" spans="1:13" x14ac:dyDescent="0.35">
      <c r="A1093" s="11"/>
      <c r="B1093" s="12"/>
      <c r="C1093" s="12"/>
      <c r="D1093" s="12"/>
      <c r="E1093" s="13"/>
      <c r="F1093" s="13"/>
      <c r="G1093" s="13"/>
      <c r="H1093" s="13"/>
      <c r="I1093" s="12"/>
      <c r="J1093" s="13"/>
      <c r="K1093" s="14" t="str">
        <f>IF(C1093="","",IFERROR(N('Fee Settings'!$C$5)*(E1093+N(F1093)-N(J1093))+N('Fee Settings'!$C$6)*(E1093+N(F1093)+N(G1093))+N('Fee Settings'!$C$7)+N('Fee Settings'!$C$10)*D1093+IF(I1093="Yes",MIN(N('Fee Settings'!$C$8)*(E1093+N(F1093)),N('Fee Settings'!$C$9)),0),""))</f>
        <v/>
      </c>
      <c r="L1093" s="14" t="str">
        <f>IF(C1093="","",IFERROR(D1093*N(INDEX(Products!$C$5:$C$29,MATCH(C1093,Lists!$A$2:$A$26,0))),""))</f>
        <v/>
      </c>
      <c r="M1093" s="15" t="str">
        <f t="shared" ref="M1093:M1156" si="17">IF(C1093="","",IFERROR(E1093+N(F1093)-N(J1093)-K1093-L1093-N(H1093),""))</f>
        <v/>
      </c>
    </row>
    <row r="1094" spans="1:13" x14ac:dyDescent="0.35">
      <c r="A1094" s="11"/>
      <c r="B1094" s="12"/>
      <c r="C1094" s="12"/>
      <c r="D1094" s="12"/>
      <c r="E1094" s="13"/>
      <c r="F1094" s="13"/>
      <c r="G1094" s="13"/>
      <c r="H1094" s="13"/>
      <c r="I1094" s="12"/>
      <c r="J1094" s="13"/>
      <c r="K1094" s="14" t="str">
        <f>IF(C1094="","",IFERROR(N('Fee Settings'!$C$5)*(E1094+N(F1094)-N(J1094))+N('Fee Settings'!$C$6)*(E1094+N(F1094)+N(G1094))+N('Fee Settings'!$C$7)+N('Fee Settings'!$C$10)*D1094+IF(I1094="Yes",MIN(N('Fee Settings'!$C$8)*(E1094+N(F1094)),N('Fee Settings'!$C$9)),0),""))</f>
        <v/>
      </c>
      <c r="L1094" s="14" t="str">
        <f>IF(C1094="","",IFERROR(D1094*N(INDEX(Products!$C$5:$C$29,MATCH(C1094,Lists!$A$2:$A$26,0))),""))</f>
        <v/>
      </c>
      <c r="M1094" s="15" t="str">
        <f t="shared" si="17"/>
        <v/>
      </c>
    </row>
    <row r="1095" spans="1:13" x14ac:dyDescent="0.35">
      <c r="A1095" s="11"/>
      <c r="B1095" s="12"/>
      <c r="C1095" s="12"/>
      <c r="D1095" s="12"/>
      <c r="E1095" s="13"/>
      <c r="F1095" s="13"/>
      <c r="G1095" s="13"/>
      <c r="H1095" s="13"/>
      <c r="I1095" s="12"/>
      <c r="J1095" s="13"/>
      <c r="K1095" s="14" t="str">
        <f>IF(C1095="","",IFERROR(N('Fee Settings'!$C$5)*(E1095+N(F1095)-N(J1095))+N('Fee Settings'!$C$6)*(E1095+N(F1095)+N(G1095))+N('Fee Settings'!$C$7)+N('Fee Settings'!$C$10)*D1095+IF(I1095="Yes",MIN(N('Fee Settings'!$C$8)*(E1095+N(F1095)),N('Fee Settings'!$C$9)),0),""))</f>
        <v/>
      </c>
      <c r="L1095" s="14" t="str">
        <f>IF(C1095="","",IFERROR(D1095*N(INDEX(Products!$C$5:$C$29,MATCH(C1095,Lists!$A$2:$A$26,0))),""))</f>
        <v/>
      </c>
      <c r="M1095" s="15" t="str">
        <f t="shared" si="17"/>
        <v/>
      </c>
    </row>
    <row r="1096" spans="1:13" x14ac:dyDescent="0.35">
      <c r="A1096" s="11"/>
      <c r="B1096" s="12"/>
      <c r="C1096" s="12"/>
      <c r="D1096" s="12"/>
      <c r="E1096" s="13"/>
      <c r="F1096" s="13"/>
      <c r="G1096" s="13"/>
      <c r="H1096" s="13"/>
      <c r="I1096" s="12"/>
      <c r="J1096" s="13"/>
      <c r="K1096" s="14" t="str">
        <f>IF(C1096="","",IFERROR(N('Fee Settings'!$C$5)*(E1096+N(F1096)-N(J1096))+N('Fee Settings'!$C$6)*(E1096+N(F1096)+N(G1096))+N('Fee Settings'!$C$7)+N('Fee Settings'!$C$10)*D1096+IF(I1096="Yes",MIN(N('Fee Settings'!$C$8)*(E1096+N(F1096)),N('Fee Settings'!$C$9)),0),""))</f>
        <v/>
      </c>
      <c r="L1096" s="14" t="str">
        <f>IF(C1096="","",IFERROR(D1096*N(INDEX(Products!$C$5:$C$29,MATCH(C1096,Lists!$A$2:$A$26,0))),""))</f>
        <v/>
      </c>
      <c r="M1096" s="15" t="str">
        <f t="shared" si="17"/>
        <v/>
      </c>
    </row>
    <row r="1097" spans="1:13" x14ac:dyDescent="0.35">
      <c r="A1097" s="11"/>
      <c r="B1097" s="12"/>
      <c r="C1097" s="12"/>
      <c r="D1097" s="12"/>
      <c r="E1097" s="13"/>
      <c r="F1097" s="13"/>
      <c r="G1097" s="13"/>
      <c r="H1097" s="13"/>
      <c r="I1097" s="12"/>
      <c r="J1097" s="13"/>
      <c r="K1097" s="14" t="str">
        <f>IF(C1097="","",IFERROR(N('Fee Settings'!$C$5)*(E1097+N(F1097)-N(J1097))+N('Fee Settings'!$C$6)*(E1097+N(F1097)+N(G1097))+N('Fee Settings'!$C$7)+N('Fee Settings'!$C$10)*D1097+IF(I1097="Yes",MIN(N('Fee Settings'!$C$8)*(E1097+N(F1097)),N('Fee Settings'!$C$9)),0),""))</f>
        <v/>
      </c>
      <c r="L1097" s="14" t="str">
        <f>IF(C1097="","",IFERROR(D1097*N(INDEX(Products!$C$5:$C$29,MATCH(C1097,Lists!$A$2:$A$26,0))),""))</f>
        <v/>
      </c>
      <c r="M1097" s="15" t="str">
        <f t="shared" si="17"/>
        <v/>
      </c>
    </row>
    <row r="1098" spans="1:13" x14ac:dyDescent="0.35">
      <c r="A1098" s="11"/>
      <c r="B1098" s="12"/>
      <c r="C1098" s="12"/>
      <c r="D1098" s="12"/>
      <c r="E1098" s="13"/>
      <c r="F1098" s="13"/>
      <c r="G1098" s="13"/>
      <c r="H1098" s="13"/>
      <c r="I1098" s="12"/>
      <c r="J1098" s="13"/>
      <c r="K1098" s="14" t="str">
        <f>IF(C1098="","",IFERROR(N('Fee Settings'!$C$5)*(E1098+N(F1098)-N(J1098))+N('Fee Settings'!$C$6)*(E1098+N(F1098)+N(G1098))+N('Fee Settings'!$C$7)+N('Fee Settings'!$C$10)*D1098+IF(I1098="Yes",MIN(N('Fee Settings'!$C$8)*(E1098+N(F1098)),N('Fee Settings'!$C$9)),0),""))</f>
        <v/>
      </c>
      <c r="L1098" s="14" t="str">
        <f>IF(C1098="","",IFERROR(D1098*N(INDEX(Products!$C$5:$C$29,MATCH(C1098,Lists!$A$2:$A$26,0))),""))</f>
        <v/>
      </c>
      <c r="M1098" s="15" t="str">
        <f t="shared" si="17"/>
        <v/>
      </c>
    </row>
    <row r="1099" spans="1:13" x14ac:dyDescent="0.35">
      <c r="A1099" s="11"/>
      <c r="B1099" s="12"/>
      <c r="C1099" s="12"/>
      <c r="D1099" s="12"/>
      <c r="E1099" s="13"/>
      <c r="F1099" s="13"/>
      <c r="G1099" s="13"/>
      <c r="H1099" s="13"/>
      <c r="I1099" s="12"/>
      <c r="J1099" s="13"/>
      <c r="K1099" s="14" t="str">
        <f>IF(C1099="","",IFERROR(N('Fee Settings'!$C$5)*(E1099+N(F1099)-N(J1099))+N('Fee Settings'!$C$6)*(E1099+N(F1099)+N(G1099))+N('Fee Settings'!$C$7)+N('Fee Settings'!$C$10)*D1099+IF(I1099="Yes",MIN(N('Fee Settings'!$C$8)*(E1099+N(F1099)),N('Fee Settings'!$C$9)),0),""))</f>
        <v/>
      </c>
      <c r="L1099" s="14" t="str">
        <f>IF(C1099="","",IFERROR(D1099*N(INDEX(Products!$C$5:$C$29,MATCH(C1099,Lists!$A$2:$A$26,0))),""))</f>
        <v/>
      </c>
      <c r="M1099" s="15" t="str">
        <f t="shared" si="17"/>
        <v/>
      </c>
    </row>
    <row r="1100" spans="1:13" x14ac:dyDescent="0.35">
      <c r="A1100" s="11"/>
      <c r="B1100" s="12"/>
      <c r="C1100" s="12"/>
      <c r="D1100" s="12"/>
      <c r="E1100" s="13"/>
      <c r="F1100" s="13"/>
      <c r="G1100" s="13"/>
      <c r="H1100" s="13"/>
      <c r="I1100" s="12"/>
      <c r="J1100" s="13"/>
      <c r="K1100" s="14" t="str">
        <f>IF(C1100="","",IFERROR(N('Fee Settings'!$C$5)*(E1100+N(F1100)-N(J1100))+N('Fee Settings'!$C$6)*(E1100+N(F1100)+N(G1100))+N('Fee Settings'!$C$7)+N('Fee Settings'!$C$10)*D1100+IF(I1100="Yes",MIN(N('Fee Settings'!$C$8)*(E1100+N(F1100)),N('Fee Settings'!$C$9)),0),""))</f>
        <v/>
      </c>
      <c r="L1100" s="14" t="str">
        <f>IF(C1100="","",IFERROR(D1100*N(INDEX(Products!$C$5:$C$29,MATCH(C1100,Lists!$A$2:$A$26,0))),""))</f>
        <v/>
      </c>
      <c r="M1100" s="15" t="str">
        <f t="shared" si="17"/>
        <v/>
      </c>
    </row>
    <row r="1101" spans="1:13" x14ac:dyDescent="0.35">
      <c r="A1101" s="11"/>
      <c r="B1101" s="12"/>
      <c r="C1101" s="12"/>
      <c r="D1101" s="12"/>
      <c r="E1101" s="13"/>
      <c r="F1101" s="13"/>
      <c r="G1101" s="13"/>
      <c r="H1101" s="13"/>
      <c r="I1101" s="12"/>
      <c r="J1101" s="13"/>
      <c r="K1101" s="14" t="str">
        <f>IF(C1101="","",IFERROR(N('Fee Settings'!$C$5)*(E1101+N(F1101)-N(J1101))+N('Fee Settings'!$C$6)*(E1101+N(F1101)+N(G1101))+N('Fee Settings'!$C$7)+N('Fee Settings'!$C$10)*D1101+IF(I1101="Yes",MIN(N('Fee Settings'!$C$8)*(E1101+N(F1101)),N('Fee Settings'!$C$9)),0),""))</f>
        <v/>
      </c>
      <c r="L1101" s="14" t="str">
        <f>IF(C1101="","",IFERROR(D1101*N(INDEX(Products!$C$5:$C$29,MATCH(C1101,Lists!$A$2:$A$26,0))),""))</f>
        <v/>
      </c>
      <c r="M1101" s="15" t="str">
        <f t="shared" si="17"/>
        <v/>
      </c>
    </row>
    <row r="1102" spans="1:13" x14ac:dyDescent="0.35">
      <c r="A1102" s="11"/>
      <c r="B1102" s="12"/>
      <c r="C1102" s="12"/>
      <c r="D1102" s="12"/>
      <c r="E1102" s="13"/>
      <c r="F1102" s="13"/>
      <c r="G1102" s="13"/>
      <c r="H1102" s="13"/>
      <c r="I1102" s="12"/>
      <c r="J1102" s="13"/>
      <c r="K1102" s="14" t="str">
        <f>IF(C1102="","",IFERROR(N('Fee Settings'!$C$5)*(E1102+N(F1102)-N(J1102))+N('Fee Settings'!$C$6)*(E1102+N(F1102)+N(G1102))+N('Fee Settings'!$C$7)+N('Fee Settings'!$C$10)*D1102+IF(I1102="Yes",MIN(N('Fee Settings'!$C$8)*(E1102+N(F1102)),N('Fee Settings'!$C$9)),0),""))</f>
        <v/>
      </c>
      <c r="L1102" s="14" t="str">
        <f>IF(C1102="","",IFERROR(D1102*N(INDEX(Products!$C$5:$C$29,MATCH(C1102,Lists!$A$2:$A$26,0))),""))</f>
        <v/>
      </c>
      <c r="M1102" s="15" t="str">
        <f t="shared" si="17"/>
        <v/>
      </c>
    </row>
    <row r="1103" spans="1:13" x14ac:dyDescent="0.35">
      <c r="A1103" s="11"/>
      <c r="B1103" s="12"/>
      <c r="C1103" s="12"/>
      <c r="D1103" s="12"/>
      <c r="E1103" s="13"/>
      <c r="F1103" s="13"/>
      <c r="G1103" s="13"/>
      <c r="H1103" s="13"/>
      <c r="I1103" s="12"/>
      <c r="J1103" s="13"/>
      <c r="K1103" s="14" t="str">
        <f>IF(C1103="","",IFERROR(N('Fee Settings'!$C$5)*(E1103+N(F1103)-N(J1103))+N('Fee Settings'!$C$6)*(E1103+N(F1103)+N(G1103))+N('Fee Settings'!$C$7)+N('Fee Settings'!$C$10)*D1103+IF(I1103="Yes",MIN(N('Fee Settings'!$C$8)*(E1103+N(F1103)),N('Fee Settings'!$C$9)),0),""))</f>
        <v/>
      </c>
      <c r="L1103" s="14" t="str">
        <f>IF(C1103="","",IFERROR(D1103*N(INDEX(Products!$C$5:$C$29,MATCH(C1103,Lists!$A$2:$A$26,0))),""))</f>
        <v/>
      </c>
      <c r="M1103" s="15" t="str">
        <f t="shared" si="17"/>
        <v/>
      </c>
    </row>
    <row r="1104" spans="1:13" x14ac:dyDescent="0.35">
      <c r="A1104" s="11"/>
      <c r="B1104" s="12"/>
      <c r="C1104" s="12"/>
      <c r="D1104" s="12"/>
      <c r="E1104" s="13"/>
      <c r="F1104" s="13"/>
      <c r="G1104" s="13"/>
      <c r="H1104" s="13"/>
      <c r="I1104" s="12"/>
      <c r="J1104" s="13"/>
      <c r="K1104" s="14" t="str">
        <f>IF(C1104="","",IFERROR(N('Fee Settings'!$C$5)*(E1104+N(F1104)-N(J1104))+N('Fee Settings'!$C$6)*(E1104+N(F1104)+N(G1104))+N('Fee Settings'!$C$7)+N('Fee Settings'!$C$10)*D1104+IF(I1104="Yes",MIN(N('Fee Settings'!$C$8)*(E1104+N(F1104)),N('Fee Settings'!$C$9)),0),""))</f>
        <v/>
      </c>
      <c r="L1104" s="14" t="str">
        <f>IF(C1104="","",IFERROR(D1104*N(INDEX(Products!$C$5:$C$29,MATCH(C1104,Lists!$A$2:$A$26,0))),""))</f>
        <v/>
      </c>
      <c r="M1104" s="15" t="str">
        <f t="shared" si="17"/>
        <v/>
      </c>
    </row>
    <row r="1105" spans="1:13" x14ac:dyDescent="0.35">
      <c r="A1105" s="11"/>
      <c r="B1105" s="12"/>
      <c r="C1105" s="12"/>
      <c r="D1105" s="12"/>
      <c r="E1105" s="13"/>
      <c r="F1105" s="13"/>
      <c r="G1105" s="13"/>
      <c r="H1105" s="13"/>
      <c r="I1105" s="12"/>
      <c r="J1105" s="13"/>
      <c r="K1105" s="14" t="str">
        <f>IF(C1105="","",IFERROR(N('Fee Settings'!$C$5)*(E1105+N(F1105)-N(J1105))+N('Fee Settings'!$C$6)*(E1105+N(F1105)+N(G1105))+N('Fee Settings'!$C$7)+N('Fee Settings'!$C$10)*D1105+IF(I1105="Yes",MIN(N('Fee Settings'!$C$8)*(E1105+N(F1105)),N('Fee Settings'!$C$9)),0),""))</f>
        <v/>
      </c>
      <c r="L1105" s="14" t="str">
        <f>IF(C1105="","",IFERROR(D1105*N(INDEX(Products!$C$5:$C$29,MATCH(C1105,Lists!$A$2:$A$26,0))),""))</f>
        <v/>
      </c>
      <c r="M1105" s="15" t="str">
        <f t="shared" si="17"/>
        <v/>
      </c>
    </row>
    <row r="1106" spans="1:13" x14ac:dyDescent="0.35">
      <c r="A1106" s="11"/>
      <c r="B1106" s="12"/>
      <c r="C1106" s="12"/>
      <c r="D1106" s="12"/>
      <c r="E1106" s="13"/>
      <c r="F1106" s="13"/>
      <c r="G1106" s="13"/>
      <c r="H1106" s="13"/>
      <c r="I1106" s="12"/>
      <c r="J1106" s="13"/>
      <c r="K1106" s="14" t="str">
        <f>IF(C1106="","",IFERROR(N('Fee Settings'!$C$5)*(E1106+N(F1106)-N(J1106))+N('Fee Settings'!$C$6)*(E1106+N(F1106)+N(G1106))+N('Fee Settings'!$C$7)+N('Fee Settings'!$C$10)*D1106+IF(I1106="Yes",MIN(N('Fee Settings'!$C$8)*(E1106+N(F1106)),N('Fee Settings'!$C$9)),0),""))</f>
        <v/>
      </c>
      <c r="L1106" s="14" t="str">
        <f>IF(C1106="","",IFERROR(D1106*N(INDEX(Products!$C$5:$C$29,MATCH(C1106,Lists!$A$2:$A$26,0))),""))</f>
        <v/>
      </c>
      <c r="M1106" s="15" t="str">
        <f t="shared" si="17"/>
        <v/>
      </c>
    </row>
    <row r="1107" spans="1:13" x14ac:dyDescent="0.35">
      <c r="A1107" s="11"/>
      <c r="B1107" s="12"/>
      <c r="C1107" s="12"/>
      <c r="D1107" s="12"/>
      <c r="E1107" s="13"/>
      <c r="F1107" s="13"/>
      <c r="G1107" s="13"/>
      <c r="H1107" s="13"/>
      <c r="I1107" s="12"/>
      <c r="J1107" s="13"/>
      <c r="K1107" s="14" t="str">
        <f>IF(C1107="","",IFERROR(N('Fee Settings'!$C$5)*(E1107+N(F1107)-N(J1107))+N('Fee Settings'!$C$6)*(E1107+N(F1107)+N(G1107))+N('Fee Settings'!$C$7)+N('Fee Settings'!$C$10)*D1107+IF(I1107="Yes",MIN(N('Fee Settings'!$C$8)*(E1107+N(F1107)),N('Fee Settings'!$C$9)),0),""))</f>
        <v/>
      </c>
      <c r="L1107" s="14" t="str">
        <f>IF(C1107="","",IFERROR(D1107*N(INDEX(Products!$C$5:$C$29,MATCH(C1107,Lists!$A$2:$A$26,0))),""))</f>
        <v/>
      </c>
      <c r="M1107" s="15" t="str">
        <f t="shared" si="17"/>
        <v/>
      </c>
    </row>
    <row r="1108" spans="1:13" x14ac:dyDescent="0.35">
      <c r="A1108" s="11"/>
      <c r="B1108" s="12"/>
      <c r="C1108" s="12"/>
      <c r="D1108" s="12"/>
      <c r="E1108" s="13"/>
      <c r="F1108" s="13"/>
      <c r="G1108" s="13"/>
      <c r="H1108" s="13"/>
      <c r="I1108" s="12"/>
      <c r="J1108" s="13"/>
      <c r="K1108" s="14" t="str">
        <f>IF(C1108="","",IFERROR(N('Fee Settings'!$C$5)*(E1108+N(F1108)-N(J1108))+N('Fee Settings'!$C$6)*(E1108+N(F1108)+N(G1108))+N('Fee Settings'!$C$7)+N('Fee Settings'!$C$10)*D1108+IF(I1108="Yes",MIN(N('Fee Settings'!$C$8)*(E1108+N(F1108)),N('Fee Settings'!$C$9)),0),""))</f>
        <v/>
      </c>
      <c r="L1108" s="14" t="str">
        <f>IF(C1108="","",IFERROR(D1108*N(INDEX(Products!$C$5:$C$29,MATCH(C1108,Lists!$A$2:$A$26,0))),""))</f>
        <v/>
      </c>
      <c r="M1108" s="15" t="str">
        <f t="shared" si="17"/>
        <v/>
      </c>
    </row>
    <row r="1109" spans="1:13" x14ac:dyDescent="0.35">
      <c r="A1109" s="11"/>
      <c r="B1109" s="12"/>
      <c r="C1109" s="12"/>
      <c r="D1109" s="12"/>
      <c r="E1109" s="13"/>
      <c r="F1109" s="13"/>
      <c r="G1109" s="13"/>
      <c r="H1109" s="13"/>
      <c r="I1109" s="12"/>
      <c r="J1109" s="13"/>
      <c r="K1109" s="14" t="str">
        <f>IF(C1109="","",IFERROR(N('Fee Settings'!$C$5)*(E1109+N(F1109)-N(J1109))+N('Fee Settings'!$C$6)*(E1109+N(F1109)+N(G1109))+N('Fee Settings'!$C$7)+N('Fee Settings'!$C$10)*D1109+IF(I1109="Yes",MIN(N('Fee Settings'!$C$8)*(E1109+N(F1109)),N('Fee Settings'!$C$9)),0),""))</f>
        <v/>
      </c>
      <c r="L1109" s="14" t="str">
        <f>IF(C1109="","",IFERROR(D1109*N(INDEX(Products!$C$5:$C$29,MATCH(C1109,Lists!$A$2:$A$26,0))),""))</f>
        <v/>
      </c>
      <c r="M1109" s="15" t="str">
        <f t="shared" si="17"/>
        <v/>
      </c>
    </row>
    <row r="1110" spans="1:13" x14ac:dyDescent="0.35">
      <c r="A1110" s="11"/>
      <c r="B1110" s="12"/>
      <c r="C1110" s="12"/>
      <c r="D1110" s="12"/>
      <c r="E1110" s="13"/>
      <c r="F1110" s="13"/>
      <c r="G1110" s="13"/>
      <c r="H1110" s="13"/>
      <c r="I1110" s="12"/>
      <c r="J1110" s="13"/>
      <c r="K1110" s="14" t="str">
        <f>IF(C1110="","",IFERROR(N('Fee Settings'!$C$5)*(E1110+N(F1110)-N(J1110))+N('Fee Settings'!$C$6)*(E1110+N(F1110)+N(G1110))+N('Fee Settings'!$C$7)+N('Fee Settings'!$C$10)*D1110+IF(I1110="Yes",MIN(N('Fee Settings'!$C$8)*(E1110+N(F1110)),N('Fee Settings'!$C$9)),0),""))</f>
        <v/>
      </c>
      <c r="L1110" s="14" t="str">
        <f>IF(C1110="","",IFERROR(D1110*N(INDEX(Products!$C$5:$C$29,MATCH(C1110,Lists!$A$2:$A$26,0))),""))</f>
        <v/>
      </c>
      <c r="M1110" s="15" t="str">
        <f t="shared" si="17"/>
        <v/>
      </c>
    </row>
    <row r="1111" spans="1:13" x14ac:dyDescent="0.35">
      <c r="A1111" s="11"/>
      <c r="B1111" s="12"/>
      <c r="C1111" s="12"/>
      <c r="D1111" s="12"/>
      <c r="E1111" s="13"/>
      <c r="F1111" s="13"/>
      <c r="G1111" s="13"/>
      <c r="H1111" s="13"/>
      <c r="I1111" s="12"/>
      <c r="J1111" s="13"/>
      <c r="K1111" s="14" t="str">
        <f>IF(C1111="","",IFERROR(N('Fee Settings'!$C$5)*(E1111+N(F1111)-N(J1111))+N('Fee Settings'!$C$6)*(E1111+N(F1111)+N(G1111))+N('Fee Settings'!$C$7)+N('Fee Settings'!$C$10)*D1111+IF(I1111="Yes",MIN(N('Fee Settings'!$C$8)*(E1111+N(F1111)),N('Fee Settings'!$C$9)),0),""))</f>
        <v/>
      </c>
      <c r="L1111" s="14" t="str">
        <f>IF(C1111="","",IFERROR(D1111*N(INDEX(Products!$C$5:$C$29,MATCH(C1111,Lists!$A$2:$A$26,0))),""))</f>
        <v/>
      </c>
      <c r="M1111" s="15" t="str">
        <f t="shared" si="17"/>
        <v/>
      </c>
    </row>
    <row r="1112" spans="1:13" x14ac:dyDescent="0.35">
      <c r="A1112" s="11"/>
      <c r="B1112" s="12"/>
      <c r="C1112" s="12"/>
      <c r="D1112" s="12"/>
      <c r="E1112" s="13"/>
      <c r="F1112" s="13"/>
      <c r="G1112" s="13"/>
      <c r="H1112" s="13"/>
      <c r="I1112" s="12"/>
      <c r="J1112" s="13"/>
      <c r="K1112" s="14" t="str">
        <f>IF(C1112="","",IFERROR(N('Fee Settings'!$C$5)*(E1112+N(F1112)-N(J1112))+N('Fee Settings'!$C$6)*(E1112+N(F1112)+N(G1112))+N('Fee Settings'!$C$7)+N('Fee Settings'!$C$10)*D1112+IF(I1112="Yes",MIN(N('Fee Settings'!$C$8)*(E1112+N(F1112)),N('Fee Settings'!$C$9)),0),""))</f>
        <v/>
      </c>
      <c r="L1112" s="14" t="str">
        <f>IF(C1112="","",IFERROR(D1112*N(INDEX(Products!$C$5:$C$29,MATCH(C1112,Lists!$A$2:$A$26,0))),""))</f>
        <v/>
      </c>
      <c r="M1112" s="15" t="str">
        <f t="shared" si="17"/>
        <v/>
      </c>
    </row>
    <row r="1113" spans="1:13" x14ac:dyDescent="0.35">
      <c r="A1113" s="11"/>
      <c r="B1113" s="12"/>
      <c r="C1113" s="12"/>
      <c r="D1113" s="12"/>
      <c r="E1113" s="13"/>
      <c r="F1113" s="13"/>
      <c r="G1113" s="13"/>
      <c r="H1113" s="13"/>
      <c r="I1113" s="12"/>
      <c r="J1113" s="13"/>
      <c r="K1113" s="14" t="str">
        <f>IF(C1113="","",IFERROR(N('Fee Settings'!$C$5)*(E1113+N(F1113)-N(J1113))+N('Fee Settings'!$C$6)*(E1113+N(F1113)+N(G1113))+N('Fee Settings'!$C$7)+N('Fee Settings'!$C$10)*D1113+IF(I1113="Yes",MIN(N('Fee Settings'!$C$8)*(E1113+N(F1113)),N('Fee Settings'!$C$9)),0),""))</f>
        <v/>
      </c>
      <c r="L1113" s="14" t="str">
        <f>IF(C1113="","",IFERROR(D1113*N(INDEX(Products!$C$5:$C$29,MATCH(C1113,Lists!$A$2:$A$26,0))),""))</f>
        <v/>
      </c>
      <c r="M1113" s="15" t="str">
        <f t="shared" si="17"/>
        <v/>
      </c>
    </row>
    <row r="1114" spans="1:13" x14ac:dyDescent="0.35">
      <c r="A1114" s="11"/>
      <c r="B1114" s="12"/>
      <c r="C1114" s="12"/>
      <c r="D1114" s="12"/>
      <c r="E1114" s="13"/>
      <c r="F1114" s="13"/>
      <c r="G1114" s="13"/>
      <c r="H1114" s="13"/>
      <c r="I1114" s="12"/>
      <c r="J1114" s="13"/>
      <c r="K1114" s="14" t="str">
        <f>IF(C1114="","",IFERROR(N('Fee Settings'!$C$5)*(E1114+N(F1114)-N(J1114))+N('Fee Settings'!$C$6)*(E1114+N(F1114)+N(G1114))+N('Fee Settings'!$C$7)+N('Fee Settings'!$C$10)*D1114+IF(I1114="Yes",MIN(N('Fee Settings'!$C$8)*(E1114+N(F1114)),N('Fee Settings'!$C$9)),0),""))</f>
        <v/>
      </c>
      <c r="L1114" s="14" t="str">
        <f>IF(C1114="","",IFERROR(D1114*N(INDEX(Products!$C$5:$C$29,MATCH(C1114,Lists!$A$2:$A$26,0))),""))</f>
        <v/>
      </c>
      <c r="M1114" s="15" t="str">
        <f t="shared" si="17"/>
        <v/>
      </c>
    </row>
    <row r="1115" spans="1:13" x14ac:dyDescent="0.35">
      <c r="A1115" s="11"/>
      <c r="B1115" s="12"/>
      <c r="C1115" s="12"/>
      <c r="D1115" s="12"/>
      <c r="E1115" s="13"/>
      <c r="F1115" s="13"/>
      <c r="G1115" s="13"/>
      <c r="H1115" s="13"/>
      <c r="I1115" s="12"/>
      <c r="J1115" s="13"/>
      <c r="K1115" s="14" t="str">
        <f>IF(C1115="","",IFERROR(N('Fee Settings'!$C$5)*(E1115+N(F1115)-N(J1115))+N('Fee Settings'!$C$6)*(E1115+N(F1115)+N(G1115))+N('Fee Settings'!$C$7)+N('Fee Settings'!$C$10)*D1115+IF(I1115="Yes",MIN(N('Fee Settings'!$C$8)*(E1115+N(F1115)),N('Fee Settings'!$C$9)),0),""))</f>
        <v/>
      </c>
      <c r="L1115" s="14" t="str">
        <f>IF(C1115="","",IFERROR(D1115*N(INDEX(Products!$C$5:$C$29,MATCH(C1115,Lists!$A$2:$A$26,0))),""))</f>
        <v/>
      </c>
      <c r="M1115" s="15" t="str">
        <f t="shared" si="17"/>
        <v/>
      </c>
    </row>
    <row r="1116" spans="1:13" x14ac:dyDescent="0.35">
      <c r="A1116" s="11"/>
      <c r="B1116" s="12"/>
      <c r="C1116" s="12"/>
      <c r="D1116" s="12"/>
      <c r="E1116" s="13"/>
      <c r="F1116" s="13"/>
      <c r="G1116" s="13"/>
      <c r="H1116" s="13"/>
      <c r="I1116" s="12"/>
      <c r="J1116" s="13"/>
      <c r="K1116" s="14" t="str">
        <f>IF(C1116="","",IFERROR(N('Fee Settings'!$C$5)*(E1116+N(F1116)-N(J1116))+N('Fee Settings'!$C$6)*(E1116+N(F1116)+N(G1116))+N('Fee Settings'!$C$7)+N('Fee Settings'!$C$10)*D1116+IF(I1116="Yes",MIN(N('Fee Settings'!$C$8)*(E1116+N(F1116)),N('Fee Settings'!$C$9)),0),""))</f>
        <v/>
      </c>
      <c r="L1116" s="14" t="str">
        <f>IF(C1116="","",IFERROR(D1116*N(INDEX(Products!$C$5:$C$29,MATCH(C1116,Lists!$A$2:$A$26,0))),""))</f>
        <v/>
      </c>
      <c r="M1116" s="15" t="str">
        <f t="shared" si="17"/>
        <v/>
      </c>
    </row>
    <row r="1117" spans="1:13" x14ac:dyDescent="0.35">
      <c r="A1117" s="11"/>
      <c r="B1117" s="12"/>
      <c r="C1117" s="12"/>
      <c r="D1117" s="12"/>
      <c r="E1117" s="13"/>
      <c r="F1117" s="13"/>
      <c r="G1117" s="13"/>
      <c r="H1117" s="13"/>
      <c r="I1117" s="12"/>
      <c r="J1117" s="13"/>
      <c r="K1117" s="14" t="str">
        <f>IF(C1117="","",IFERROR(N('Fee Settings'!$C$5)*(E1117+N(F1117)-N(J1117))+N('Fee Settings'!$C$6)*(E1117+N(F1117)+N(G1117))+N('Fee Settings'!$C$7)+N('Fee Settings'!$C$10)*D1117+IF(I1117="Yes",MIN(N('Fee Settings'!$C$8)*(E1117+N(F1117)),N('Fee Settings'!$C$9)),0),""))</f>
        <v/>
      </c>
      <c r="L1117" s="14" t="str">
        <f>IF(C1117="","",IFERROR(D1117*N(INDEX(Products!$C$5:$C$29,MATCH(C1117,Lists!$A$2:$A$26,0))),""))</f>
        <v/>
      </c>
      <c r="M1117" s="15" t="str">
        <f t="shared" si="17"/>
        <v/>
      </c>
    </row>
    <row r="1118" spans="1:13" x14ac:dyDescent="0.35">
      <c r="A1118" s="11"/>
      <c r="B1118" s="12"/>
      <c r="C1118" s="12"/>
      <c r="D1118" s="12"/>
      <c r="E1118" s="13"/>
      <c r="F1118" s="13"/>
      <c r="G1118" s="13"/>
      <c r="H1118" s="13"/>
      <c r="I1118" s="12"/>
      <c r="J1118" s="13"/>
      <c r="K1118" s="14" t="str">
        <f>IF(C1118="","",IFERROR(N('Fee Settings'!$C$5)*(E1118+N(F1118)-N(J1118))+N('Fee Settings'!$C$6)*(E1118+N(F1118)+N(G1118))+N('Fee Settings'!$C$7)+N('Fee Settings'!$C$10)*D1118+IF(I1118="Yes",MIN(N('Fee Settings'!$C$8)*(E1118+N(F1118)),N('Fee Settings'!$C$9)),0),""))</f>
        <v/>
      </c>
      <c r="L1118" s="14" t="str">
        <f>IF(C1118="","",IFERROR(D1118*N(INDEX(Products!$C$5:$C$29,MATCH(C1118,Lists!$A$2:$A$26,0))),""))</f>
        <v/>
      </c>
      <c r="M1118" s="15" t="str">
        <f t="shared" si="17"/>
        <v/>
      </c>
    </row>
    <row r="1119" spans="1:13" x14ac:dyDescent="0.35">
      <c r="A1119" s="11"/>
      <c r="B1119" s="12"/>
      <c r="C1119" s="12"/>
      <c r="D1119" s="12"/>
      <c r="E1119" s="13"/>
      <c r="F1119" s="13"/>
      <c r="G1119" s="13"/>
      <c r="H1119" s="13"/>
      <c r="I1119" s="12"/>
      <c r="J1119" s="13"/>
      <c r="K1119" s="14" t="str">
        <f>IF(C1119="","",IFERROR(N('Fee Settings'!$C$5)*(E1119+N(F1119)-N(J1119))+N('Fee Settings'!$C$6)*(E1119+N(F1119)+N(G1119))+N('Fee Settings'!$C$7)+N('Fee Settings'!$C$10)*D1119+IF(I1119="Yes",MIN(N('Fee Settings'!$C$8)*(E1119+N(F1119)),N('Fee Settings'!$C$9)),0),""))</f>
        <v/>
      </c>
      <c r="L1119" s="14" t="str">
        <f>IF(C1119="","",IFERROR(D1119*N(INDEX(Products!$C$5:$C$29,MATCH(C1119,Lists!$A$2:$A$26,0))),""))</f>
        <v/>
      </c>
      <c r="M1119" s="15" t="str">
        <f t="shared" si="17"/>
        <v/>
      </c>
    </row>
    <row r="1120" spans="1:13" x14ac:dyDescent="0.35">
      <c r="A1120" s="11"/>
      <c r="B1120" s="12"/>
      <c r="C1120" s="12"/>
      <c r="D1120" s="12"/>
      <c r="E1120" s="13"/>
      <c r="F1120" s="13"/>
      <c r="G1120" s="13"/>
      <c r="H1120" s="13"/>
      <c r="I1120" s="12"/>
      <c r="J1120" s="13"/>
      <c r="K1120" s="14" t="str">
        <f>IF(C1120="","",IFERROR(N('Fee Settings'!$C$5)*(E1120+N(F1120)-N(J1120))+N('Fee Settings'!$C$6)*(E1120+N(F1120)+N(G1120))+N('Fee Settings'!$C$7)+N('Fee Settings'!$C$10)*D1120+IF(I1120="Yes",MIN(N('Fee Settings'!$C$8)*(E1120+N(F1120)),N('Fee Settings'!$C$9)),0),""))</f>
        <v/>
      </c>
      <c r="L1120" s="14" t="str">
        <f>IF(C1120="","",IFERROR(D1120*N(INDEX(Products!$C$5:$C$29,MATCH(C1120,Lists!$A$2:$A$26,0))),""))</f>
        <v/>
      </c>
      <c r="M1120" s="15" t="str">
        <f t="shared" si="17"/>
        <v/>
      </c>
    </row>
    <row r="1121" spans="1:13" x14ac:dyDescent="0.35">
      <c r="A1121" s="11"/>
      <c r="B1121" s="12"/>
      <c r="C1121" s="12"/>
      <c r="D1121" s="12"/>
      <c r="E1121" s="13"/>
      <c r="F1121" s="13"/>
      <c r="G1121" s="13"/>
      <c r="H1121" s="13"/>
      <c r="I1121" s="12"/>
      <c r="J1121" s="13"/>
      <c r="K1121" s="14" t="str">
        <f>IF(C1121="","",IFERROR(N('Fee Settings'!$C$5)*(E1121+N(F1121)-N(J1121))+N('Fee Settings'!$C$6)*(E1121+N(F1121)+N(G1121))+N('Fee Settings'!$C$7)+N('Fee Settings'!$C$10)*D1121+IF(I1121="Yes",MIN(N('Fee Settings'!$C$8)*(E1121+N(F1121)),N('Fee Settings'!$C$9)),0),""))</f>
        <v/>
      </c>
      <c r="L1121" s="14" t="str">
        <f>IF(C1121="","",IFERROR(D1121*N(INDEX(Products!$C$5:$C$29,MATCH(C1121,Lists!$A$2:$A$26,0))),""))</f>
        <v/>
      </c>
      <c r="M1121" s="15" t="str">
        <f t="shared" si="17"/>
        <v/>
      </c>
    </row>
    <row r="1122" spans="1:13" x14ac:dyDescent="0.35">
      <c r="A1122" s="11"/>
      <c r="B1122" s="12"/>
      <c r="C1122" s="12"/>
      <c r="D1122" s="12"/>
      <c r="E1122" s="13"/>
      <c r="F1122" s="13"/>
      <c r="G1122" s="13"/>
      <c r="H1122" s="13"/>
      <c r="I1122" s="12"/>
      <c r="J1122" s="13"/>
      <c r="K1122" s="14" t="str">
        <f>IF(C1122="","",IFERROR(N('Fee Settings'!$C$5)*(E1122+N(F1122)-N(J1122))+N('Fee Settings'!$C$6)*(E1122+N(F1122)+N(G1122))+N('Fee Settings'!$C$7)+N('Fee Settings'!$C$10)*D1122+IF(I1122="Yes",MIN(N('Fee Settings'!$C$8)*(E1122+N(F1122)),N('Fee Settings'!$C$9)),0),""))</f>
        <v/>
      </c>
      <c r="L1122" s="14" t="str">
        <f>IF(C1122="","",IFERROR(D1122*N(INDEX(Products!$C$5:$C$29,MATCH(C1122,Lists!$A$2:$A$26,0))),""))</f>
        <v/>
      </c>
      <c r="M1122" s="15" t="str">
        <f t="shared" si="17"/>
        <v/>
      </c>
    </row>
    <row r="1123" spans="1:13" x14ac:dyDescent="0.35">
      <c r="A1123" s="11"/>
      <c r="B1123" s="12"/>
      <c r="C1123" s="12"/>
      <c r="D1123" s="12"/>
      <c r="E1123" s="13"/>
      <c r="F1123" s="13"/>
      <c r="G1123" s="13"/>
      <c r="H1123" s="13"/>
      <c r="I1123" s="12"/>
      <c r="J1123" s="13"/>
      <c r="K1123" s="14" t="str">
        <f>IF(C1123="","",IFERROR(N('Fee Settings'!$C$5)*(E1123+N(F1123)-N(J1123))+N('Fee Settings'!$C$6)*(E1123+N(F1123)+N(G1123))+N('Fee Settings'!$C$7)+N('Fee Settings'!$C$10)*D1123+IF(I1123="Yes",MIN(N('Fee Settings'!$C$8)*(E1123+N(F1123)),N('Fee Settings'!$C$9)),0),""))</f>
        <v/>
      </c>
      <c r="L1123" s="14" t="str">
        <f>IF(C1123="","",IFERROR(D1123*N(INDEX(Products!$C$5:$C$29,MATCH(C1123,Lists!$A$2:$A$26,0))),""))</f>
        <v/>
      </c>
      <c r="M1123" s="15" t="str">
        <f t="shared" si="17"/>
        <v/>
      </c>
    </row>
    <row r="1124" spans="1:13" x14ac:dyDescent="0.35">
      <c r="A1124" s="11"/>
      <c r="B1124" s="12"/>
      <c r="C1124" s="12"/>
      <c r="D1124" s="12"/>
      <c r="E1124" s="13"/>
      <c r="F1124" s="13"/>
      <c r="G1124" s="13"/>
      <c r="H1124" s="13"/>
      <c r="I1124" s="12"/>
      <c r="J1124" s="13"/>
      <c r="K1124" s="14" t="str">
        <f>IF(C1124="","",IFERROR(N('Fee Settings'!$C$5)*(E1124+N(F1124)-N(J1124))+N('Fee Settings'!$C$6)*(E1124+N(F1124)+N(G1124))+N('Fee Settings'!$C$7)+N('Fee Settings'!$C$10)*D1124+IF(I1124="Yes",MIN(N('Fee Settings'!$C$8)*(E1124+N(F1124)),N('Fee Settings'!$C$9)),0),""))</f>
        <v/>
      </c>
      <c r="L1124" s="14" t="str">
        <f>IF(C1124="","",IFERROR(D1124*N(INDEX(Products!$C$5:$C$29,MATCH(C1124,Lists!$A$2:$A$26,0))),""))</f>
        <v/>
      </c>
      <c r="M1124" s="15" t="str">
        <f t="shared" si="17"/>
        <v/>
      </c>
    </row>
    <row r="1125" spans="1:13" x14ac:dyDescent="0.35">
      <c r="A1125" s="11"/>
      <c r="B1125" s="12"/>
      <c r="C1125" s="12"/>
      <c r="D1125" s="12"/>
      <c r="E1125" s="13"/>
      <c r="F1125" s="13"/>
      <c r="G1125" s="13"/>
      <c r="H1125" s="13"/>
      <c r="I1125" s="12"/>
      <c r="J1125" s="13"/>
      <c r="K1125" s="14" t="str">
        <f>IF(C1125="","",IFERROR(N('Fee Settings'!$C$5)*(E1125+N(F1125)-N(J1125))+N('Fee Settings'!$C$6)*(E1125+N(F1125)+N(G1125))+N('Fee Settings'!$C$7)+N('Fee Settings'!$C$10)*D1125+IF(I1125="Yes",MIN(N('Fee Settings'!$C$8)*(E1125+N(F1125)),N('Fee Settings'!$C$9)),0),""))</f>
        <v/>
      </c>
      <c r="L1125" s="14" t="str">
        <f>IF(C1125="","",IFERROR(D1125*N(INDEX(Products!$C$5:$C$29,MATCH(C1125,Lists!$A$2:$A$26,0))),""))</f>
        <v/>
      </c>
      <c r="M1125" s="15" t="str">
        <f t="shared" si="17"/>
        <v/>
      </c>
    </row>
    <row r="1126" spans="1:13" x14ac:dyDescent="0.35">
      <c r="A1126" s="11"/>
      <c r="B1126" s="12"/>
      <c r="C1126" s="12"/>
      <c r="D1126" s="12"/>
      <c r="E1126" s="13"/>
      <c r="F1126" s="13"/>
      <c r="G1126" s="13"/>
      <c r="H1126" s="13"/>
      <c r="I1126" s="12"/>
      <c r="J1126" s="13"/>
      <c r="K1126" s="14" t="str">
        <f>IF(C1126="","",IFERROR(N('Fee Settings'!$C$5)*(E1126+N(F1126)-N(J1126))+N('Fee Settings'!$C$6)*(E1126+N(F1126)+N(G1126))+N('Fee Settings'!$C$7)+N('Fee Settings'!$C$10)*D1126+IF(I1126="Yes",MIN(N('Fee Settings'!$C$8)*(E1126+N(F1126)),N('Fee Settings'!$C$9)),0),""))</f>
        <v/>
      </c>
      <c r="L1126" s="14" t="str">
        <f>IF(C1126="","",IFERROR(D1126*N(INDEX(Products!$C$5:$C$29,MATCH(C1126,Lists!$A$2:$A$26,0))),""))</f>
        <v/>
      </c>
      <c r="M1126" s="15" t="str">
        <f t="shared" si="17"/>
        <v/>
      </c>
    </row>
    <row r="1127" spans="1:13" x14ac:dyDescent="0.35">
      <c r="A1127" s="11"/>
      <c r="B1127" s="12"/>
      <c r="C1127" s="12"/>
      <c r="D1127" s="12"/>
      <c r="E1127" s="13"/>
      <c r="F1127" s="13"/>
      <c r="G1127" s="13"/>
      <c r="H1127" s="13"/>
      <c r="I1127" s="12"/>
      <c r="J1127" s="13"/>
      <c r="K1127" s="14" t="str">
        <f>IF(C1127="","",IFERROR(N('Fee Settings'!$C$5)*(E1127+N(F1127)-N(J1127))+N('Fee Settings'!$C$6)*(E1127+N(F1127)+N(G1127))+N('Fee Settings'!$C$7)+N('Fee Settings'!$C$10)*D1127+IF(I1127="Yes",MIN(N('Fee Settings'!$C$8)*(E1127+N(F1127)),N('Fee Settings'!$C$9)),0),""))</f>
        <v/>
      </c>
      <c r="L1127" s="14" t="str">
        <f>IF(C1127="","",IFERROR(D1127*N(INDEX(Products!$C$5:$C$29,MATCH(C1127,Lists!$A$2:$A$26,0))),""))</f>
        <v/>
      </c>
      <c r="M1127" s="15" t="str">
        <f t="shared" si="17"/>
        <v/>
      </c>
    </row>
    <row r="1128" spans="1:13" x14ac:dyDescent="0.35">
      <c r="A1128" s="11"/>
      <c r="B1128" s="12"/>
      <c r="C1128" s="12"/>
      <c r="D1128" s="12"/>
      <c r="E1128" s="13"/>
      <c r="F1128" s="13"/>
      <c r="G1128" s="13"/>
      <c r="H1128" s="13"/>
      <c r="I1128" s="12"/>
      <c r="J1128" s="13"/>
      <c r="K1128" s="14" t="str">
        <f>IF(C1128="","",IFERROR(N('Fee Settings'!$C$5)*(E1128+N(F1128)-N(J1128))+N('Fee Settings'!$C$6)*(E1128+N(F1128)+N(G1128))+N('Fee Settings'!$C$7)+N('Fee Settings'!$C$10)*D1128+IF(I1128="Yes",MIN(N('Fee Settings'!$C$8)*(E1128+N(F1128)),N('Fee Settings'!$C$9)),0),""))</f>
        <v/>
      </c>
      <c r="L1128" s="14" t="str">
        <f>IF(C1128="","",IFERROR(D1128*N(INDEX(Products!$C$5:$C$29,MATCH(C1128,Lists!$A$2:$A$26,0))),""))</f>
        <v/>
      </c>
      <c r="M1128" s="15" t="str">
        <f t="shared" si="17"/>
        <v/>
      </c>
    </row>
    <row r="1129" spans="1:13" x14ac:dyDescent="0.35">
      <c r="A1129" s="11"/>
      <c r="B1129" s="12"/>
      <c r="C1129" s="12"/>
      <c r="D1129" s="12"/>
      <c r="E1129" s="13"/>
      <c r="F1129" s="13"/>
      <c r="G1129" s="13"/>
      <c r="H1129" s="13"/>
      <c r="I1129" s="12"/>
      <c r="J1129" s="13"/>
      <c r="K1129" s="14" t="str">
        <f>IF(C1129="","",IFERROR(N('Fee Settings'!$C$5)*(E1129+N(F1129)-N(J1129))+N('Fee Settings'!$C$6)*(E1129+N(F1129)+N(G1129))+N('Fee Settings'!$C$7)+N('Fee Settings'!$C$10)*D1129+IF(I1129="Yes",MIN(N('Fee Settings'!$C$8)*(E1129+N(F1129)),N('Fee Settings'!$C$9)),0),""))</f>
        <v/>
      </c>
      <c r="L1129" s="14" t="str">
        <f>IF(C1129="","",IFERROR(D1129*N(INDEX(Products!$C$5:$C$29,MATCH(C1129,Lists!$A$2:$A$26,0))),""))</f>
        <v/>
      </c>
      <c r="M1129" s="15" t="str">
        <f t="shared" si="17"/>
        <v/>
      </c>
    </row>
    <row r="1130" spans="1:13" x14ac:dyDescent="0.35">
      <c r="A1130" s="11"/>
      <c r="B1130" s="12"/>
      <c r="C1130" s="12"/>
      <c r="D1130" s="12"/>
      <c r="E1130" s="13"/>
      <c r="F1130" s="13"/>
      <c r="G1130" s="13"/>
      <c r="H1130" s="13"/>
      <c r="I1130" s="12"/>
      <c r="J1130" s="13"/>
      <c r="K1130" s="14" t="str">
        <f>IF(C1130="","",IFERROR(N('Fee Settings'!$C$5)*(E1130+N(F1130)-N(J1130))+N('Fee Settings'!$C$6)*(E1130+N(F1130)+N(G1130))+N('Fee Settings'!$C$7)+N('Fee Settings'!$C$10)*D1130+IF(I1130="Yes",MIN(N('Fee Settings'!$C$8)*(E1130+N(F1130)),N('Fee Settings'!$C$9)),0),""))</f>
        <v/>
      </c>
      <c r="L1130" s="14" t="str">
        <f>IF(C1130="","",IFERROR(D1130*N(INDEX(Products!$C$5:$C$29,MATCH(C1130,Lists!$A$2:$A$26,0))),""))</f>
        <v/>
      </c>
      <c r="M1130" s="15" t="str">
        <f t="shared" si="17"/>
        <v/>
      </c>
    </row>
    <row r="1131" spans="1:13" x14ac:dyDescent="0.35">
      <c r="A1131" s="11"/>
      <c r="B1131" s="12"/>
      <c r="C1131" s="12"/>
      <c r="D1131" s="12"/>
      <c r="E1131" s="13"/>
      <c r="F1131" s="13"/>
      <c r="G1131" s="13"/>
      <c r="H1131" s="13"/>
      <c r="I1131" s="12"/>
      <c r="J1131" s="13"/>
      <c r="K1131" s="14" t="str">
        <f>IF(C1131="","",IFERROR(N('Fee Settings'!$C$5)*(E1131+N(F1131)-N(J1131))+N('Fee Settings'!$C$6)*(E1131+N(F1131)+N(G1131))+N('Fee Settings'!$C$7)+N('Fee Settings'!$C$10)*D1131+IF(I1131="Yes",MIN(N('Fee Settings'!$C$8)*(E1131+N(F1131)),N('Fee Settings'!$C$9)),0),""))</f>
        <v/>
      </c>
      <c r="L1131" s="14" t="str">
        <f>IF(C1131="","",IFERROR(D1131*N(INDEX(Products!$C$5:$C$29,MATCH(C1131,Lists!$A$2:$A$26,0))),""))</f>
        <v/>
      </c>
      <c r="M1131" s="15" t="str">
        <f t="shared" si="17"/>
        <v/>
      </c>
    </row>
    <row r="1132" spans="1:13" x14ac:dyDescent="0.35">
      <c r="A1132" s="11"/>
      <c r="B1132" s="12"/>
      <c r="C1132" s="12"/>
      <c r="D1132" s="12"/>
      <c r="E1132" s="13"/>
      <c r="F1132" s="13"/>
      <c r="G1132" s="13"/>
      <c r="H1132" s="13"/>
      <c r="I1132" s="12"/>
      <c r="J1132" s="13"/>
      <c r="K1132" s="14" t="str">
        <f>IF(C1132="","",IFERROR(N('Fee Settings'!$C$5)*(E1132+N(F1132)-N(J1132))+N('Fee Settings'!$C$6)*(E1132+N(F1132)+N(G1132))+N('Fee Settings'!$C$7)+N('Fee Settings'!$C$10)*D1132+IF(I1132="Yes",MIN(N('Fee Settings'!$C$8)*(E1132+N(F1132)),N('Fee Settings'!$C$9)),0),""))</f>
        <v/>
      </c>
      <c r="L1132" s="14" t="str">
        <f>IF(C1132="","",IFERROR(D1132*N(INDEX(Products!$C$5:$C$29,MATCH(C1132,Lists!$A$2:$A$26,0))),""))</f>
        <v/>
      </c>
      <c r="M1132" s="15" t="str">
        <f t="shared" si="17"/>
        <v/>
      </c>
    </row>
    <row r="1133" spans="1:13" x14ac:dyDescent="0.35">
      <c r="A1133" s="11"/>
      <c r="B1133" s="12"/>
      <c r="C1133" s="12"/>
      <c r="D1133" s="12"/>
      <c r="E1133" s="13"/>
      <c r="F1133" s="13"/>
      <c r="G1133" s="13"/>
      <c r="H1133" s="13"/>
      <c r="I1133" s="12"/>
      <c r="J1133" s="13"/>
      <c r="K1133" s="14" t="str">
        <f>IF(C1133="","",IFERROR(N('Fee Settings'!$C$5)*(E1133+N(F1133)-N(J1133))+N('Fee Settings'!$C$6)*(E1133+N(F1133)+N(G1133))+N('Fee Settings'!$C$7)+N('Fee Settings'!$C$10)*D1133+IF(I1133="Yes",MIN(N('Fee Settings'!$C$8)*(E1133+N(F1133)),N('Fee Settings'!$C$9)),0),""))</f>
        <v/>
      </c>
      <c r="L1133" s="14" t="str">
        <f>IF(C1133="","",IFERROR(D1133*N(INDEX(Products!$C$5:$C$29,MATCH(C1133,Lists!$A$2:$A$26,0))),""))</f>
        <v/>
      </c>
      <c r="M1133" s="15" t="str">
        <f t="shared" si="17"/>
        <v/>
      </c>
    </row>
    <row r="1134" spans="1:13" x14ac:dyDescent="0.35">
      <c r="A1134" s="11"/>
      <c r="B1134" s="12"/>
      <c r="C1134" s="12"/>
      <c r="D1134" s="12"/>
      <c r="E1134" s="13"/>
      <c r="F1134" s="13"/>
      <c r="G1134" s="13"/>
      <c r="H1134" s="13"/>
      <c r="I1134" s="12"/>
      <c r="J1134" s="13"/>
      <c r="K1134" s="14" t="str">
        <f>IF(C1134="","",IFERROR(N('Fee Settings'!$C$5)*(E1134+N(F1134)-N(J1134))+N('Fee Settings'!$C$6)*(E1134+N(F1134)+N(G1134))+N('Fee Settings'!$C$7)+N('Fee Settings'!$C$10)*D1134+IF(I1134="Yes",MIN(N('Fee Settings'!$C$8)*(E1134+N(F1134)),N('Fee Settings'!$C$9)),0),""))</f>
        <v/>
      </c>
      <c r="L1134" s="14" t="str">
        <f>IF(C1134="","",IFERROR(D1134*N(INDEX(Products!$C$5:$C$29,MATCH(C1134,Lists!$A$2:$A$26,0))),""))</f>
        <v/>
      </c>
      <c r="M1134" s="15" t="str">
        <f t="shared" si="17"/>
        <v/>
      </c>
    </row>
    <row r="1135" spans="1:13" x14ac:dyDescent="0.35">
      <c r="A1135" s="11"/>
      <c r="B1135" s="12"/>
      <c r="C1135" s="12"/>
      <c r="D1135" s="12"/>
      <c r="E1135" s="13"/>
      <c r="F1135" s="13"/>
      <c r="G1135" s="13"/>
      <c r="H1135" s="13"/>
      <c r="I1135" s="12"/>
      <c r="J1135" s="13"/>
      <c r="K1135" s="14" t="str">
        <f>IF(C1135="","",IFERROR(N('Fee Settings'!$C$5)*(E1135+N(F1135)-N(J1135))+N('Fee Settings'!$C$6)*(E1135+N(F1135)+N(G1135))+N('Fee Settings'!$C$7)+N('Fee Settings'!$C$10)*D1135+IF(I1135="Yes",MIN(N('Fee Settings'!$C$8)*(E1135+N(F1135)),N('Fee Settings'!$C$9)),0),""))</f>
        <v/>
      </c>
      <c r="L1135" s="14" t="str">
        <f>IF(C1135="","",IFERROR(D1135*N(INDEX(Products!$C$5:$C$29,MATCH(C1135,Lists!$A$2:$A$26,0))),""))</f>
        <v/>
      </c>
      <c r="M1135" s="15" t="str">
        <f t="shared" si="17"/>
        <v/>
      </c>
    </row>
    <row r="1136" spans="1:13" x14ac:dyDescent="0.35">
      <c r="A1136" s="11"/>
      <c r="B1136" s="12"/>
      <c r="C1136" s="12"/>
      <c r="D1136" s="12"/>
      <c r="E1136" s="13"/>
      <c r="F1136" s="13"/>
      <c r="G1136" s="13"/>
      <c r="H1136" s="13"/>
      <c r="I1136" s="12"/>
      <c r="J1136" s="13"/>
      <c r="K1136" s="14" t="str">
        <f>IF(C1136="","",IFERROR(N('Fee Settings'!$C$5)*(E1136+N(F1136)-N(J1136))+N('Fee Settings'!$C$6)*(E1136+N(F1136)+N(G1136))+N('Fee Settings'!$C$7)+N('Fee Settings'!$C$10)*D1136+IF(I1136="Yes",MIN(N('Fee Settings'!$C$8)*(E1136+N(F1136)),N('Fee Settings'!$C$9)),0),""))</f>
        <v/>
      </c>
      <c r="L1136" s="14" t="str">
        <f>IF(C1136="","",IFERROR(D1136*N(INDEX(Products!$C$5:$C$29,MATCH(C1136,Lists!$A$2:$A$26,0))),""))</f>
        <v/>
      </c>
      <c r="M1136" s="15" t="str">
        <f t="shared" si="17"/>
        <v/>
      </c>
    </row>
    <row r="1137" spans="1:13" x14ac:dyDescent="0.35">
      <c r="A1137" s="11"/>
      <c r="B1137" s="12"/>
      <c r="C1137" s="12"/>
      <c r="D1137" s="12"/>
      <c r="E1137" s="13"/>
      <c r="F1137" s="13"/>
      <c r="G1137" s="13"/>
      <c r="H1137" s="13"/>
      <c r="I1137" s="12"/>
      <c r="J1137" s="13"/>
      <c r="K1137" s="14" t="str">
        <f>IF(C1137="","",IFERROR(N('Fee Settings'!$C$5)*(E1137+N(F1137)-N(J1137))+N('Fee Settings'!$C$6)*(E1137+N(F1137)+N(G1137))+N('Fee Settings'!$C$7)+N('Fee Settings'!$C$10)*D1137+IF(I1137="Yes",MIN(N('Fee Settings'!$C$8)*(E1137+N(F1137)),N('Fee Settings'!$C$9)),0),""))</f>
        <v/>
      </c>
      <c r="L1137" s="14" t="str">
        <f>IF(C1137="","",IFERROR(D1137*N(INDEX(Products!$C$5:$C$29,MATCH(C1137,Lists!$A$2:$A$26,0))),""))</f>
        <v/>
      </c>
      <c r="M1137" s="15" t="str">
        <f t="shared" si="17"/>
        <v/>
      </c>
    </row>
    <row r="1138" spans="1:13" x14ac:dyDescent="0.35">
      <c r="A1138" s="11"/>
      <c r="B1138" s="12"/>
      <c r="C1138" s="12"/>
      <c r="D1138" s="12"/>
      <c r="E1138" s="13"/>
      <c r="F1138" s="13"/>
      <c r="G1138" s="13"/>
      <c r="H1138" s="13"/>
      <c r="I1138" s="12"/>
      <c r="J1138" s="13"/>
      <c r="K1138" s="14" t="str">
        <f>IF(C1138="","",IFERROR(N('Fee Settings'!$C$5)*(E1138+N(F1138)-N(J1138))+N('Fee Settings'!$C$6)*(E1138+N(F1138)+N(G1138))+N('Fee Settings'!$C$7)+N('Fee Settings'!$C$10)*D1138+IF(I1138="Yes",MIN(N('Fee Settings'!$C$8)*(E1138+N(F1138)),N('Fee Settings'!$C$9)),0),""))</f>
        <v/>
      </c>
      <c r="L1138" s="14" t="str">
        <f>IF(C1138="","",IFERROR(D1138*N(INDEX(Products!$C$5:$C$29,MATCH(C1138,Lists!$A$2:$A$26,0))),""))</f>
        <v/>
      </c>
      <c r="M1138" s="15" t="str">
        <f t="shared" si="17"/>
        <v/>
      </c>
    </row>
    <row r="1139" spans="1:13" x14ac:dyDescent="0.35">
      <c r="A1139" s="11"/>
      <c r="B1139" s="12"/>
      <c r="C1139" s="12"/>
      <c r="D1139" s="12"/>
      <c r="E1139" s="13"/>
      <c r="F1139" s="13"/>
      <c r="G1139" s="13"/>
      <c r="H1139" s="13"/>
      <c r="I1139" s="12"/>
      <c r="J1139" s="13"/>
      <c r="K1139" s="14" t="str">
        <f>IF(C1139="","",IFERROR(N('Fee Settings'!$C$5)*(E1139+N(F1139)-N(J1139))+N('Fee Settings'!$C$6)*(E1139+N(F1139)+N(G1139))+N('Fee Settings'!$C$7)+N('Fee Settings'!$C$10)*D1139+IF(I1139="Yes",MIN(N('Fee Settings'!$C$8)*(E1139+N(F1139)),N('Fee Settings'!$C$9)),0),""))</f>
        <v/>
      </c>
      <c r="L1139" s="14" t="str">
        <f>IF(C1139="","",IFERROR(D1139*N(INDEX(Products!$C$5:$C$29,MATCH(C1139,Lists!$A$2:$A$26,0))),""))</f>
        <v/>
      </c>
      <c r="M1139" s="15" t="str">
        <f t="shared" si="17"/>
        <v/>
      </c>
    </row>
    <row r="1140" spans="1:13" x14ac:dyDescent="0.35">
      <c r="A1140" s="11"/>
      <c r="B1140" s="12"/>
      <c r="C1140" s="12"/>
      <c r="D1140" s="12"/>
      <c r="E1140" s="13"/>
      <c r="F1140" s="13"/>
      <c r="G1140" s="13"/>
      <c r="H1140" s="13"/>
      <c r="I1140" s="12"/>
      <c r="J1140" s="13"/>
      <c r="K1140" s="14" t="str">
        <f>IF(C1140="","",IFERROR(N('Fee Settings'!$C$5)*(E1140+N(F1140)-N(J1140))+N('Fee Settings'!$C$6)*(E1140+N(F1140)+N(G1140))+N('Fee Settings'!$C$7)+N('Fee Settings'!$C$10)*D1140+IF(I1140="Yes",MIN(N('Fee Settings'!$C$8)*(E1140+N(F1140)),N('Fee Settings'!$C$9)),0),""))</f>
        <v/>
      </c>
      <c r="L1140" s="14" t="str">
        <f>IF(C1140="","",IFERROR(D1140*N(INDEX(Products!$C$5:$C$29,MATCH(C1140,Lists!$A$2:$A$26,0))),""))</f>
        <v/>
      </c>
      <c r="M1140" s="15" t="str">
        <f t="shared" si="17"/>
        <v/>
      </c>
    </row>
    <row r="1141" spans="1:13" x14ac:dyDescent="0.35">
      <c r="A1141" s="11"/>
      <c r="B1141" s="12"/>
      <c r="C1141" s="12"/>
      <c r="D1141" s="12"/>
      <c r="E1141" s="13"/>
      <c r="F1141" s="13"/>
      <c r="G1141" s="13"/>
      <c r="H1141" s="13"/>
      <c r="I1141" s="12"/>
      <c r="J1141" s="13"/>
      <c r="K1141" s="14" t="str">
        <f>IF(C1141="","",IFERROR(N('Fee Settings'!$C$5)*(E1141+N(F1141)-N(J1141))+N('Fee Settings'!$C$6)*(E1141+N(F1141)+N(G1141))+N('Fee Settings'!$C$7)+N('Fee Settings'!$C$10)*D1141+IF(I1141="Yes",MIN(N('Fee Settings'!$C$8)*(E1141+N(F1141)),N('Fee Settings'!$C$9)),0),""))</f>
        <v/>
      </c>
      <c r="L1141" s="14" t="str">
        <f>IF(C1141="","",IFERROR(D1141*N(INDEX(Products!$C$5:$C$29,MATCH(C1141,Lists!$A$2:$A$26,0))),""))</f>
        <v/>
      </c>
      <c r="M1141" s="15" t="str">
        <f t="shared" si="17"/>
        <v/>
      </c>
    </row>
    <row r="1142" spans="1:13" x14ac:dyDescent="0.35">
      <c r="A1142" s="11"/>
      <c r="B1142" s="12"/>
      <c r="C1142" s="12"/>
      <c r="D1142" s="12"/>
      <c r="E1142" s="13"/>
      <c r="F1142" s="13"/>
      <c r="G1142" s="13"/>
      <c r="H1142" s="13"/>
      <c r="I1142" s="12"/>
      <c r="J1142" s="13"/>
      <c r="K1142" s="14" t="str">
        <f>IF(C1142="","",IFERROR(N('Fee Settings'!$C$5)*(E1142+N(F1142)-N(J1142))+N('Fee Settings'!$C$6)*(E1142+N(F1142)+N(G1142))+N('Fee Settings'!$C$7)+N('Fee Settings'!$C$10)*D1142+IF(I1142="Yes",MIN(N('Fee Settings'!$C$8)*(E1142+N(F1142)),N('Fee Settings'!$C$9)),0),""))</f>
        <v/>
      </c>
      <c r="L1142" s="14" t="str">
        <f>IF(C1142="","",IFERROR(D1142*N(INDEX(Products!$C$5:$C$29,MATCH(C1142,Lists!$A$2:$A$26,0))),""))</f>
        <v/>
      </c>
      <c r="M1142" s="15" t="str">
        <f t="shared" si="17"/>
        <v/>
      </c>
    </row>
    <row r="1143" spans="1:13" x14ac:dyDescent="0.35">
      <c r="A1143" s="11"/>
      <c r="B1143" s="12"/>
      <c r="C1143" s="12"/>
      <c r="D1143" s="12"/>
      <c r="E1143" s="13"/>
      <c r="F1143" s="13"/>
      <c r="G1143" s="13"/>
      <c r="H1143" s="13"/>
      <c r="I1143" s="12"/>
      <c r="J1143" s="13"/>
      <c r="K1143" s="14" t="str">
        <f>IF(C1143="","",IFERROR(N('Fee Settings'!$C$5)*(E1143+N(F1143)-N(J1143))+N('Fee Settings'!$C$6)*(E1143+N(F1143)+N(G1143))+N('Fee Settings'!$C$7)+N('Fee Settings'!$C$10)*D1143+IF(I1143="Yes",MIN(N('Fee Settings'!$C$8)*(E1143+N(F1143)),N('Fee Settings'!$C$9)),0),""))</f>
        <v/>
      </c>
      <c r="L1143" s="14" t="str">
        <f>IF(C1143="","",IFERROR(D1143*N(INDEX(Products!$C$5:$C$29,MATCH(C1143,Lists!$A$2:$A$26,0))),""))</f>
        <v/>
      </c>
      <c r="M1143" s="15" t="str">
        <f t="shared" si="17"/>
        <v/>
      </c>
    </row>
    <row r="1144" spans="1:13" x14ac:dyDescent="0.35">
      <c r="A1144" s="11"/>
      <c r="B1144" s="12"/>
      <c r="C1144" s="12"/>
      <c r="D1144" s="12"/>
      <c r="E1144" s="13"/>
      <c r="F1144" s="13"/>
      <c r="G1144" s="13"/>
      <c r="H1144" s="13"/>
      <c r="I1144" s="12"/>
      <c r="J1144" s="13"/>
      <c r="K1144" s="14" t="str">
        <f>IF(C1144="","",IFERROR(N('Fee Settings'!$C$5)*(E1144+N(F1144)-N(J1144))+N('Fee Settings'!$C$6)*(E1144+N(F1144)+N(G1144))+N('Fee Settings'!$C$7)+N('Fee Settings'!$C$10)*D1144+IF(I1144="Yes",MIN(N('Fee Settings'!$C$8)*(E1144+N(F1144)),N('Fee Settings'!$C$9)),0),""))</f>
        <v/>
      </c>
      <c r="L1144" s="14" t="str">
        <f>IF(C1144="","",IFERROR(D1144*N(INDEX(Products!$C$5:$C$29,MATCH(C1144,Lists!$A$2:$A$26,0))),""))</f>
        <v/>
      </c>
      <c r="M1144" s="15" t="str">
        <f t="shared" si="17"/>
        <v/>
      </c>
    </row>
    <row r="1145" spans="1:13" x14ac:dyDescent="0.35">
      <c r="A1145" s="11"/>
      <c r="B1145" s="12"/>
      <c r="C1145" s="12"/>
      <c r="D1145" s="12"/>
      <c r="E1145" s="13"/>
      <c r="F1145" s="13"/>
      <c r="G1145" s="13"/>
      <c r="H1145" s="13"/>
      <c r="I1145" s="12"/>
      <c r="J1145" s="13"/>
      <c r="K1145" s="14" t="str">
        <f>IF(C1145="","",IFERROR(N('Fee Settings'!$C$5)*(E1145+N(F1145)-N(J1145))+N('Fee Settings'!$C$6)*(E1145+N(F1145)+N(G1145))+N('Fee Settings'!$C$7)+N('Fee Settings'!$C$10)*D1145+IF(I1145="Yes",MIN(N('Fee Settings'!$C$8)*(E1145+N(F1145)),N('Fee Settings'!$C$9)),0),""))</f>
        <v/>
      </c>
      <c r="L1145" s="14" t="str">
        <f>IF(C1145="","",IFERROR(D1145*N(INDEX(Products!$C$5:$C$29,MATCH(C1145,Lists!$A$2:$A$26,0))),""))</f>
        <v/>
      </c>
      <c r="M1145" s="15" t="str">
        <f t="shared" si="17"/>
        <v/>
      </c>
    </row>
    <row r="1146" spans="1:13" x14ac:dyDescent="0.35">
      <c r="A1146" s="11"/>
      <c r="B1146" s="12"/>
      <c r="C1146" s="12"/>
      <c r="D1146" s="12"/>
      <c r="E1146" s="13"/>
      <c r="F1146" s="13"/>
      <c r="G1146" s="13"/>
      <c r="H1146" s="13"/>
      <c r="I1146" s="12"/>
      <c r="J1146" s="13"/>
      <c r="K1146" s="14" t="str">
        <f>IF(C1146="","",IFERROR(N('Fee Settings'!$C$5)*(E1146+N(F1146)-N(J1146))+N('Fee Settings'!$C$6)*(E1146+N(F1146)+N(G1146))+N('Fee Settings'!$C$7)+N('Fee Settings'!$C$10)*D1146+IF(I1146="Yes",MIN(N('Fee Settings'!$C$8)*(E1146+N(F1146)),N('Fee Settings'!$C$9)),0),""))</f>
        <v/>
      </c>
      <c r="L1146" s="14" t="str">
        <f>IF(C1146="","",IFERROR(D1146*N(INDEX(Products!$C$5:$C$29,MATCH(C1146,Lists!$A$2:$A$26,0))),""))</f>
        <v/>
      </c>
      <c r="M1146" s="15" t="str">
        <f t="shared" si="17"/>
        <v/>
      </c>
    </row>
    <row r="1147" spans="1:13" x14ac:dyDescent="0.35">
      <c r="A1147" s="11"/>
      <c r="B1147" s="12"/>
      <c r="C1147" s="12"/>
      <c r="D1147" s="12"/>
      <c r="E1147" s="13"/>
      <c r="F1147" s="13"/>
      <c r="G1147" s="13"/>
      <c r="H1147" s="13"/>
      <c r="I1147" s="12"/>
      <c r="J1147" s="13"/>
      <c r="K1147" s="14" t="str">
        <f>IF(C1147="","",IFERROR(N('Fee Settings'!$C$5)*(E1147+N(F1147)-N(J1147))+N('Fee Settings'!$C$6)*(E1147+N(F1147)+N(G1147))+N('Fee Settings'!$C$7)+N('Fee Settings'!$C$10)*D1147+IF(I1147="Yes",MIN(N('Fee Settings'!$C$8)*(E1147+N(F1147)),N('Fee Settings'!$C$9)),0),""))</f>
        <v/>
      </c>
      <c r="L1147" s="14" t="str">
        <f>IF(C1147="","",IFERROR(D1147*N(INDEX(Products!$C$5:$C$29,MATCH(C1147,Lists!$A$2:$A$26,0))),""))</f>
        <v/>
      </c>
      <c r="M1147" s="15" t="str">
        <f t="shared" si="17"/>
        <v/>
      </c>
    </row>
    <row r="1148" spans="1:13" x14ac:dyDescent="0.35">
      <c r="A1148" s="11"/>
      <c r="B1148" s="12"/>
      <c r="C1148" s="12"/>
      <c r="D1148" s="12"/>
      <c r="E1148" s="13"/>
      <c r="F1148" s="13"/>
      <c r="G1148" s="13"/>
      <c r="H1148" s="13"/>
      <c r="I1148" s="12"/>
      <c r="J1148" s="13"/>
      <c r="K1148" s="14" t="str">
        <f>IF(C1148="","",IFERROR(N('Fee Settings'!$C$5)*(E1148+N(F1148)-N(J1148))+N('Fee Settings'!$C$6)*(E1148+N(F1148)+N(G1148))+N('Fee Settings'!$C$7)+N('Fee Settings'!$C$10)*D1148+IF(I1148="Yes",MIN(N('Fee Settings'!$C$8)*(E1148+N(F1148)),N('Fee Settings'!$C$9)),0),""))</f>
        <v/>
      </c>
      <c r="L1148" s="14" t="str">
        <f>IF(C1148="","",IFERROR(D1148*N(INDEX(Products!$C$5:$C$29,MATCH(C1148,Lists!$A$2:$A$26,0))),""))</f>
        <v/>
      </c>
      <c r="M1148" s="15" t="str">
        <f t="shared" si="17"/>
        <v/>
      </c>
    </row>
    <row r="1149" spans="1:13" x14ac:dyDescent="0.35">
      <c r="A1149" s="11"/>
      <c r="B1149" s="12"/>
      <c r="C1149" s="12"/>
      <c r="D1149" s="12"/>
      <c r="E1149" s="13"/>
      <c r="F1149" s="13"/>
      <c r="G1149" s="13"/>
      <c r="H1149" s="13"/>
      <c r="I1149" s="12"/>
      <c r="J1149" s="13"/>
      <c r="K1149" s="14" t="str">
        <f>IF(C1149="","",IFERROR(N('Fee Settings'!$C$5)*(E1149+N(F1149)-N(J1149))+N('Fee Settings'!$C$6)*(E1149+N(F1149)+N(G1149))+N('Fee Settings'!$C$7)+N('Fee Settings'!$C$10)*D1149+IF(I1149="Yes",MIN(N('Fee Settings'!$C$8)*(E1149+N(F1149)),N('Fee Settings'!$C$9)),0),""))</f>
        <v/>
      </c>
      <c r="L1149" s="14" t="str">
        <f>IF(C1149="","",IFERROR(D1149*N(INDEX(Products!$C$5:$C$29,MATCH(C1149,Lists!$A$2:$A$26,0))),""))</f>
        <v/>
      </c>
      <c r="M1149" s="15" t="str">
        <f t="shared" si="17"/>
        <v/>
      </c>
    </row>
    <row r="1150" spans="1:13" x14ac:dyDescent="0.35">
      <c r="A1150" s="11"/>
      <c r="B1150" s="12"/>
      <c r="C1150" s="12"/>
      <c r="D1150" s="12"/>
      <c r="E1150" s="13"/>
      <c r="F1150" s="13"/>
      <c r="G1150" s="13"/>
      <c r="H1150" s="13"/>
      <c r="I1150" s="12"/>
      <c r="J1150" s="13"/>
      <c r="K1150" s="14" t="str">
        <f>IF(C1150="","",IFERROR(N('Fee Settings'!$C$5)*(E1150+N(F1150)-N(J1150))+N('Fee Settings'!$C$6)*(E1150+N(F1150)+N(G1150))+N('Fee Settings'!$C$7)+N('Fee Settings'!$C$10)*D1150+IF(I1150="Yes",MIN(N('Fee Settings'!$C$8)*(E1150+N(F1150)),N('Fee Settings'!$C$9)),0),""))</f>
        <v/>
      </c>
      <c r="L1150" s="14" t="str">
        <f>IF(C1150="","",IFERROR(D1150*N(INDEX(Products!$C$5:$C$29,MATCH(C1150,Lists!$A$2:$A$26,0))),""))</f>
        <v/>
      </c>
      <c r="M1150" s="15" t="str">
        <f t="shared" si="17"/>
        <v/>
      </c>
    </row>
    <row r="1151" spans="1:13" x14ac:dyDescent="0.35">
      <c r="A1151" s="11"/>
      <c r="B1151" s="12"/>
      <c r="C1151" s="12"/>
      <c r="D1151" s="12"/>
      <c r="E1151" s="13"/>
      <c r="F1151" s="13"/>
      <c r="G1151" s="13"/>
      <c r="H1151" s="13"/>
      <c r="I1151" s="12"/>
      <c r="J1151" s="13"/>
      <c r="K1151" s="14" t="str">
        <f>IF(C1151="","",IFERROR(N('Fee Settings'!$C$5)*(E1151+N(F1151)-N(J1151))+N('Fee Settings'!$C$6)*(E1151+N(F1151)+N(G1151))+N('Fee Settings'!$C$7)+N('Fee Settings'!$C$10)*D1151+IF(I1151="Yes",MIN(N('Fee Settings'!$C$8)*(E1151+N(F1151)),N('Fee Settings'!$C$9)),0),""))</f>
        <v/>
      </c>
      <c r="L1151" s="14" t="str">
        <f>IF(C1151="","",IFERROR(D1151*N(INDEX(Products!$C$5:$C$29,MATCH(C1151,Lists!$A$2:$A$26,0))),""))</f>
        <v/>
      </c>
      <c r="M1151" s="15" t="str">
        <f t="shared" si="17"/>
        <v/>
      </c>
    </row>
    <row r="1152" spans="1:13" x14ac:dyDescent="0.35">
      <c r="A1152" s="11"/>
      <c r="B1152" s="12"/>
      <c r="C1152" s="12"/>
      <c r="D1152" s="12"/>
      <c r="E1152" s="13"/>
      <c r="F1152" s="13"/>
      <c r="G1152" s="13"/>
      <c r="H1152" s="13"/>
      <c r="I1152" s="12"/>
      <c r="J1152" s="13"/>
      <c r="K1152" s="14" t="str">
        <f>IF(C1152="","",IFERROR(N('Fee Settings'!$C$5)*(E1152+N(F1152)-N(J1152))+N('Fee Settings'!$C$6)*(E1152+N(F1152)+N(G1152))+N('Fee Settings'!$C$7)+N('Fee Settings'!$C$10)*D1152+IF(I1152="Yes",MIN(N('Fee Settings'!$C$8)*(E1152+N(F1152)),N('Fee Settings'!$C$9)),0),""))</f>
        <v/>
      </c>
      <c r="L1152" s="14" t="str">
        <f>IF(C1152="","",IFERROR(D1152*N(INDEX(Products!$C$5:$C$29,MATCH(C1152,Lists!$A$2:$A$26,0))),""))</f>
        <v/>
      </c>
      <c r="M1152" s="15" t="str">
        <f t="shared" si="17"/>
        <v/>
      </c>
    </row>
    <row r="1153" spans="1:13" x14ac:dyDescent="0.35">
      <c r="A1153" s="11"/>
      <c r="B1153" s="12"/>
      <c r="C1153" s="12"/>
      <c r="D1153" s="12"/>
      <c r="E1153" s="13"/>
      <c r="F1153" s="13"/>
      <c r="G1153" s="13"/>
      <c r="H1153" s="13"/>
      <c r="I1153" s="12"/>
      <c r="J1153" s="13"/>
      <c r="K1153" s="14" t="str">
        <f>IF(C1153="","",IFERROR(N('Fee Settings'!$C$5)*(E1153+N(F1153)-N(J1153))+N('Fee Settings'!$C$6)*(E1153+N(F1153)+N(G1153))+N('Fee Settings'!$C$7)+N('Fee Settings'!$C$10)*D1153+IF(I1153="Yes",MIN(N('Fee Settings'!$C$8)*(E1153+N(F1153)),N('Fee Settings'!$C$9)),0),""))</f>
        <v/>
      </c>
      <c r="L1153" s="14" t="str">
        <f>IF(C1153="","",IFERROR(D1153*N(INDEX(Products!$C$5:$C$29,MATCH(C1153,Lists!$A$2:$A$26,0))),""))</f>
        <v/>
      </c>
      <c r="M1153" s="15" t="str">
        <f t="shared" si="17"/>
        <v/>
      </c>
    </row>
    <row r="1154" spans="1:13" x14ac:dyDescent="0.35">
      <c r="A1154" s="11"/>
      <c r="B1154" s="12"/>
      <c r="C1154" s="12"/>
      <c r="D1154" s="12"/>
      <c r="E1154" s="13"/>
      <c r="F1154" s="13"/>
      <c r="G1154" s="13"/>
      <c r="H1154" s="13"/>
      <c r="I1154" s="12"/>
      <c r="J1154" s="13"/>
      <c r="K1154" s="14" t="str">
        <f>IF(C1154="","",IFERROR(N('Fee Settings'!$C$5)*(E1154+N(F1154)-N(J1154))+N('Fee Settings'!$C$6)*(E1154+N(F1154)+N(G1154))+N('Fee Settings'!$C$7)+N('Fee Settings'!$C$10)*D1154+IF(I1154="Yes",MIN(N('Fee Settings'!$C$8)*(E1154+N(F1154)),N('Fee Settings'!$C$9)),0),""))</f>
        <v/>
      </c>
      <c r="L1154" s="14" t="str">
        <f>IF(C1154="","",IFERROR(D1154*N(INDEX(Products!$C$5:$C$29,MATCH(C1154,Lists!$A$2:$A$26,0))),""))</f>
        <v/>
      </c>
      <c r="M1154" s="15" t="str">
        <f t="shared" si="17"/>
        <v/>
      </c>
    </row>
    <row r="1155" spans="1:13" x14ac:dyDescent="0.35">
      <c r="A1155" s="11"/>
      <c r="B1155" s="12"/>
      <c r="C1155" s="12"/>
      <c r="D1155" s="12"/>
      <c r="E1155" s="13"/>
      <c r="F1155" s="13"/>
      <c r="G1155" s="13"/>
      <c r="H1155" s="13"/>
      <c r="I1155" s="12"/>
      <c r="J1155" s="13"/>
      <c r="K1155" s="14" t="str">
        <f>IF(C1155="","",IFERROR(N('Fee Settings'!$C$5)*(E1155+N(F1155)-N(J1155))+N('Fee Settings'!$C$6)*(E1155+N(F1155)+N(G1155))+N('Fee Settings'!$C$7)+N('Fee Settings'!$C$10)*D1155+IF(I1155="Yes",MIN(N('Fee Settings'!$C$8)*(E1155+N(F1155)),N('Fee Settings'!$C$9)),0),""))</f>
        <v/>
      </c>
      <c r="L1155" s="14" t="str">
        <f>IF(C1155="","",IFERROR(D1155*N(INDEX(Products!$C$5:$C$29,MATCH(C1155,Lists!$A$2:$A$26,0))),""))</f>
        <v/>
      </c>
      <c r="M1155" s="15" t="str">
        <f t="shared" si="17"/>
        <v/>
      </c>
    </row>
    <row r="1156" spans="1:13" x14ac:dyDescent="0.35">
      <c r="A1156" s="11"/>
      <c r="B1156" s="12"/>
      <c r="C1156" s="12"/>
      <c r="D1156" s="12"/>
      <c r="E1156" s="13"/>
      <c r="F1156" s="13"/>
      <c r="G1156" s="13"/>
      <c r="H1156" s="13"/>
      <c r="I1156" s="12"/>
      <c r="J1156" s="13"/>
      <c r="K1156" s="14" t="str">
        <f>IF(C1156="","",IFERROR(N('Fee Settings'!$C$5)*(E1156+N(F1156)-N(J1156))+N('Fee Settings'!$C$6)*(E1156+N(F1156)+N(G1156))+N('Fee Settings'!$C$7)+N('Fee Settings'!$C$10)*D1156+IF(I1156="Yes",MIN(N('Fee Settings'!$C$8)*(E1156+N(F1156)),N('Fee Settings'!$C$9)),0),""))</f>
        <v/>
      </c>
      <c r="L1156" s="14" t="str">
        <f>IF(C1156="","",IFERROR(D1156*N(INDEX(Products!$C$5:$C$29,MATCH(C1156,Lists!$A$2:$A$26,0))),""))</f>
        <v/>
      </c>
      <c r="M1156" s="15" t="str">
        <f t="shared" si="17"/>
        <v/>
      </c>
    </row>
    <row r="1157" spans="1:13" x14ac:dyDescent="0.35">
      <c r="A1157" s="11"/>
      <c r="B1157" s="12"/>
      <c r="C1157" s="12"/>
      <c r="D1157" s="12"/>
      <c r="E1157" s="13"/>
      <c r="F1157" s="13"/>
      <c r="G1157" s="13"/>
      <c r="H1157" s="13"/>
      <c r="I1157" s="12"/>
      <c r="J1157" s="13"/>
      <c r="K1157" s="14" t="str">
        <f>IF(C1157="","",IFERROR(N('Fee Settings'!$C$5)*(E1157+N(F1157)-N(J1157))+N('Fee Settings'!$C$6)*(E1157+N(F1157)+N(G1157))+N('Fee Settings'!$C$7)+N('Fee Settings'!$C$10)*D1157+IF(I1157="Yes",MIN(N('Fee Settings'!$C$8)*(E1157+N(F1157)),N('Fee Settings'!$C$9)),0),""))</f>
        <v/>
      </c>
      <c r="L1157" s="14" t="str">
        <f>IF(C1157="","",IFERROR(D1157*N(INDEX(Products!$C$5:$C$29,MATCH(C1157,Lists!$A$2:$A$26,0))),""))</f>
        <v/>
      </c>
      <c r="M1157" s="15" t="str">
        <f t="shared" ref="M1157:M1220" si="18">IF(C1157="","",IFERROR(E1157+N(F1157)-N(J1157)-K1157-L1157-N(H1157),""))</f>
        <v/>
      </c>
    </row>
    <row r="1158" spans="1:13" x14ac:dyDescent="0.35">
      <c r="A1158" s="11"/>
      <c r="B1158" s="12"/>
      <c r="C1158" s="12"/>
      <c r="D1158" s="12"/>
      <c r="E1158" s="13"/>
      <c r="F1158" s="13"/>
      <c r="G1158" s="13"/>
      <c r="H1158" s="13"/>
      <c r="I1158" s="12"/>
      <c r="J1158" s="13"/>
      <c r="K1158" s="14" t="str">
        <f>IF(C1158="","",IFERROR(N('Fee Settings'!$C$5)*(E1158+N(F1158)-N(J1158))+N('Fee Settings'!$C$6)*(E1158+N(F1158)+N(G1158))+N('Fee Settings'!$C$7)+N('Fee Settings'!$C$10)*D1158+IF(I1158="Yes",MIN(N('Fee Settings'!$C$8)*(E1158+N(F1158)),N('Fee Settings'!$C$9)),0),""))</f>
        <v/>
      </c>
      <c r="L1158" s="14" t="str">
        <f>IF(C1158="","",IFERROR(D1158*N(INDEX(Products!$C$5:$C$29,MATCH(C1158,Lists!$A$2:$A$26,0))),""))</f>
        <v/>
      </c>
      <c r="M1158" s="15" t="str">
        <f t="shared" si="18"/>
        <v/>
      </c>
    </row>
    <row r="1159" spans="1:13" x14ac:dyDescent="0.35">
      <c r="A1159" s="11"/>
      <c r="B1159" s="12"/>
      <c r="C1159" s="12"/>
      <c r="D1159" s="12"/>
      <c r="E1159" s="13"/>
      <c r="F1159" s="13"/>
      <c r="G1159" s="13"/>
      <c r="H1159" s="13"/>
      <c r="I1159" s="12"/>
      <c r="J1159" s="13"/>
      <c r="K1159" s="14" t="str">
        <f>IF(C1159="","",IFERROR(N('Fee Settings'!$C$5)*(E1159+N(F1159)-N(J1159))+N('Fee Settings'!$C$6)*(E1159+N(F1159)+N(G1159))+N('Fee Settings'!$C$7)+N('Fee Settings'!$C$10)*D1159+IF(I1159="Yes",MIN(N('Fee Settings'!$C$8)*(E1159+N(F1159)),N('Fee Settings'!$C$9)),0),""))</f>
        <v/>
      </c>
      <c r="L1159" s="14" t="str">
        <f>IF(C1159="","",IFERROR(D1159*N(INDEX(Products!$C$5:$C$29,MATCH(C1159,Lists!$A$2:$A$26,0))),""))</f>
        <v/>
      </c>
      <c r="M1159" s="15" t="str">
        <f t="shared" si="18"/>
        <v/>
      </c>
    </row>
    <row r="1160" spans="1:13" x14ac:dyDescent="0.35">
      <c r="A1160" s="11"/>
      <c r="B1160" s="12"/>
      <c r="C1160" s="12"/>
      <c r="D1160" s="12"/>
      <c r="E1160" s="13"/>
      <c r="F1160" s="13"/>
      <c r="G1160" s="13"/>
      <c r="H1160" s="13"/>
      <c r="I1160" s="12"/>
      <c r="J1160" s="13"/>
      <c r="K1160" s="14" t="str">
        <f>IF(C1160="","",IFERROR(N('Fee Settings'!$C$5)*(E1160+N(F1160)-N(J1160))+N('Fee Settings'!$C$6)*(E1160+N(F1160)+N(G1160))+N('Fee Settings'!$C$7)+N('Fee Settings'!$C$10)*D1160+IF(I1160="Yes",MIN(N('Fee Settings'!$C$8)*(E1160+N(F1160)),N('Fee Settings'!$C$9)),0),""))</f>
        <v/>
      </c>
      <c r="L1160" s="14" t="str">
        <f>IF(C1160="","",IFERROR(D1160*N(INDEX(Products!$C$5:$C$29,MATCH(C1160,Lists!$A$2:$A$26,0))),""))</f>
        <v/>
      </c>
      <c r="M1160" s="15" t="str">
        <f t="shared" si="18"/>
        <v/>
      </c>
    </row>
    <row r="1161" spans="1:13" x14ac:dyDescent="0.35">
      <c r="A1161" s="11"/>
      <c r="B1161" s="12"/>
      <c r="C1161" s="12"/>
      <c r="D1161" s="12"/>
      <c r="E1161" s="13"/>
      <c r="F1161" s="13"/>
      <c r="G1161" s="13"/>
      <c r="H1161" s="13"/>
      <c r="I1161" s="12"/>
      <c r="J1161" s="13"/>
      <c r="K1161" s="14" t="str">
        <f>IF(C1161="","",IFERROR(N('Fee Settings'!$C$5)*(E1161+N(F1161)-N(J1161))+N('Fee Settings'!$C$6)*(E1161+N(F1161)+N(G1161))+N('Fee Settings'!$C$7)+N('Fee Settings'!$C$10)*D1161+IF(I1161="Yes",MIN(N('Fee Settings'!$C$8)*(E1161+N(F1161)),N('Fee Settings'!$C$9)),0),""))</f>
        <v/>
      </c>
      <c r="L1161" s="14" t="str">
        <f>IF(C1161="","",IFERROR(D1161*N(INDEX(Products!$C$5:$C$29,MATCH(C1161,Lists!$A$2:$A$26,0))),""))</f>
        <v/>
      </c>
      <c r="M1161" s="15" t="str">
        <f t="shared" si="18"/>
        <v/>
      </c>
    </row>
    <row r="1162" spans="1:13" x14ac:dyDescent="0.35">
      <c r="A1162" s="11"/>
      <c r="B1162" s="12"/>
      <c r="C1162" s="12"/>
      <c r="D1162" s="12"/>
      <c r="E1162" s="13"/>
      <c r="F1162" s="13"/>
      <c r="G1162" s="13"/>
      <c r="H1162" s="13"/>
      <c r="I1162" s="12"/>
      <c r="J1162" s="13"/>
      <c r="K1162" s="14" t="str">
        <f>IF(C1162="","",IFERROR(N('Fee Settings'!$C$5)*(E1162+N(F1162)-N(J1162))+N('Fee Settings'!$C$6)*(E1162+N(F1162)+N(G1162))+N('Fee Settings'!$C$7)+N('Fee Settings'!$C$10)*D1162+IF(I1162="Yes",MIN(N('Fee Settings'!$C$8)*(E1162+N(F1162)),N('Fee Settings'!$C$9)),0),""))</f>
        <v/>
      </c>
      <c r="L1162" s="14" t="str">
        <f>IF(C1162="","",IFERROR(D1162*N(INDEX(Products!$C$5:$C$29,MATCH(C1162,Lists!$A$2:$A$26,0))),""))</f>
        <v/>
      </c>
      <c r="M1162" s="15" t="str">
        <f t="shared" si="18"/>
        <v/>
      </c>
    </row>
    <row r="1163" spans="1:13" x14ac:dyDescent="0.35">
      <c r="A1163" s="11"/>
      <c r="B1163" s="12"/>
      <c r="C1163" s="12"/>
      <c r="D1163" s="12"/>
      <c r="E1163" s="13"/>
      <c r="F1163" s="13"/>
      <c r="G1163" s="13"/>
      <c r="H1163" s="13"/>
      <c r="I1163" s="12"/>
      <c r="J1163" s="13"/>
      <c r="K1163" s="14" t="str">
        <f>IF(C1163="","",IFERROR(N('Fee Settings'!$C$5)*(E1163+N(F1163)-N(J1163))+N('Fee Settings'!$C$6)*(E1163+N(F1163)+N(G1163))+N('Fee Settings'!$C$7)+N('Fee Settings'!$C$10)*D1163+IF(I1163="Yes",MIN(N('Fee Settings'!$C$8)*(E1163+N(F1163)),N('Fee Settings'!$C$9)),0),""))</f>
        <v/>
      </c>
      <c r="L1163" s="14" t="str">
        <f>IF(C1163="","",IFERROR(D1163*N(INDEX(Products!$C$5:$C$29,MATCH(C1163,Lists!$A$2:$A$26,0))),""))</f>
        <v/>
      </c>
      <c r="M1163" s="15" t="str">
        <f t="shared" si="18"/>
        <v/>
      </c>
    </row>
    <row r="1164" spans="1:13" x14ac:dyDescent="0.35">
      <c r="A1164" s="11"/>
      <c r="B1164" s="12"/>
      <c r="C1164" s="12"/>
      <c r="D1164" s="12"/>
      <c r="E1164" s="13"/>
      <c r="F1164" s="13"/>
      <c r="G1164" s="13"/>
      <c r="H1164" s="13"/>
      <c r="I1164" s="12"/>
      <c r="J1164" s="13"/>
      <c r="K1164" s="14" t="str">
        <f>IF(C1164="","",IFERROR(N('Fee Settings'!$C$5)*(E1164+N(F1164)-N(J1164))+N('Fee Settings'!$C$6)*(E1164+N(F1164)+N(G1164))+N('Fee Settings'!$C$7)+N('Fee Settings'!$C$10)*D1164+IF(I1164="Yes",MIN(N('Fee Settings'!$C$8)*(E1164+N(F1164)),N('Fee Settings'!$C$9)),0),""))</f>
        <v/>
      </c>
      <c r="L1164" s="14" t="str">
        <f>IF(C1164="","",IFERROR(D1164*N(INDEX(Products!$C$5:$C$29,MATCH(C1164,Lists!$A$2:$A$26,0))),""))</f>
        <v/>
      </c>
      <c r="M1164" s="15" t="str">
        <f t="shared" si="18"/>
        <v/>
      </c>
    </row>
    <row r="1165" spans="1:13" x14ac:dyDescent="0.35">
      <c r="A1165" s="11"/>
      <c r="B1165" s="12"/>
      <c r="C1165" s="12"/>
      <c r="D1165" s="12"/>
      <c r="E1165" s="13"/>
      <c r="F1165" s="13"/>
      <c r="G1165" s="13"/>
      <c r="H1165" s="13"/>
      <c r="I1165" s="12"/>
      <c r="J1165" s="13"/>
      <c r="K1165" s="14" t="str">
        <f>IF(C1165="","",IFERROR(N('Fee Settings'!$C$5)*(E1165+N(F1165)-N(J1165))+N('Fee Settings'!$C$6)*(E1165+N(F1165)+N(G1165))+N('Fee Settings'!$C$7)+N('Fee Settings'!$C$10)*D1165+IF(I1165="Yes",MIN(N('Fee Settings'!$C$8)*(E1165+N(F1165)),N('Fee Settings'!$C$9)),0),""))</f>
        <v/>
      </c>
      <c r="L1165" s="14" t="str">
        <f>IF(C1165="","",IFERROR(D1165*N(INDEX(Products!$C$5:$C$29,MATCH(C1165,Lists!$A$2:$A$26,0))),""))</f>
        <v/>
      </c>
      <c r="M1165" s="15" t="str">
        <f t="shared" si="18"/>
        <v/>
      </c>
    </row>
    <row r="1166" spans="1:13" x14ac:dyDescent="0.35">
      <c r="A1166" s="11"/>
      <c r="B1166" s="12"/>
      <c r="C1166" s="12"/>
      <c r="D1166" s="12"/>
      <c r="E1166" s="13"/>
      <c r="F1166" s="13"/>
      <c r="G1166" s="13"/>
      <c r="H1166" s="13"/>
      <c r="I1166" s="12"/>
      <c r="J1166" s="13"/>
      <c r="K1166" s="14" t="str">
        <f>IF(C1166="","",IFERROR(N('Fee Settings'!$C$5)*(E1166+N(F1166)-N(J1166))+N('Fee Settings'!$C$6)*(E1166+N(F1166)+N(G1166))+N('Fee Settings'!$C$7)+N('Fee Settings'!$C$10)*D1166+IF(I1166="Yes",MIN(N('Fee Settings'!$C$8)*(E1166+N(F1166)),N('Fee Settings'!$C$9)),0),""))</f>
        <v/>
      </c>
      <c r="L1166" s="14" t="str">
        <f>IF(C1166="","",IFERROR(D1166*N(INDEX(Products!$C$5:$C$29,MATCH(C1166,Lists!$A$2:$A$26,0))),""))</f>
        <v/>
      </c>
      <c r="M1166" s="15" t="str">
        <f t="shared" si="18"/>
        <v/>
      </c>
    </row>
    <row r="1167" spans="1:13" x14ac:dyDescent="0.35">
      <c r="A1167" s="11"/>
      <c r="B1167" s="12"/>
      <c r="C1167" s="12"/>
      <c r="D1167" s="12"/>
      <c r="E1167" s="13"/>
      <c r="F1167" s="13"/>
      <c r="G1167" s="13"/>
      <c r="H1167" s="13"/>
      <c r="I1167" s="12"/>
      <c r="J1167" s="13"/>
      <c r="K1167" s="14" t="str">
        <f>IF(C1167="","",IFERROR(N('Fee Settings'!$C$5)*(E1167+N(F1167)-N(J1167))+N('Fee Settings'!$C$6)*(E1167+N(F1167)+N(G1167))+N('Fee Settings'!$C$7)+N('Fee Settings'!$C$10)*D1167+IF(I1167="Yes",MIN(N('Fee Settings'!$C$8)*(E1167+N(F1167)),N('Fee Settings'!$C$9)),0),""))</f>
        <v/>
      </c>
      <c r="L1167" s="14" t="str">
        <f>IF(C1167="","",IFERROR(D1167*N(INDEX(Products!$C$5:$C$29,MATCH(C1167,Lists!$A$2:$A$26,0))),""))</f>
        <v/>
      </c>
      <c r="M1167" s="15" t="str">
        <f t="shared" si="18"/>
        <v/>
      </c>
    </row>
    <row r="1168" spans="1:13" x14ac:dyDescent="0.35">
      <c r="A1168" s="11"/>
      <c r="B1168" s="12"/>
      <c r="C1168" s="12"/>
      <c r="D1168" s="12"/>
      <c r="E1168" s="13"/>
      <c r="F1168" s="13"/>
      <c r="G1168" s="13"/>
      <c r="H1168" s="13"/>
      <c r="I1168" s="12"/>
      <c r="J1168" s="13"/>
      <c r="K1168" s="14" t="str">
        <f>IF(C1168="","",IFERROR(N('Fee Settings'!$C$5)*(E1168+N(F1168)-N(J1168))+N('Fee Settings'!$C$6)*(E1168+N(F1168)+N(G1168))+N('Fee Settings'!$C$7)+N('Fee Settings'!$C$10)*D1168+IF(I1168="Yes",MIN(N('Fee Settings'!$C$8)*(E1168+N(F1168)),N('Fee Settings'!$C$9)),0),""))</f>
        <v/>
      </c>
      <c r="L1168" s="14" t="str">
        <f>IF(C1168="","",IFERROR(D1168*N(INDEX(Products!$C$5:$C$29,MATCH(C1168,Lists!$A$2:$A$26,0))),""))</f>
        <v/>
      </c>
      <c r="M1168" s="15" t="str">
        <f t="shared" si="18"/>
        <v/>
      </c>
    </row>
    <row r="1169" spans="1:13" x14ac:dyDescent="0.35">
      <c r="A1169" s="11"/>
      <c r="B1169" s="12"/>
      <c r="C1169" s="12"/>
      <c r="D1169" s="12"/>
      <c r="E1169" s="13"/>
      <c r="F1169" s="13"/>
      <c r="G1169" s="13"/>
      <c r="H1169" s="13"/>
      <c r="I1169" s="12"/>
      <c r="J1169" s="13"/>
      <c r="K1169" s="14" t="str">
        <f>IF(C1169="","",IFERROR(N('Fee Settings'!$C$5)*(E1169+N(F1169)-N(J1169))+N('Fee Settings'!$C$6)*(E1169+N(F1169)+N(G1169))+N('Fee Settings'!$C$7)+N('Fee Settings'!$C$10)*D1169+IF(I1169="Yes",MIN(N('Fee Settings'!$C$8)*(E1169+N(F1169)),N('Fee Settings'!$C$9)),0),""))</f>
        <v/>
      </c>
      <c r="L1169" s="14" t="str">
        <f>IF(C1169="","",IFERROR(D1169*N(INDEX(Products!$C$5:$C$29,MATCH(C1169,Lists!$A$2:$A$26,0))),""))</f>
        <v/>
      </c>
      <c r="M1169" s="15" t="str">
        <f t="shared" si="18"/>
        <v/>
      </c>
    </row>
    <row r="1170" spans="1:13" x14ac:dyDescent="0.35">
      <c r="A1170" s="11"/>
      <c r="B1170" s="12"/>
      <c r="C1170" s="12"/>
      <c r="D1170" s="12"/>
      <c r="E1170" s="13"/>
      <c r="F1170" s="13"/>
      <c r="G1170" s="13"/>
      <c r="H1170" s="13"/>
      <c r="I1170" s="12"/>
      <c r="J1170" s="13"/>
      <c r="K1170" s="14" t="str">
        <f>IF(C1170="","",IFERROR(N('Fee Settings'!$C$5)*(E1170+N(F1170)-N(J1170))+N('Fee Settings'!$C$6)*(E1170+N(F1170)+N(G1170))+N('Fee Settings'!$C$7)+N('Fee Settings'!$C$10)*D1170+IF(I1170="Yes",MIN(N('Fee Settings'!$C$8)*(E1170+N(F1170)),N('Fee Settings'!$C$9)),0),""))</f>
        <v/>
      </c>
      <c r="L1170" s="14" t="str">
        <f>IF(C1170="","",IFERROR(D1170*N(INDEX(Products!$C$5:$C$29,MATCH(C1170,Lists!$A$2:$A$26,0))),""))</f>
        <v/>
      </c>
      <c r="M1170" s="15" t="str">
        <f t="shared" si="18"/>
        <v/>
      </c>
    </row>
    <row r="1171" spans="1:13" x14ac:dyDescent="0.35">
      <c r="A1171" s="11"/>
      <c r="B1171" s="12"/>
      <c r="C1171" s="12"/>
      <c r="D1171" s="12"/>
      <c r="E1171" s="13"/>
      <c r="F1171" s="13"/>
      <c r="G1171" s="13"/>
      <c r="H1171" s="13"/>
      <c r="I1171" s="12"/>
      <c r="J1171" s="13"/>
      <c r="K1171" s="14" t="str">
        <f>IF(C1171="","",IFERROR(N('Fee Settings'!$C$5)*(E1171+N(F1171)-N(J1171))+N('Fee Settings'!$C$6)*(E1171+N(F1171)+N(G1171))+N('Fee Settings'!$C$7)+N('Fee Settings'!$C$10)*D1171+IF(I1171="Yes",MIN(N('Fee Settings'!$C$8)*(E1171+N(F1171)),N('Fee Settings'!$C$9)),0),""))</f>
        <v/>
      </c>
      <c r="L1171" s="14" t="str">
        <f>IF(C1171="","",IFERROR(D1171*N(INDEX(Products!$C$5:$C$29,MATCH(C1171,Lists!$A$2:$A$26,0))),""))</f>
        <v/>
      </c>
      <c r="M1171" s="15" t="str">
        <f t="shared" si="18"/>
        <v/>
      </c>
    </row>
    <row r="1172" spans="1:13" x14ac:dyDescent="0.35">
      <c r="A1172" s="11"/>
      <c r="B1172" s="12"/>
      <c r="C1172" s="12"/>
      <c r="D1172" s="12"/>
      <c r="E1172" s="13"/>
      <c r="F1172" s="13"/>
      <c r="G1172" s="13"/>
      <c r="H1172" s="13"/>
      <c r="I1172" s="12"/>
      <c r="J1172" s="13"/>
      <c r="K1172" s="14" t="str">
        <f>IF(C1172="","",IFERROR(N('Fee Settings'!$C$5)*(E1172+N(F1172)-N(J1172))+N('Fee Settings'!$C$6)*(E1172+N(F1172)+N(G1172))+N('Fee Settings'!$C$7)+N('Fee Settings'!$C$10)*D1172+IF(I1172="Yes",MIN(N('Fee Settings'!$C$8)*(E1172+N(F1172)),N('Fee Settings'!$C$9)),0),""))</f>
        <v/>
      </c>
      <c r="L1172" s="14" t="str">
        <f>IF(C1172="","",IFERROR(D1172*N(INDEX(Products!$C$5:$C$29,MATCH(C1172,Lists!$A$2:$A$26,0))),""))</f>
        <v/>
      </c>
      <c r="M1172" s="15" t="str">
        <f t="shared" si="18"/>
        <v/>
      </c>
    </row>
    <row r="1173" spans="1:13" x14ac:dyDescent="0.35">
      <c r="A1173" s="11"/>
      <c r="B1173" s="12"/>
      <c r="C1173" s="12"/>
      <c r="D1173" s="12"/>
      <c r="E1173" s="13"/>
      <c r="F1173" s="13"/>
      <c r="G1173" s="13"/>
      <c r="H1173" s="13"/>
      <c r="I1173" s="12"/>
      <c r="J1173" s="13"/>
      <c r="K1173" s="14" t="str">
        <f>IF(C1173="","",IFERROR(N('Fee Settings'!$C$5)*(E1173+N(F1173)-N(J1173))+N('Fee Settings'!$C$6)*(E1173+N(F1173)+N(G1173))+N('Fee Settings'!$C$7)+N('Fee Settings'!$C$10)*D1173+IF(I1173="Yes",MIN(N('Fee Settings'!$C$8)*(E1173+N(F1173)),N('Fee Settings'!$C$9)),0),""))</f>
        <v/>
      </c>
      <c r="L1173" s="14" t="str">
        <f>IF(C1173="","",IFERROR(D1173*N(INDEX(Products!$C$5:$C$29,MATCH(C1173,Lists!$A$2:$A$26,0))),""))</f>
        <v/>
      </c>
      <c r="M1173" s="15" t="str">
        <f t="shared" si="18"/>
        <v/>
      </c>
    </row>
    <row r="1174" spans="1:13" x14ac:dyDescent="0.35">
      <c r="A1174" s="11"/>
      <c r="B1174" s="12"/>
      <c r="C1174" s="12"/>
      <c r="D1174" s="12"/>
      <c r="E1174" s="13"/>
      <c r="F1174" s="13"/>
      <c r="G1174" s="13"/>
      <c r="H1174" s="13"/>
      <c r="I1174" s="12"/>
      <c r="J1174" s="13"/>
      <c r="K1174" s="14" t="str">
        <f>IF(C1174="","",IFERROR(N('Fee Settings'!$C$5)*(E1174+N(F1174)-N(J1174))+N('Fee Settings'!$C$6)*(E1174+N(F1174)+N(G1174))+N('Fee Settings'!$C$7)+N('Fee Settings'!$C$10)*D1174+IF(I1174="Yes",MIN(N('Fee Settings'!$C$8)*(E1174+N(F1174)),N('Fee Settings'!$C$9)),0),""))</f>
        <v/>
      </c>
      <c r="L1174" s="14" t="str">
        <f>IF(C1174="","",IFERROR(D1174*N(INDEX(Products!$C$5:$C$29,MATCH(C1174,Lists!$A$2:$A$26,0))),""))</f>
        <v/>
      </c>
      <c r="M1174" s="15" t="str">
        <f t="shared" si="18"/>
        <v/>
      </c>
    </row>
    <row r="1175" spans="1:13" x14ac:dyDescent="0.35">
      <c r="A1175" s="11"/>
      <c r="B1175" s="12"/>
      <c r="C1175" s="12"/>
      <c r="D1175" s="12"/>
      <c r="E1175" s="13"/>
      <c r="F1175" s="13"/>
      <c r="G1175" s="13"/>
      <c r="H1175" s="13"/>
      <c r="I1175" s="12"/>
      <c r="J1175" s="13"/>
      <c r="K1175" s="14" t="str">
        <f>IF(C1175="","",IFERROR(N('Fee Settings'!$C$5)*(E1175+N(F1175)-N(J1175))+N('Fee Settings'!$C$6)*(E1175+N(F1175)+N(G1175))+N('Fee Settings'!$C$7)+N('Fee Settings'!$C$10)*D1175+IF(I1175="Yes",MIN(N('Fee Settings'!$C$8)*(E1175+N(F1175)),N('Fee Settings'!$C$9)),0),""))</f>
        <v/>
      </c>
      <c r="L1175" s="14" t="str">
        <f>IF(C1175="","",IFERROR(D1175*N(INDEX(Products!$C$5:$C$29,MATCH(C1175,Lists!$A$2:$A$26,0))),""))</f>
        <v/>
      </c>
      <c r="M1175" s="15" t="str">
        <f t="shared" si="18"/>
        <v/>
      </c>
    </row>
    <row r="1176" spans="1:13" x14ac:dyDescent="0.35">
      <c r="A1176" s="11"/>
      <c r="B1176" s="12"/>
      <c r="C1176" s="12"/>
      <c r="D1176" s="12"/>
      <c r="E1176" s="13"/>
      <c r="F1176" s="13"/>
      <c r="G1176" s="13"/>
      <c r="H1176" s="13"/>
      <c r="I1176" s="12"/>
      <c r="J1176" s="13"/>
      <c r="K1176" s="14" t="str">
        <f>IF(C1176="","",IFERROR(N('Fee Settings'!$C$5)*(E1176+N(F1176)-N(J1176))+N('Fee Settings'!$C$6)*(E1176+N(F1176)+N(G1176))+N('Fee Settings'!$C$7)+N('Fee Settings'!$C$10)*D1176+IF(I1176="Yes",MIN(N('Fee Settings'!$C$8)*(E1176+N(F1176)),N('Fee Settings'!$C$9)),0),""))</f>
        <v/>
      </c>
      <c r="L1176" s="14" t="str">
        <f>IF(C1176="","",IFERROR(D1176*N(INDEX(Products!$C$5:$C$29,MATCH(C1176,Lists!$A$2:$A$26,0))),""))</f>
        <v/>
      </c>
      <c r="M1176" s="15" t="str">
        <f t="shared" si="18"/>
        <v/>
      </c>
    </row>
    <row r="1177" spans="1:13" x14ac:dyDescent="0.35">
      <c r="A1177" s="11"/>
      <c r="B1177" s="12"/>
      <c r="C1177" s="12"/>
      <c r="D1177" s="12"/>
      <c r="E1177" s="13"/>
      <c r="F1177" s="13"/>
      <c r="G1177" s="13"/>
      <c r="H1177" s="13"/>
      <c r="I1177" s="12"/>
      <c r="J1177" s="13"/>
      <c r="K1177" s="14" t="str">
        <f>IF(C1177="","",IFERROR(N('Fee Settings'!$C$5)*(E1177+N(F1177)-N(J1177))+N('Fee Settings'!$C$6)*(E1177+N(F1177)+N(G1177))+N('Fee Settings'!$C$7)+N('Fee Settings'!$C$10)*D1177+IF(I1177="Yes",MIN(N('Fee Settings'!$C$8)*(E1177+N(F1177)),N('Fee Settings'!$C$9)),0),""))</f>
        <v/>
      </c>
      <c r="L1177" s="14" t="str">
        <f>IF(C1177="","",IFERROR(D1177*N(INDEX(Products!$C$5:$C$29,MATCH(C1177,Lists!$A$2:$A$26,0))),""))</f>
        <v/>
      </c>
      <c r="M1177" s="15" t="str">
        <f t="shared" si="18"/>
        <v/>
      </c>
    </row>
    <row r="1178" spans="1:13" x14ac:dyDescent="0.35">
      <c r="A1178" s="11"/>
      <c r="B1178" s="12"/>
      <c r="C1178" s="12"/>
      <c r="D1178" s="12"/>
      <c r="E1178" s="13"/>
      <c r="F1178" s="13"/>
      <c r="G1178" s="13"/>
      <c r="H1178" s="13"/>
      <c r="I1178" s="12"/>
      <c r="J1178" s="13"/>
      <c r="K1178" s="14" t="str">
        <f>IF(C1178="","",IFERROR(N('Fee Settings'!$C$5)*(E1178+N(F1178)-N(J1178))+N('Fee Settings'!$C$6)*(E1178+N(F1178)+N(G1178))+N('Fee Settings'!$C$7)+N('Fee Settings'!$C$10)*D1178+IF(I1178="Yes",MIN(N('Fee Settings'!$C$8)*(E1178+N(F1178)),N('Fee Settings'!$C$9)),0),""))</f>
        <v/>
      </c>
      <c r="L1178" s="14" t="str">
        <f>IF(C1178="","",IFERROR(D1178*N(INDEX(Products!$C$5:$C$29,MATCH(C1178,Lists!$A$2:$A$26,0))),""))</f>
        <v/>
      </c>
      <c r="M1178" s="15" t="str">
        <f t="shared" si="18"/>
        <v/>
      </c>
    </row>
    <row r="1179" spans="1:13" x14ac:dyDescent="0.35">
      <c r="A1179" s="11"/>
      <c r="B1179" s="12"/>
      <c r="C1179" s="12"/>
      <c r="D1179" s="12"/>
      <c r="E1179" s="13"/>
      <c r="F1179" s="13"/>
      <c r="G1179" s="13"/>
      <c r="H1179" s="13"/>
      <c r="I1179" s="12"/>
      <c r="J1179" s="13"/>
      <c r="K1179" s="14" t="str">
        <f>IF(C1179="","",IFERROR(N('Fee Settings'!$C$5)*(E1179+N(F1179)-N(J1179))+N('Fee Settings'!$C$6)*(E1179+N(F1179)+N(G1179))+N('Fee Settings'!$C$7)+N('Fee Settings'!$C$10)*D1179+IF(I1179="Yes",MIN(N('Fee Settings'!$C$8)*(E1179+N(F1179)),N('Fee Settings'!$C$9)),0),""))</f>
        <v/>
      </c>
      <c r="L1179" s="14" t="str">
        <f>IF(C1179="","",IFERROR(D1179*N(INDEX(Products!$C$5:$C$29,MATCH(C1179,Lists!$A$2:$A$26,0))),""))</f>
        <v/>
      </c>
      <c r="M1179" s="15" t="str">
        <f t="shared" si="18"/>
        <v/>
      </c>
    </row>
    <row r="1180" spans="1:13" x14ac:dyDescent="0.35">
      <c r="A1180" s="11"/>
      <c r="B1180" s="12"/>
      <c r="C1180" s="12"/>
      <c r="D1180" s="12"/>
      <c r="E1180" s="13"/>
      <c r="F1180" s="13"/>
      <c r="G1180" s="13"/>
      <c r="H1180" s="13"/>
      <c r="I1180" s="12"/>
      <c r="J1180" s="13"/>
      <c r="K1180" s="14" t="str">
        <f>IF(C1180="","",IFERROR(N('Fee Settings'!$C$5)*(E1180+N(F1180)-N(J1180))+N('Fee Settings'!$C$6)*(E1180+N(F1180)+N(G1180))+N('Fee Settings'!$C$7)+N('Fee Settings'!$C$10)*D1180+IF(I1180="Yes",MIN(N('Fee Settings'!$C$8)*(E1180+N(F1180)),N('Fee Settings'!$C$9)),0),""))</f>
        <v/>
      </c>
      <c r="L1180" s="14" t="str">
        <f>IF(C1180="","",IFERROR(D1180*N(INDEX(Products!$C$5:$C$29,MATCH(C1180,Lists!$A$2:$A$26,0))),""))</f>
        <v/>
      </c>
      <c r="M1180" s="15" t="str">
        <f t="shared" si="18"/>
        <v/>
      </c>
    </row>
    <row r="1181" spans="1:13" x14ac:dyDescent="0.35">
      <c r="A1181" s="11"/>
      <c r="B1181" s="12"/>
      <c r="C1181" s="12"/>
      <c r="D1181" s="12"/>
      <c r="E1181" s="13"/>
      <c r="F1181" s="13"/>
      <c r="G1181" s="13"/>
      <c r="H1181" s="13"/>
      <c r="I1181" s="12"/>
      <c r="J1181" s="13"/>
      <c r="K1181" s="14" t="str">
        <f>IF(C1181="","",IFERROR(N('Fee Settings'!$C$5)*(E1181+N(F1181)-N(J1181))+N('Fee Settings'!$C$6)*(E1181+N(F1181)+N(G1181))+N('Fee Settings'!$C$7)+N('Fee Settings'!$C$10)*D1181+IF(I1181="Yes",MIN(N('Fee Settings'!$C$8)*(E1181+N(F1181)),N('Fee Settings'!$C$9)),0),""))</f>
        <v/>
      </c>
      <c r="L1181" s="14" t="str">
        <f>IF(C1181="","",IFERROR(D1181*N(INDEX(Products!$C$5:$C$29,MATCH(C1181,Lists!$A$2:$A$26,0))),""))</f>
        <v/>
      </c>
      <c r="M1181" s="15" t="str">
        <f t="shared" si="18"/>
        <v/>
      </c>
    </row>
    <row r="1182" spans="1:13" x14ac:dyDescent="0.35">
      <c r="A1182" s="11"/>
      <c r="B1182" s="12"/>
      <c r="C1182" s="12"/>
      <c r="D1182" s="12"/>
      <c r="E1182" s="13"/>
      <c r="F1182" s="13"/>
      <c r="G1182" s="13"/>
      <c r="H1182" s="13"/>
      <c r="I1182" s="12"/>
      <c r="J1182" s="13"/>
      <c r="K1182" s="14" t="str">
        <f>IF(C1182="","",IFERROR(N('Fee Settings'!$C$5)*(E1182+N(F1182)-N(J1182))+N('Fee Settings'!$C$6)*(E1182+N(F1182)+N(G1182))+N('Fee Settings'!$C$7)+N('Fee Settings'!$C$10)*D1182+IF(I1182="Yes",MIN(N('Fee Settings'!$C$8)*(E1182+N(F1182)),N('Fee Settings'!$C$9)),0),""))</f>
        <v/>
      </c>
      <c r="L1182" s="14" t="str">
        <f>IF(C1182="","",IFERROR(D1182*N(INDEX(Products!$C$5:$C$29,MATCH(C1182,Lists!$A$2:$A$26,0))),""))</f>
        <v/>
      </c>
      <c r="M1182" s="15" t="str">
        <f t="shared" si="18"/>
        <v/>
      </c>
    </row>
    <row r="1183" spans="1:13" x14ac:dyDescent="0.35">
      <c r="A1183" s="11"/>
      <c r="B1183" s="12"/>
      <c r="C1183" s="12"/>
      <c r="D1183" s="12"/>
      <c r="E1183" s="13"/>
      <c r="F1183" s="13"/>
      <c r="G1183" s="13"/>
      <c r="H1183" s="13"/>
      <c r="I1183" s="12"/>
      <c r="J1183" s="13"/>
      <c r="K1183" s="14" t="str">
        <f>IF(C1183="","",IFERROR(N('Fee Settings'!$C$5)*(E1183+N(F1183)-N(J1183))+N('Fee Settings'!$C$6)*(E1183+N(F1183)+N(G1183))+N('Fee Settings'!$C$7)+N('Fee Settings'!$C$10)*D1183+IF(I1183="Yes",MIN(N('Fee Settings'!$C$8)*(E1183+N(F1183)),N('Fee Settings'!$C$9)),0),""))</f>
        <v/>
      </c>
      <c r="L1183" s="14" t="str">
        <f>IF(C1183="","",IFERROR(D1183*N(INDEX(Products!$C$5:$C$29,MATCH(C1183,Lists!$A$2:$A$26,0))),""))</f>
        <v/>
      </c>
      <c r="M1183" s="15" t="str">
        <f t="shared" si="18"/>
        <v/>
      </c>
    </row>
    <row r="1184" spans="1:13" x14ac:dyDescent="0.35">
      <c r="A1184" s="11"/>
      <c r="B1184" s="12"/>
      <c r="C1184" s="12"/>
      <c r="D1184" s="12"/>
      <c r="E1184" s="13"/>
      <c r="F1184" s="13"/>
      <c r="G1184" s="13"/>
      <c r="H1184" s="13"/>
      <c r="I1184" s="12"/>
      <c r="J1184" s="13"/>
      <c r="K1184" s="14" t="str">
        <f>IF(C1184="","",IFERROR(N('Fee Settings'!$C$5)*(E1184+N(F1184)-N(J1184))+N('Fee Settings'!$C$6)*(E1184+N(F1184)+N(G1184))+N('Fee Settings'!$C$7)+N('Fee Settings'!$C$10)*D1184+IF(I1184="Yes",MIN(N('Fee Settings'!$C$8)*(E1184+N(F1184)),N('Fee Settings'!$C$9)),0),""))</f>
        <v/>
      </c>
      <c r="L1184" s="14" t="str">
        <f>IF(C1184="","",IFERROR(D1184*N(INDEX(Products!$C$5:$C$29,MATCH(C1184,Lists!$A$2:$A$26,0))),""))</f>
        <v/>
      </c>
      <c r="M1184" s="15" t="str">
        <f t="shared" si="18"/>
        <v/>
      </c>
    </row>
    <row r="1185" spans="1:13" x14ac:dyDescent="0.35">
      <c r="A1185" s="11"/>
      <c r="B1185" s="12"/>
      <c r="C1185" s="12"/>
      <c r="D1185" s="12"/>
      <c r="E1185" s="13"/>
      <c r="F1185" s="13"/>
      <c r="G1185" s="13"/>
      <c r="H1185" s="13"/>
      <c r="I1185" s="12"/>
      <c r="J1185" s="13"/>
      <c r="K1185" s="14" t="str">
        <f>IF(C1185="","",IFERROR(N('Fee Settings'!$C$5)*(E1185+N(F1185)-N(J1185))+N('Fee Settings'!$C$6)*(E1185+N(F1185)+N(G1185))+N('Fee Settings'!$C$7)+N('Fee Settings'!$C$10)*D1185+IF(I1185="Yes",MIN(N('Fee Settings'!$C$8)*(E1185+N(F1185)),N('Fee Settings'!$C$9)),0),""))</f>
        <v/>
      </c>
      <c r="L1185" s="14" t="str">
        <f>IF(C1185="","",IFERROR(D1185*N(INDEX(Products!$C$5:$C$29,MATCH(C1185,Lists!$A$2:$A$26,0))),""))</f>
        <v/>
      </c>
      <c r="M1185" s="15" t="str">
        <f t="shared" si="18"/>
        <v/>
      </c>
    </row>
    <row r="1186" spans="1:13" x14ac:dyDescent="0.35">
      <c r="A1186" s="11"/>
      <c r="B1186" s="12"/>
      <c r="C1186" s="12"/>
      <c r="D1186" s="12"/>
      <c r="E1186" s="13"/>
      <c r="F1186" s="13"/>
      <c r="G1186" s="13"/>
      <c r="H1186" s="13"/>
      <c r="I1186" s="12"/>
      <c r="J1186" s="13"/>
      <c r="K1186" s="14" t="str">
        <f>IF(C1186="","",IFERROR(N('Fee Settings'!$C$5)*(E1186+N(F1186)-N(J1186))+N('Fee Settings'!$C$6)*(E1186+N(F1186)+N(G1186))+N('Fee Settings'!$C$7)+N('Fee Settings'!$C$10)*D1186+IF(I1186="Yes",MIN(N('Fee Settings'!$C$8)*(E1186+N(F1186)),N('Fee Settings'!$C$9)),0),""))</f>
        <v/>
      </c>
      <c r="L1186" s="14" t="str">
        <f>IF(C1186="","",IFERROR(D1186*N(INDEX(Products!$C$5:$C$29,MATCH(C1186,Lists!$A$2:$A$26,0))),""))</f>
        <v/>
      </c>
      <c r="M1186" s="15" t="str">
        <f t="shared" si="18"/>
        <v/>
      </c>
    </row>
    <row r="1187" spans="1:13" x14ac:dyDescent="0.35">
      <c r="A1187" s="11"/>
      <c r="B1187" s="12"/>
      <c r="C1187" s="12"/>
      <c r="D1187" s="12"/>
      <c r="E1187" s="13"/>
      <c r="F1187" s="13"/>
      <c r="G1187" s="13"/>
      <c r="H1187" s="13"/>
      <c r="I1187" s="12"/>
      <c r="J1187" s="13"/>
      <c r="K1187" s="14" t="str">
        <f>IF(C1187="","",IFERROR(N('Fee Settings'!$C$5)*(E1187+N(F1187)-N(J1187))+N('Fee Settings'!$C$6)*(E1187+N(F1187)+N(G1187))+N('Fee Settings'!$C$7)+N('Fee Settings'!$C$10)*D1187+IF(I1187="Yes",MIN(N('Fee Settings'!$C$8)*(E1187+N(F1187)),N('Fee Settings'!$C$9)),0),""))</f>
        <v/>
      </c>
      <c r="L1187" s="14" t="str">
        <f>IF(C1187="","",IFERROR(D1187*N(INDEX(Products!$C$5:$C$29,MATCH(C1187,Lists!$A$2:$A$26,0))),""))</f>
        <v/>
      </c>
      <c r="M1187" s="15" t="str">
        <f t="shared" si="18"/>
        <v/>
      </c>
    </row>
    <row r="1188" spans="1:13" x14ac:dyDescent="0.35">
      <c r="A1188" s="11"/>
      <c r="B1188" s="12"/>
      <c r="C1188" s="12"/>
      <c r="D1188" s="12"/>
      <c r="E1188" s="13"/>
      <c r="F1188" s="13"/>
      <c r="G1188" s="13"/>
      <c r="H1188" s="13"/>
      <c r="I1188" s="12"/>
      <c r="J1188" s="13"/>
      <c r="K1188" s="14" t="str">
        <f>IF(C1188="","",IFERROR(N('Fee Settings'!$C$5)*(E1188+N(F1188)-N(J1188))+N('Fee Settings'!$C$6)*(E1188+N(F1188)+N(G1188))+N('Fee Settings'!$C$7)+N('Fee Settings'!$C$10)*D1188+IF(I1188="Yes",MIN(N('Fee Settings'!$C$8)*(E1188+N(F1188)),N('Fee Settings'!$C$9)),0),""))</f>
        <v/>
      </c>
      <c r="L1188" s="14" t="str">
        <f>IF(C1188="","",IFERROR(D1188*N(INDEX(Products!$C$5:$C$29,MATCH(C1188,Lists!$A$2:$A$26,0))),""))</f>
        <v/>
      </c>
      <c r="M1188" s="15" t="str">
        <f t="shared" si="18"/>
        <v/>
      </c>
    </row>
    <row r="1189" spans="1:13" x14ac:dyDescent="0.35">
      <c r="A1189" s="11"/>
      <c r="B1189" s="12"/>
      <c r="C1189" s="12"/>
      <c r="D1189" s="12"/>
      <c r="E1189" s="13"/>
      <c r="F1189" s="13"/>
      <c r="G1189" s="13"/>
      <c r="H1189" s="13"/>
      <c r="I1189" s="12"/>
      <c r="J1189" s="13"/>
      <c r="K1189" s="14" t="str">
        <f>IF(C1189="","",IFERROR(N('Fee Settings'!$C$5)*(E1189+N(F1189)-N(J1189))+N('Fee Settings'!$C$6)*(E1189+N(F1189)+N(G1189))+N('Fee Settings'!$C$7)+N('Fee Settings'!$C$10)*D1189+IF(I1189="Yes",MIN(N('Fee Settings'!$C$8)*(E1189+N(F1189)),N('Fee Settings'!$C$9)),0),""))</f>
        <v/>
      </c>
      <c r="L1189" s="14" t="str">
        <f>IF(C1189="","",IFERROR(D1189*N(INDEX(Products!$C$5:$C$29,MATCH(C1189,Lists!$A$2:$A$26,0))),""))</f>
        <v/>
      </c>
      <c r="M1189" s="15" t="str">
        <f t="shared" si="18"/>
        <v/>
      </c>
    </row>
    <row r="1190" spans="1:13" x14ac:dyDescent="0.35">
      <c r="A1190" s="11"/>
      <c r="B1190" s="12"/>
      <c r="C1190" s="12"/>
      <c r="D1190" s="12"/>
      <c r="E1190" s="13"/>
      <c r="F1190" s="13"/>
      <c r="G1190" s="13"/>
      <c r="H1190" s="13"/>
      <c r="I1190" s="12"/>
      <c r="J1190" s="13"/>
      <c r="K1190" s="14" t="str">
        <f>IF(C1190="","",IFERROR(N('Fee Settings'!$C$5)*(E1190+N(F1190)-N(J1190))+N('Fee Settings'!$C$6)*(E1190+N(F1190)+N(G1190))+N('Fee Settings'!$C$7)+N('Fee Settings'!$C$10)*D1190+IF(I1190="Yes",MIN(N('Fee Settings'!$C$8)*(E1190+N(F1190)),N('Fee Settings'!$C$9)),0),""))</f>
        <v/>
      </c>
      <c r="L1190" s="14" t="str">
        <f>IF(C1190="","",IFERROR(D1190*N(INDEX(Products!$C$5:$C$29,MATCH(C1190,Lists!$A$2:$A$26,0))),""))</f>
        <v/>
      </c>
      <c r="M1190" s="15" t="str">
        <f t="shared" si="18"/>
        <v/>
      </c>
    </row>
    <row r="1191" spans="1:13" x14ac:dyDescent="0.35">
      <c r="A1191" s="11"/>
      <c r="B1191" s="12"/>
      <c r="C1191" s="12"/>
      <c r="D1191" s="12"/>
      <c r="E1191" s="13"/>
      <c r="F1191" s="13"/>
      <c r="G1191" s="13"/>
      <c r="H1191" s="13"/>
      <c r="I1191" s="12"/>
      <c r="J1191" s="13"/>
      <c r="K1191" s="14" t="str">
        <f>IF(C1191="","",IFERROR(N('Fee Settings'!$C$5)*(E1191+N(F1191)-N(J1191))+N('Fee Settings'!$C$6)*(E1191+N(F1191)+N(G1191))+N('Fee Settings'!$C$7)+N('Fee Settings'!$C$10)*D1191+IF(I1191="Yes",MIN(N('Fee Settings'!$C$8)*(E1191+N(F1191)),N('Fee Settings'!$C$9)),0),""))</f>
        <v/>
      </c>
      <c r="L1191" s="14" t="str">
        <f>IF(C1191="","",IFERROR(D1191*N(INDEX(Products!$C$5:$C$29,MATCH(C1191,Lists!$A$2:$A$26,0))),""))</f>
        <v/>
      </c>
      <c r="M1191" s="15" t="str">
        <f t="shared" si="18"/>
        <v/>
      </c>
    </row>
    <row r="1192" spans="1:13" x14ac:dyDescent="0.35">
      <c r="A1192" s="11"/>
      <c r="B1192" s="12"/>
      <c r="C1192" s="12"/>
      <c r="D1192" s="12"/>
      <c r="E1192" s="13"/>
      <c r="F1192" s="13"/>
      <c r="G1192" s="13"/>
      <c r="H1192" s="13"/>
      <c r="I1192" s="12"/>
      <c r="J1192" s="13"/>
      <c r="K1192" s="14" t="str">
        <f>IF(C1192="","",IFERROR(N('Fee Settings'!$C$5)*(E1192+N(F1192)-N(J1192))+N('Fee Settings'!$C$6)*(E1192+N(F1192)+N(G1192))+N('Fee Settings'!$C$7)+N('Fee Settings'!$C$10)*D1192+IF(I1192="Yes",MIN(N('Fee Settings'!$C$8)*(E1192+N(F1192)),N('Fee Settings'!$C$9)),0),""))</f>
        <v/>
      </c>
      <c r="L1192" s="14" t="str">
        <f>IF(C1192="","",IFERROR(D1192*N(INDEX(Products!$C$5:$C$29,MATCH(C1192,Lists!$A$2:$A$26,0))),""))</f>
        <v/>
      </c>
      <c r="M1192" s="15" t="str">
        <f t="shared" si="18"/>
        <v/>
      </c>
    </row>
    <row r="1193" spans="1:13" x14ac:dyDescent="0.35">
      <c r="A1193" s="11"/>
      <c r="B1193" s="12"/>
      <c r="C1193" s="12"/>
      <c r="D1193" s="12"/>
      <c r="E1193" s="13"/>
      <c r="F1193" s="13"/>
      <c r="G1193" s="13"/>
      <c r="H1193" s="13"/>
      <c r="I1193" s="12"/>
      <c r="J1193" s="13"/>
      <c r="K1193" s="14" t="str">
        <f>IF(C1193="","",IFERROR(N('Fee Settings'!$C$5)*(E1193+N(F1193)-N(J1193))+N('Fee Settings'!$C$6)*(E1193+N(F1193)+N(G1193))+N('Fee Settings'!$C$7)+N('Fee Settings'!$C$10)*D1193+IF(I1193="Yes",MIN(N('Fee Settings'!$C$8)*(E1193+N(F1193)),N('Fee Settings'!$C$9)),0),""))</f>
        <v/>
      </c>
      <c r="L1193" s="14" t="str">
        <f>IF(C1193="","",IFERROR(D1193*N(INDEX(Products!$C$5:$C$29,MATCH(C1193,Lists!$A$2:$A$26,0))),""))</f>
        <v/>
      </c>
      <c r="M1193" s="15" t="str">
        <f t="shared" si="18"/>
        <v/>
      </c>
    </row>
    <row r="1194" spans="1:13" x14ac:dyDescent="0.35">
      <c r="A1194" s="11"/>
      <c r="B1194" s="12"/>
      <c r="C1194" s="12"/>
      <c r="D1194" s="12"/>
      <c r="E1194" s="13"/>
      <c r="F1194" s="13"/>
      <c r="G1194" s="13"/>
      <c r="H1194" s="13"/>
      <c r="I1194" s="12"/>
      <c r="J1194" s="13"/>
      <c r="K1194" s="14" t="str">
        <f>IF(C1194="","",IFERROR(N('Fee Settings'!$C$5)*(E1194+N(F1194)-N(J1194))+N('Fee Settings'!$C$6)*(E1194+N(F1194)+N(G1194))+N('Fee Settings'!$C$7)+N('Fee Settings'!$C$10)*D1194+IF(I1194="Yes",MIN(N('Fee Settings'!$C$8)*(E1194+N(F1194)),N('Fee Settings'!$C$9)),0),""))</f>
        <v/>
      </c>
      <c r="L1194" s="14" t="str">
        <f>IF(C1194="","",IFERROR(D1194*N(INDEX(Products!$C$5:$C$29,MATCH(C1194,Lists!$A$2:$A$26,0))),""))</f>
        <v/>
      </c>
      <c r="M1194" s="15" t="str">
        <f t="shared" si="18"/>
        <v/>
      </c>
    </row>
    <row r="1195" spans="1:13" x14ac:dyDescent="0.35">
      <c r="A1195" s="11"/>
      <c r="B1195" s="12"/>
      <c r="C1195" s="12"/>
      <c r="D1195" s="12"/>
      <c r="E1195" s="13"/>
      <c r="F1195" s="13"/>
      <c r="G1195" s="13"/>
      <c r="H1195" s="13"/>
      <c r="I1195" s="12"/>
      <c r="J1195" s="13"/>
      <c r="K1195" s="14" t="str">
        <f>IF(C1195="","",IFERROR(N('Fee Settings'!$C$5)*(E1195+N(F1195)-N(J1195))+N('Fee Settings'!$C$6)*(E1195+N(F1195)+N(G1195))+N('Fee Settings'!$C$7)+N('Fee Settings'!$C$10)*D1195+IF(I1195="Yes",MIN(N('Fee Settings'!$C$8)*(E1195+N(F1195)),N('Fee Settings'!$C$9)),0),""))</f>
        <v/>
      </c>
      <c r="L1195" s="14" t="str">
        <f>IF(C1195="","",IFERROR(D1195*N(INDEX(Products!$C$5:$C$29,MATCH(C1195,Lists!$A$2:$A$26,0))),""))</f>
        <v/>
      </c>
      <c r="M1195" s="15" t="str">
        <f t="shared" si="18"/>
        <v/>
      </c>
    </row>
    <row r="1196" spans="1:13" x14ac:dyDescent="0.35">
      <c r="A1196" s="11"/>
      <c r="B1196" s="12"/>
      <c r="C1196" s="12"/>
      <c r="D1196" s="12"/>
      <c r="E1196" s="13"/>
      <c r="F1196" s="13"/>
      <c r="G1196" s="13"/>
      <c r="H1196" s="13"/>
      <c r="I1196" s="12"/>
      <c r="J1196" s="13"/>
      <c r="K1196" s="14" t="str">
        <f>IF(C1196="","",IFERROR(N('Fee Settings'!$C$5)*(E1196+N(F1196)-N(J1196))+N('Fee Settings'!$C$6)*(E1196+N(F1196)+N(G1196))+N('Fee Settings'!$C$7)+N('Fee Settings'!$C$10)*D1196+IF(I1196="Yes",MIN(N('Fee Settings'!$C$8)*(E1196+N(F1196)),N('Fee Settings'!$C$9)),0),""))</f>
        <v/>
      </c>
      <c r="L1196" s="14" t="str">
        <f>IF(C1196="","",IFERROR(D1196*N(INDEX(Products!$C$5:$C$29,MATCH(C1196,Lists!$A$2:$A$26,0))),""))</f>
        <v/>
      </c>
      <c r="M1196" s="15" t="str">
        <f t="shared" si="18"/>
        <v/>
      </c>
    </row>
    <row r="1197" spans="1:13" x14ac:dyDescent="0.35">
      <c r="A1197" s="11"/>
      <c r="B1197" s="12"/>
      <c r="C1197" s="12"/>
      <c r="D1197" s="12"/>
      <c r="E1197" s="13"/>
      <c r="F1197" s="13"/>
      <c r="G1197" s="13"/>
      <c r="H1197" s="13"/>
      <c r="I1197" s="12"/>
      <c r="J1197" s="13"/>
      <c r="K1197" s="14" t="str">
        <f>IF(C1197="","",IFERROR(N('Fee Settings'!$C$5)*(E1197+N(F1197)-N(J1197))+N('Fee Settings'!$C$6)*(E1197+N(F1197)+N(G1197))+N('Fee Settings'!$C$7)+N('Fee Settings'!$C$10)*D1197+IF(I1197="Yes",MIN(N('Fee Settings'!$C$8)*(E1197+N(F1197)),N('Fee Settings'!$C$9)),0),""))</f>
        <v/>
      </c>
      <c r="L1197" s="14" t="str">
        <f>IF(C1197="","",IFERROR(D1197*N(INDEX(Products!$C$5:$C$29,MATCH(C1197,Lists!$A$2:$A$26,0))),""))</f>
        <v/>
      </c>
      <c r="M1197" s="15" t="str">
        <f t="shared" si="18"/>
        <v/>
      </c>
    </row>
    <row r="1198" spans="1:13" x14ac:dyDescent="0.35">
      <c r="A1198" s="11"/>
      <c r="B1198" s="12"/>
      <c r="C1198" s="12"/>
      <c r="D1198" s="12"/>
      <c r="E1198" s="13"/>
      <c r="F1198" s="13"/>
      <c r="G1198" s="13"/>
      <c r="H1198" s="13"/>
      <c r="I1198" s="12"/>
      <c r="J1198" s="13"/>
      <c r="K1198" s="14" t="str">
        <f>IF(C1198="","",IFERROR(N('Fee Settings'!$C$5)*(E1198+N(F1198)-N(J1198))+N('Fee Settings'!$C$6)*(E1198+N(F1198)+N(G1198))+N('Fee Settings'!$C$7)+N('Fee Settings'!$C$10)*D1198+IF(I1198="Yes",MIN(N('Fee Settings'!$C$8)*(E1198+N(F1198)),N('Fee Settings'!$C$9)),0),""))</f>
        <v/>
      </c>
      <c r="L1198" s="14" t="str">
        <f>IF(C1198="","",IFERROR(D1198*N(INDEX(Products!$C$5:$C$29,MATCH(C1198,Lists!$A$2:$A$26,0))),""))</f>
        <v/>
      </c>
      <c r="M1198" s="15" t="str">
        <f t="shared" si="18"/>
        <v/>
      </c>
    </row>
    <row r="1199" spans="1:13" x14ac:dyDescent="0.35">
      <c r="A1199" s="11"/>
      <c r="B1199" s="12"/>
      <c r="C1199" s="12"/>
      <c r="D1199" s="12"/>
      <c r="E1199" s="13"/>
      <c r="F1199" s="13"/>
      <c r="G1199" s="13"/>
      <c r="H1199" s="13"/>
      <c r="I1199" s="12"/>
      <c r="J1199" s="13"/>
      <c r="K1199" s="14" t="str">
        <f>IF(C1199="","",IFERROR(N('Fee Settings'!$C$5)*(E1199+N(F1199)-N(J1199))+N('Fee Settings'!$C$6)*(E1199+N(F1199)+N(G1199))+N('Fee Settings'!$C$7)+N('Fee Settings'!$C$10)*D1199+IF(I1199="Yes",MIN(N('Fee Settings'!$C$8)*(E1199+N(F1199)),N('Fee Settings'!$C$9)),0),""))</f>
        <v/>
      </c>
      <c r="L1199" s="14" t="str">
        <f>IF(C1199="","",IFERROR(D1199*N(INDEX(Products!$C$5:$C$29,MATCH(C1199,Lists!$A$2:$A$26,0))),""))</f>
        <v/>
      </c>
      <c r="M1199" s="15" t="str">
        <f t="shared" si="18"/>
        <v/>
      </c>
    </row>
    <row r="1200" spans="1:13" x14ac:dyDescent="0.35">
      <c r="A1200" s="11"/>
      <c r="B1200" s="12"/>
      <c r="C1200" s="12"/>
      <c r="D1200" s="12"/>
      <c r="E1200" s="13"/>
      <c r="F1200" s="13"/>
      <c r="G1200" s="13"/>
      <c r="H1200" s="13"/>
      <c r="I1200" s="12"/>
      <c r="J1200" s="13"/>
      <c r="K1200" s="14" t="str">
        <f>IF(C1200="","",IFERROR(N('Fee Settings'!$C$5)*(E1200+N(F1200)-N(J1200))+N('Fee Settings'!$C$6)*(E1200+N(F1200)+N(G1200))+N('Fee Settings'!$C$7)+N('Fee Settings'!$C$10)*D1200+IF(I1200="Yes",MIN(N('Fee Settings'!$C$8)*(E1200+N(F1200)),N('Fee Settings'!$C$9)),0),""))</f>
        <v/>
      </c>
      <c r="L1200" s="14" t="str">
        <f>IF(C1200="","",IFERROR(D1200*N(INDEX(Products!$C$5:$C$29,MATCH(C1200,Lists!$A$2:$A$26,0))),""))</f>
        <v/>
      </c>
      <c r="M1200" s="15" t="str">
        <f t="shared" si="18"/>
        <v/>
      </c>
    </row>
    <row r="1201" spans="1:13" x14ac:dyDescent="0.35">
      <c r="A1201" s="11"/>
      <c r="B1201" s="12"/>
      <c r="C1201" s="12"/>
      <c r="D1201" s="12"/>
      <c r="E1201" s="13"/>
      <c r="F1201" s="13"/>
      <c r="G1201" s="13"/>
      <c r="H1201" s="13"/>
      <c r="I1201" s="12"/>
      <c r="J1201" s="13"/>
      <c r="K1201" s="14" t="str">
        <f>IF(C1201="","",IFERROR(N('Fee Settings'!$C$5)*(E1201+N(F1201)-N(J1201))+N('Fee Settings'!$C$6)*(E1201+N(F1201)+N(G1201))+N('Fee Settings'!$C$7)+N('Fee Settings'!$C$10)*D1201+IF(I1201="Yes",MIN(N('Fee Settings'!$C$8)*(E1201+N(F1201)),N('Fee Settings'!$C$9)),0),""))</f>
        <v/>
      </c>
      <c r="L1201" s="14" t="str">
        <f>IF(C1201="","",IFERROR(D1201*N(INDEX(Products!$C$5:$C$29,MATCH(C1201,Lists!$A$2:$A$26,0))),""))</f>
        <v/>
      </c>
      <c r="M1201" s="15" t="str">
        <f t="shared" si="18"/>
        <v/>
      </c>
    </row>
    <row r="1202" spans="1:13" x14ac:dyDescent="0.35">
      <c r="A1202" s="11"/>
      <c r="B1202" s="12"/>
      <c r="C1202" s="12"/>
      <c r="D1202" s="12"/>
      <c r="E1202" s="13"/>
      <c r="F1202" s="13"/>
      <c r="G1202" s="13"/>
      <c r="H1202" s="13"/>
      <c r="I1202" s="12"/>
      <c r="J1202" s="13"/>
      <c r="K1202" s="14" t="str">
        <f>IF(C1202="","",IFERROR(N('Fee Settings'!$C$5)*(E1202+N(F1202)-N(J1202))+N('Fee Settings'!$C$6)*(E1202+N(F1202)+N(G1202))+N('Fee Settings'!$C$7)+N('Fee Settings'!$C$10)*D1202+IF(I1202="Yes",MIN(N('Fee Settings'!$C$8)*(E1202+N(F1202)),N('Fee Settings'!$C$9)),0),""))</f>
        <v/>
      </c>
      <c r="L1202" s="14" t="str">
        <f>IF(C1202="","",IFERROR(D1202*N(INDEX(Products!$C$5:$C$29,MATCH(C1202,Lists!$A$2:$A$26,0))),""))</f>
        <v/>
      </c>
      <c r="M1202" s="15" t="str">
        <f t="shared" si="18"/>
        <v/>
      </c>
    </row>
    <row r="1203" spans="1:13" x14ac:dyDescent="0.35">
      <c r="A1203" s="11"/>
      <c r="B1203" s="12"/>
      <c r="C1203" s="12"/>
      <c r="D1203" s="12"/>
      <c r="E1203" s="13"/>
      <c r="F1203" s="13"/>
      <c r="G1203" s="13"/>
      <c r="H1203" s="13"/>
      <c r="I1203" s="12"/>
      <c r="J1203" s="13"/>
      <c r="K1203" s="14" t="str">
        <f>IF(C1203="","",IFERROR(N('Fee Settings'!$C$5)*(E1203+N(F1203)-N(J1203))+N('Fee Settings'!$C$6)*(E1203+N(F1203)+N(G1203))+N('Fee Settings'!$C$7)+N('Fee Settings'!$C$10)*D1203+IF(I1203="Yes",MIN(N('Fee Settings'!$C$8)*(E1203+N(F1203)),N('Fee Settings'!$C$9)),0),""))</f>
        <v/>
      </c>
      <c r="L1203" s="14" t="str">
        <f>IF(C1203="","",IFERROR(D1203*N(INDEX(Products!$C$5:$C$29,MATCH(C1203,Lists!$A$2:$A$26,0))),""))</f>
        <v/>
      </c>
      <c r="M1203" s="15" t="str">
        <f t="shared" si="18"/>
        <v/>
      </c>
    </row>
    <row r="1204" spans="1:13" x14ac:dyDescent="0.35">
      <c r="A1204" s="11"/>
      <c r="B1204" s="12"/>
      <c r="C1204" s="12"/>
      <c r="D1204" s="12"/>
      <c r="E1204" s="13"/>
      <c r="F1204" s="13"/>
      <c r="G1204" s="13"/>
      <c r="H1204" s="13"/>
      <c r="I1204" s="12"/>
      <c r="J1204" s="13"/>
      <c r="K1204" s="14" t="str">
        <f>IF(C1204="","",IFERROR(N('Fee Settings'!$C$5)*(E1204+N(F1204)-N(J1204))+N('Fee Settings'!$C$6)*(E1204+N(F1204)+N(G1204))+N('Fee Settings'!$C$7)+N('Fee Settings'!$C$10)*D1204+IF(I1204="Yes",MIN(N('Fee Settings'!$C$8)*(E1204+N(F1204)),N('Fee Settings'!$C$9)),0),""))</f>
        <v/>
      </c>
      <c r="L1204" s="14" t="str">
        <f>IF(C1204="","",IFERROR(D1204*N(INDEX(Products!$C$5:$C$29,MATCH(C1204,Lists!$A$2:$A$26,0))),""))</f>
        <v/>
      </c>
      <c r="M1204" s="15" t="str">
        <f t="shared" si="18"/>
        <v/>
      </c>
    </row>
    <row r="1205" spans="1:13" x14ac:dyDescent="0.35">
      <c r="A1205" s="11"/>
      <c r="B1205" s="12"/>
      <c r="C1205" s="12"/>
      <c r="D1205" s="12"/>
      <c r="E1205" s="13"/>
      <c r="F1205" s="13"/>
      <c r="G1205" s="13"/>
      <c r="H1205" s="13"/>
      <c r="I1205" s="12"/>
      <c r="J1205" s="13"/>
      <c r="K1205" s="14" t="str">
        <f>IF(C1205="","",IFERROR(N('Fee Settings'!$C$5)*(E1205+N(F1205)-N(J1205))+N('Fee Settings'!$C$6)*(E1205+N(F1205)+N(G1205))+N('Fee Settings'!$C$7)+N('Fee Settings'!$C$10)*D1205+IF(I1205="Yes",MIN(N('Fee Settings'!$C$8)*(E1205+N(F1205)),N('Fee Settings'!$C$9)),0),""))</f>
        <v/>
      </c>
      <c r="L1205" s="14" t="str">
        <f>IF(C1205="","",IFERROR(D1205*N(INDEX(Products!$C$5:$C$29,MATCH(C1205,Lists!$A$2:$A$26,0))),""))</f>
        <v/>
      </c>
      <c r="M1205" s="15" t="str">
        <f t="shared" si="18"/>
        <v/>
      </c>
    </row>
    <row r="1206" spans="1:13" x14ac:dyDescent="0.35">
      <c r="A1206" s="11"/>
      <c r="B1206" s="12"/>
      <c r="C1206" s="12"/>
      <c r="D1206" s="12"/>
      <c r="E1206" s="13"/>
      <c r="F1206" s="13"/>
      <c r="G1206" s="13"/>
      <c r="H1206" s="13"/>
      <c r="I1206" s="12"/>
      <c r="J1206" s="13"/>
      <c r="K1206" s="14" t="str">
        <f>IF(C1206="","",IFERROR(N('Fee Settings'!$C$5)*(E1206+N(F1206)-N(J1206))+N('Fee Settings'!$C$6)*(E1206+N(F1206)+N(G1206))+N('Fee Settings'!$C$7)+N('Fee Settings'!$C$10)*D1206+IF(I1206="Yes",MIN(N('Fee Settings'!$C$8)*(E1206+N(F1206)),N('Fee Settings'!$C$9)),0),""))</f>
        <v/>
      </c>
      <c r="L1206" s="14" t="str">
        <f>IF(C1206="","",IFERROR(D1206*N(INDEX(Products!$C$5:$C$29,MATCH(C1206,Lists!$A$2:$A$26,0))),""))</f>
        <v/>
      </c>
      <c r="M1206" s="15" t="str">
        <f t="shared" si="18"/>
        <v/>
      </c>
    </row>
    <row r="1207" spans="1:13" x14ac:dyDescent="0.35">
      <c r="A1207" s="11"/>
      <c r="B1207" s="12"/>
      <c r="C1207" s="12"/>
      <c r="D1207" s="12"/>
      <c r="E1207" s="13"/>
      <c r="F1207" s="13"/>
      <c r="G1207" s="13"/>
      <c r="H1207" s="13"/>
      <c r="I1207" s="12"/>
      <c r="J1207" s="13"/>
      <c r="K1207" s="14" t="str">
        <f>IF(C1207="","",IFERROR(N('Fee Settings'!$C$5)*(E1207+N(F1207)-N(J1207))+N('Fee Settings'!$C$6)*(E1207+N(F1207)+N(G1207))+N('Fee Settings'!$C$7)+N('Fee Settings'!$C$10)*D1207+IF(I1207="Yes",MIN(N('Fee Settings'!$C$8)*(E1207+N(F1207)),N('Fee Settings'!$C$9)),0),""))</f>
        <v/>
      </c>
      <c r="L1207" s="14" t="str">
        <f>IF(C1207="","",IFERROR(D1207*N(INDEX(Products!$C$5:$C$29,MATCH(C1207,Lists!$A$2:$A$26,0))),""))</f>
        <v/>
      </c>
      <c r="M1207" s="15" t="str">
        <f t="shared" si="18"/>
        <v/>
      </c>
    </row>
    <row r="1208" spans="1:13" x14ac:dyDescent="0.35">
      <c r="A1208" s="11"/>
      <c r="B1208" s="12"/>
      <c r="C1208" s="12"/>
      <c r="D1208" s="12"/>
      <c r="E1208" s="13"/>
      <c r="F1208" s="13"/>
      <c r="G1208" s="13"/>
      <c r="H1208" s="13"/>
      <c r="I1208" s="12"/>
      <c r="J1208" s="13"/>
      <c r="K1208" s="14" t="str">
        <f>IF(C1208="","",IFERROR(N('Fee Settings'!$C$5)*(E1208+N(F1208)-N(J1208))+N('Fee Settings'!$C$6)*(E1208+N(F1208)+N(G1208))+N('Fee Settings'!$C$7)+N('Fee Settings'!$C$10)*D1208+IF(I1208="Yes",MIN(N('Fee Settings'!$C$8)*(E1208+N(F1208)),N('Fee Settings'!$C$9)),0),""))</f>
        <v/>
      </c>
      <c r="L1208" s="14" t="str">
        <f>IF(C1208="","",IFERROR(D1208*N(INDEX(Products!$C$5:$C$29,MATCH(C1208,Lists!$A$2:$A$26,0))),""))</f>
        <v/>
      </c>
      <c r="M1208" s="15" t="str">
        <f t="shared" si="18"/>
        <v/>
      </c>
    </row>
    <row r="1209" spans="1:13" x14ac:dyDescent="0.35">
      <c r="A1209" s="11"/>
      <c r="B1209" s="12"/>
      <c r="C1209" s="12"/>
      <c r="D1209" s="12"/>
      <c r="E1209" s="13"/>
      <c r="F1209" s="13"/>
      <c r="G1209" s="13"/>
      <c r="H1209" s="13"/>
      <c r="I1209" s="12"/>
      <c r="J1209" s="13"/>
      <c r="K1209" s="14" t="str">
        <f>IF(C1209="","",IFERROR(N('Fee Settings'!$C$5)*(E1209+N(F1209)-N(J1209))+N('Fee Settings'!$C$6)*(E1209+N(F1209)+N(G1209))+N('Fee Settings'!$C$7)+N('Fee Settings'!$C$10)*D1209+IF(I1209="Yes",MIN(N('Fee Settings'!$C$8)*(E1209+N(F1209)),N('Fee Settings'!$C$9)),0),""))</f>
        <v/>
      </c>
      <c r="L1209" s="14" t="str">
        <f>IF(C1209="","",IFERROR(D1209*N(INDEX(Products!$C$5:$C$29,MATCH(C1209,Lists!$A$2:$A$26,0))),""))</f>
        <v/>
      </c>
      <c r="M1209" s="15" t="str">
        <f t="shared" si="18"/>
        <v/>
      </c>
    </row>
    <row r="1210" spans="1:13" x14ac:dyDescent="0.35">
      <c r="A1210" s="11"/>
      <c r="B1210" s="12"/>
      <c r="C1210" s="12"/>
      <c r="D1210" s="12"/>
      <c r="E1210" s="13"/>
      <c r="F1210" s="13"/>
      <c r="G1210" s="13"/>
      <c r="H1210" s="13"/>
      <c r="I1210" s="12"/>
      <c r="J1210" s="13"/>
      <c r="K1210" s="14" t="str">
        <f>IF(C1210="","",IFERROR(N('Fee Settings'!$C$5)*(E1210+N(F1210)-N(J1210))+N('Fee Settings'!$C$6)*(E1210+N(F1210)+N(G1210))+N('Fee Settings'!$C$7)+N('Fee Settings'!$C$10)*D1210+IF(I1210="Yes",MIN(N('Fee Settings'!$C$8)*(E1210+N(F1210)),N('Fee Settings'!$C$9)),0),""))</f>
        <v/>
      </c>
      <c r="L1210" s="14" t="str">
        <f>IF(C1210="","",IFERROR(D1210*N(INDEX(Products!$C$5:$C$29,MATCH(C1210,Lists!$A$2:$A$26,0))),""))</f>
        <v/>
      </c>
      <c r="M1210" s="15" t="str">
        <f t="shared" si="18"/>
        <v/>
      </c>
    </row>
    <row r="1211" spans="1:13" x14ac:dyDescent="0.35">
      <c r="A1211" s="11"/>
      <c r="B1211" s="12"/>
      <c r="C1211" s="12"/>
      <c r="D1211" s="12"/>
      <c r="E1211" s="13"/>
      <c r="F1211" s="13"/>
      <c r="G1211" s="13"/>
      <c r="H1211" s="13"/>
      <c r="I1211" s="12"/>
      <c r="J1211" s="13"/>
      <c r="K1211" s="14" t="str">
        <f>IF(C1211="","",IFERROR(N('Fee Settings'!$C$5)*(E1211+N(F1211)-N(J1211))+N('Fee Settings'!$C$6)*(E1211+N(F1211)+N(G1211))+N('Fee Settings'!$C$7)+N('Fee Settings'!$C$10)*D1211+IF(I1211="Yes",MIN(N('Fee Settings'!$C$8)*(E1211+N(F1211)),N('Fee Settings'!$C$9)),0),""))</f>
        <v/>
      </c>
      <c r="L1211" s="14" t="str">
        <f>IF(C1211="","",IFERROR(D1211*N(INDEX(Products!$C$5:$C$29,MATCH(C1211,Lists!$A$2:$A$26,0))),""))</f>
        <v/>
      </c>
      <c r="M1211" s="15" t="str">
        <f t="shared" si="18"/>
        <v/>
      </c>
    </row>
    <row r="1212" spans="1:13" x14ac:dyDescent="0.35">
      <c r="A1212" s="11"/>
      <c r="B1212" s="12"/>
      <c r="C1212" s="12"/>
      <c r="D1212" s="12"/>
      <c r="E1212" s="13"/>
      <c r="F1212" s="13"/>
      <c r="G1212" s="13"/>
      <c r="H1212" s="13"/>
      <c r="I1212" s="12"/>
      <c r="J1212" s="13"/>
      <c r="K1212" s="14" t="str">
        <f>IF(C1212="","",IFERROR(N('Fee Settings'!$C$5)*(E1212+N(F1212)-N(J1212))+N('Fee Settings'!$C$6)*(E1212+N(F1212)+N(G1212))+N('Fee Settings'!$C$7)+N('Fee Settings'!$C$10)*D1212+IF(I1212="Yes",MIN(N('Fee Settings'!$C$8)*(E1212+N(F1212)),N('Fee Settings'!$C$9)),0),""))</f>
        <v/>
      </c>
      <c r="L1212" s="14" t="str">
        <f>IF(C1212="","",IFERROR(D1212*N(INDEX(Products!$C$5:$C$29,MATCH(C1212,Lists!$A$2:$A$26,0))),""))</f>
        <v/>
      </c>
      <c r="M1212" s="15" t="str">
        <f t="shared" si="18"/>
        <v/>
      </c>
    </row>
    <row r="1213" spans="1:13" x14ac:dyDescent="0.35">
      <c r="A1213" s="11"/>
      <c r="B1213" s="12"/>
      <c r="C1213" s="12"/>
      <c r="D1213" s="12"/>
      <c r="E1213" s="13"/>
      <c r="F1213" s="13"/>
      <c r="G1213" s="13"/>
      <c r="H1213" s="13"/>
      <c r="I1213" s="12"/>
      <c r="J1213" s="13"/>
      <c r="K1213" s="14" t="str">
        <f>IF(C1213="","",IFERROR(N('Fee Settings'!$C$5)*(E1213+N(F1213)-N(J1213))+N('Fee Settings'!$C$6)*(E1213+N(F1213)+N(G1213))+N('Fee Settings'!$C$7)+N('Fee Settings'!$C$10)*D1213+IF(I1213="Yes",MIN(N('Fee Settings'!$C$8)*(E1213+N(F1213)),N('Fee Settings'!$C$9)),0),""))</f>
        <v/>
      </c>
      <c r="L1213" s="14" t="str">
        <f>IF(C1213="","",IFERROR(D1213*N(INDEX(Products!$C$5:$C$29,MATCH(C1213,Lists!$A$2:$A$26,0))),""))</f>
        <v/>
      </c>
      <c r="M1213" s="15" t="str">
        <f t="shared" si="18"/>
        <v/>
      </c>
    </row>
    <row r="1214" spans="1:13" x14ac:dyDescent="0.35">
      <c r="A1214" s="11"/>
      <c r="B1214" s="12"/>
      <c r="C1214" s="12"/>
      <c r="D1214" s="12"/>
      <c r="E1214" s="13"/>
      <c r="F1214" s="13"/>
      <c r="G1214" s="13"/>
      <c r="H1214" s="13"/>
      <c r="I1214" s="12"/>
      <c r="J1214" s="13"/>
      <c r="K1214" s="14" t="str">
        <f>IF(C1214="","",IFERROR(N('Fee Settings'!$C$5)*(E1214+N(F1214)-N(J1214))+N('Fee Settings'!$C$6)*(E1214+N(F1214)+N(G1214))+N('Fee Settings'!$C$7)+N('Fee Settings'!$C$10)*D1214+IF(I1214="Yes",MIN(N('Fee Settings'!$C$8)*(E1214+N(F1214)),N('Fee Settings'!$C$9)),0),""))</f>
        <v/>
      </c>
      <c r="L1214" s="14" t="str">
        <f>IF(C1214="","",IFERROR(D1214*N(INDEX(Products!$C$5:$C$29,MATCH(C1214,Lists!$A$2:$A$26,0))),""))</f>
        <v/>
      </c>
      <c r="M1214" s="15" t="str">
        <f t="shared" si="18"/>
        <v/>
      </c>
    </row>
    <row r="1215" spans="1:13" x14ac:dyDescent="0.35">
      <c r="A1215" s="11"/>
      <c r="B1215" s="12"/>
      <c r="C1215" s="12"/>
      <c r="D1215" s="12"/>
      <c r="E1215" s="13"/>
      <c r="F1215" s="13"/>
      <c r="G1215" s="13"/>
      <c r="H1215" s="13"/>
      <c r="I1215" s="12"/>
      <c r="J1215" s="13"/>
      <c r="K1215" s="14" t="str">
        <f>IF(C1215="","",IFERROR(N('Fee Settings'!$C$5)*(E1215+N(F1215)-N(J1215))+N('Fee Settings'!$C$6)*(E1215+N(F1215)+N(G1215))+N('Fee Settings'!$C$7)+N('Fee Settings'!$C$10)*D1215+IF(I1215="Yes",MIN(N('Fee Settings'!$C$8)*(E1215+N(F1215)),N('Fee Settings'!$C$9)),0),""))</f>
        <v/>
      </c>
      <c r="L1215" s="14" t="str">
        <f>IF(C1215="","",IFERROR(D1215*N(INDEX(Products!$C$5:$C$29,MATCH(C1215,Lists!$A$2:$A$26,0))),""))</f>
        <v/>
      </c>
      <c r="M1215" s="15" t="str">
        <f t="shared" si="18"/>
        <v/>
      </c>
    </row>
    <row r="1216" spans="1:13" x14ac:dyDescent="0.35">
      <c r="A1216" s="11"/>
      <c r="B1216" s="12"/>
      <c r="C1216" s="12"/>
      <c r="D1216" s="12"/>
      <c r="E1216" s="13"/>
      <c r="F1216" s="13"/>
      <c r="G1216" s="13"/>
      <c r="H1216" s="13"/>
      <c r="I1216" s="12"/>
      <c r="J1216" s="13"/>
      <c r="K1216" s="14" t="str">
        <f>IF(C1216="","",IFERROR(N('Fee Settings'!$C$5)*(E1216+N(F1216)-N(J1216))+N('Fee Settings'!$C$6)*(E1216+N(F1216)+N(G1216))+N('Fee Settings'!$C$7)+N('Fee Settings'!$C$10)*D1216+IF(I1216="Yes",MIN(N('Fee Settings'!$C$8)*(E1216+N(F1216)),N('Fee Settings'!$C$9)),0),""))</f>
        <v/>
      </c>
      <c r="L1216" s="14" t="str">
        <f>IF(C1216="","",IFERROR(D1216*N(INDEX(Products!$C$5:$C$29,MATCH(C1216,Lists!$A$2:$A$26,0))),""))</f>
        <v/>
      </c>
      <c r="M1216" s="15" t="str">
        <f t="shared" si="18"/>
        <v/>
      </c>
    </row>
    <row r="1217" spans="1:13" x14ac:dyDescent="0.35">
      <c r="A1217" s="11"/>
      <c r="B1217" s="12"/>
      <c r="C1217" s="12"/>
      <c r="D1217" s="12"/>
      <c r="E1217" s="13"/>
      <c r="F1217" s="13"/>
      <c r="G1217" s="13"/>
      <c r="H1217" s="13"/>
      <c r="I1217" s="12"/>
      <c r="J1217" s="13"/>
      <c r="K1217" s="14" t="str">
        <f>IF(C1217="","",IFERROR(N('Fee Settings'!$C$5)*(E1217+N(F1217)-N(J1217))+N('Fee Settings'!$C$6)*(E1217+N(F1217)+N(G1217))+N('Fee Settings'!$C$7)+N('Fee Settings'!$C$10)*D1217+IF(I1217="Yes",MIN(N('Fee Settings'!$C$8)*(E1217+N(F1217)),N('Fee Settings'!$C$9)),0),""))</f>
        <v/>
      </c>
      <c r="L1217" s="14" t="str">
        <f>IF(C1217="","",IFERROR(D1217*N(INDEX(Products!$C$5:$C$29,MATCH(C1217,Lists!$A$2:$A$26,0))),""))</f>
        <v/>
      </c>
      <c r="M1217" s="15" t="str">
        <f t="shared" si="18"/>
        <v/>
      </c>
    </row>
    <row r="1218" spans="1:13" x14ac:dyDescent="0.35">
      <c r="A1218" s="11"/>
      <c r="B1218" s="12"/>
      <c r="C1218" s="12"/>
      <c r="D1218" s="12"/>
      <c r="E1218" s="13"/>
      <c r="F1218" s="13"/>
      <c r="G1218" s="13"/>
      <c r="H1218" s="13"/>
      <c r="I1218" s="12"/>
      <c r="J1218" s="13"/>
      <c r="K1218" s="14" t="str">
        <f>IF(C1218="","",IFERROR(N('Fee Settings'!$C$5)*(E1218+N(F1218)-N(J1218))+N('Fee Settings'!$C$6)*(E1218+N(F1218)+N(G1218))+N('Fee Settings'!$C$7)+N('Fee Settings'!$C$10)*D1218+IF(I1218="Yes",MIN(N('Fee Settings'!$C$8)*(E1218+N(F1218)),N('Fee Settings'!$C$9)),0),""))</f>
        <v/>
      </c>
      <c r="L1218" s="14" t="str">
        <f>IF(C1218="","",IFERROR(D1218*N(INDEX(Products!$C$5:$C$29,MATCH(C1218,Lists!$A$2:$A$26,0))),""))</f>
        <v/>
      </c>
      <c r="M1218" s="15" t="str">
        <f t="shared" si="18"/>
        <v/>
      </c>
    </row>
    <row r="1219" spans="1:13" x14ac:dyDescent="0.35">
      <c r="A1219" s="11"/>
      <c r="B1219" s="12"/>
      <c r="C1219" s="12"/>
      <c r="D1219" s="12"/>
      <c r="E1219" s="13"/>
      <c r="F1219" s="13"/>
      <c r="G1219" s="13"/>
      <c r="H1219" s="13"/>
      <c r="I1219" s="12"/>
      <c r="J1219" s="13"/>
      <c r="K1219" s="14" t="str">
        <f>IF(C1219="","",IFERROR(N('Fee Settings'!$C$5)*(E1219+N(F1219)-N(J1219))+N('Fee Settings'!$C$6)*(E1219+N(F1219)+N(G1219))+N('Fee Settings'!$C$7)+N('Fee Settings'!$C$10)*D1219+IF(I1219="Yes",MIN(N('Fee Settings'!$C$8)*(E1219+N(F1219)),N('Fee Settings'!$C$9)),0),""))</f>
        <v/>
      </c>
      <c r="L1219" s="14" t="str">
        <f>IF(C1219="","",IFERROR(D1219*N(INDEX(Products!$C$5:$C$29,MATCH(C1219,Lists!$A$2:$A$26,0))),""))</f>
        <v/>
      </c>
      <c r="M1219" s="15" t="str">
        <f t="shared" si="18"/>
        <v/>
      </c>
    </row>
    <row r="1220" spans="1:13" x14ac:dyDescent="0.35">
      <c r="A1220" s="11"/>
      <c r="B1220" s="12"/>
      <c r="C1220" s="12"/>
      <c r="D1220" s="12"/>
      <c r="E1220" s="13"/>
      <c r="F1220" s="13"/>
      <c r="G1220" s="13"/>
      <c r="H1220" s="13"/>
      <c r="I1220" s="12"/>
      <c r="J1220" s="13"/>
      <c r="K1220" s="14" t="str">
        <f>IF(C1220="","",IFERROR(N('Fee Settings'!$C$5)*(E1220+N(F1220)-N(J1220))+N('Fee Settings'!$C$6)*(E1220+N(F1220)+N(G1220))+N('Fee Settings'!$C$7)+N('Fee Settings'!$C$10)*D1220+IF(I1220="Yes",MIN(N('Fee Settings'!$C$8)*(E1220+N(F1220)),N('Fee Settings'!$C$9)),0),""))</f>
        <v/>
      </c>
      <c r="L1220" s="14" t="str">
        <f>IF(C1220="","",IFERROR(D1220*N(INDEX(Products!$C$5:$C$29,MATCH(C1220,Lists!$A$2:$A$26,0))),""))</f>
        <v/>
      </c>
      <c r="M1220" s="15" t="str">
        <f t="shared" si="18"/>
        <v/>
      </c>
    </row>
    <row r="1221" spans="1:13" x14ac:dyDescent="0.35">
      <c r="A1221" s="11"/>
      <c r="B1221" s="12"/>
      <c r="C1221" s="12"/>
      <c r="D1221" s="12"/>
      <c r="E1221" s="13"/>
      <c r="F1221" s="13"/>
      <c r="G1221" s="13"/>
      <c r="H1221" s="13"/>
      <c r="I1221" s="12"/>
      <c r="J1221" s="13"/>
      <c r="K1221" s="14" t="str">
        <f>IF(C1221="","",IFERROR(N('Fee Settings'!$C$5)*(E1221+N(F1221)-N(J1221))+N('Fee Settings'!$C$6)*(E1221+N(F1221)+N(G1221))+N('Fee Settings'!$C$7)+N('Fee Settings'!$C$10)*D1221+IF(I1221="Yes",MIN(N('Fee Settings'!$C$8)*(E1221+N(F1221)),N('Fee Settings'!$C$9)),0),""))</f>
        <v/>
      </c>
      <c r="L1221" s="14" t="str">
        <f>IF(C1221="","",IFERROR(D1221*N(INDEX(Products!$C$5:$C$29,MATCH(C1221,Lists!$A$2:$A$26,0))),""))</f>
        <v/>
      </c>
      <c r="M1221" s="15" t="str">
        <f t="shared" ref="M1221:M1284" si="19">IF(C1221="","",IFERROR(E1221+N(F1221)-N(J1221)-K1221-L1221-N(H1221),""))</f>
        <v/>
      </c>
    </row>
    <row r="1222" spans="1:13" x14ac:dyDescent="0.35">
      <c r="A1222" s="11"/>
      <c r="B1222" s="12"/>
      <c r="C1222" s="12"/>
      <c r="D1222" s="12"/>
      <c r="E1222" s="13"/>
      <c r="F1222" s="13"/>
      <c r="G1222" s="13"/>
      <c r="H1222" s="13"/>
      <c r="I1222" s="12"/>
      <c r="J1222" s="13"/>
      <c r="K1222" s="14" t="str">
        <f>IF(C1222="","",IFERROR(N('Fee Settings'!$C$5)*(E1222+N(F1222)-N(J1222))+N('Fee Settings'!$C$6)*(E1222+N(F1222)+N(G1222))+N('Fee Settings'!$C$7)+N('Fee Settings'!$C$10)*D1222+IF(I1222="Yes",MIN(N('Fee Settings'!$C$8)*(E1222+N(F1222)),N('Fee Settings'!$C$9)),0),""))</f>
        <v/>
      </c>
      <c r="L1222" s="14" t="str">
        <f>IF(C1222="","",IFERROR(D1222*N(INDEX(Products!$C$5:$C$29,MATCH(C1222,Lists!$A$2:$A$26,0))),""))</f>
        <v/>
      </c>
      <c r="M1222" s="15" t="str">
        <f t="shared" si="19"/>
        <v/>
      </c>
    </row>
    <row r="1223" spans="1:13" x14ac:dyDescent="0.35">
      <c r="A1223" s="11"/>
      <c r="B1223" s="12"/>
      <c r="C1223" s="12"/>
      <c r="D1223" s="12"/>
      <c r="E1223" s="13"/>
      <c r="F1223" s="13"/>
      <c r="G1223" s="13"/>
      <c r="H1223" s="13"/>
      <c r="I1223" s="12"/>
      <c r="J1223" s="13"/>
      <c r="K1223" s="14" t="str">
        <f>IF(C1223="","",IFERROR(N('Fee Settings'!$C$5)*(E1223+N(F1223)-N(J1223))+N('Fee Settings'!$C$6)*(E1223+N(F1223)+N(G1223))+N('Fee Settings'!$C$7)+N('Fee Settings'!$C$10)*D1223+IF(I1223="Yes",MIN(N('Fee Settings'!$C$8)*(E1223+N(F1223)),N('Fee Settings'!$C$9)),0),""))</f>
        <v/>
      </c>
      <c r="L1223" s="14" t="str">
        <f>IF(C1223="","",IFERROR(D1223*N(INDEX(Products!$C$5:$C$29,MATCH(C1223,Lists!$A$2:$A$26,0))),""))</f>
        <v/>
      </c>
      <c r="M1223" s="15" t="str">
        <f t="shared" si="19"/>
        <v/>
      </c>
    </row>
    <row r="1224" spans="1:13" x14ac:dyDescent="0.35">
      <c r="A1224" s="11"/>
      <c r="B1224" s="12"/>
      <c r="C1224" s="12"/>
      <c r="D1224" s="12"/>
      <c r="E1224" s="13"/>
      <c r="F1224" s="13"/>
      <c r="G1224" s="13"/>
      <c r="H1224" s="13"/>
      <c r="I1224" s="12"/>
      <c r="J1224" s="13"/>
      <c r="K1224" s="14" t="str">
        <f>IF(C1224="","",IFERROR(N('Fee Settings'!$C$5)*(E1224+N(F1224)-N(J1224))+N('Fee Settings'!$C$6)*(E1224+N(F1224)+N(G1224))+N('Fee Settings'!$C$7)+N('Fee Settings'!$C$10)*D1224+IF(I1224="Yes",MIN(N('Fee Settings'!$C$8)*(E1224+N(F1224)),N('Fee Settings'!$C$9)),0),""))</f>
        <v/>
      </c>
      <c r="L1224" s="14" t="str">
        <f>IF(C1224="","",IFERROR(D1224*N(INDEX(Products!$C$5:$C$29,MATCH(C1224,Lists!$A$2:$A$26,0))),""))</f>
        <v/>
      </c>
      <c r="M1224" s="15" t="str">
        <f t="shared" si="19"/>
        <v/>
      </c>
    </row>
    <row r="1225" spans="1:13" x14ac:dyDescent="0.35">
      <c r="A1225" s="11"/>
      <c r="B1225" s="12"/>
      <c r="C1225" s="12"/>
      <c r="D1225" s="12"/>
      <c r="E1225" s="13"/>
      <c r="F1225" s="13"/>
      <c r="G1225" s="13"/>
      <c r="H1225" s="13"/>
      <c r="I1225" s="12"/>
      <c r="J1225" s="13"/>
      <c r="K1225" s="14" t="str">
        <f>IF(C1225="","",IFERROR(N('Fee Settings'!$C$5)*(E1225+N(F1225)-N(J1225))+N('Fee Settings'!$C$6)*(E1225+N(F1225)+N(G1225))+N('Fee Settings'!$C$7)+N('Fee Settings'!$C$10)*D1225+IF(I1225="Yes",MIN(N('Fee Settings'!$C$8)*(E1225+N(F1225)),N('Fee Settings'!$C$9)),0),""))</f>
        <v/>
      </c>
      <c r="L1225" s="14" t="str">
        <f>IF(C1225="","",IFERROR(D1225*N(INDEX(Products!$C$5:$C$29,MATCH(C1225,Lists!$A$2:$A$26,0))),""))</f>
        <v/>
      </c>
      <c r="M1225" s="15" t="str">
        <f t="shared" si="19"/>
        <v/>
      </c>
    </row>
    <row r="1226" spans="1:13" x14ac:dyDescent="0.35">
      <c r="A1226" s="11"/>
      <c r="B1226" s="12"/>
      <c r="C1226" s="12"/>
      <c r="D1226" s="12"/>
      <c r="E1226" s="13"/>
      <c r="F1226" s="13"/>
      <c r="G1226" s="13"/>
      <c r="H1226" s="13"/>
      <c r="I1226" s="12"/>
      <c r="J1226" s="13"/>
      <c r="K1226" s="14" t="str">
        <f>IF(C1226="","",IFERROR(N('Fee Settings'!$C$5)*(E1226+N(F1226)-N(J1226))+N('Fee Settings'!$C$6)*(E1226+N(F1226)+N(G1226))+N('Fee Settings'!$C$7)+N('Fee Settings'!$C$10)*D1226+IF(I1226="Yes",MIN(N('Fee Settings'!$C$8)*(E1226+N(F1226)),N('Fee Settings'!$C$9)),0),""))</f>
        <v/>
      </c>
      <c r="L1226" s="14" t="str">
        <f>IF(C1226="","",IFERROR(D1226*N(INDEX(Products!$C$5:$C$29,MATCH(C1226,Lists!$A$2:$A$26,0))),""))</f>
        <v/>
      </c>
      <c r="M1226" s="15" t="str">
        <f t="shared" si="19"/>
        <v/>
      </c>
    </row>
    <row r="1227" spans="1:13" x14ac:dyDescent="0.35">
      <c r="A1227" s="11"/>
      <c r="B1227" s="12"/>
      <c r="C1227" s="12"/>
      <c r="D1227" s="12"/>
      <c r="E1227" s="13"/>
      <c r="F1227" s="13"/>
      <c r="G1227" s="13"/>
      <c r="H1227" s="13"/>
      <c r="I1227" s="12"/>
      <c r="J1227" s="13"/>
      <c r="K1227" s="14" t="str">
        <f>IF(C1227="","",IFERROR(N('Fee Settings'!$C$5)*(E1227+N(F1227)-N(J1227))+N('Fee Settings'!$C$6)*(E1227+N(F1227)+N(G1227))+N('Fee Settings'!$C$7)+N('Fee Settings'!$C$10)*D1227+IF(I1227="Yes",MIN(N('Fee Settings'!$C$8)*(E1227+N(F1227)),N('Fee Settings'!$C$9)),0),""))</f>
        <v/>
      </c>
      <c r="L1227" s="14" t="str">
        <f>IF(C1227="","",IFERROR(D1227*N(INDEX(Products!$C$5:$C$29,MATCH(C1227,Lists!$A$2:$A$26,0))),""))</f>
        <v/>
      </c>
      <c r="M1227" s="15" t="str">
        <f t="shared" si="19"/>
        <v/>
      </c>
    </row>
    <row r="1228" spans="1:13" x14ac:dyDescent="0.35">
      <c r="A1228" s="11"/>
      <c r="B1228" s="12"/>
      <c r="C1228" s="12"/>
      <c r="D1228" s="12"/>
      <c r="E1228" s="13"/>
      <c r="F1228" s="13"/>
      <c r="G1228" s="13"/>
      <c r="H1228" s="13"/>
      <c r="I1228" s="12"/>
      <c r="J1228" s="13"/>
      <c r="K1228" s="14" t="str">
        <f>IF(C1228="","",IFERROR(N('Fee Settings'!$C$5)*(E1228+N(F1228)-N(J1228))+N('Fee Settings'!$C$6)*(E1228+N(F1228)+N(G1228))+N('Fee Settings'!$C$7)+N('Fee Settings'!$C$10)*D1228+IF(I1228="Yes",MIN(N('Fee Settings'!$C$8)*(E1228+N(F1228)),N('Fee Settings'!$C$9)),0),""))</f>
        <v/>
      </c>
      <c r="L1228" s="14" t="str">
        <f>IF(C1228="","",IFERROR(D1228*N(INDEX(Products!$C$5:$C$29,MATCH(C1228,Lists!$A$2:$A$26,0))),""))</f>
        <v/>
      </c>
      <c r="M1228" s="15" t="str">
        <f t="shared" si="19"/>
        <v/>
      </c>
    </row>
    <row r="1229" spans="1:13" x14ac:dyDescent="0.35">
      <c r="A1229" s="11"/>
      <c r="B1229" s="12"/>
      <c r="C1229" s="12"/>
      <c r="D1229" s="12"/>
      <c r="E1229" s="13"/>
      <c r="F1229" s="13"/>
      <c r="G1229" s="13"/>
      <c r="H1229" s="13"/>
      <c r="I1229" s="12"/>
      <c r="J1229" s="13"/>
      <c r="K1229" s="14" t="str">
        <f>IF(C1229="","",IFERROR(N('Fee Settings'!$C$5)*(E1229+N(F1229)-N(J1229))+N('Fee Settings'!$C$6)*(E1229+N(F1229)+N(G1229))+N('Fee Settings'!$C$7)+N('Fee Settings'!$C$10)*D1229+IF(I1229="Yes",MIN(N('Fee Settings'!$C$8)*(E1229+N(F1229)),N('Fee Settings'!$C$9)),0),""))</f>
        <v/>
      </c>
      <c r="L1229" s="14" t="str">
        <f>IF(C1229="","",IFERROR(D1229*N(INDEX(Products!$C$5:$C$29,MATCH(C1229,Lists!$A$2:$A$26,0))),""))</f>
        <v/>
      </c>
      <c r="M1229" s="15" t="str">
        <f t="shared" si="19"/>
        <v/>
      </c>
    </row>
    <row r="1230" spans="1:13" x14ac:dyDescent="0.35">
      <c r="A1230" s="11"/>
      <c r="B1230" s="12"/>
      <c r="C1230" s="12"/>
      <c r="D1230" s="12"/>
      <c r="E1230" s="13"/>
      <c r="F1230" s="13"/>
      <c r="G1230" s="13"/>
      <c r="H1230" s="13"/>
      <c r="I1230" s="12"/>
      <c r="J1230" s="13"/>
      <c r="K1230" s="14" t="str">
        <f>IF(C1230="","",IFERROR(N('Fee Settings'!$C$5)*(E1230+N(F1230)-N(J1230))+N('Fee Settings'!$C$6)*(E1230+N(F1230)+N(G1230))+N('Fee Settings'!$C$7)+N('Fee Settings'!$C$10)*D1230+IF(I1230="Yes",MIN(N('Fee Settings'!$C$8)*(E1230+N(F1230)),N('Fee Settings'!$C$9)),0),""))</f>
        <v/>
      </c>
      <c r="L1230" s="14" t="str">
        <f>IF(C1230="","",IFERROR(D1230*N(INDEX(Products!$C$5:$C$29,MATCH(C1230,Lists!$A$2:$A$26,0))),""))</f>
        <v/>
      </c>
      <c r="M1230" s="15" t="str">
        <f t="shared" si="19"/>
        <v/>
      </c>
    </row>
    <row r="1231" spans="1:13" x14ac:dyDescent="0.35">
      <c r="A1231" s="11"/>
      <c r="B1231" s="12"/>
      <c r="C1231" s="12"/>
      <c r="D1231" s="12"/>
      <c r="E1231" s="13"/>
      <c r="F1231" s="13"/>
      <c r="G1231" s="13"/>
      <c r="H1231" s="13"/>
      <c r="I1231" s="12"/>
      <c r="J1231" s="13"/>
      <c r="K1231" s="14" t="str">
        <f>IF(C1231="","",IFERROR(N('Fee Settings'!$C$5)*(E1231+N(F1231)-N(J1231))+N('Fee Settings'!$C$6)*(E1231+N(F1231)+N(G1231))+N('Fee Settings'!$C$7)+N('Fee Settings'!$C$10)*D1231+IF(I1231="Yes",MIN(N('Fee Settings'!$C$8)*(E1231+N(F1231)),N('Fee Settings'!$C$9)),0),""))</f>
        <v/>
      </c>
      <c r="L1231" s="14" t="str">
        <f>IF(C1231="","",IFERROR(D1231*N(INDEX(Products!$C$5:$C$29,MATCH(C1231,Lists!$A$2:$A$26,0))),""))</f>
        <v/>
      </c>
      <c r="M1231" s="15" t="str">
        <f t="shared" si="19"/>
        <v/>
      </c>
    </row>
    <row r="1232" spans="1:13" x14ac:dyDescent="0.35">
      <c r="A1232" s="11"/>
      <c r="B1232" s="12"/>
      <c r="C1232" s="12"/>
      <c r="D1232" s="12"/>
      <c r="E1232" s="13"/>
      <c r="F1232" s="13"/>
      <c r="G1232" s="13"/>
      <c r="H1232" s="13"/>
      <c r="I1232" s="12"/>
      <c r="J1232" s="13"/>
      <c r="K1232" s="14" t="str">
        <f>IF(C1232="","",IFERROR(N('Fee Settings'!$C$5)*(E1232+N(F1232)-N(J1232))+N('Fee Settings'!$C$6)*(E1232+N(F1232)+N(G1232))+N('Fee Settings'!$C$7)+N('Fee Settings'!$C$10)*D1232+IF(I1232="Yes",MIN(N('Fee Settings'!$C$8)*(E1232+N(F1232)),N('Fee Settings'!$C$9)),0),""))</f>
        <v/>
      </c>
      <c r="L1232" s="14" t="str">
        <f>IF(C1232="","",IFERROR(D1232*N(INDEX(Products!$C$5:$C$29,MATCH(C1232,Lists!$A$2:$A$26,0))),""))</f>
        <v/>
      </c>
      <c r="M1232" s="15" t="str">
        <f t="shared" si="19"/>
        <v/>
      </c>
    </row>
    <row r="1233" spans="1:13" x14ac:dyDescent="0.35">
      <c r="A1233" s="11"/>
      <c r="B1233" s="12"/>
      <c r="C1233" s="12"/>
      <c r="D1233" s="12"/>
      <c r="E1233" s="13"/>
      <c r="F1233" s="13"/>
      <c r="G1233" s="13"/>
      <c r="H1233" s="13"/>
      <c r="I1233" s="12"/>
      <c r="J1233" s="13"/>
      <c r="K1233" s="14" t="str">
        <f>IF(C1233="","",IFERROR(N('Fee Settings'!$C$5)*(E1233+N(F1233)-N(J1233))+N('Fee Settings'!$C$6)*(E1233+N(F1233)+N(G1233))+N('Fee Settings'!$C$7)+N('Fee Settings'!$C$10)*D1233+IF(I1233="Yes",MIN(N('Fee Settings'!$C$8)*(E1233+N(F1233)),N('Fee Settings'!$C$9)),0),""))</f>
        <v/>
      </c>
      <c r="L1233" s="14" t="str">
        <f>IF(C1233="","",IFERROR(D1233*N(INDEX(Products!$C$5:$C$29,MATCH(C1233,Lists!$A$2:$A$26,0))),""))</f>
        <v/>
      </c>
      <c r="M1233" s="15" t="str">
        <f t="shared" si="19"/>
        <v/>
      </c>
    </row>
    <row r="1234" spans="1:13" x14ac:dyDescent="0.35">
      <c r="A1234" s="11"/>
      <c r="B1234" s="12"/>
      <c r="C1234" s="12"/>
      <c r="D1234" s="12"/>
      <c r="E1234" s="13"/>
      <c r="F1234" s="13"/>
      <c r="G1234" s="13"/>
      <c r="H1234" s="13"/>
      <c r="I1234" s="12"/>
      <c r="J1234" s="13"/>
      <c r="K1234" s="14" t="str">
        <f>IF(C1234="","",IFERROR(N('Fee Settings'!$C$5)*(E1234+N(F1234)-N(J1234))+N('Fee Settings'!$C$6)*(E1234+N(F1234)+N(G1234))+N('Fee Settings'!$C$7)+N('Fee Settings'!$C$10)*D1234+IF(I1234="Yes",MIN(N('Fee Settings'!$C$8)*(E1234+N(F1234)),N('Fee Settings'!$C$9)),0),""))</f>
        <v/>
      </c>
      <c r="L1234" s="14" t="str">
        <f>IF(C1234="","",IFERROR(D1234*N(INDEX(Products!$C$5:$C$29,MATCH(C1234,Lists!$A$2:$A$26,0))),""))</f>
        <v/>
      </c>
      <c r="M1234" s="15" t="str">
        <f t="shared" si="19"/>
        <v/>
      </c>
    </row>
    <row r="1235" spans="1:13" x14ac:dyDescent="0.35">
      <c r="A1235" s="11"/>
      <c r="B1235" s="12"/>
      <c r="C1235" s="12"/>
      <c r="D1235" s="12"/>
      <c r="E1235" s="13"/>
      <c r="F1235" s="13"/>
      <c r="G1235" s="13"/>
      <c r="H1235" s="13"/>
      <c r="I1235" s="12"/>
      <c r="J1235" s="13"/>
      <c r="K1235" s="14" t="str">
        <f>IF(C1235="","",IFERROR(N('Fee Settings'!$C$5)*(E1235+N(F1235)-N(J1235))+N('Fee Settings'!$C$6)*(E1235+N(F1235)+N(G1235))+N('Fee Settings'!$C$7)+N('Fee Settings'!$C$10)*D1235+IF(I1235="Yes",MIN(N('Fee Settings'!$C$8)*(E1235+N(F1235)),N('Fee Settings'!$C$9)),0),""))</f>
        <v/>
      </c>
      <c r="L1235" s="14" t="str">
        <f>IF(C1235="","",IFERROR(D1235*N(INDEX(Products!$C$5:$C$29,MATCH(C1235,Lists!$A$2:$A$26,0))),""))</f>
        <v/>
      </c>
      <c r="M1235" s="15" t="str">
        <f t="shared" si="19"/>
        <v/>
      </c>
    </row>
    <row r="1236" spans="1:13" x14ac:dyDescent="0.35">
      <c r="A1236" s="11"/>
      <c r="B1236" s="12"/>
      <c r="C1236" s="12"/>
      <c r="D1236" s="12"/>
      <c r="E1236" s="13"/>
      <c r="F1236" s="13"/>
      <c r="G1236" s="13"/>
      <c r="H1236" s="13"/>
      <c r="I1236" s="12"/>
      <c r="J1236" s="13"/>
      <c r="K1236" s="14" t="str">
        <f>IF(C1236="","",IFERROR(N('Fee Settings'!$C$5)*(E1236+N(F1236)-N(J1236))+N('Fee Settings'!$C$6)*(E1236+N(F1236)+N(G1236))+N('Fee Settings'!$C$7)+N('Fee Settings'!$C$10)*D1236+IF(I1236="Yes",MIN(N('Fee Settings'!$C$8)*(E1236+N(F1236)),N('Fee Settings'!$C$9)),0),""))</f>
        <v/>
      </c>
      <c r="L1236" s="14" t="str">
        <f>IF(C1236="","",IFERROR(D1236*N(INDEX(Products!$C$5:$C$29,MATCH(C1236,Lists!$A$2:$A$26,0))),""))</f>
        <v/>
      </c>
      <c r="M1236" s="15" t="str">
        <f t="shared" si="19"/>
        <v/>
      </c>
    </row>
    <row r="1237" spans="1:13" x14ac:dyDescent="0.35">
      <c r="A1237" s="11"/>
      <c r="B1237" s="12"/>
      <c r="C1237" s="12"/>
      <c r="D1237" s="12"/>
      <c r="E1237" s="13"/>
      <c r="F1237" s="13"/>
      <c r="G1237" s="13"/>
      <c r="H1237" s="13"/>
      <c r="I1237" s="12"/>
      <c r="J1237" s="13"/>
      <c r="K1237" s="14" t="str">
        <f>IF(C1237="","",IFERROR(N('Fee Settings'!$C$5)*(E1237+N(F1237)-N(J1237))+N('Fee Settings'!$C$6)*(E1237+N(F1237)+N(G1237))+N('Fee Settings'!$C$7)+N('Fee Settings'!$C$10)*D1237+IF(I1237="Yes",MIN(N('Fee Settings'!$C$8)*(E1237+N(F1237)),N('Fee Settings'!$C$9)),0),""))</f>
        <v/>
      </c>
      <c r="L1237" s="14" t="str">
        <f>IF(C1237="","",IFERROR(D1237*N(INDEX(Products!$C$5:$C$29,MATCH(C1237,Lists!$A$2:$A$26,0))),""))</f>
        <v/>
      </c>
      <c r="M1237" s="15" t="str">
        <f t="shared" si="19"/>
        <v/>
      </c>
    </row>
    <row r="1238" spans="1:13" x14ac:dyDescent="0.35">
      <c r="A1238" s="11"/>
      <c r="B1238" s="12"/>
      <c r="C1238" s="12"/>
      <c r="D1238" s="12"/>
      <c r="E1238" s="13"/>
      <c r="F1238" s="13"/>
      <c r="G1238" s="13"/>
      <c r="H1238" s="13"/>
      <c r="I1238" s="12"/>
      <c r="J1238" s="13"/>
      <c r="K1238" s="14" t="str">
        <f>IF(C1238="","",IFERROR(N('Fee Settings'!$C$5)*(E1238+N(F1238)-N(J1238))+N('Fee Settings'!$C$6)*(E1238+N(F1238)+N(G1238))+N('Fee Settings'!$C$7)+N('Fee Settings'!$C$10)*D1238+IF(I1238="Yes",MIN(N('Fee Settings'!$C$8)*(E1238+N(F1238)),N('Fee Settings'!$C$9)),0),""))</f>
        <v/>
      </c>
      <c r="L1238" s="14" t="str">
        <f>IF(C1238="","",IFERROR(D1238*N(INDEX(Products!$C$5:$C$29,MATCH(C1238,Lists!$A$2:$A$26,0))),""))</f>
        <v/>
      </c>
      <c r="M1238" s="15" t="str">
        <f t="shared" si="19"/>
        <v/>
      </c>
    </row>
    <row r="1239" spans="1:13" x14ac:dyDescent="0.35">
      <c r="A1239" s="11"/>
      <c r="B1239" s="12"/>
      <c r="C1239" s="12"/>
      <c r="D1239" s="12"/>
      <c r="E1239" s="13"/>
      <c r="F1239" s="13"/>
      <c r="G1239" s="13"/>
      <c r="H1239" s="13"/>
      <c r="I1239" s="12"/>
      <c r="J1239" s="13"/>
      <c r="K1239" s="14" t="str">
        <f>IF(C1239="","",IFERROR(N('Fee Settings'!$C$5)*(E1239+N(F1239)-N(J1239))+N('Fee Settings'!$C$6)*(E1239+N(F1239)+N(G1239))+N('Fee Settings'!$C$7)+N('Fee Settings'!$C$10)*D1239+IF(I1239="Yes",MIN(N('Fee Settings'!$C$8)*(E1239+N(F1239)),N('Fee Settings'!$C$9)),0),""))</f>
        <v/>
      </c>
      <c r="L1239" s="14" t="str">
        <f>IF(C1239="","",IFERROR(D1239*N(INDEX(Products!$C$5:$C$29,MATCH(C1239,Lists!$A$2:$A$26,0))),""))</f>
        <v/>
      </c>
      <c r="M1239" s="15" t="str">
        <f t="shared" si="19"/>
        <v/>
      </c>
    </row>
    <row r="1240" spans="1:13" x14ac:dyDescent="0.35">
      <c r="A1240" s="11"/>
      <c r="B1240" s="12"/>
      <c r="C1240" s="12"/>
      <c r="D1240" s="12"/>
      <c r="E1240" s="13"/>
      <c r="F1240" s="13"/>
      <c r="G1240" s="13"/>
      <c r="H1240" s="13"/>
      <c r="I1240" s="12"/>
      <c r="J1240" s="13"/>
      <c r="K1240" s="14" t="str">
        <f>IF(C1240="","",IFERROR(N('Fee Settings'!$C$5)*(E1240+N(F1240)-N(J1240))+N('Fee Settings'!$C$6)*(E1240+N(F1240)+N(G1240))+N('Fee Settings'!$C$7)+N('Fee Settings'!$C$10)*D1240+IF(I1240="Yes",MIN(N('Fee Settings'!$C$8)*(E1240+N(F1240)),N('Fee Settings'!$C$9)),0),""))</f>
        <v/>
      </c>
      <c r="L1240" s="14" t="str">
        <f>IF(C1240="","",IFERROR(D1240*N(INDEX(Products!$C$5:$C$29,MATCH(C1240,Lists!$A$2:$A$26,0))),""))</f>
        <v/>
      </c>
      <c r="M1240" s="15" t="str">
        <f t="shared" si="19"/>
        <v/>
      </c>
    </row>
    <row r="1241" spans="1:13" x14ac:dyDescent="0.35">
      <c r="A1241" s="11"/>
      <c r="B1241" s="12"/>
      <c r="C1241" s="12"/>
      <c r="D1241" s="12"/>
      <c r="E1241" s="13"/>
      <c r="F1241" s="13"/>
      <c r="G1241" s="13"/>
      <c r="H1241" s="13"/>
      <c r="I1241" s="12"/>
      <c r="J1241" s="13"/>
      <c r="K1241" s="14" t="str">
        <f>IF(C1241="","",IFERROR(N('Fee Settings'!$C$5)*(E1241+N(F1241)-N(J1241))+N('Fee Settings'!$C$6)*(E1241+N(F1241)+N(G1241))+N('Fee Settings'!$C$7)+N('Fee Settings'!$C$10)*D1241+IF(I1241="Yes",MIN(N('Fee Settings'!$C$8)*(E1241+N(F1241)),N('Fee Settings'!$C$9)),0),""))</f>
        <v/>
      </c>
      <c r="L1241" s="14" t="str">
        <f>IF(C1241="","",IFERROR(D1241*N(INDEX(Products!$C$5:$C$29,MATCH(C1241,Lists!$A$2:$A$26,0))),""))</f>
        <v/>
      </c>
      <c r="M1241" s="15" t="str">
        <f t="shared" si="19"/>
        <v/>
      </c>
    </row>
    <row r="1242" spans="1:13" x14ac:dyDescent="0.35">
      <c r="A1242" s="11"/>
      <c r="B1242" s="12"/>
      <c r="C1242" s="12"/>
      <c r="D1242" s="12"/>
      <c r="E1242" s="13"/>
      <c r="F1242" s="13"/>
      <c r="G1242" s="13"/>
      <c r="H1242" s="13"/>
      <c r="I1242" s="12"/>
      <c r="J1242" s="13"/>
      <c r="K1242" s="14" t="str">
        <f>IF(C1242="","",IFERROR(N('Fee Settings'!$C$5)*(E1242+N(F1242)-N(J1242))+N('Fee Settings'!$C$6)*(E1242+N(F1242)+N(G1242))+N('Fee Settings'!$C$7)+N('Fee Settings'!$C$10)*D1242+IF(I1242="Yes",MIN(N('Fee Settings'!$C$8)*(E1242+N(F1242)),N('Fee Settings'!$C$9)),0),""))</f>
        <v/>
      </c>
      <c r="L1242" s="14" t="str">
        <f>IF(C1242="","",IFERROR(D1242*N(INDEX(Products!$C$5:$C$29,MATCH(C1242,Lists!$A$2:$A$26,0))),""))</f>
        <v/>
      </c>
      <c r="M1242" s="15" t="str">
        <f t="shared" si="19"/>
        <v/>
      </c>
    </row>
    <row r="1243" spans="1:13" x14ac:dyDescent="0.35">
      <c r="A1243" s="11"/>
      <c r="B1243" s="12"/>
      <c r="C1243" s="12"/>
      <c r="D1243" s="12"/>
      <c r="E1243" s="13"/>
      <c r="F1243" s="13"/>
      <c r="G1243" s="13"/>
      <c r="H1243" s="13"/>
      <c r="I1243" s="12"/>
      <c r="J1243" s="13"/>
      <c r="K1243" s="14" t="str">
        <f>IF(C1243="","",IFERROR(N('Fee Settings'!$C$5)*(E1243+N(F1243)-N(J1243))+N('Fee Settings'!$C$6)*(E1243+N(F1243)+N(G1243))+N('Fee Settings'!$C$7)+N('Fee Settings'!$C$10)*D1243+IF(I1243="Yes",MIN(N('Fee Settings'!$C$8)*(E1243+N(F1243)),N('Fee Settings'!$C$9)),0),""))</f>
        <v/>
      </c>
      <c r="L1243" s="14" t="str">
        <f>IF(C1243="","",IFERROR(D1243*N(INDEX(Products!$C$5:$C$29,MATCH(C1243,Lists!$A$2:$A$26,0))),""))</f>
        <v/>
      </c>
      <c r="M1243" s="15" t="str">
        <f t="shared" si="19"/>
        <v/>
      </c>
    </row>
    <row r="1244" spans="1:13" x14ac:dyDescent="0.35">
      <c r="A1244" s="11"/>
      <c r="B1244" s="12"/>
      <c r="C1244" s="12"/>
      <c r="D1244" s="12"/>
      <c r="E1244" s="13"/>
      <c r="F1244" s="13"/>
      <c r="G1244" s="13"/>
      <c r="H1244" s="13"/>
      <c r="I1244" s="12"/>
      <c r="J1244" s="13"/>
      <c r="K1244" s="14" t="str">
        <f>IF(C1244="","",IFERROR(N('Fee Settings'!$C$5)*(E1244+N(F1244)-N(J1244))+N('Fee Settings'!$C$6)*(E1244+N(F1244)+N(G1244))+N('Fee Settings'!$C$7)+N('Fee Settings'!$C$10)*D1244+IF(I1244="Yes",MIN(N('Fee Settings'!$C$8)*(E1244+N(F1244)),N('Fee Settings'!$C$9)),0),""))</f>
        <v/>
      </c>
      <c r="L1244" s="14" t="str">
        <f>IF(C1244="","",IFERROR(D1244*N(INDEX(Products!$C$5:$C$29,MATCH(C1244,Lists!$A$2:$A$26,0))),""))</f>
        <v/>
      </c>
      <c r="M1244" s="15" t="str">
        <f t="shared" si="19"/>
        <v/>
      </c>
    </row>
    <row r="1245" spans="1:13" x14ac:dyDescent="0.35">
      <c r="A1245" s="11"/>
      <c r="B1245" s="12"/>
      <c r="C1245" s="12"/>
      <c r="D1245" s="12"/>
      <c r="E1245" s="13"/>
      <c r="F1245" s="13"/>
      <c r="G1245" s="13"/>
      <c r="H1245" s="13"/>
      <c r="I1245" s="12"/>
      <c r="J1245" s="13"/>
      <c r="K1245" s="14" t="str">
        <f>IF(C1245="","",IFERROR(N('Fee Settings'!$C$5)*(E1245+N(F1245)-N(J1245))+N('Fee Settings'!$C$6)*(E1245+N(F1245)+N(G1245))+N('Fee Settings'!$C$7)+N('Fee Settings'!$C$10)*D1245+IF(I1245="Yes",MIN(N('Fee Settings'!$C$8)*(E1245+N(F1245)),N('Fee Settings'!$C$9)),0),""))</f>
        <v/>
      </c>
      <c r="L1245" s="14" t="str">
        <f>IF(C1245="","",IFERROR(D1245*N(INDEX(Products!$C$5:$C$29,MATCH(C1245,Lists!$A$2:$A$26,0))),""))</f>
        <v/>
      </c>
      <c r="M1245" s="15" t="str">
        <f t="shared" si="19"/>
        <v/>
      </c>
    </row>
    <row r="1246" spans="1:13" x14ac:dyDescent="0.35">
      <c r="A1246" s="11"/>
      <c r="B1246" s="12"/>
      <c r="C1246" s="12"/>
      <c r="D1246" s="12"/>
      <c r="E1246" s="13"/>
      <c r="F1246" s="13"/>
      <c r="G1246" s="13"/>
      <c r="H1246" s="13"/>
      <c r="I1246" s="12"/>
      <c r="J1246" s="13"/>
      <c r="K1246" s="14" t="str">
        <f>IF(C1246="","",IFERROR(N('Fee Settings'!$C$5)*(E1246+N(F1246)-N(J1246))+N('Fee Settings'!$C$6)*(E1246+N(F1246)+N(G1246))+N('Fee Settings'!$C$7)+N('Fee Settings'!$C$10)*D1246+IF(I1246="Yes",MIN(N('Fee Settings'!$C$8)*(E1246+N(F1246)),N('Fee Settings'!$C$9)),0),""))</f>
        <v/>
      </c>
      <c r="L1246" s="14" t="str">
        <f>IF(C1246="","",IFERROR(D1246*N(INDEX(Products!$C$5:$C$29,MATCH(C1246,Lists!$A$2:$A$26,0))),""))</f>
        <v/>
      </c>
      <c r="M1246" s="15" t="str">
        <f t="shared" si="19"/>
        <v/>
      </c>
    </row>
    <row r="1247" spans="1:13" x14ac:dyDescent="0.35">
      <c r="A1247" s="11"/>
      <c r="B1247" s="12"/>
      <c r="C1247" s="12"/>
      <c r="D1247" s="12"/>
      <c r="E1247" s="13"/>
      <c r="F1247" s="13"/>
      <c r="G1247" s="13"/>
      <c r="H1247" s="13"/>
      <c r="I1247" s="12"/>
      <c r="J1247" s="13"/>
      <c r="K1247" s="14" t="str">
        <f>IF(C1247="","",IFERROR(N('Fee Settings'!$C$5)*(E1247+N(F1247)-N(J1247))+N('Fee Settings'!$C$6)*(E1247+N(F1247)+N(G1247))+N('Fee Settings'!$C$7)+N('Fee Settings'!$C$10)*D1247+IF(I1247="Yes",MIN(N('Fee Settings'!$C$8)*(E1247+N(F1247)),N('Fee Settings'!$C$9)),0),""))</f>
        <v/>
      </c>
      <c r="L1247" s="14" t="str">
        <f>IF(C1247="","",IFERROR(D1247*N(INDEX(Products!$C$5:$C$29,MATCH(C1247,Lists!$A$2:$A$26,0))),""))</f>
        <v/>
      </c>
      <c r="M1247" s="15" t="str">
        <f t="shared" si="19"/>
        <v/>
      </c>
    </row>
    <row r="1248" spans="1:13" x14ac:dyDescent="0.35">
      <c r="A1248" s="11"/>
      <c r="B1248" s="12"/>
      <c r="C1248" s="12"/>
      <c r="D1248" s="12"/>
      <c r="E1248" s="13"/>
      <c r="F1248" s="13"/>
      <c r="G1248" s="13"/>
      <c r="H1248" s="13"/>
      <c r="I1248" s="12"/>
      <c r="J1248" s="13"/>
      <c r="K1248" s="14" t="str">
        <f>IF(C1248="","",IFERROR(N('Fee Settings'!$C$5)*(E1248+N(F1248)-N(J1248))+N('Fee Settings'!$C$6)*(E1248+N(F1248)+N(G1248))+N('Fee Settings'!$C$7)+N('Fee Settings'!$C$10)*D1248+IF(I1248="Yes",MIN(N('Fee Settings'!$C$8)*(E1248+N(F1248)),N('Fee Settings'!$C$9)),0),""))</f>
        <v/>
      </c>
      <c r="L1248" s="14" t="str">
        <f>IF(C1248="","",IFERROR(D1248*N(INDEX(Products!$C$5:$C$29,MATCH(C1248,Lists!$A$2:$A$26,0))),""))</f>
        <v/>
      </c>
      <c r="M1248" s="15" t="str">
        <f t="shared" si="19"/>
        <v/>
      </c>
    </row>
    <row r="1249" spans="1:13" x14ac:dyDescent="0.35">
      <c r="A1249" s="11"/>
      <c r="B1249" s="12"/>
      <c r="C1249" s="12"/>
      <c r="D1249" s="12"/>
      <c r="E1249" s="13"/>
      <c r="F1249" s="13"/>
      <c r="G1249" s="13"/>
      <c r="H1249" s="13"/>
      <c r="I1249" s="12"/>
      <c r="J1249" s="13"/>
      <c r="K1249" s="14" t="str">
        <f>IF(C1249="","",IFERROR(N('Fee Settings'!$C$5)*(E1249+N(F1249)-N(J1249))+N('Fee Settings'!$C$6)*(E1249+N(F1249)+N(G1249))+N('Fee Settings'!$C$7)+N('Fee Settings'!$C$10)*D1249+IF(I1249="Yes",MIN(N('Fee Settings'!$C$8)*(E1249+N(F1249)),N('Fee Settings'!$C$9)),0),""))</f>
        <v/>
      </c>
      <c r="L1249" s="14" t="str">
        <f>IF(C1249="","",IFERROR(D1249*N(INDEX(Products!$C$5:$C$29,MATCH(C1249,Lists!$A$2:$A$26,0))),""))</f>
        <v/>
      </c>
      <c r="M1249" s="15" t="str">
        <f t="shared" si="19"/>
        <v/>
      </c>
    </row>
    <row r="1250" spans="1:13" x14ac:dyDescent="0.35">
      <c r="A1250" s="11"/>
      <c r="B1250" s="12"/>
      <c r="C1250" s="12"/>
      <c r="D1250" s="12"/>
      <c r="E1250" s="13"/>
      <c r="F1250" s="13"/>
      <c r="G1250" s="13"/>
      <c r="H1250" s="13"/>
      <c r="I1250" s="12"/>
      <c r="J1250" s="13"/>
      <c r="K1250" s="14" t="str">
        <f>IF(C1250="","",IFERROR(N('Fee Settings'!$C$5)*(E1250+N(F1250)-N(J1250))+N('Fee Settings'!$C$6)*(E1250+N(F1250)+N(G1250))+N('Fee Settings'!$C$7)+N('Fee Settings'!$C$10)*D1250+IF(I1250="Yes",MIN(N('Fee Settings'!$C$8)*(E1250+N(F1250)),N('Fee Settings'!$C$9)),0),""))</f>
        <v/>
      </c>
      <c r="L1250" s="14" t="str">
        <f>IF(C1250="","",IFERROR(D1250*N(INDEX(Products!$C$5:$C$29,MATCH(C1250,Lists!$A$2:$A$26,0))),""))</f>
        <v/>
      </c>
      <c r="M1250" s="15" t="str">
        <f t="shared" si="19"/>
        <v/>
      </c>
    </row>
    <row r="1251" spans="1:13" x14ac:dyDescent="0.35">
      <c r="A1251" s="11"/>
      <c r="B1251" s="12"/>
      <c r="C1251" s="12"/>
      <c r="D1251" s="12"/>
      <c r="E1251" s="13"/>
      <c r="F1251" s="13"/>
      <c r="G1251" s="13"/>
      <c r="H1251" s="13"/>
      <c r="I1251" s="12"/>
      <c r="J1251" s="13"/>
      <c r="K1251" s="14" t="str">
        <f>IF(C1251="","",IFERROR(N('Fee Settings'!$C$5)*(E1251+N(F1251)-N(J1251))+N('Fee Settings'!$C$6)*(E1251+N(F1251)+N(G1251))+N('Fee Settings'!$C$7)+N('Fee Settings'!$C$10)*D1251+IF(I1251="Yes",MIN(N('Fee Settings'!$C$8)*(E1251+N(F1251)),N('Fee Settings'!$C$9)),0),""))</f>
        <v/>
      </c>
      <c r="L1251" s="14" t="str">
        <f>IF(C1251="","",IFERROR(D1251*N(INDEX(Products!$C$5:$C$29,MATCH(C1251,Lists!$A$2:$A$26,0))),""))</f>
        <v/>
      </c>
      <c r="M1251" s="15" t="str">
        <f t="shared" si="19"/>
        <v/>
      </c>
    </row>
    <row r="1252" spans="1:13" x14ac:dyDescent="0.35">
      <c r="A1252" s="11"/>
      <c r="B1252" s="12"/>
      <c r="C1252" s="12"/>
      <c r="D1252" s="12"/>
      <c r="E1252" s="13"/>
      <c r="F1252" s="13"/>
      <c r="G1252" s="13"/>
      <c r="H1252" s="13"/>
      <c r="I1252" s="12"/>
      <c r="J1252" s="13"/>
      <c r="K1252" s="14" t="str">
        <f>IF(C1252="","",IFERROR(N('Fee Settings'!$C$5)*(E1252+N(F1252)-N(J1252))+N('Fee Settings'!$C$6)*(E1252+N(F1252)+N(G1252))+N('Fee Settings'!$C$7)+N('Fee Settings'!$C$10)*D1252+IF(I1252="Yes",MIN(N('Fee Settings'!$C$8)*(E1252+N(F1252)),N('Fee Settings'!$C$9)),0),""))</f>
        <v/>
      </c>
      <c r="L1252" s="14" t="str">
        <f>IF(C1252="","",IFERROR(D1252*N(INDEX(Products!$C$5:$C$29,MATCH(C1252,Lists!$A$2:$A$26,0))),""))</f>
        <v/>
      </c>
      <c r="M1252" s="15" t="str">
        <f t="shared" si="19"/>
        <v/>
      </c>
    </row>
    <row r="1253" spans="1:13" x14ac:dyDescent="0.35">
      <c r="A1253" s="11"/>
      <c r="B1253" s="12"/>
      <c r="C1253" s="12"/>
      <c r="D1253" s="12"/>
      <c r="E1253" s="13"/>
      <c r="F1253" s="13"/>
      <c r="G1253" s="13"/>
      <c r="H1253" s="13"/>
      <c r="I1253" s="12"/>
      <c r="J1253" s="13"/>
      <c r="K1253" s="14" t="str">
        <f>IF(C1253="","",IFERROR(N('Fee Settings'!$C$5)*(E1253+N(F1253)-N(J1253))+N('Fee Settings'!$C$6)*(E1253+N(F1253)+N(G1253))+N('Fee Settings'!$C$7)+N('Fee Settings'!$C$10)*D1253+IF(I1253="Yes",MIN(N('Fee Settings'!$C$8)*(E1253+N(F1253)),N('Fee Settings'!$C$9)),0),""))</f>
        <v/>
      </c>
      <c r="L1253" s="14" t="str">
        <f>IF(C1253="","",IFERROR(D1253*N(INDEX(Products!$C$5:$C$29,MATCH(C1253,Lists!$A$2:$A$26,0))),""))</f>
        <v/>
      </c>
      <c r="M1253" s="15" t="str">
        <f t="shared" si="19"/>
        <v/>
      </c>
    </row>
    <row r="1254" spans="1:13" x14ac:dyDescent="0.35">
      <c r="A1254" s="11"/>
      <c r="B1254" s="12"/>
      <c r="C1254" s="12"/>
      <c r="D1254" s="12"/>
      <c r="E1254" s="13"/>
      <c r="F1254" s="13"/>
      <c r="G1254" s="13"/>
      <c r="H1254" s="13"/>
      <c r="I1254" s="12"/>
      <c r="J1254" s="13"/>
      <c r="K1254" s="14" t="str">
        <f>IF(C1254="","",IFERROR(N('Fee Settings'!$C$5)*(E1254+N(F1254)-N(J1254))+N('Fee Settings'!$C$6)*(E1254+N(F1254)+N(G1254))+N('Fee Settings'!$C$7)+N('Fee Settings'!$C$10)*D1254+IF(I1254="Yes",MIN(N('Fee Settings'!$C$8)*(E1254+N(F1254)),N('Fee Settings'!$C$9)),0),""))</f>
        <v/>
      </c>
      <c r="L1254" s="14" t="str">
        <f>IF(C1254="","",IFERROR(D1254*N(INDEX(Products!$C$5:$C$29,MATCH(C1254,Lists!$A$2:$A$26,0))),""))</f>
        <v/>
      </c>
      <c r="M1254" s="15" t="str">
        <f t="shared" si="19"/>
        <v/>
      </c>
    </row>
    <row r="1255" spans="1:13" x14ac:dyDescent="0.35">
      <c r="A1255" s="11"/>
      <c r="B1255" s="12"/>
      <c r="C1255" s="12"/>
      <c r="D1255" s="12"/>
      <c r="E1255" s="13"/>
      <c r="F1255" s="13"/>
      <c r="G1255" s="13"/>
      <c r="H1255" s="13"/>
      <c r="I1255" s="12"/>
      <c r="J1255" s="13"/>
      <c r="K1255" s="14" t="str">
        <f>IF(C1255="","",IFERROR(N('Fee Settings'!$C$5)*(E1255+N(F1255)-N(J1255))+N('Fee Settings'!$C$6)*(E1255+N(F1255)+N(G1255))+N('Fee Settings'!$C$7)+N('Fee Settings'!$C$10)*D1255+IF(I1255="Yes",MIN(N('Fee Settings'!$C$8)*(E1255+N(F1255)),N('Fee Settings'!$C$9)),0),""))</f>
        <v/>
      </c>
      <c r="L1255" s="14" t="str">
        <f>IF(C1255="","",IFERROR(D1255*N(INDEX(Products!$C$5:$C$29,MATCH(C1255,Lists!$A$2:$A$26,0))),""))</f>
        <v/>
      </c>
      <c r="M1255" s="15" t="str">
        <f t="shared" si="19"/>
        <v/>
      </c>
    </row>
    <row r="1256" spans="1:13" x14ac:dyDescent="0.35">
      <c r="A1256" s="11"/>
      <c r="B1256" s="12"/>
      <c r="C1256" s="12"/>
      <c r="D1256" s="12"/>
      <c r="E1256" s="13"/>
      <c r="F1256" s="13"/>
      <c r="G1256" s="13"/>
      <c r="H1256" s="13"/>
      <c r="I1256" s="12"/>
      <c r="J1256" s="13"/>
      <c r="K1256" s="14" t="str">
        <f>IF(C1256="","",IFERROR(N('Fee Settings'!$C$5)*(E1256+N(F1256)-N(J1256))+N('Fee Settings'!$C$6)*(E1256+N(F1256)+N(G1256))+N('Fee Settings'!$C$7)+N('Fee Settings'!$C$10)*D1256+IF(I1256="Yes",MIN(N('Fee Settings'!$C$8)*(E1256+N(F1256)),N('Fee Settings'!$C$9)),0),""))</f>
        <v/>
      </c>
      <c r="L1256" s="14" t="str">
        <f>IF(C1256="","",IFERROR(D1256*N(INDEX(Products!$C$5:$C$29,MATCH(C1256,Lists!$A$2:$A$26,0))),""))</f>
        <v/>
      </c>
      <c r="M1256" s="15" t="str">
        <f t="shared" si="19"/>
        <v/>
      </c>
    </row>
    <row r="1257" spans="1:13" x14ac:dyDescent="0.35">
      <c r="A1257" s="11"/>
      <c r="B1257" s="12"/>
      <c r="C1257" s="12"/>
      <c r="D1257" s="12"/>
      <c r="E1257" s="13"/>
      <c r="F1257" s="13"/>
      <c r="G1257" s="13"/>
      <c r="H1257" s="13"/>
      <c r="I1257" s="12"/>
      <c r="J1257" s="13"/>
      <c r="K1257" s="14" t="str">
        <f>IF(C1257="","",IFERROR(N('Fee Settings'!$C$5)*(E1257+N(F1257)-N(J1257))+N('Fee Settings'!$C$6)*(E1257+N(F1257)+N(G1257))+N('Fee Settings'!$C$7)+N('Fee Settings'!$C$10)*D1257+IF(I1257="Yes",MIN(N('Fee Settings'!$C$8)*(E1257+N(F1257)),N('Fee Settings'!$C$9)),0),""))</f>
        <v/>
      </c>
      <c r="L1257" s="14" t="str">
        <f>IF(C1257="","",IFERROR(D1257*N(INDEX(Products!$C$5:$C$29,MATCH(C1257,Lists!$A$2:$A$26,0))),""))</f>
        <v/>
      </c>
      <c r="M1257" s="15" t="str">
        <f t="shared" si="19"/>
        <v/>
      </c>
    </row>
    <row r="1258" spans="1:13" x14ac:dyDescent="0.35">
      <c r="A1258" s="11"/>
      <c r="B1258" s="12"/>
      <c r="C1258" s="12"/>
      <c r="D1258" s="12"/>
      <c r="E1258" s="13"/>
      <c r="F1258" s="13"/>
      <c r="G1258" s="13"/>
      <c r="H1258" s="13"/>
      <c r="I1258" s="12"/>
      <c r="J1258" s="13"/>
      <c r="K1258" s="14" t="str">
        <f>IF(C1258="","",IFERROR(N('Fee Settings'!$C$5)*(E1258+N(F1258)-N(J1258))+N('Fee Settings'!$C$6)*(E1258+N(F1258)+N(G1258))+N('Fee Settings'!$C$7)+N('Fee Settings'!$C$10)*D1258+IF(I1258="Yes",MIN(N('Fee Settings'!$C$8)*(E1258+N(F1258)),N('Fee Settings'!$C$9)),0),""))</f>
        <v/>
      </c>
      <c r="L1258" s="14" t="str">
        <f>IF(C1258="","",IFERROR(D1258*N(INDEX(Products!$C$5:$C$29,MATCH(C1258,Lists!$A$2:$A$26,0))),""))</f>
        <v/>
      </c>
      <c r="M1258" s="15" t="str">
        <f t="shared" si="19"/>
        <v/>
      </c>
    </row>
    <row r="1259" spans="1:13" x14ac:dyDescent="0.35">
      <c r="A1259" s="11"/>
      <c r="B1259" s="12"/>
      <c r="C1259" s="12"/>
      <c r="D1259" s="12"/>
      <c r="E1259" s="13"/>
      <c r="F1259" s="13"/>
      <c r="G1259" s="13"/>
      <c r="H1259" s="13"/>
      <c r="I1259" s="12"/>
      <c r="J1259" s="13"/>
      <c r="K1259" s="14" t="str">
        <f>IF(C1259="","",IFERROR(N('Fee Settings'!$C$5)*(E1259+N(F1259)-N(J1259))+N('Fee Settings'!$C$6)*(E1259+N(F1259)+N(G1259))+N('Fee Settings'!$C$7)+N('Fee Settings'!$C$10)*D1259+IF(I1259="Yes",MIN(N('Fee Settings'!$C$8)*(E1259+N(F1259)),N('Fee Settings'!$C$9)),0),""))</f>
        <v/>
      </c>
      <c r="L1259" s="14" t="str">
        <f>IF(C1259="","",IFERROR(D1259*N(INDEX(Products!$C$5:$C$29,MATCH(C1259,Lists!$A$2:$A$26,0))),""))</f>
        <v/>
      </c>
      <c r="M1259" s="15" t="str">
        <f t="shared" si="19"/>
        <v/>
      </c>
    </row>
    <row r="1260" spans="1:13" x14ac:dyDescent="0.35">
      <c r="A1260" s="11"/>
      <c r="B1260" s="12"/>
      <c r="C1260" s="12"/>
      <c r="D1260" s="12"/>
      <c r="E1260" s="13"/>
      <c r="F1260" s="13"/>
      <c r="G1260" s="13"/>
      <c r="H1260" s="13"/>
      <c r="I1260" s="12"/>
      <c r="J1260" s="13"/>
      <c r="K1260" s="14" t="str">
        <f>IF(C1260="","",IFERROR(N('Fee Settings'!$C$5)*(E1260+N(F1260)-N(J1260))+N('Fee Settings'!$C$6)*(E1260+N(F1260)+N(G1260))+N('Fee Settings'!$C$7)+N('Fee Settings'!$C$10)*D1260+IF(I1260="Yes",MIN(N('Fee Settings'!$C$8)*(E1260+N(F1260)),N('Fee Settings'!$C$9)),0),""))</f>
        <v/>
      </c>
      <c r="L1260" s="14" t="str">
        <f>IF(C1260="","",IFERROR(D1260*N(INDEX(Products!$C$5:$C$29,MATCH(C1260,Lists!$A$2:$A$26,0))),""))</f>
        <v/>
      </c>
      <c r="M1260" s="15" t="str">
        <f t="shared" si="19"/>
        <v/>
      </c>
    </row>
    <row r="1261" spans="1:13" x14ac:dyDescent="0.35">
      <c r="A1261" s="11"/>
      <c r="B1261" s="12"/>
      <c r="C1261" s="12"/>
      <c r="D1261" s="12"/>
      <c r="E1261" s="13"/>
      <c r="F1261" s="13"/>
      <c r="G1261" s="13"/>
      <c r="H1261" s="13"/>
      <c r="I1261" s="12"/>
      <c r="J1261" s="13"/>
      <c r="K1261" s="14" t="str">
        <f>IF(C1261="","",IFERROR(N('Fee Settings'!$C$5)*(E1261+N(F1261)-N(J1261))+N('Fee Settings'!$C$6)*(E1261+N(F1261)+N(G1261))+N('Fee Settings'!$C$7)+N('Fee Settings'!$C$10)*D1261+IF(I1261="Yes",MIN(N('Fee Settings'!$C$8)*(E1261+N(F1261)),N('Fee Settings'!$C$9)),0),""))</f>
        <v/>
      </c>
      <c r="L1261" s="14" t="str">
        <f>IF(C1261="","",IFERROR(D1261*N(INDEX(Products!$C$5:$C$29,MATCH(C1261,Lists!$A$2:$A$26,0))),""))</f>
        <v/>
      </c>
      <c r="M1261" s="15" t="str">
        <f t="shared" si="19"/>
        <v/>
      </c>
    </row>
    <row r="1262" spans="1:13" x14ac:dyDescent="0.35">
      <c r="A1262" s="11"/>
      <c r="B1262" s="12"/>
      <c r="C1262" s="12"/>
      <c r="D1262" s="12"/>
      <c r="E1262" s="13"/>
      <c r="F1262" s="13"/>
      <c r="G1262" s="13"/>
      <c r="H1262" s="13"/>
      <c r="I1262" s="12"/>
      <c r="J1262" s="13"/>
      <c r="K1262" s="14" t="str">
        <f>IF(C1262="","",IFERROR(N('Fee Settings'!$C$5)*(E1262+N(F1262)-N(J1262))+N('Fee Settings'!$C$6)*(E1262+N(F1262)+N(G1262))+N('Fee Settings'!$C$7)+N('Fee Settings'!$C$10)*D1262+IF(I1262="Yes",MIN(N('Fee Settings'!$C$8)*(E1262+N(F1262)),N('Fee Settings'!$C$9)),0),""))</f>
        <v/>
      </c>
      <c r="L1262" s="14" t="str">
        <f>IF(C1262="","",IFERROR(D1262*N(INDEX(Products!$C$5:$C$29,MATCH(C1262,Lists!$A$2:$A$26,0))),""))</f>
        <v/>
      </c>
      <c r="M1262" s="15" t="str">
        <f t="shared" si="19"/>
        <v/>
      </c>
    </row>
    <row r="1263" spans="1:13" x14ac:dyDescent="0.35">
      <c r="A1263" s="11"/>
      <c r="B1263" s="12"/>
      <c r="C1263" s="12"/>
      <c r="D1263" s="12"/>
      <c r="E1263" s="13"/>
      <c r="F1263" s="13"/>
      <c r="G1263" s="13"/>
      <c r="H1263" s="13"/>
      <c r="I1263" s="12"/>
      <c r="J1263" s="13"/>
      <c r="K1263" s="14" t="str">
        <f>IF(C1263="","",IFERROR(N('Fee Settings'!$C$5)*(E1263+N(F1263)-N(J1263))+N('Fee Settings'!$C$6)*(E1263+N(F1263)+N(G1263))+N('Fee Settings'!$C$7)+N('Fee Settings'!$C$10)*D1263+IF(I1263="Yes",MIN(N('Fee Settings'!$C$8)*(E1263+N(F1263)),N('Fee Settings'!$C$9)),0),""))</f>
        <v/>
      </c>
      <c r="L1263" s="14" t="str">
        <f>IF(C1263="","",IFERROR(D1263*N(INDEX(Products!$C$5:$C$29,MATCH(C1263,Lists!$A$2:$A$26,0))),""))</f>
        <v/>
      </c>
      <c r="M1263" s="15" t="str">
        <f t="shared" si="19"/>
        <v/>
      </c>
    </row>
    <row r="1264" spans="1:13" x14ac:dyDescent="0.35">
      <c r="A1264" s="11"/>
      <c r="B1264" s="12"/>
      <c r="C1264" s="12"/>
      <c r="D1264" s="12"/>
      <c r="E1264" s="13"/>
      <c r="F1264" s="13"/>
      <c r="G1264" s="13"/>
      <c r="H1264" s="13"/>
      <c r="I1264" s="12"/>
      <c r="J1264" s="13"/>
      <c r="K1264" s="14" t="str">
        <f>IF(C1264="","",IFERROR(N('Fee Settings'!$C$5)*(E1264+N(F1264)-N(J1264))+N('Fee Settings'!$C$6)*(E1264+N(F1264)+N(G1264))+N('Fee Settings'!$C$7)+N('Fee Settings'!$C$10)*D1264+IF(I1264="Yes",MIN(N('Fee Settings'!$C$8)*(E1264+N(F1264)),N('Fee Settings'!$C$9)),0),""))</f>
        <v/>
      </c>
      <c r="L1264" s="14" t="str">
        <f>IF(C1264="","",IFERROR(D1264*N(INDEX(Products!$C$5:$C$29,MATCH(C1264,Lists!$A$2:$A$26,0))),""))</f>
        <v/>
      </c>
      <c r="M1264" s="15" t="str">
        <f t="shared" si="19"/>
        <v/>
      </c>
    </row>
    <row r="1265" spans="1:13" x14ac:dyDescent="0.35">
      <c r="A1265" s="11"/>
      <c r="B1265" s="12"/>
      <c r="C1265" s="12"/>
      <c r="D1265" s="12"/>
      <c r="E1265" s="13"/>
      <c r="F1265" s="13"/>
      <c r="G1265" s="13"/>
      <c r="H1265" s="13"/>
      <c r="I1265" s="12"/>
      <c r="J1265" s="13"/>
      <c r="K1265" s="14" t="str">
        <f>IF(C1265="","",IFERROR(N('Fee Settings'!$C$5)*(E1265+N(F1265)-N(J1265))+N('Fee Settings'!$C$6)*(E1265+N(F1265)+N(G1265))+N('Fee Settings'!$C$7)+N('Fee Settings'!$C$10)*D1265+IF(I1265="Yes",MIN(N('Fee Settings'!$C$8)*(E1265+N(F1265)),N('Fee Settings'!$C$9)),0),""))</f>
        <v/>
      </c>
      <c r="L1265" s="14" t="str">
        <f>IF(C1265="","",IFERROR(D1265*N(INDEX(Products!$C$5:$C$29,MATCH(C1265,Lists!$A$2:$A$26,0))),""))</f>
        <v/>
      </c>
      <c r="M1265" s="15" t="str">
        <f t="shared" si="19"/>
        <v/>
      </c>
    </row>
    <row r="1266" spans="1:13" x14ac:dyDescent="0.35">
      <c r="A1266" s="11"/>
      <c r="B1266" s="12"/>
      <c r="C1266" s="12"/>
      <c r="D1266" s="12"/>
      <c r="E1266" s="13"/>
      <c r="F1266" s="13"/>
      <c r="G1266" s="13"/>
      <c r="H1266" s="13"/>
      <c r="I1266" s="12"/>
      <c r="J1266" s="13"/>
      <c r="K1266" s="14" t="str">
        <f>IF(C1266="","",IFERROR(N('Fee Settings'!$C$5)*(E1266+N(F1266)-N(J1266))+N('Fee Settings'!$C$6)*(E1266+N(F1266)+N(G1266))+N('Fee Settings'!$C$7)+N('Fee Settings'!$C$10)*D1266+IF(I1266="Yes",MIN(N('Fee Settings'!$C$8)*(E1266+N(F1266)),N('Fee Settings'!$C$9)),0),""))</f>
        <v/>
      </c>
      <c r="L1266" s="14" t="str">
        <f>IF(C1266="","",IFERROR(D1266*N(INDEX(Products!$C$5:$C$29,MATCH(C1266,Lists!$A$2:$A$26,0))),""))</f>
        <v/>
      </c>
      <c r="M1266" s="15" t="str">
        <f t="shared" si="19"/>
        <v/>
      </c>
    </row>
    <row r="1267" spans="1:13" x14ac:dyDescent="0.35">
      <c r="A1267" s="11"/>
      <c r="B1267" s="12"/>
      <c r="C1267" s="12"/>
      <c r="D1267" s="12"/>
      <c r="E1267" s="13"/>
      <c r="F1267" s="13"/>
      <c r="G1267" s="13"/>
      <c r="H1267" s="13"/>
      <c r="I1267" s="12"/>
      <c r="J1267" s="13"/>
      <c r="K1267" s="14" t="str">
        <f>IF(C1267="","",IFERROR(N('Fee Settings'!$C$5)*(E1267+N(F1267)-N(J1267))+N('Fee Settings'!$C$6)*(E1267+N(F1267)+N(G1267))+N('Fee Settings'!$C$7)+N('Fee Settings'!$C$10)*D1267+IF(I1267="Yes",MIN(N('Fee Settings'!$C$8)*(E1267+N(F1267)),N('Fee Settings'!$C$9)),0),""))</f>
        <v/>
      </c>
      <c r="L1267" s="14" t="str">
        <f>IF(C1267="","",IFERROR(D1267*N(INDEX(Products!$C$5:$C$29,MATCH(C1267,Lists!$A$2:$A$26,0))),""))</f>
        <v/>
      </c>
      <c r="M1267" s="15" t="str">
        <f t="shared" si="19"/>
        <v/>
      </c>
    </row>
    <row r="1268" spans="1:13" x14ac:dyDescent="0.35">
      <c r="A1268" s="11"/>
      <c r="B1268" s="12"/>
      <c r="C1268" s="12"/>
      <c r="D1268" s="12"/>
      <c r="E1268" s="13"/>
      <c r="F1268" s="13"/>
      <c r="G1268" s="13"/>
      <c r="H1268" s="13"/>
      <c r="I1268" s="12"/>
      <c r="J1268" s="13"/>
      <c r="K1268" s="14" t="str">
        <f>IF(C1268="","",IFERROR(N('Fee Settings'!$C$5)*(E1268+N(F1268)-N(J1268))+N('Fee Settings'!$C$6)*(E1268+N(F1268)+N(G1268))+N('Fee Settings'!$C$7)+N('Fee Settings'!$C$10)*D1268+IF(I1268="Yes",MIN(N('Fee Settings'!$C$8)*(E1268+N(F1268)),N('Fee Settings'!$C$9)),0),""))</f>
        <v/>
      </c>
      <c r="L1268" s="14" t="str">
        <f>IF(C1268="","",IFERROR(D1268*N(INDEX(Products!$C$5:$C$29,MATCH(C1268,Lists!$A$2:$A$26,0))),""))</f>
        <v/>
      </c>
      <c r="M1268" s="15" t="str">
        <f t="shared" si="19"/>
        <v/>
      </c>
    </row>
    <row r="1269" spans="1:13" x14ac:dyDescent="0.35">
      <c r="A1269" s="11"/>
      <c r="B1269" s="12"/>
      <c r="C1269" s="12"/>
      <c r="D1269" s="12"/>
      <c r="E1269" s="13"/>
      <c r="F1269" s="13"/>
      <c r="G1269" s="13"/>
      <c r="H1269" s="13"/>
      <c r="I1269" s="12"/>
      <c r="J1269" s="13"/>
      <c r="K1269" s="14" t="str">
        <f>IF(C1269="","",IFERROR(N('Fee Settings'!$C$5)*(E1269+N(F1269)-N(J1269))+N('Fee Settings'!$C$6)*(E1269+N(F1269)+N(G1269))+N('Fee Settings'!$C$7)+N('Fee Settings'!$C$10)*D1269+IF(I1269="Yes",MIN(N('Fee Settings'!$C$8)*(E1269+N(F1269)),N('Fee Settings'!$C$9)),0),""))</f>
        <v/>
      </c>
      <c r="L1269" s="14" t="str">
        <f>IF(C1269="","",IFERROR(D1269*N(INDEX(Products!$C$5:$C$29,MATCH(C1269,Lists!$A$2:$A$26,0))),""))</f>
        <v/>
      </c>
      <c r="M1269" s="15" t="str">
        <f t="shared" si="19"/>
        <v/>
      </c>
    </row>
    <row r="1270" spans="1:13" x14ac:dyDescent="0.35">
      <c r="A1270" s="11"/>
      <c r="B1270" s="12"/>
      <c r="C1270" s="12"/>
      <c r="D1270" s="12"/>
      <c r="E1270" s="13"/>
      <c r="F1270" s="13"/>
      <c r="G1270" s="13"/>
      <c r="H1270" s="13"/>
      <c r="I1270" s="12"/>
      <c r="J1270" s="13"/>
      <c r="K1270" s="14" t="str">
        <f>IF(C1270="","",IFERROR(N('Fee Settings'!$C$5)*(E1270+N(F1270)-N(J1270))+N('Fee Settings'!$C$6)*(E1270+N(F1270)+N(G1270))+N('Fee Settings'!$C$7)+N('Fee Settings'!$C$10)*D1270+IF(I1270="Yes",MIN(N('Fee Settings'!$C$8)*(E1270+N(F1270)),N('Fee Settings'!$C$9)),0),""))</f>
        <v/>
      </c>
      <c r="L1270" s="14" t="str">
        <f>IF(C1270="","",IFERROR(D1270*N(INDEX(Products!$C$5:$C$29,MATCH(C1270,Lists!$A$2:$A$26,0))),""))</f>
        <v/>
      </c>
      <c r="M1270" s="15" t="str">
        <f t="shared" si="19"/>
        <v/>
      </c>
    </row>
    <row r="1271" spans="1:13" x14ac:dyDescent="0.35">
      <c r="A1271" s="11"/>
      <c r="B1271" s="12"/>
      <c r="C1271" s="12"/>
      <c r="D1271" s="12"/>
      <c r="E1271" s="13"/>
      <c r="F1271" s="13"/>
      <c r="G1271" s="13"/>
      <c r="H1271" s="13"/>
      <c r="I1271" s="12"/>
      <c r="J1271" s="13"/>
      <c r="K1271" s="14" t="str">
        <f>IF(C1271="","",IFERROR(N('Fee Settings'!$C$5)*(E1271+N(F1271)-N(J1271))+N('Fee Settings'!$C$6)*(E1271+N(F1271)+N(G1271))+N('Fee Settings'!$C$7)+N('Fee Settings'!$C$10)*D1271+IF(I1271="Yes",MIN(N('Fee Settings'!$C$8)*(E1271+N(F1271)),N('Fee Settings'!$C$9)),0),""))</f>
        <v/>
      </c>
      <c r="L1271" s="14" t="str">
        <f>IF(C1271="","",IFERROR(D1271*N(INDEX(Products!$C$5:$C$29,MATCH(C1271,Lists!$A$2:$A$26,0))),""))</f>
        <v/>
      </c>
      <c r="M1271" s="15" t="str">
        <f t="shared" si="19"/>
        <v/>
      </c>
    </row>
    <row r="1272" spans="1:13" x14ac:dyDescent="0.35">
      <c r="A1272" s="11"/>
      <c r="B1272" s="12"/>
      <c r="C1272" s="12"/>
      <c r="D1272" s="12"/>
      <c r="E1272" s="13"/>
      <c r="F1272" s="13"/>
      <c r="G1272" s="13"/>
      <c r="H1272" s="13"/>
      <c r="I1272" s="12"/>
      <c r="J1272" s="13"/>
      <c r="K1272" s="14" t="str">
        <f>IF(C1272="","",IFERROR(N('Fee Settings'!$C$5)*(E1272+N(F1272)-N(J1272))+N('Fee Settings'!$C$6)*(E1272+N(F1272)+N(G1272))+N('Fee Settings'!$C$7)+N('Fee Settings'!$C$10)*D1272+IF(I1272="Yes",MIN(N('Fee Settings'!$C$8)*(E1272+N(F1272)),N('Fee Settings'!$C$9)),0),""))</f>
        <v/>
      </c>
      <c r="L1272" s="14" t="str">
        <f>IF(C1272="","",IFERROR(D1272*N(INDEX(Products!$C$5:$C$29,MATCH(C1272,Lists!$A$2:$A$26,0))),""))</f>
        <v/>
      </c>
      <c r="M1272" s="15" t="str">
        <f t="shared" si="19"/>
        <v/>
      </c>
    </row>
    <row r="1273" spans="1:13" x14ac:dyDescent="0.35">
      <c r="A1273" s="11"/>
      <c r="B1273" s="12"/>
      <c r="C1273" s="12"/>
      <c r="D1273" s="12"/>
      <c r="E1273" s="13"/>
      <c r="F1273" s="13"/>
      <c r="G1273" s="13"/>
      <c r="H1273" s="13"/>
      <c r="I1273" s="12"/>
      <c r="J1273" s="13"/>
      <c r="K1273" s="14" t="str">
        <f>IF(C1273="","",IFERROR(N('Fee Settings'!$C$5)*(E1273+N(F1273)-N(J1273))+N('Fee Settings'!$C$6)*(E1273+N(F1273)+N(G1273))+N('Fee Settings'!$C$7)+N('Fee Settings'!$C$10)*D1273+IF(I1273="Yes",MIN(N('Fee Settings'!$C$8)*(E1273+N(F1273)),N('Fee Settings'!$C$9)),0),""))</f>
        <v/>
      </c>
      <c r="L1273" s="14" t="str">
        <f>IF(C1273="","",IFERROR(D1273*N(INDEX(Products!$C$5:$C$29,MATCH(C1273,Lists!$A$2:$A$26,0))),""))</f>
        <v/>
      </c>
      <c r="M1273" s="15" t="str">
        <f t="shared" si="19"/>
        <v/>
      </c>
    </row>
    <row r="1274" spans="1:13" x14ac:dyDescent="0.35">
      <c r="A1274" s="11"/>
      <c r="B1274" s="12"/>
      <c r="C1274" s="12"/>
      <c r="D1274" s="12"/>
      <c r="E1274" s="13"/>
      <c r="F1274" s="13"/>
      <c r="G1274" s="13"/>
      <c r="H1274" s="13"/>
      <c r="I1274" s="12"/>
      <c r="J1274" s="13"/>
      <c r="K1274" s="14" t="str">
        <f>IF(C1274="","",IFERROR(N('Fee Settings'!$C$5)*(E1274+N(F1274)-N(J1274))+N('Fee Settings'!$C$6)*(E1274+N(F1274)+N(G1274))+N('Fee Settings'!$C$7)+N('Fee Settings'!$C$10)*D1274+IF(I1274="Yes",MIN(N('Fee Settings'!$C$8)*(E1274+N(F1274)),N('Fee Settings'!$C$9)),0),""))</f>
        <v/>
      </c>
      <c r="L1274" s="14" t="str">
        <f>IF(C1274="","",IFERROR(D1274*N(INDEX(Products!$C$5:$C$29,MATCH(C1274,Lists!$A$2:$A$26,0))),""))</f>
        <v/>
      </c>
      <c r="M1274" s="15" t="str">
        <f t="shared" si="19"/>
        <v/>
      </c>
    </row>
    <row r="1275" spans="1:13" x14ac:dyDescent="0.35">
      <c r="A1275" s="11"/>
      <c r="B1275" s="12"/>
      <c r="C1275" s="12"/>
      <c r="D1275" s="12"/>
      <c r="E1275" s="13"/>
      <c r="F1275" s="13"/>
      <c r="G1275" s="13"/>
      <c r="H1275" s="13"/>
      <c r="I1275" s="12"/>
      <c r="J1275" s="13"/>
      <c r="K1275" s="14" t="str">
        <f>IF(C1275="","",IFERROR(N('Fee Settings'!$C$5)*(E1275+N(F1275)-N(J1275))+N('Fee Settings'!$C$6)*(E1275+N(F1275)+N(G1275))+N('Fee Settings'!$C$7)+N('Fee Settings'!$C$10)*D1275+IF(I1275="Yes",MIN(N('Fee Settings'!$C$8)*(E1275+N(F1275)),N('Fee Settings'!$C$9)),0),""))</f>
        <v/>
      </c>
      <c r="L1275" s="14" t="str">
        <f>IF(C1275="","",IFERROR(D1275*N(INDEX(Products!$C$5:$C$29,MATCH(C1275,Lists!$A$2:$A$26,0))),""))</f>
        <v/>
      </c>
      <c r="M1275" s="15" t="str">
        <f t="shared" si="19"/>
        <v/>
      </c>
    </row>
    <row r="1276" spans="1:13" x14ac:dyDescent="0.35">
      <c r="A1276" s="11"/>
      <c r="B1276" s="12"/>
      <c r="C1276" s="12"/>
      <c r="D1276" s="12"/>
      <c r="E1276" s="13"/>
      <c r="F1276" s="13"/>
      <c r="G1276" s="13"/>
      <c r="H1276" s="13"/>
      <c r="I1276" s="12"/>
      <c r="J1276" s="13"/>
      <c r="K1276" s="14" t="str">
        <f>IF(C1276="","",IFERROR(N('Fee Settings'!$C$5)*(E1276+N(F1276)-N(J1276))+N('Fee Settings'!$C$6)*(E1276+N(F1276)+N(G1276))+N('Fee Settings'!$C$7)+N('Fee Settings'!$C$10)*D1276+IF(I1276="Yes",MIN(N('Fee Settings'!$C$8)*(E1276+N(F1276)),N('Fee Settings'!$C$9)),0),""))</f>
        <v/>
      </c>
      <c r="L1276" s="14" t="str">
        <f>IF(C1276="","",IFERROR(D1276*N(INDEX(Products!$C$5:$C$29,MATCH(C1276,Lists!$A$2:$A$26,0))),""))</f>
        <v/>
      </c>
      <c r="M1276" s="15" t="str">
        <f t="shared" si="19"/>
        <v/>
      </c>
    </row>
    <row r="1277" spans="1:13" x14ac:dyDescent="0.35">
      <c r="A1277" s="11"/>
      <c r="B1277" s="12"/>
      <c r="C1277" s="12"/>
      <c r="D1277" s="12"/>
      <c r="E1277" s="13"/>
      <c r="F1277" s="13"/>
      <c r="G1277" s="13"/>
      <c r="H1277" s="13"/>
      <c r="I1277" s="12"/>
      <c r="J1277" s="13"/>
      <c r="K1277" s="14" t="str">
        <f>IF(C1277="","",IFERROR(N('Fee Settings'!$C$5)*(E1277+N(F1277)-N(J1277))+N('Fee Settings'!$C$6)*(E1277+N(F1277)+N(G1277))+N('Fee Settings'!$C$7)+N('Fee Settings'!$C$10)*D1277+IF(I1277="Yes",MIN(N('Fee Settings'!$C$8)*(E1277+N(F1277)),N('Fee Settings'!$C$9)),0),""))</f>
        <v/>
      </c>
      <c r="L1277" s="14" t="str">
        <f>IF(C1277="","",IFERROR(D1277*N(INDEX(Products!$C$5:$C$29,MATCH(C1277,Lists!$A$2:$A$26,0))),""))</f>
        <v/>
      </c>
      <c r="M1277" s="15" t="str">
        <f t="shared" si="19"/>
        <v/>
      </c>
    </row>
    <row r="1278" spans="1:13" x14ac:dyDescent="0.35">
      <c r="A1278" s="11"/>
      <c r="B1278" s="12"/>
      <c r="C1278" s="12"/>
      <c r="D1278" s="12"/>
      <c r="E1278" s="13"/>
      <c r="F1278" s="13"/>
      <c r="G1278" s="13"/>
      <c r="H1278" s="13"/>
      <c r="I1278" s="12"/>
      <c r="J1278" s="13"/>
      <c r="K1278" s="14" t="str">
        <f>IF(C1278="","",IFERROR(N('Fee Settings'!$C$5)*(E1278+N(F1278)-N(J1278))+N('Fee Settings'!$C$6)*(E1278+N(F1278)+N(G1278))+N('Fee Settings'!$C$7)+N('Fee Settings'!$C$10)*D1278+IF(I1278="Yes",MIN(N('Fee Settings'!$C$8)*(E1278+N(F1278)),N('Fee Settings'!$C$9)),0),""))</f>
        <v/>
      </c>
      <c r="L1278" s="14" t="str">
        <f>IF(C1278="","",IFERROR(D1278*N(INDEX(Products!$C$5:$C$29,MATCH(C1278,Lists!$A$2:$A$26,0))),""))</f>
        <v/>
      </c>
      <c r="M1278" s="15" t="str">
        <f t="shared" si="19"/>
        <v/>
      </c>
    </row>
    <row r="1279" spans="1:13" x14ac:dyDescent="0.35">
      <c r="A1279" s="11"/>
      <c r="B1279" s="12"/>
      <c r="C1279" s="12"/>
      <c r="D1279" s="12"/>
      <c r="E1279" s="13"/>
      <c r="F1279" s="13"/>
      <c r="G1279" s="13"/>
      <c r="H1279" s="13"/>
      <c r="I1279" s="12"/>
      <c r="J1279" s="13"/>
      <c r="K1279" s="14" t="str">
        <f>IF(C1279="","",IFERROR(N('Fee Settings'!$C$5)*(E1279+N(F1279)-N(J1279))+N('Fee Settings'!$C$6)*(E1279+N(F1279)+N(G1279))+N('Fee Settings'!$C$7)+N('Fee Settings'!$C$10)*D1279+IF(I1279="Yes",MIN(N('Fee Settings'!$C$8)*(E1279+N(F1279)),N('Fee Settings'!$C$9)),0),""))</f>
        <v/>
      </c>
      <c r="L1279" s="14" t="str">
        <f>IF(C1279="","",IFERROR(D1279*N(INDEX(Products!$C$5:$C$29,MATCH(C1279,Lists!$A$2:$A$26,0))),""))</f>
        <v/>
      </c>
      <c r="M1279" s="15" t="str">
        <f t="shared" si="19"/>
        <v/>
      </c>
    </row>
    <row r="1280" spans="1:13" x14ac:dyDescent="0.35">
      <c r="A1280" s="11"/>
      <c r="B1280" s="12"/>
      <c r="C1280" s="12"/>
      <c r="D1280" s="12"/>
      <c r="E1280" s="13"/>
      <c r="F1280" s="13"/>
      <c r="G1280" s="13"/>
      <c r="H1280" s="13"/>
      <c r="I1280" s="12"/>
      <c r="J1280" s="13"/>
      <c r="K1280" s="14" t="str">
        <f>IF(C1280="","",IFERROR(N('Fee Settings'!$C$5)*(E1280+N(F1280)-N(J1280))+N('Fee Settings'!$C$6)*(E1280+N(F1280)+N(G1280))+N('Fee Settings'!$C$7)+N('Fee Settings'!$C$10)*D1280+IF(I1280="Yes",MIN(N('Fee Settings'!$C$8)*(E1280+N(F1280)),N('Fee Settings'!$C$9)),0),""))</f>
        <v/>
      </c>
      <c r="L1280" s="14" t="str">
        <f>IF(C1280="","",IFERROR(D1280*N(INDEX(Products!$C$5:$C$29,MATCH(C1280,Lists!$A$2:$A$26,0))),""))</f>
        <v/>
      </c>
      <c r="M1280" s="15" t="str">
        <f t="shared" si="19"/>
        <v/>
      </c>
    </row>
    <row r="1281" spans="1:13" x14ac:dyDescent="0.35">
      <c r="A1281" s="11"/>
      <c r="B1281" s="12"/>
      <c r="C1281" s="12"/>
      <c r="D1281" s="12"/>
      <c r="E1281" s="13"/>
      <c r="F1281" s="13"/>
      <c r="G1281" s="13"/>
      <c r="H1281" s="13"/>
      <c r="I1281" s="12"/>
      <c r="J1281" s="13"/>
      <c r="K1281" s="14" t="str">
        <f>IF(C1281="","",IFERROR(N('Fee Settings'!$C$5)*(E1281+N(F1281)-N(J1281))+N('Fee Settings'!$C$6)*(E1281+N(F1281)+N(G1281))+N('Fee Settings'!$C$7)+N('Fee Settings'!$C$10)*D1281+IF(I1281="Yes",MIN(N('Fee Settings'!$C$8)*(E1281+N(F1281)),N('Fee Settings'!$C$9)),0),""))</f>
        <v/>
      </c>
      <c r="L1281" s="14" t="str">
        <f>IF(C1281="","",IFERROR(D1281*N(INDEX(Products!$C$5:$C$29,MATCH(C1281,Lists!$A$2:$A$26,0))),""))</f>
        <v/>
      </c>
      <c r="M1281" s="15" t="str">
        <f t="shared" si="19"/>
        <v/>
      </c>
    </row>
    <row r="1282" spans="1:13" x14ac:dyDescent="0.35">
      <c r="A1282" s="11"/>
      <c r="B1282" s="12"/>
      <c r="C1282" s="12"/>
      <c r="D1282" s="12"/>
      <c r="E1282" s="13"/>
      <c r="F1282" s="13"/>
      <c r="G1282" s="13"/>
      <c r="H1282" s="13"/>
      <c r="I1282" s="12"/>
      <c r="J1282" s="13"/>
      <c r="K1282" s="14" t="str">
        <f>IF(C1282="","",IFERROR(N('Fee Settings'!$C$5)*(E1282+N(F1282)-N(J1282))+N('Fee Settings'!$C$6)*(E1282+N(F1282)+N(G1282))+N('Fee Settings'!$C$7)+N('Fee Settings'!$C$10)*D1282+IF(I1282="Yes",MIN(N('Fee Settings'!$C$8)*(E1282+N(F1282)),N('Fee Settings'!$C$9)),0),""))</f>
        <v/>
      </c>
      <c r="L1282" s="14" t="str">
        <f>IF(C1282="","",IFERROR(D1282*N(INDEX(Products!$C$5:$C$29,MATCH(C1282,Lists!$A$2:$A$26,0))),""))</f>
        <v/>
      </c>
      <c r="M1282" s="15" t="str">
        <f t="shared" si="19"/>
        <v/>
      </c>
    </row>
    <row r="1283" spans="1:13" x14ac:dyDescent="0.35">
      <c r="A1283" s="11"/>
      <c r="B1283" s="12"/>
      <c r="C1283" s="12"/>
      <c r="D1283" s="12"/>
      <c r="E1283" s="13"/>
      <c r="F1283" s="13"/>
      <c r="G1283" s="13"/>
      <c r="H1283" s="13"/>
      <c r="I1283" s="12"/>
      <c r="J1283" s="13"/>
      <c r="K1283" s="14" t="str">
        <f>IF(C1283="","",IFERROR(N('Fee Settings'!$C$5)*(E1283+N(F1283)-N(J1283))+N('Fee Settings'!$C$6)*(E1283+N(F1283)+N(G1283))+N('Fee Settings'!$C$7)+N('Fee Settings'!$C$10)*D1283+IF(I1283="Yes",MIN(N('Fee Settings'!$C$8)*(E1283+N(F1283)),N('Fee Settings'!$C$9)),0),""))</f>
        <v/>
      </c>
      <c r="L1283" s="14" t="str">
        <f>IF(C1283="","",IFERROR(D1283*N(INDEX(Products!$C$5:$C$29,MATCH(C1283,Lists!$A$2:$A$26,0))),""))</f>
        <v/>
      </c>
      <c r="M1283" s="15" t="str">
        <f t="shared" si="19"/>
        <v/>
      </c>
    </row>
    <row r="1284" spans="1:13" x14ac:dyDescent="0.35">
      <c r="A1284" s="11"/>
      <c r="B1284" s="12"/>
      <c r="C1284" s="12"/>
      <c r="D1284" s="12"/>
      <c r="E1284" s="13"/>
      <c r="F1284" s="13"/>
      <c r="G1284" s="13"/>
      <c r="H1284" s="13"/>
      <c r="I1284" s="12"/>
      <c r="J1284" s="13"/>
      <c r="K1284" s="14" t="str">
        <f>IF(C1284="","",IFERROR(N('Fee Settings'!$C$5)*(E1284+N(F1284)-N(J1284))+N('Fee Settings'!$C$6)*(E1284+N(F1284)+N(G1284))+N('Fee Settings'!$C$7)+N('Fee Settings'!$C$10)*D1284+IF(I1284="Yes",MIN(N('Fee Settings'!$C$8)*(E1284+N(F1284)),N('Fee Settings'!$C$9)),0),""))</f>
        <v/>
      </c>
      <c r="L1284" s="14" t="str">
        <f>IF(C1284="","",IFERROR(D1284*N(INDEX(Products!$C$5:$C$29,MATCH(C1284,Lists!$A$2:$A$26,0))),""))</f>
        <v/>
      </c>
      <c r="M1284" s="15" t="str">
        <f t="shared" si="19"/>
        <v/>
      </c>
    </row>
    <row r="1285" spans="1:13" x14ac:dyDescent="0.35">
      <c r="A1285" s="11"/>
      <c r="B1285" s="12"/>
      <c r="C1285" s="12"/>
      <c r="D1285" s="12"/>
      <c r="E1285" s="13"/>
      <c r="F1285" s="13"/>
      <c r="G1285" s="13"/>
      <c r="H1285" s="13"/>
      <c r="I1285" s="12"/>
      <c r="J1285" s="13"/>
      <c r="K1285" s="14" t="str">
        <f>IF(C1285="","",IFERROR(N('Fee Settings'!$C$5)*(E1285+N(F1285)-N(J1285))+N('Fee Settings'!$C$6)*(E1285+N(F1285)+N(G1285))+N('Fee Settings'!$C$7)+N('Fee Settings'!$C$10)*D1285+IF(I1285="Yes",MIN(N('Fee Settings'!$C$8)*(E1285+N(F1285)),N('Fee Settings'!$C$9)),0),""))</f>
        <v/>
      </c>
      <c r="L1285" s="14" t="str">
        <f>IF(C1285="","",IFERROR(D1285*N(INDEX(Products!$C$5:$C$29,MATCH(C1285,Lists!$A$2:$A$26,0))),""))</f>
        <v/>
      </c>
      <c r="M1285" s="15" t="str">
        <f t="shared" ref="M1285:M1348" si="20">IF(C1285="","",IFERROR(E1285+N(F1285)-N(J1285)-K1285-L1285-N(H1285),""))</f>
        <v/>
      </c>
    </row>
    <row r="1286" spans="1:13" x14ac:dyDescent="0.35">
      <c r="A1286" s="11"/>
      <c r="B1286" s="12"/>
      <c r="C1286" s="12"/>
      <c r="D1286" s="12"/>
      <c r="E1286" s="13"/>
      <c r="F1286" s="13"/>
      <c r="G1286" s="13"/>
      <c r="H1286" s="13"/>
      <c r="I1286" s="12"/>
      <c r="J1286" s="13"/>
      <c r="K1286" s="14" t="str">
        <f>IF(C1286="","",IFERROR(N('Fee Settings'!$C$5)*(E1286+N(F1286)-N(J1286))+N('Fee Settings'!$C$6)*(E1286+N(F1286)+N(G1286))+N('Fee Settings'!$C$7)+N('Fee Settings'!$C$10)*D1286+IF(I1286="Yes",MIN(N('Fee Settings'!$C$8)*(E1286+N(F1286)),N('Fee Settings'!$C$9)),0),""))</f>
        <v/>
      </c>
      <c r="L1286" s="14" t="str">
        <f>IF(C1286="","",IFERROR(D1286*N(INDEX(Products!$C$5:$C$29,MATCH(C1286,Lists!$A$2:$A$26,0))),""))</f>
        <v/>
      </c>
      <c r="M1286" s="15" t="str">
        <f t="shared" si="20"/>
        <v/>
      </c>
    </row>
    <row r="1287" spans="1:13" x14ac:dyDescent="0.35">
      <c r="A1287" s="11"/>
      <c r="B1287" s="12"/>
      <c r="C1287" s="12"/>
      <c r="D1287" s="12"/>
      <c r="E1287" s="13"/>
      <c r="F1287" s="13"/>
      <c r="G1287" s="13"/>
      <c r="H1287" s="13"/>
      <c r="I1287" s="12"/>
      <c r="J1287" s="13"/>
      <c r="K1287" s="14" t="str">
        <f>IF(C1287="","",IFERROR(N('Fee Settings'!$C$5)*(E1287+N(F1287)-N(J1287))+N('Fee Settings'!$C$6)*(E1287+N(F1287)+N(G1287))+N('Fee Settings'!$C$7)+N('Fee Settings'!$C$10)*D1287+IF(I1287="Yes",MIN(N('Fee Settings'!$C$8)*(E1287+N(F1287)),N('Fee Settings'!$C$9)),0),""))</f>
        <v/>
      </c>
      <c r="L1287" s="14" t="str">
        <f>IF(C1287="","",IFERROR(D1287*N(INDEX(Products!$C$5:$C$29,MATCH(C1287,Lists!$A$2:$A$26,0))),""))</f>
        <v/>
      </c>
      <c r="M1287" s="15" t="str">
        <f t="shared" si="20"/>
        <v/>
      </c>
    </row>
    <row r="1288" spans="1:13" x14ac:dyDescent="0.35">
      <c r="A1288" s="11"/>
      <c r="B1288" s="12"/>
      <c r="C1288" s="12"/>
      <c r="D1288" s="12"/>
      <c r="E1288" s="13"/>
      <c r="F1288" s="13"/>
      <c r="G1288" s="13"/>
      <c r="H1288" s="13"/>
      <c r="I1288" s="12"/>
      <c r="J1288" s="13"/>
      <c r="K1288" s="14" t="str">
        <f>IF(C1288="","",IFERROR(N('Fee Settings'!$C$5)*(E1288+N(F1288)-N(J1288))+N('Fee Settings'!$C$6)*(E1288+N(F1288)+N(G1288))+N('Fee Settings'!$C$7)+N('Fee Settings'!$C$10)*D1288+IF(I1288="Yes",MIN(N('Fee Settings'!$C$8)*(E1288+N(F1288)),N('Fee Settings'!$C$9)),0),""))</f>
        <v/>
      </c>
      <c r="L1288" s="14" t="str">
        <f>IF(C1288="","",IFERROR(D1288*N(INDEX(Products!$C$5:$C$29,MATCH(C1288,Lists!$A$2:$A$26,0))),""))</f>
        <v/>
      </c>
      <c r="M1288" s="15" t="str">
        <f t="shared" si="20"/>
        <v/>
      </c>
    </row>
    <row r="1289" spans="1:13" x14ac:dyDescent="0.35">
      <c r="A1289" s="11"/>
      <c r="B1289" s="12"/>
      <c r="C1289" s="12"/>
      <c r="D1289" s="12"/>
      <c r="E1289" s="13"/>
      <c r="F1289" s="13"/>
      <c r="G1289" s="13"/>
      <c r="H1289" s="13"/>
      <c r="I1289" s="12"/>
      <c r="J1289" s="13"/>
      <c r="K1289" s="14" t="str">
        <f>IF(C1289="","",IFERROR(N('Fee Settings'!$C$5)*(E1289+N(F1289)-N(J1289))+N('Fee Settings'!$C$6)*(E1289+N(F1289)+N(G1289))+N('Fee Settings'!$C$7)+N('Fee Settings'!$C$10)*D1289+IF(I1289="Yes",MIN(N('Fee Settings'!$C$8)*(E1289+N(F1289)),N('Fee Settings'!$C$9)),0),""))</f>
        <v/>
      </c>
      <c r="L1289" s="14" t="str">
        <f>IF(C1289="","",IFERROR(D1289*N(INDEX(Products!$C$5:$C$29,MATCH(C1289,Lists!$A$2:$A$26,0))),""))</f>
        <v/>
      </c>
      <c r="M1289" s="15" t="str">
        <f t="shared" si="20"/>
        <v/>
      </c>
    </row>
    <row r="1290" spans="1:13" x14ac:dyDescent="0.35">
      <c r="A1290" s="11"/>
      <c r="B1290" s="12"/>
      <c r="C1290" s="12"/>
      <c r="D1290" s="12"/>
      <c r="E1290" s="13"/>
      <c r="F1290" s="13"/>
      <c r="G1290" s="13"/>
      <c r="H1290" s="13"/>
      <c r="I1290" s="12"/>
      <c r="J1290" s="13"/>
      <c r="K1290" s="14" t="str">
        <f>IF(C1290="","",IFERROR(N('Fee Settings'!$C$5)*(E1290+N(F1290)-N(J1290))+N('Fee Settings'!$C$6)*(E1290+N(F1290)+N(G1290))+N('Fee Settings'!$C$7)+N('Fee Settings'!$C$10)*D1290+IF(I1290="Yes",MIN(N('Fee Settings'!$C$8)*(E1290+N(F1290)),N('Fee Settings'!$C$9)),0),""))</f>
        <v/>
      </c>
      <c r="L1290" s="14" t="str">
        <f>IF(C1290="","",IFERROR(D1290*N(INDEX(Products!$C$5:$C$29,MATCH(C1290,Lists!$A$2:$A$26,0))),""))</f>
        <v/>
      </c>
      <c r="M1290" s="15" t="str">
        <f t="shared" si="20"/>
        <v/>
      </c>
    </row>
    <row r="1291" spans="1:13" x14ac:dyDescent="0.35">
      <c r="A1291" s="11"/>
      <c r="B1291" s="12"/>
      <c r="C1291" s="12"/>
      <c r="D1291" s="12"/>
      <c r="E1291" s="13"/>
      <c r="F1291" s="13"/>
      <c r="G1291" s="13"/>
      <c r="H1291" s="13"/>
      <c r="I1291" s="12"/>
      <c r="J1291" s="13"/>
      <c r="K1291" s="14" t="str">
        <f>IF(C1291="","",IFERROR(N('Fee Settings'!$C$5)*(E1291+N(F1291)-N(J1291))+N('Fee Settings'!$C$6)*(E1291+N(F1291)+N(G1291))+N('Fee Settings'!$C$7)+N('Fee Settings'!$C$10)*D1291+IF(I1291="Yes",MIN(N('Fee Settings'!$C$8)*(E1291+N(F1291)),N('Fee Settings'!$C$9)),0),""))</f>
        <v/>
      </c>
      <c r="L1291" s="14" t="str">
        <f>IF(C1291="","",IFERROR(D1291*N(INDEX(Products!$C$5:$C$29,MATCH(C1291,Lists!$A$2:$A$26,0))),""))</f>
        <v/>
      </c>
      <c r="M1291" s="15" t="str">
        <f t="shared" si="20"/>
        <v/>
      </c>
    </row>
    <row r="1292" spans="1:13" x14ac:dyDescent="0.35">
      <c r="A1292" s="11"/>
      <c r="B1292" s="12"/>
      <c r="C1292" s="12"/>
      <c r="D1292" s="12"/>
      <c r="E1292" s="13"/>
      <c r="F1292" s="13"/>
      <c r="G1292" s="13"/>
      <c r="H1292" s="13"/>
      <c r="I1292" s="12"/>
      <c r="J1292" s="13"/>
      <c r="K1292" s="14" t="str">
        <f>IF(C1292="","",IFERROR(N('Fee Settings'!$C$5)*(E1292+N(F1292)-N(J1292))+N('Fee Settings'!$C$6)*(E1292+N(F1292)+N(G1292))+N('Fee Settings'!$C$7)+N('Fee Settings'!$C$10)*D1292+IF(I1292="Yes",MIN(N('Fee Settings'!$C$8)*(E1292+N(F1292)),N('Fee Settings'!$C$9)),0),""))</f>
        <v/>
      </c>
      <c r="L1292" s="14" t="str">
        <f>IF(C1292="","",IFERROR(D1292*N(INDEX(Products!$C$5:$C$29,MATCH(C1292,Lists!$A$2:$A$26,0))),""))</f>
        <v/>
      </c>
      <c r="M1292" s="15" t="str">
        <f t="shared" si="20"/>
        <v/>
      </c>
    </row>
    <row r="1293" spans="1:13" x14ac:dyDescent="0.35">
      <c r="A1293" s="11"/>
      <c r="B1293" s="12"/>
      <c r="C1293" s="12"/>
      <c r="D1293" s="12"/>
      <c r="E1293" s="13"/>
      <c r="F1293" s="13"/>
      <c r="G1293" s="13"/>
      <c r="H1293" s="13"/>
      <c r="I1293" s="12"/>
      <c r="J1293" s="13"/>
      <c r="K1293" s="14" t="str">
        <f>IF(C1293="","",IFERROR(N('Fee Settings'!$C$5)*(E1293+N(F1293)-N(J1293))+N('Fee Settings'!$C$6)*(E1293+N(F1293)+N(G1293))+N('Fee Settings'!$C$7)+N('Fee Settings'!$C$10)*D1293+IF(I1293="Yes",MIN(N('Fee Settings'!$C$8)*(E1293+N(F1293)),N('Fee Settings'!$C$9)),0),""))</f>
        <v/>
      </c>
      <c r="L1293" s="14" t="str">
        <f>IF(C1293="","",IFERROR(D1293*N(INDEX(Products!$C$5:$C$29,MATCH(C1293,Lists!$A$2:$A$26,0))),""))</f>
        <v/>
      </c>
      <c r="M1293" s="15" t="str">
        <f t="shared" si="20"/>
        <v/>
      </c>
    </row>
    <row r="1294" spans="1:13" x14ac:dyDescent="0.35">
      <c r="A1294" s="11"/>
      <c r="B1294" s="12"/>
      <c r="C1294" s="12"/>
      <c r="D1294" s="12"/>
      <c r="E1294" s="13"/>
      <c r="F1294" s="13"/>
      <c r="G1294" s="13"/>
      <c r="H1294" s="13"/>
      <c r="I1294" s="12"/>
      <c r="J1294" s="13"/>
      <c r="K1294" s="14" t="str">
        <f>IF(C1294="","",IFERROR(N('Fee Settings'!$C$5)*(E1294+N(F1294)-N(J1294))+N('Fee Settings'!$C$6)*(E1294+N(F1294)+N(G1294))+N('Fee Settings'!$C$7)+N('Fee Settings'!$C$10)*D1294+IF(I1294="Yes",MIN(N('Fee Settings'!$C$8)*(E1294+N(F1294)),N('Fee Settings'!$C$9)),0),""))</f>
        <v/>
      </c>
      <c r="L1294" s="14" t="str">
        <f>IF(C1294="","",IFERROR(D1294*N(INDEX(Products!$C$5:$C$29,MATCH(C1294,Lists!$A$2:$A$26,0))),""))</f>
        <v/>
      </c>
      <c r="M1294" s="15" t="str">
        <f t="shared" si="20"/>
        <v/>
      </c>
    </row>
    <row r="1295" spans="1:13" x14ac:dyDescent="0.35">
      <c r="A1295" s="11"/>
      <c r="B1295" s="12"/>
      <c r="C1295" s="12"/>
      <c r="D1295" s="12"/>
      <c r="E1295" s="13"/>
      <c r="F1295" s="13"/>
      <c r="G1295" s="13"/>
      <c r="H1295" s="13"/>
      <c r="I1295" s="12"/>
      <c r="J1295" s="13"/>
      <c r="K1295" s="14" t="str">
        <f>IF(C1295="","",IFERROR(N('Fee Settings'!$C$5)*(E1295+N(F1295)-N(J1295))+N('Fee Settings'!$C$6)*(E1295+N(F1295)+N(G1295))+N('Fee Settings'!$C$7)+N('Fee Settings'!$C$10)*D1295+IF(I1295="Yes",MIN(N('Fee Settings'!$C$8)*(E1295+N(F1295)),N('Fee Settings'!$C$9)),0),""))</f>
        <v/>
      </c>
      <c r="L1295" s="14" t="str">
        <f>IF(C1295="","",IFERROR(D1295*N(INDEX(Products!$C$5:$C$29,MATCH(C1295,Lists!$A$2:$A$26,0))),""))</f>
        <v/>
      </c>
      <c r="M1295" s="15" t="str">
        <f t="shared" si="20"/>
        <v/>
      </c>
    </row>
    <row r="1296" spans="1:13" x14ac:dyDescent="0.35">
      <c r="A1296" s="11"/>
      <c r="B1296" s="12"/>
      <c r="C1296" s="12"/>
      <c r="D1296" s="12"/>
      <c r="E1296" s="13"/>
      <c r="F1296" s="13"/>
      <c r="G1296" s="13"/>
      <c r="H1296" s="13"/>
      <c r="I1296" s="12"/>
      <c r="J1296" s="13"/>
      <c r="K1296" s="14" t="str">
        <f>IF(C1296="","",IFERROR(N('Fee Settings'!$C$5)*(E1296+N(F1296)-N(J1296))+N('Fee Settings'!$C$6)*(E1296+N(F1296)+N(G1296))+N('Fee Settings'!$C$7)+N('Fee Settings'!$C$10)*D1296+IF(I1296="Yes",MIN(N('Fee Settings'!$C$8)*(E1296+N(F1296)),N('Fee Settings'!$C$9)),0),""))</f>
        <v/>
      </c>
      <c r="L1296" s="14" t="str">
        <f>IF(C1296="","",IFERROR(D1296*N(INDEX(Products!$C$5:$C$29,MATCH(C1296,Lists!$A$2:$A$26,0))),""))</f>
        <v/>
      </c>
      <c r="M1296" s="15" t="str">
        <f t="shared" si="20"/>
        <v/>
      </c>
    </row>
    <row r="1297" spans="1:13" x14ac:dyDescent="0.35">
      <c r="A1297" s="11"/>
      <c r="B1297" s="12"/>
      <c r="C1297" s="12"/>
      <c r="D1297" s="12"/>
      <c r="E1297" s="13"/>
      <c r="F1297" s="13"/>
      <c r="G1297" s="13"/>
      <c r="H1297" s="13"/>
      <c r="I1297" s="12"/>
      <c r="J1297" s="13"/>
      <c r="K1297" s="14" t="str">
        <f>IF(C1297="","",IFERROR(N('Fee Settings'!$C$5)*(E1297+N(F1297)-N(J1297))+N('Fee Settings'!$C$6)*(E1297+N(F1297)+N(G1297))+N('Fee Settings'!$C$7)+N('Fee Settings'!$C$10)*D1297+IF(I1297="Yes",MIN(N('Fee Settings'!$C$8)*(E1297+N(F1297)),N('Fee Settings'!$C$9)),0),""))</f>
        <v/>
      </c>
      <c r="L1297" s="14" t="str">
        <f>IF(C1297="","",IFERROR(D1297*N(INDEX(Products!$C$5:$C$29,MATCH(C1297,Lists!$A$2:$A$26,0))),""))</f>
        <v/>
      </c>
      <c r="M1297" s="15" t="str">
        <f t="shared" si="20"/>
        <v/>
      </c>
    </row>
    <row r="1298" spans="1:13" x14ac:dyDescent="0.35">
      <c r="A1298" s="11"/>
      <c r="B1298" s="12"/>
      <c r="C1298" s="12"/>
      <c r="D1298" s="12"/>
      <c r="E1298" s="13"/>
      <c r="F1298" s="13"/>
      <c r="G1298" s="13"/>
      <c r="H1298" s="13"/>
      <c r="I1298" s="12"/>
      <c r="J1298" s="13"/>
      <c r="K1298" s="14" t="str">
        <f>IF(C1298="","",IFERROR(N('Fee Settings'!$C$5)*(E1298+N(F1298)-N(J1298))+N('Fee Settings'!$C$6)*(E1298+N(F1298)+N(G1298))+N('Fee Settings'!$C$7)+N('Fee Settings'!$C$10)*D1298+IF(I1298="Yes",MIN(N('Fee Settings'!$C$8)*(E1298+N(F1298)),N('Fee Settings'!$C$9)),0),""))</f>
        <v/>
      </c>
      <c r="L1298" s="14" t="str">
        <f>IF(C1298="","",IFERROR(D1298*N(INDEX(Products!$C$5:$C$29,MATCH(C1298,Lists!$A$2:$A$26,0))),""))</f>
        <v/>
      </c>
      <c r="M1298" s="15" t="str">
        <f t="shared" si="20"/>
        <v/>
      </c>
    </row>
    <row r="1299" spans="1:13" x14ac:dyDescent="0.35">
      <c r="A1299" s="11"/>
      <c r="B1299" s="12"/>
      <c r="C1299" s="12"/>
      <c r="D1299" s="12"/>
      <c r="E1299" s="13"/>
      <c r="F1299" s="13"/>
      <c r="G1299" s="13"/>
      <c r="H1299" s="13"/>
      <c r="I1299" s="12"/>
      <c r="J1299" s="13"/>
      <c r="K1299" s="14" t="str">
        <f>IF(C1299="","",IFERROR(N('Fee Settings'!$C$5)*(E1299+N(F1299)-N(J1299))+N('Fee Settings'!$C$6)*(E1299+N(F1299)+N(G1299))+N('Fee Settings'!$C$7)+N('Fee Settings'!$C$10)*D1299+IF(I1299="Yes",MIN(N('Fee Settings'!$C$8)*(E1299+N(F1299)),N('Fee Settings'!$C$9)),0),""))</f>
        <v/>
      </c>
      <c r="L1299" s="14" t="str">
        <f>IF(C1299="","",IFERROR(D1299*N(INDEX(Products!$C$5:$C$29,MATCH(C1299,Lists!$A$2:$A$26,0))),""))</f>
        <v/>
      </c>
      <c r="M1299" s="15" t="str">
        <f t="shared" si="20"/>
        <v/>
      </c>
    </row>
    <row r="1300" spans="1:13" x14ac:dyDescent="0.35">
      <c r="A1300" s="11"/>
      <c r="B1300" s="12"/>
      <c r="C1300" s="12"/>
      <c r="D1300" s="12"/>
      <c r="E1300" s="13"/>
      <c r="F1300" s="13"/>
      <c r="G1300" s="13"/>
      <c r="H1300" s="13"/>
      <c r="I1300" s="12"/>
      <c r="J1300" s="13"/>
      <c r="K1300" s="14" t="str">
        <f>IF(C1300="","",IFERROR(N('Fee Settings'!$C$5)*(E1300+N(F1300)-N(J1300))+N('Fee Settings'!$C$6)*(E1300+N(F1300)+N(G1300))+N('Fee Settings'!$C$7)+N('Fee Settings'!$C$10)*D1300+IF(I1300="Yes",MIN(N('Fee Settings'!$C$8)*(E1300+N(F1300)),N('Fee Settings'!$C$9)),0),""))</f>
        <v/>
      </c>
      <c r="L1300" s="14" t="str">
        <f>IF(C1300="","",IFERROR(D1300*N(INDEX(Products!$C$5:$C$29,MATCH(C1300,Lists!$A$2:$A$26,0))),""))</f>
        <v/>
      </c>
      <c r="M1300" s="15" t="str">
        <f t="shared" si="20"/>
        <v/>
      </c>
    </row>
    <row r="1301" spans="1:13" x14ac:dyDescent="0.35">
      <c r="A1301" s="11"/>
      <c r="B1301" s="12"/>
      <c r="C1301" s="12"/>
      <c r="D1301" s="12"/>
      <c r="E1301" s="13"/>
      <c r="F1301" s="13"/>
      <c r="G1301" s="13"/>
      <c r="H1301" s="13"/>
      <c r="I1301" s="12"/>
      <c r="J1301" s="13"/>
      <c r="K1301" s="14" t="str">
        <f>IF(C1301="","",IFERROR(N('Fee Settings'!$C$5)*(E1301+N(F1301)-N(J1301))+N('Fee Settings'!$C$6)*(E1301+N(F1301)+N(G1301))+N('Fee Settings'!$C$7)+N('Fee Settings'!$C$10)*D1301+IF(I1301="Yes",MIN(N('Fee Settings'!$C$8)*(E1301+N(F1301)),N('Fee Settings'!$C$9)),0),""))</f>
        <v/>
      </c>
      <c r="L1301" s="14" t="str">
        <f>IF(C1301="","",IFERROR(D1301*N(INDEX(Products!$C$5:$C$29,MATCH(C1301,Lists!$A$2:$A$26,0))),""))</f>
        <v/>
      </c>
      <c r="M1301" s="15" t="str">
        <f t="shared" si="20"/>
        <v/>
      </c>
    </row>
    <row r="1302" spans="1:13" x14ac:dyDescent="0.35">
      <c r="A1302" s="11"/>
      <c r="B1302" s="12"/>
      <c r="C1302" s="12"/>
      <c r="D1302" s="12"/>
      <c r="E1302" s="13"/>
      <c r="F1302" s="13"/>
      <c r="G1302" s="13"/>
      <c r="H1302" s="13"/>
      <c r="I1302" s="12"/>
      <c r="J1302" s="13"/>
      <c r="K1302" s="14" t="str">
        <f>IF(C1302="","",IFERROR(N('Fee Settings'!$C$5)*(E1302+N(F1302)-N(J1302))+N('Fee Settings'!$C$6)*(E1302+N(F1302)+N(G1302))+N('Fee Settings'!$C$7)+N('Fee Settings'!$C$10)*D1302+IF(I1302="Yes",MIN(N('Fee Settings'!$C$8)*(E1302+N(F1302)),N('Fee Settings'!$C$9)),0),""))</f>
        <v/>
      </c>
      <c r="L1302" s="14" t="str">
        <f>IF(C1302="","",IFERROR(D1302*N(INDEX(Products!$C$5:$C$29,MATCH(C1302,Lists!$A$2:$A$26,0))),""))</f>
        <v/>
      </c>
      <c r="M1302" s="15" t="str">
        <f t="shared" si="20"/>
        <v/>
      </c>
    </row>
    <row r="1303" spans="1:13" x14ac:dyDescent="0.35">
      <c r="A1303" s="11"/>
      <c r="B1303" s="12"/>
      <c r="C1303" s="12"/>
      <c r="D1303" s="12"/>
      <c r="E1303" s="13"/>
      <c r="F1303" s="13"/>
      <c r="G1303" s="13"/>
      <c r="H1303" s="13"/>
      <c r="I1303" s="12"/>
      <c r="J1303" s="13"/>
      <c r="K1303" s="14" t="str">
        <f>IF(C1303="","",IFERROR(N('Fee Settings'!$C$5)*(E1303+N(F1303)-N(J1303))+N('Fee Settings'!$C$6)*(E1303+N(F1303)+N(G1303))+N('Fee Settings'!$C$7)+N('Fee Settings'!$C$10)*D1303+IF(I1303="Yes",MIN(N('Fee Settings'!$C$8)*(E1303+N(F1303)),N('Fee Settings'!$C$9)),0),""))</f>
        <v/>
      </c>
      <c r="L1303" s="14" t="str">
        <f>IF(C1303="","",IFERROR(D1303*N(INDEX(Products!$C$5:$C$29,MATCH(C1303,Lists!$A$2:$A$26,0))),""))</f>
        <v/>
      </c>
      <c r="M1303" s="15" t="str">
        <f t="shared" si="20"/>
        <v/>
      </c>
    </row>
    <row r="1304" spans="1:13" x14ac:dyDescent="0.35">
      <c r="A1304" s="11"/>
      <c r="B1304" s="12"/>
      <c r="C1304" s="12"/>
      <c r="D1304" s="12"/>
      <c r="E1304" s="13"/>
      <c r="F1304" s="13"/>
      <c r="G1304" s="13"/>
      <c r="H1304" s="13"/>
      <c r="I1304" s="12"/>
      <c r="J1304" s="13"/>
      <c r="K1304" s="14" t="str">
        <f>IF(C1304="","",IFERROR(N('Fee Settings'!$C$5)*(E1304+N(F1304)-N(J1304))+N('Fee Settings'!$C$6)*(E1304+N(F1304)+N(G1304))+N('Fee Settings'!$C$7)+N('Fee Settings'!$C$10)*D1304+IF(I1304="Yes",MIN(N('Fee Settings'!$C$8)*(E1304+N(F1304)),N('Fee Settings'!$C$9)),0),""))</f>
        <v/>
      </c>
      <c r="L1304" s="14" t="str">
        <f>IF(C1304="","",IFERROR(D1304*N(INDEX(Products!$C$5:$C$29,MATCH(C1304,Lists!$A$2:$A$26,0))),""))</f>
        <v/>
      </c>
      <c r="M1304" s="15" t="str">
        <f t="shared" si="20"/>
        <v/>
      </c>
    </row>
    <row r="1305" spans="1:13" x14ac:dyDescent="0.35">
      <c r="A1305" s="11"/>
      <c r="B1305" s="12"/>
      <c r="C1305" s="12"/>
      <c r="D1305" s="12"/>
      <c r="E1305" s="13"/>
      <c r="F1305" s="13"/>
      <c r="G1305" s="13"/>
      <c r="H1305" s="13"/>
      <c r="I1305" s="12"/>
      <c r="J1305" s="13"/>
      <c r="K1305" s="14" t="str">
        <f>IF(C1305="","",IFERROR(N('Fee Settings'!$C$5)*(E1305+N(F1305)-N(J1305))+N('Fee Settings'!$C$6)*(E1305+N(F1305)+N(G1305))+N('Fee Settings'!$C$7)+N('Fee Settings'!$C$10)*D1305+IF(I1305="Yes",MIN(N('Fee Settings'!$C$8)*(E1305+N(F1305)),N('Fee Settings'!$C$9)),0),""))</f>
        <v/>
      </c>
      <c r="L1305" s="14" t="str">
        <f>IF(C1305="","",IFERROR(D1305*N(INDEX(Products!$C$5:$C$29,MATCH(C1305,Lists!$A$2:$A$26,0))),""))</f>
        <v/>
      </c>
      <c r="M1305" s="15" t="str">
        <f t="shared" si="20"/>
        <v/>
      </c>
    </row>
    <row r="1306" spans="1:13" x14ac:dyDescent="0.35">
      <c r="A1306" s="11"/>
      <c r="B1306" s="12"/>
      <c r="C1306" s="12"/>
      <c r="D1306" s="12"/>
      <c r="E1306" s="13"/>
      <c r="F1306" s="13"/>
      <c r="G1306" s="13"/>
      <c r="H1306" s="13"/>
      <c r="I1306" s="12"/>
      <c r="J1306" s="13"/>
      <c r="K1306" s="14" t="str">
        <f>IF(C1306="","",IFERROR(N('Fee Settings'!$C$5)*(E1306+N(F1306)-N(J1306))+N('Fee Settings'!$C$6)*(E1306+N(F1306)+N(G1306))+N('Fee Settings'!$C$7)+N('Fee Settings'!$C$10)*D1306+IF(I1306="Yes",MIN(N('Fee Settings'!$C$8)*(E1306+N(F1306)),N('Fee Settings'!$C$9)),0),""))</f>
        <v/>
      </c>
      <c r="L1306" s="14" t="str">
        <f>IF(C1306="","",IFERROR(D1306*N(INDEX(Products!$C$5:$C$29,MATCH(C1306,Lists!$A$2:$A$26,0))),""))</f>
        <v/>
      </c>
      <c r="M1306" s="15" t="str">
        <f t="shared" si="20"/>
        <v/>
      </c>
    </row>
    <row r="1307" spans="1:13" x14ac:dyDescent="0.35">
      <c r="A1307" s="11"/>
      <c r="B1307" s="12"/>
      <c r="C1307" s="12"/>
      <c r="D1307" s="12"/>
      <c r="E1307" s="13"/>
      <c r="F1307" s="13"/>
      <c r="G1307" s="13"/>
      <c r="H1307" s="13"/>
      <c r="I1307" s="12"/>
      <c r="J1307" s="13"/>
      <c r="K1307" s="14" t="str">
        <f>IF(C1307="","",IFERROR(N('Fee Settings'!$C$5)*(E1307+N(F1307)-N(J1307))+N('Fee Settings'!$C$6)*(E1307+N(F1307)+N(G1307))+N('Fee Settings'!$C$7)+N('Fee Settings'!$C$10)*D1307+IF(I1307="Yes",MIN(N('Fee Settings'!$C$8)*(E1307+N(F1307)),N('Fee Settings'!$C$9)),0),""))</f>
        <v/>
      </c>
      <c r="L1307" s="14" t="str">
        <f>IF(C1307="","",IFERROR(D1307*N(INDEX(Products!$C$5:$C$29,MATCH(C1307,Lists!$A$2:$A$26,0))),""))</f>
        <v/>
      </c>
      <c r="M1307" s="15" t="str">
        <f t="shared" si="20"/>
        <v/>
      </c>
    </row>
    <row r="1308" spans="1:13" x14ac:dyDescent="0.35">
      <c r="A1308" s="11"/>
      <c r="B1308" s="12"/>
      <c r="C1308" s="12"/>
      <c r="D1308" s="12"/>
      <c r="E1308" s="13"/>
      <c r="F1308" s="13"/>
      <c r="G1308" s="13"/>
      <c r="H1308" s="13"/>
      <c r="I1308" s="12"/>
      <c r="J1308" s="13"/>
      <c r="K1308" s="14" t="str">
        <f>IF(C1308="","",IFERROR(N('Fee Settings'!$C$5)*(E1308+N(F1308)-N(J1308))+N('Fee Settings'!$C$6)*(E1308+N(F1308)+N(G1308))+N('Fee Settings'!$C$7)+N('Fee Settings'!$C$10)*D1308+IF(I1308="Yes",MIN(N('Fee Settings'!$C$8)*(E1308+N(F1308)),N('Fee Settings'!$C$9)),0),""))</f>
        <v/>
      </c>
      <c r="L1308" s="14" t="str">
        <f>IF(C1308="","",IFERROR(D1308*N(INDEX(Products!$C$5:$C$29,MATCH(C1308,Lists!$A$2:$A$26,0))),""))</f>
        <v/>
      </c>
      <c r="M1308" s="15" t="str">
        <f t="shared" si="20"/>
        <v/>
      </c>
    </row>
    <row r="1309" spans="1:13" x14ac:dyDescent="0.35">
      <c r="A1309" s="11"/>
      <c r="B1309" s="12"/>
      <c r="C1309" s="12"/>
      <c r="D1309" s="12"/>
      <c r="E1309" s="13"/>
      <c r="F1309" s="13"/>
      <c r="G1309" s="13"/>
      <c r="H1309" s="13"/>
      <c r="I1309" s="12"/>
      <c r="J1309" s="13"/>
      <c r="K1309" s="14" t="str">
        <f>IF(C1309="","",IFERROR(N('Fee Settings'!$C$5)*(E1309+N(F1309)-N(J1309))+N('Fee Settings'!$C$6)*(E1309+N(F1309)+N(G1309))+N('Fee Settings'!$C$7)+N('Fee Settings'!$C$10)*D1309+IF(I1309="Yes",MIN(N('Fee Settings'!$C$8)*(E1309+N(F1309)),N('Fee Settings'!$C$9)),0),""))</f>
        <v/>
      </c>
      <c r="L1309" s="14" t="str">
        <f>IF(C1309="","",IFERROR(D1309*N(INDEX(Products!$C$5:$C$29,MATCH(C1309,Lists!$A$2:$A$26,0))),""))</f>
        <v/>
      </c>
      <c r="M1309" s="15" t="str">
        <f t="shared" si="20"/>
        <v/>
      </c>
    </row>
    <row r="1310" spans="1:13" x14ac:dyDescent="0.35">
      <c r="A1310" s="11"/>
      <c r="B1310" s="12"/>
      <c r="C1310" s="12"/>
      <c r="D1310" s="12"/>
      <c r="E1310" s="13"/>
      <c r="F1310" s="13"/>
      <c r="G1310" s="13"/>
      <c r="H1310" s="13"/>
      <c r="I1310" s="12"/>
      <c r="J1310" s="13"/>
      <c r="K1310" s="14" t="str">
        <f>IF(C1310="","",IFERROR(N('Fee Settings'!$C$5)*(E1310+N(F1310)-N(J1310))+N('Fee Settings'!$C$6)*(E1310+N(F1310)+N(G1310))+N('Fee Settings'!$C$7)+N('Fee Settings'!$C$10)*D1310+IF(I1310="Yes",MIN(N('Fee Settings'!$C$8)*(E1310+N(F1310)),N('Fee Settings'!$C$9)),0),""))</f>
        <v/>
      </c>
      <c r="L1310" s="14" t="str">
        <f>IF(C1310="","",IFERROR(D1310*N(INDEX(Products!$C$5:$C$29,MATCH(C1310,Lists!$A$2:$A$26,0))),""))</f>
        <v/>
      </c>
      <c r="M1310" s="15" t="str">
        <f t="shared" si="20"/>
        <v/>
      </c>
    </row>
    <row r="1311" spans="1:13" x14ac:dyDescent="0.35">
      <c r="A1311" s="11"/>
      <c r="B1311" s="12"/>
      <c r="C1311" s="12"/>
      <c r="D1311" s="12"/>
      <c r="E1311" s="13"/>
      <c r="F1311" s="13"/>
      <c r="G1311" s="13"/>
      <c r="H1311" s="13"/>
      <c r="I1311" s="12"/>
      <c r="J1311" s="13"/>
      <c r="K1311" s="14" t="str">
        <f>IF(C1311="","",IFERROR(N('Fee Settings'!$C$5)*(E1311+N(F1311)-N(J1311))+N('Fee Settings'!$C$6)*(E1311+N(F1311)+N(G1311))+N('Fee Settings'!$C$7)+N('Fee Settings'!$C$10)*D1311+IF(I1311="Yes",MIN(N('Fee Settings'!$C$8)*(E1311+N(F1311)),N('Fee Settings'!$C$9)),0),""))</f>
        <v/>
      </c>
      <c r="L1311" s="14" t="str">
        <f>IF(C1311="","",IFERROR(D1311*N(INDEX(Products!$C$5:$C$29,MATCH(C1311,Lists!$A$2:$A$26,0))),""))</f>
        <v/>
      </c>
      <c r="M1311" s="15" t="str">
        <f t="shared" si="20"/>
        <v/>
      </c>
    </row>
    <row r="1312" spans="1:13" x14ac:dyDescent="0.35">
      <c r="A1312" s="11"/>
      <c r="B1312" s="12"/>
      <c r="C1312" s="12"/>
      <c r="D1312" s="12"/>
      <c r="E1312" s="13"/>
      <c r="F1312" s="13"/>
      <c r="G1312" s="13"/>
      <c r="H1312" s="13"/>
      <c r="I1312" s="12"/>
      <c r="J1312" s="13"/>
      <c r="K1312" s="14" t="str">
        <f>IF(C1312="","",IFERROR(N('Fee Settings'!$C$5)*(E1312+N(F1312)-N(J1312))+N('Fee Settings'!$C$6)*(E1312+N(F1312)+N(G1312))+N('Fee Settings'!$C$7)+N('Fee Settings'!$C$10)*D1312+IF(I1312="Yes",MIN(N('Fee Settings'!$C$8)*(E1312+N(F1312)),N('Fee Settings'!$C$9)),0),""))</f>
        <v/>
      </c>
      <c r="L1312" s="14" t="str">
        <f>IF(C1312="","",IFERROR(D1312*N(INDEX(Products!$C$5:$C$29,MATCH(C1312,Lists!$A$2:$A$26,0))),""))</f>
        <v/>
      </c>
      <c r="M1312" s="15" t="str">
        <f t="shared" si="20"/>
        <v/>
      </c>
    </row>
    <row r="1313" spans="1:13" x14ac:dyDescent="0.35">
      <c r="A1313" s="11"/>
      <c r="B1313" s="12"/>
      <c r="C1313" s="12"/>
      <c r="D1313" s="12"/>
      <c r="E1313" s="13"/>
      <c r="F1313" s="13"/>
      <c r="G1313" s="13"/>
      <c r="H1313" s="13"/>
      <c r="I1313" s="12"/>
      <c r="J1313" s="13"/>
      <c r="K1313" s="14" t="str">
        <f>IF(C1313="","",IFERROR(N('Fee Settings'!$C$5)*(E1313+N(F1313)-N(J1313))+N('Fee Settings'!$C$6)*(E1313+N(F1313)+N(G1313))+N('Fee Settings'!$C$7)+N('Fee Settings'!$C$10)*D1313+IF(I1313="Yes",MIN(N('Fee Settings'!$C$8)*(E1313+N(F1313)),N('Fee Settings'!$C$9)),0),""))</f>
        <v/>
      </c>
      <c r="L1313" s="14" t="str">
        <f>IF(C1313="","",IFERROR(D1313*N(INDEX(Products!$C$5:$C$29,MATCH(C1313,Lists!$A$2:$A$26,0))),""))</f>
        <v/>
      </c>
      <c r="M1313" s="15" t="str">
        <f t="shared" si="20"/>
        <v/>
      </c>
    </row>
    <row r="1314" spans="1:13" x14ac:dyDescent="0.35">
      <c r="A1314" s="11"/>
      <c r="B1314" s="12"/>
      <c r="C1314" s="12"/>
      <c r="D1314" s="12"/>
      <c r="E1314" s="13"/>
      <c r="F1314" s="13"/>
      <c r="G1314" s="13"/>
      <c r="H1314" s="13"/>
      <c r="I1314" s="12"/>
      <c r="J1314" s="13"/>
      <c r="K1314" s="14" t="str">
        <f>IF(C1314="","",IFERROR(N('Fee Settings'!$C$5)*(E1314+N(F1314)-N(J1314))+N('Fee Settings'!$C$6)*(E1314+N(F1314)+N(G1314))+N('Fee Settings'!$C$7)+N('Fee Settings'!$C$10)*D1314+IF(I1314="Yes",MIN(N('Fee Settings'!$C$8)*(E1314+N(F1314)),N('Fee Settings'!$C$9)),0),""))</f>
        <v/>
      </c>
      <c r="L1314" s="14" t="str">
        <f>IF(C1314="","",IFERROR(D1314*N(INDEX(Products!$C$5:$C$29,MATCH(C1314,Lists!$A$2:$A$26,0))),""))</f>
        <v/>
      </c>
      <c r="M1314" s="15" t="str">
        <f t="shared" si="20"/>
        <v/>
      </c>
    </row>
    <row r="1315" spans="1:13" x14ac:dyDescent="0.35">
      <c r="A1315" s="11"/>
      <c r="B1315" s="12"/>
      <c r="C1315" s="12"/>
      <c r="D1315" s="12"/>
      <c r="E1315" s="13"/>
      <c r="F1315" s="13"/>
      <c r="G1315" s="13"/>
      <c r="H1315" s="13"/>
      <c r="I1315" s="12"/>
      <c r="J1315" s="13"/>
      <c r="K1315" s="14" t="str">
        <f>IF(C1315="","",IFERROR(N('Fee Settings'!$C$5)*(E1315+N(F1315)-N(J1315))+N('Fee Settings'!$C$6)*(E1315+N(F1315)+N(G1315))+N('Fee Settings'!$C$7)+N('Fee Settings'!$C$10)*D1315+IF(I1315="Yes",MIN(N('Fee Settings'!$C$8)*(E1315+N(F1315)),N('Fee Settings'!$C$9)),0),""))</f>
        <v/>
      </c>
      <c r="L1315" s="14" t="str">
        <f>IF(C1315="","",IFERROR(D1315*N(INDEX(Products!$C$5:$C$29,MATCH(C1315,Lists!$A$2:$A$26,0))),""))</f>
        <v/>
      </c>
      <c r="M1315" s="15" t="str">
        <f t="shared" si="20"/>
        <v/>
      </c>
    </row>
    <row r="1316" spans="1:13" x14ac:dyDescent="0.35">
      <c r="A1316" s="11"/>
      <c r="B1316" s="12"/>
      <c r="C1316" s="12"/>
      <c r="D1316" s="12"/>
      <c r="E1316" s="13"/>
      <c r="F1316" s="13"/>
      <c r="G1316" s="13"/>
      <c r="H1316" s="13"/>
      <c r="I1316" s="12"/>
      <c r="J1316" s="13"/>
      <c r="K1316" s="14" t="str">
        <f>IF(C1316="","",IFERROR(N('Fee Settings'!$C$5)*(E1316+N(F1316)-N(J1316))+N('Fee Settings'!$C$6)*(E1316+N(F1316)+N(G1316))+N('Fee Settings'!$C$7)+N('Fee Settings'!$C$10)*D1316+IF(I1316="Yes",MIN(N('Fee Settings'!$C$8)*(E1316+N(F1316)),N('Fee Settings'!$C$9)),0),""))</f>
        <v/>
      </c>
      <c r="L1316" s="14" t="str">
        <f>IF(C1316="","",IFERROR(D1316*N(INDEX(Products!$C$5:$C$29,MATCH(C1316,Lists!$A$2:$A$26,0))),""))</f>
        <v/>
      </c>
      <c r="M1316" s="15" t="str">
        <f t="shared" si="20"/>
        <v/>
      </c>
    </row>
    <row r="1317" spans="1:13" x14ac:dyDescent="0.35">
      <c r="A1317" s="11"/>
      <c r="B1317" s="12"/>
      <c r="C1317" s="12"/>
      <c r="D1317" s="12"/>
      <c r="E1317" s="13"/>
      <c r="F1317" s="13"/>
      <c r="G1317" s="13"/>
      <c r="H1317" s="13"/>
      <c r="I1317" s="12"/>
      <c r="J1317" s="13"/>
      <c r="K1317" s="14" t="str">
        <f>IF(C1317="","",IFERROR(N('Fee Settings'!$C$5)*(E1317+N(F1317)-N(J1317))+N('Fee Settings'!$C$6)*(E1317+N(F1317)+N(G1317))+N('Fee Settings'!$C$7)+N('Fee Settings'!$C$10)*D1317+IF(I1317="Yes",MIN(N('Fee Settings'!$C$8)*(E1317+N(F1317)),N('Fee Settings'!$C$9)),0),""))</f>
        <v/>
      </c>
      <c r="L1317" s="14" t="str">
        <f>IF(C1317="","",IFERROR(D1317*N(INDEX(Products!$C$5:$C$29,MATCH(C1317,Lists!$A$2:$A$26,0))),""))</f>
        <v/>
      </c>
      <c r="M1317" s="15" t="str">
        <f t="shared" si="20"/>
        <v/>
      </c>
    </row>
    <row r="1318" spans="1:13" x14ac:dyDescent="0.35">
      <c r="A1318" s="11"/>
      <c r="B1318" s="12"/>
      <c r="C1318" s="12"/>
      <c r="D1318" s="12"/>
      <c r="E1318" s="13"/>
      <c r="F1318" s="13"/>
      <c r="G1318" s="13"/>
      <c r="H1318" s="13"/>
      <c r="I1318" s="12"/>
      <c r="J1318" s="13"/>
      <c r="K1318" s="14" t="str">
        <f>IF(C1318="","",IFERROR(N('Fee Settings'!$C$5)*(E1318+N(F1318)-N(J1318))+N('Fee Settings'!$C$6)*(E1318+N(F1318)+N(G1318))+N('Fee Settings'!$C$7)+N('Fee Settings'!$C$10)*D1318+IF(I1318="Yes",MIN(N('Fee Settings'!$C$8)*(E1318+N(F1318)),N('Fee Settings'!$C$9)),0),""))</f>
        <v/>
      </c>
      <c r="L1318" s="14" t="str">
        <f>IF(C1318="","",IFERROR(D1318*N(INDEX(Products!$C$5:$C$29,MATCH(C1318,Lists!$A$2:$A$26,0))),""))</f>
        <v/>
      </c>
      <c r="M1318" s="15" t="str">
        <f t="shared" si="20"/>
        <v/>
      </c>
    </row>
    <row r="1319" spans="1:13" x14ac:dyDescent="0.35">
      <c r="A1319" s="11"/>
      <c r="B1319" s="12"/>
      <c r="C1319" s="12"/>
      <c r="D1319" s="12"/>
      <c r="E1319" s="13"/>
      <c r="F1319" s="13"/>
      <c r="G1319" s="13"/>
      <c r="H1319" s="13"/>
      <c r="I1319" s="12"/>
      <c r="J1319" s="13"/>
      <c r="K1319" s="14" t="str">
        <f>IF(C1319="","",IFERROR(N('Fee Settings'!$C$5)*(E1319+N(F1319)-N(J1319))+N('Fee Settings'!$C$6)*(E1319+N(F1319)+N(G1319))+N('Fee Settings'!$C$7)+N('Fee Settings'!$C$10)*D1319+IF(I1319="Yes",MIN(N('Fee Settings'!$C$8)*(E1319+N(F1319)),N('Fee Settings'!$C$9)),0),""))</f>
        <v/>
      </c>
      <c r="L1319" s="14" t="str">
        <f>IF(C1319="","",IFERROR(D1319*N(INDEX(Products!$C$5:$C$29,MATCH(C1319,Lists!$A$2:$A$26,0))),""))</f>
        <v/>
      </c>
      <c r="M1319" s="15" t="str">
        <f t="shared" si="20"/>
        <v/>
      </c>
    </row>
    <row r="1320" spans="1:13" x14ac:dyDescent="0.35">
      <c r="A1320" s="11"/>
      <c r="B1320" s="12"/>
      <c r="C1320" s="12"/>
      <c r="D1320" s="12"/>
      <c r="E1320" s="13"/>
      <c r="F1320" s="13"/>
      <c r="G1320" s="13"/>
      <c r="H1320" s="13"/>
      <c r="I1320" s="12"/>
      <c r="J1320" s="13"/>
      <c r="K1320" s="14" t="str">
        <f>IF(C1320="","",IFERROR(N('Fee Settings'!$C$5)*(E1320+N(F1320)-N(J1320))+N('Fee Settings'!$C$6)*(E1320+N(F1320)+N(G1320))+N('Fee Settings'!$C$7)+N('Fee Settings'!$C$10)*D1320+IF(I1320="Yes",MIN(N('Fee Settings'!$C$8)*(E1320+N(F1320)),N('Fee Settings'!$C$9)),0),""))</f>
        <v/>
      </c>
      <c r="L1320" s="14" t="str">
        <f>IF(C1320="","",IFERROR(D1320*N(INDEX(Products!$C$5:$C$29,MATCH(C1320,Lists!$A$2:$A$26,0))),""))</f>
        <v/>
      </c>
      <c r="M1320" s="15" t="str">
        <f t="shared" si="20"/>
        <v/>
      </c>
    </row>
    <row r="1321" spans="1:13" x14ac:dyDescent="0.35">
      <c r="A1321" s="11"/>
      <c r="B1321" s="12"/>
      <c r="C1321" s="12"/>
      <c r="D1321" s="12"/>
      <c r="E1321" s="13"/>
      <c r="F1321" s="13"/>
      <c r="G1321" s="13"/>
      <c r="H1321" s="13"/>
      <c r="I1321" s="12"/>
      <c r="J1321" s="13"/>
      <c r="K1321" s="14" t="str">
        <f>IF(C1321="","",IFERROR(N('Fee Settings'!$C$5)*(E1321+N(F1321)-N(J1321))+N('Fee Settings'!$C$6)*(E1321+N(F1321)+N(G1321))+N('Fee Settings'!$C$7)+N('Fee Settings'!$C$10)*D1321+IF(I1321="Yes",MIN(N('Fee Settings'!$C$8)*(E1321+N(F1321)),N('Fee Settings'!$C$9)),0),""))</f>
        <v/>
      </c>
      <c r="L1321" s="14" t="str">
        <f>IF(C1321="","",IFERROR(D1321*N(INDEX(Products!$C$5:$C$29,MATCH(C1321,Lists!$A$2:$A$26,0))),""))</f>
        <v/>
      </c>
      <c r="M1321" s="15" t="str">
        <f t="shared" si="20"/>
        <v/>
      </c>
    </row>
    <row r="1322" spans="1:13" x14ac:dyDescent="0.35">
      <c r="A1322" s="11"/>
      <c r="B1322" s="12"/>
      <c r="C1322" s="12"/>
      <c r="D1322" s="12"/>
      <c r="E1322" s="13"/>
      <c r="F1322" s="13"/>
      <c r="G1322" s="13"/>
      <c r="H1322" s="13"/>
      <c r="I1322" s="12"/>
      <c r="J1322" s="13"/>
      <c r="K1322" s="14" t="str">
        <f>IF(C1322="","",IFERROR(N('Fee Settings'!$C$5)*(E1322+N(F1322)-N(J1322))+N('Fee Settings'!$C$6)*(E1322+N(F1322)+N(G1322))+N('Fee Settings'!$C$7)+N('Fee Settings'!$C$10)*D1322+IF(I1322="Yes",MIN(N('Fee Settings'!$C$8)*(E1322+N(F1322)),N('Fee Settings'!$C$9)),0),""))</f>
        <v/>
      </c>
      <c r="L1322" s="14" t="str">
        <f>IF(C1322="","",IFERROR(D1322*N(INDEX(Products!$C$5:$C$29,MATCH(C1322,Lists!$A$2:$A$26,0))),""))</f>
        <v/>
      </c>
      <c r="M1322" s="15" t="str">
        <f t="shared" si="20"/>
        <v/>
      </c>
    </row>
    <row r="1323" spans="1:13" x14ac:dyDescent="0.35">
      <c r="A1323" s="11"/>
      <c r="B1323" s="12"/>
      <c r="C1323" s="12"/>
      <c r="D1323" s="12"/>
      <c r="E1323" s="13"/>
      <c r="F1323" s="13"/>
      <c r="G1323" s="13"/>
      <c r="H1323" s="13"/>
      <c r="I1323" s="12"/>
      <c r="J1323" s="13"/>
      <c r="K1323" s="14" t="str">
        <f>IF(C1323="","",IFERROR(N('Fee Settings'!$C$5)*(E1323+N(F1323)-N(J1323))+N('Fee Settings'!$C$6)*(E1323+N(F1323)+N(G1323))+N('Fee Settings'!$C$7)+N('Fee Settings'!$C$10)*D1323+IF(I1323="Yes",MIN(N('Fee Settings'!$C$8)*(E1323+N(F1323)),N('Fee Settings'!$C$9)),0),""))</f>
        <v/>
      </c>
      <c r="L1323" s="14" t="str">
        <f>IF(C1323="","",IFERROR(D1323*N(INDEX(Products!$C$5:$C$29,MATCH(C1323,Lists!$A$2:$A$26,0))),""))</f>
        <v/>
      </c>
      <c r="M1323" s="15" t="str">
        <f t="shared" si="20"/>
        <v/>
      </c>
    </row>
    <row r="1324" spans="1:13" x14ac:dyDescent="0.35">
      <c r="A1324" s="11"/>
      <c r="B1324" s="12"/>
      <c r="C1324" s="12"/>
      <c r="D1324" s="12"/>
      <c r="E1324" s="13"/>
      <c r="F1324" s="13"/>
      <c r="G1324" s="13"/>
      <c r="H1324" s="13"/>
      <c r="I1324" s="12"/>
      <c r="J1324" s="13"/>
      <c r="K1324" s="14" t="str">
        <f>IF(C1324="","",IFERROR(N('Fee Settings'!$C$5)*(E1324+N(F1324)-N(J1324))+N('Fee Settings'!$C$6)*(E1324+N(F1324)+N(G1324))+N('Fee Settings'!$C$7)+N('Fee Settings'!$C$10)*D1324+IF(I1324="Yes",MIN(N('Fee Settings'!$C$8)*(E1324+N(F1324)),N('Fee Settings'!$C$9)),0),""))</f>
        <v/>
      </c>
      <c r="L1324" s="14" t="str">
        <f>IF(C1324="","",IFERROR(D1324*N(INDEX(Products!$C$5:$C$29,MATCH(C1324,Lists!$A$2:$A$26,0))),""))</f>
        <v/>
      </c>
      <c r="M1324" s="15" t="str">
        <f t="shared" si="20"/>
        <v/>
      </c>
    </row>
    <row r="1325" spans="1:13" x14ac:dyDescent="0.35">
      <c r="A1325" s="11"/>
      <c r="B1325" s="12"/>
      <c r="C1325" s="12"/>
      <c r="D1325" s="12"/>
      <c r="E1325" s="13"/>
      <c r="F1325" s="13"/>
      <c r="G1325" s="13"/>
      <c r="H1325" s="13"/>
      <c r="I1325" s="12"/>
      <c r="J1325" s="13"/>
      <c r="K1325" s="14" t="str">
        <f>IF(C1325="","",IFERROR(N('Fee Settings'!$C$5)*(E1325+N(F1325)-N(J1325))+N('Fee Settings'!$C$6)*(E1325+N(F1325)+N(G1325))+N('Fee Settings'!$C$7)+N('Fee Settings'!$C$10)*D1325+IF(I1325="Yes",MIN(N('Fee Settings'!$C$8)*(E1325+N(F1325)),N('Fee Settings'!$C$9)),0),""))</f>
        <v/>
      </c>
      <c r="L1325" s="14" t="str">
        <f>IF(C1325="","",IFERROR(D1325*N(INDEX(Products!$C$5:$C$29,MATCH(C1325,Lists!$A$2:$A$26,0))),""))</f>
        <v/>
      </c>
      <c r="M1325" s="15" t="str">
        <f t="shared" si="20"/>
        <v/>
      </c>
    </row>
    <row r="1326" spans="1:13" x14ac:dyDescent="0.35">
      <c r="A1326" s="11"/>
      <c r="B1326" s="12"/>
      <c r="C1326" s="12"/>
      <c r="D1326" s="12"/>
      <c r="E1326" s="13"/>
      <c r="F1326" s="13"/>
      <c r="G1326" s="13"/>
      <c r="H1326" s="13"/>
      <c r="I1326" s="12"/>
      <c r="J1326" s="13"/>
      <c r="K1326" s="14" t="str">
        <f>IF(C1326="","",IFERROR(N('Fee Settings'!$C$5)*(E1326+N(F1326)-N(J1326))+N('Fee Settings'!$C$6)*(E1326+N(F1326)+N(G1326))+N('Fee Settings'!$C$7)+N('Fee Settings'!$C$10)*D1326+IF(I1326="Yes",MIN(N('Fee Settings'!$C$8)*(E1326+N(F1326)),N('Fee Settings'!$C$9)),0),""))</f>
        <v/>
      </c>
      <c r="L1326" s="14" t="str">
        <f>IF(C1326="","",IFERROR(D1326*N(INDEX(Products!$C$5:$C$29,MATCH(C1326,Lists!$A$2:$A$26,0))),""))</f>
        <v/>
      </c>
      <c r="M1326" s="15" t="str">
        <f t="shared" si="20"/>
        <v/>
      </c>
    </row>
    <row r="1327" spans="1:13" x14ac:dyDescent="0.35">
      <c r="A1327" s="11"/>
      <c r="B1327" s="12"/>
      <c r="C1327" s="12"/>
      <c r="D1327" s="12"/>
      <c r="E1327" s="13"/>
      <c r="F1327" s="13"/>
      <c r="G1327" s="13"/>
      <c r="H1327" s="13"/>
      <c r="I1327" s="12"/>
      <c r="J1327" s="13"/>
      <c r="K1327" s="14" t="str">
        <f>IF(C1327="","",IFERROR(N('Fee Settings'!$C$5)*(E1327+N(F1327)-N(J1327))+N('Fee Settings'!$C$6)*(E1327+N(F1327)+N(G1327))+N('Fee Settings'!$C$7)+N('Fee Settings'!$C$10)*D1327+IF(I1327="Yes",MIN(N('Fee Settings'!$C$8)*(E1327+N(F1327)),N('Fee Settings'!$C$9)),0),""))</f>
        <v/>
      </c>
      <c r="L1327" s="14" t="str">
        <f>IF(C1327="","",IFERROR(D1327*N(INDEX(Products!$C$5:$C$29,MATCH(C1327,Lists!$A$2:$A$26,0))),""))</f>
        <v/>
      </c>
      <c r="M1327" s="15" t="str">
        <f t="shared" si="20"/>
        <v/>
      </c>
    </row>
    <row r="1328" spans="1:13" x14ac:dyDescent="0.35">
      <c r="A1328" s="11"/>
      <c r="B1328" s="12"/>
      <c r="C1328" s="12"/>
      <c r="D1328" s="12"/>
      <c r="E1328" s="13"/>
      <c r="F1328" s="13"/>
      <c r="G1328" s="13"/>
      <c r="H1328" s="13"/>
      <c r="I1328" s="12"/>
      <c r="J1328" s="13"/>
      <c r="K1328" s="14" t="str">
        <f>IF(C1328="","",IFERROR(N('Fee Settings'!$C$5)*(E1328+N(F1328)-N(J1328))+N('Fee Settings'!$C$6)*(E1328+N(F1328)+N(G1328))+N('Fee Settings'!$C$7)+N('Fee Settings'!$C$10)*D1328+IF(I1328="Yes",MIN(N('Fee Settings'!$C$8)*(E1328+N(F1328)),N('Fee Settings'!$C$9)),0),""))</f>
        <v/>
      </c>
      <c r="L1328" s="14" t="str">
        <f>IF(C1328="","",IFERROR(D1328*N(INDEX(Products!$C$5:$C$29,MATCH(C1328,Lists!$A$2:$A$26,0))),""))</f>
        <v/>
      </c>
      <c r="M1328" s="15" t="str">
        <f t="shared" si="20"/>
        <v/>
      </c>
    </row>
    <row r="1329" spans="1:13" x14ac:dyDescent="0.35">
      <c r="A1329" s="11"/>
      <c r="B1329" s="12"/>
      <c r="C1329" s="12"/>
      <c r="D1329" s="12"/>
      <c r="E1329" s="13"/>
      <c r="F1329" s="13"/>
      <c r="G1329" s="13"/>
      <c r="H1329" s="13"/>
      <c r="I1329" s="12"/>
      <c r="J1329" s="13"/>
      <c r="K1329" s="14" t="str">
        <f>IF(C1329="","",IFERROR(N('Fee Settings'!$C$5)*(E1329+N(F1329)-N(J1329))+N('Fee Settings'!$C$6)*(E1329+N(F1329)+N(G1329))+N('Fee Settings'!$C$7)+N('Fee Settings'!$C$10)*D1329+IF(I1329="Yes",MIN(N('Fee Settings'!$C$8)*(E1329+N(F1329)),N('Fee Settings'!$C$9)),0),""))</f>
        <v/>
      </c>
      <c r="L1329" s="14" t="str">
        <f>IF(C1329="","",IFERROR(D1329*N(INDEX(Products!$C$5:$C$29,MATCH(C1329,Lists!$A$2:$A$26,0))),""))</f>
        <v/>
      </c>
      <c r="M1329" s="15" t="str">
        <f t="shared" si="20"/>
        <v/>
      </c>
    </row>
    <row r="1330" spans="1:13" x14ac:dyDescent="0.35">
      <c r="A1330" s="11"/>
      <c r="B1330" s="12"/>
      <c r="C1330" s="12"/>
      <c r="D1330" s="12"/>
      <c r="E1330" s="13"/>
      <c r="F1330" s="13"/>
      <c r="G1330" s="13"/>
      <c r="H1330" s="13"/>
      <c r="I1330" s="12"/>
      <c r="J1330" s="13"/>
      <c r="K1330" s="14" t="str">
        <f>IF(C1330="","",IFERROR(N('Fee Settings'!$C$5)*(E1330+N(F1330)-N(J1330))+N('Fee Settings'!$C$6)*(E1330+N(F1330)+N(G1330))+N('Fee Settings'!$C$7)+N('Fee Settings'!$C$10)*D1330+IF(I1330="Yes",MIN(N('Fee Settings'!$C$8)*(E1330+N(F1330)),N('Fee Settings'!$C$9)),0),""))</f>
        <v/>
      </c>
      <c r="L1330" s="14" t="str">
        <f>IF(C1330="","",IFERROR(D1330*N(INDEX(Products!$C$5:$C$29,MATCH(C1330,Lists!$A$2:$A$26,0))),""))</f>
        <v/>
      </c>
      <c r="M1330" s="15" t="str">
        <f t="shared" si="20"/>
        <v/>
      </c>
    </row>
    <row r="1331" spans="1:13" x14ac:dyDescent="0.35">
      <c r="A1331" s="11"/>
      <c r="B1331" s="12"/>
      <c r="C1331" s="12"/>
      <c r="D1331" s="12"/>
      <c r="E1331" s="13"/>
      <c r="F1331" s="13"/>
      <c r="G1331" s="13"/>
      <c r="H1331" s="13"/>
      <c r="I1331" s="12"/>
      <c r="J1331" s="13"/>
      <c r="K1331" s="14" t="str">
        <f>IF(C1331="","",IFERROR(N('Fee Settings'!$C$5)*(E1331+N(F1331)-N(J1331))+N('Fee Settings'!$C$6)*(E1331+N(F1331)+N(G1331))+N('Fee Settings'!$C$7)+N('Fee Settings'!$C$10)*D1331+IF(I1331="Yes",MIN(N('Fee Settings'!$C$8)*(E1331+N(F1331)),N('Fee Settings'!$C$9)),0),""))</f>
        <v/>
      </c>
      <c r="L1331" s="14" t="str">
        <f>IF(C1331="","",IFERROR(D1331*N(INDEX(Products!$C$5:$C$29,MATCH(C1331,Lists!$A$2:$A$26,0))),""))</f>
        <v/>
      </c>
      <c r="M1331" s="15" t="str">
        <f t="shared" si="20"/>
        <v/>
      </c>
    </row>
    <row r="1332" spans="1:13" x14ac:dyDescent="0.35">
      <c r="A1332" s="11"/>
      <c r="B1332" s="12"/>
      <c r="C1332" s="12"/>
      <c r="D1332" s="12"/>
      <c r="E1332" s="13"/>
      <c r="F1332" s="13"/>
      <c r="G1332" s="13"/>
      <c r="H1332" s="13"/>
      <c r="I1332" s="12"/>
      <c r="J1332" s="13"/>
      <c r="K1332" s="14" t="str">
        <f>IF(C1332="","",IFERROR(N('Fee Settings'!$C$5)*(E1332+N(F1332)-N(J1332))+N('Fee Settings'!$C$6)*(E1332+N(F1332)+N(G1332))+N('Fee Settings'!$C$7)+N('Fee Settings'!$C$10)*D1332+IF(I1332="Yes",MIN(N('Fee Settings'!$C$8)*(E1332+N(F1332)),N('Fee Settings'!$C$9)),0),""))</f>
        <v/>
      </c>
      <c r="L1332" s="14" t="str">
        <f>IF(C1332="","",IFERROR(D1332*N(INDEX(Products!$C$5:$C$29,MATCH(C1332,Lists!$A$2:$A$26,0))),""))</f>
        <v/>
      </c>
      <c r="M1332" s="15" t="str">
        <f t="shared" si="20"/>
        <v/>
      </c>
    </row>
    <row r="1333" spans="1:13" x14ac:dyDescent="0.35">
      <c r="A1333" s="11"/>
      <c r="B1333" s="12"/>
      <c r="C1333" s="12"/>
      <c r="D1333" s="12"/>
      <c r="E1333" s="13"/>
      <c r="F1333" s="13"/>
      <c r="G1333" s="13"/>
      <c r="H1333" s="13"/>
      <c r="I1333" s="12"/>
      <c r="J1333" s="13"/>
      <c r="K1333" s="14" t="str">
        <f>IF(C1333="","",IFERROR(N('Fee Settings'!$C$5)*(E1333+N(F1333)-N(J1333))+N('Fee Settings'!$C$6)*(E1333+N(F1333)+N(G1333))+N('Fee Settings'!$C$7)+N('Fee Settings'!$C$10)*D1333+IF(I1333="Yes",MIN(N('Fee Settings'!$C$8)*(E1333+N(F1333)),N('Fee Settings'!$C$9)),0),""))</f>
        <v/>
      </c>
      <c r="L1333" s="14" t="str">
        <f>IF(C1333="","",IFERROR(D1333*N(INDEX(Products!$C$5:$C$29,MATCH(C1333,Lists!$A$2:$A$26,0))),""))</f>
        <v/>
      </c>
      <c r="M1333" s="15" t="str">
        <f t="shared" si="20"/>
        <v/>
      </c>
    </row>
    <row r="1334" spans="1:13" x14ac:dyDescent="0.35">
      <c r="A1334" s="11"/>
      <c r="B1334" s="12"/>
      <c r="C1334" s="12"/>
      <c r="D1334" s="12"/>
      <c r="E1334" s="13"/>
      <c r="F1334" s="13"/>
      <c r="G1334" s="13"/>
      <c r="H1334" s="13"/>
      <c r="I1334" s="12"/>
      <c r="J1334" s="13"/>
      <c r="K1334" s="14" t="str">
        <f>IF(C1334="","",IFERROR(N('Fee Settings'!$C$5)*(E1334+N(F1334)-N(J1334))+N('Fee Settings'!$C$6)*(E1334+N(F1334)+N(G1334))+N('Fee Settings'!$C$7)+N('Fee Settings'!$C$10)*D1334+IF(I1334="Yes",MIN(N('Fee Settings'!$C$8)*(E1334+N(F1334)),N('Fee Settings'!$C$9)),0),""))</f>
        <v/>
      </c>
      <c r="L1334" s="14" t="str">
        <f>IF(C1334="","",IFERROR(D1334*N(INDEX(Products!$C$5:$C$29,MATCH(C1334,Lists!$A$2:$A$26,0))),""))</f>
        <v/>
      </c>
      <c r="M1334" s="15" t="str">
        <f t="shared" si="20"/>
        <v/>
      </c>
    </row>
    <row r="1335" spans="1:13" x14ac:dyDescent="0.35">
      <c r="A1335" s="11"/>
      <c r="B1335" s="12"/>
      <c r="C1335" s="12"/>
      <c r="D1335" s="12"/>
      <c r="E1335" s="13"/>
      <c r="F1335" s="13"/>
      <c r="G1335" s="13"/>
      <c r="H1335" s="13"/>
      <c r="I1335" s="12"/>
      <c r="J1335" s="13"/>
      <c r="K1335" s="14" t="str">
        <f>IF(C1335="","",IFERROR(N('Fee Settings'!$C$5)*(E1335+N(F1335)-N(J1335))+N('Fee Settings'!$C$6)*(E1335+N(F1335)+N(G1335))+N('Fee Settings'!$C$7)+N('Fee Settings'!$C$10)*D1335+IF(I1335="Yes",MIN(N('Fee Settings'!$C$8)*(E1335+N(F1335)),N('Fee Settings'!$C$9)),0),""))</f>
        <v/>
      </c>
      <c r="L1335" s="14" t="str">
        <f>IF(C1335="","",IFERROR(D1335*N(INDEX(Products!$C$5:$C$29,MATCH(C1335,Lists!$A$2:$A$26,0))),""))</f>
        <v/>
      </c>
      <c r="M1335" s="15" t="str">
        <f t="shared" si="20"/>
        <v/>
      </c>
    </row>
    <row r="1336" spans="1:13" x14ac:dyDescent="0.35">
      <c r="A1336" s="11"/>
      <c r="B1336" s="12"/>
      <c r="C1336" s="12"/>
      <c r="D1336" s="12"/>
      <c r="E1336" s="13"/>
      <c r="F1336" s="13"/>
      <c r="G1336" s="13"/>
      <c r="H1336" s="13"/>
      <c r="I1336" s="12"/>
      <c r="J1336" s="13"/>
      <c r="K1336" s="14" t="str">
        <f>IF(C1336="","",IFERROR(N('Fee Settings'!$C$5)*(E1336+N(F1336)-N(J1336))+N('Fee Settings'!$C$6)*(E1336+N(F1336)+N(G1336))+N('Fee Settings'!$C$7)+N('Fee Settings'!$C$10)*D1336+IF(I1336="Yes",MIN(N('Fee Settings'!$C$8)*(E1336+N(F1336)),N('Fee Settings'!$C$9)),0),""))</f>
        <v/>
      </c>
      <c r="L1336" s="14" t="str">
        <f>IF(C1336="","",IFERROR(D1336*N(INDEX(Products!$C$5:$C$29,MATCH(C1336,Lists!$A$2:$A$26,0))),""))</f>
        <v/>
      </c>
      <c r="M1336" s="15" t="str">
        <f t="shared" si="20"/>
        <v/>
      </c>
    </row>
    <row r="1337" spans="1:13" x14ac:dyDescent="0.35">
      <c r="A1337" s="11"/>
      <c r="B1337" s="12"/>
      <c r="C1337" s="12"/>
      <c r="D1337" s="12"/>
      <c r="E1337" s="13"/>
      <c r="F1337" s="13"/>
      <c r="G1337" s="13"/>
      <c r="H1337" s="13"/>
      <c r="I1337" s="12"/>
      <c r="J1337" s="13"/>
      <c r="K1337" s="14" t="str">
        <f>IF(C1337="","",IFERROR(N('Fee Settings'!$C$5)*(E1337+N(F1337)-N(J1337))+N('Fee Settings'!$C$6)*(E1337+N(F1337)+N(G1337))+N('Fee Settings'!$C$7)+N('Fee Settings'!$C$10)*D1337+IF(I1337="Yes",MIN(N('Fee Settings'!$C$8)*(E1337+N(F1337)),N('Fee Settings'!$C$9)),0),""))</f>
        <v/>
      </c>
      <c r="L1337" s="14" t="str">
        <f>IF(C1337="","",IFERROR(D1337*N(INDEX(Products!$C$5:$C$29,MATCH(C1337,Lists!$A$2:$A$26,0))),""))</f>
        <v/>
      </c>
      <c r="M1337" s="15" t="str">
        <f t="shared" si="20"/>
        <v/>
      </c>
    </row>
    <row r="1338" spans="1:13" x14ac:dyDescent="0.35">
      <c r="A1338" s="11"/>
      <c r="B1338" s="12"/>
      <c r="C1338" s="12"/>
      <c r="D1338" s="12"/>
      <c r="E1338" s="13"/>
      <c r="F1338" s="13"/>
      <c r="G1338" s="13"/>
      <c r="H1338" s="13"/>
      <c r="I1338" s="12"/>
      <c r="J1338" s="13"/>
      <c r="K1338" s="14" t="str">
        <f>IF(C1338="","",IFERROR(N('Fee Settings'!$C$5)*(E1338+N(F1338)-N(J1338))+N('Fee Settings'!$C$6)*(E1338+N(F1338)+N(G1338))+N('Fee Settings'!$C$7)+N('Fee Settings'!$C$10)*D1338+IF(I1338="Yes",MIN(N('Fee Settings'!$C$8)*(E1338+N(F1338)),N('Fee Settings'!$C$9)),0),""))</f>
        <v/>
      </c>
      <c r="L1338" s="14" t="str">
        <f>IF(C1338="","",IFERROR(D1338*N(INDEX(Products!$C$5:$C$29,MATCH(C1338,Lists!$A$2:$A$26,0))),""))</f>
        <v/>
      </c>
      <c r="M1338" s="15" t="str">
        <f t="shared" si="20"/>
        <v/>
      </c>
    </row>
    <row r="1339" spans="1:13" x14ac:dyDescent="0.35">
      <c r="A1339" s="11"/>
      <c r="B1339" s="12"/>
      <c r="C1339" s="12"/>
      <c r="D1339" s="12"/>
      <c r="E1339" s="13"/>
      <c r="F1339" s="13"/>
      <c r="G1339" s="13"/>
      <c r="H1339" s="13"/>
      <c r="I1339" s="12"/>
      <c r="J1339" s="13"/>
      <c r="K1339" s="14" t="str">
        <f>IF(C1339="","",IFERROR(N('Fee Settings'!$C$5)*(E1339+N(F1339)-N(J1339))+N('Fee Settings'!$C$6)*(E1339+N(F1339)+N(G1339))+N('Fee Settings'!$C$7)+N('Fee Settings'!$C$10)*D1339+IF(I1339="Yes",MIN(N('Fee Settings'!$C$8)*(E1339+N(F1339)),N('Fee Settings'!$C$9)),0),""))</f>
        <v/>
      </c>
      <c r="L1339" s="14" t="str">
        <f>IF(C1339="","",IFERROR(D1339*N(INDEX(Products!$C$5:$C$29,MATCH(C1339,Lists!$A$2:$A$26,0))),""))</f>
        <v/>
      </c>
      <c r="M1339" s="15" t="str">
        <f t="shared" si="20"/>
        <v/>
      </c>
    </row>
    <row r="1340" spans="1:13" x14ac:dyDescent="0.35">
      <c r="A1340" s="11"/>
      <c r="B1340" s="12"/>
      <c r="C1340" s="12"/>
      <c r="D1340" s="12"/>
      <c r="E1340" s="13"/>
      <c r="F1340" s="13"/>
      <c r="G1340" s="13"/>
      <c r="H1340" s="13"/>
      <c r="I1340" s="12"/>
      <c r="J1340" s="13"/>
      <c r="K1340" s="14" t="str">
        <f>IF(C1340="","",IFERROR(N('Fee Settings'!$C$5)*(E1340+N(F1340)-N(J1340))+N('Fee Settings'!$C$6)*(E1340+N(F1340)+N(G1340))+N('Fee Settings'!$C$7)+N('Fee Settings'!$C$10)*D1340+IF(I1340="Yes",MIN(N('Fee Settings'!$C$8)*(E1340+N(F1340)),N('Fee Settings'!$C$9)),0),""))</f>
        <v/>
      </c>
      <c r="L1340" s="14" t="str">
        <f>IF(C1340="","",IFERROR(D1340*N(INDEX(Products!$C$5:$C$29,MATCH(C1340,Lists!$A$2:$A$26,0))),""))</f>
        <v/>
      </c>
      <c r="M1340" s="15" t="str">
        <f t="shared" si="20"/>
        <v/>
      </c>
    </row>
    <row r="1341" spans="1:13" x14ac:dyDescent="0.35">
      <c r="A1341" s="11"/>
      <c r="B1341" s="12"/>
      <c r="C1341" s="12"/>
      <c r="D1341" s="12"/>
      <c r="E1341" s="13"/>
      <c r="F1341" s="13"/>
      <c r="G1341" s="13"/>
      <c r="H1341" s="13"/>
      <c r="I1341" s="12"/>
      <c r="J1341" s="13"/>
      <c r="K1341" s="14" t="str">
        <f>IF(C1341="","",IFERROR(N('Fee Settings'!$C$5)*(E1341+N(F1341)-N(J1341))+N('Fee Settings'!$C$6)*(E1341+N(F1341)+N(G1341))+N('Fee Settings'!$C$7)+N('Fee Settings'!$C$10)*D1341+IF(I1341="Yes",MIN(N('Fee Settings'!$C$8)*(E1341+N(F1341)),N('Fee Settings'!$C$9)),0),""))</f>
        <v/>
      </c>
      <c r="L1341" s="14" t="str">
        <f>IF(C1341="","",IFERROR(D1341*N(INDEX(Products!$C$5:$C$29,MATCH(C1341,Lists!$A$2:$A$26,0))),""))</f>
        <v/>
      </c>
      <c r="M1341" s="15" t="str">
        <f t="shared" si="20"/>
        <v/>
      </c>
    </row>
    <row r="1342" spans="1:13" x14ac:dyDescent="0.35">
      <c r="A1342" s="11"/>
      <c r="B1342" s="12"/>
      <c r="C1342" s="12"/>
      <c r="D1342" s="12"/>
      <c r="E1342" s="13"/>
      <c r="F1342" s="13"/>
      <c r="G1342" s="13"/>
      <c r="H1342" s="13"/>
      <c r="I1342" s="12"/>
      <c r="J1342" s="13"/>
      <c r="K1342" s="14" t="str">
        <f>IF(C1342="","",IFERROR(N('Fee Settings'!$C$5)*(E1342+N(F1342)-N(J1342))+N('Fee Settings'!$C$6)*(E1342+N(F1342)+N(G1342))+N('Fee Settings'!$C$7)+N('Fee Settings'!$C$10)*D1342+IF(I1342="Yes",MIN(N('Fee Settings'!$C$8)*(E1342+N(F1342)),N('Fee Settings'!$C$9)),0),""))</f>
        <v/>
      </c>
      <c r="L1342" s="14" t="str">
        <f>IF(C1342="","",IFERROR(D1342*N(INDEX(Products!$C$5:$C$29,MATCH(C1342,Lists!$A$2:$A$26,0))),""))</f>
        <v/>
      </c>
      <c r="M1342" s="15" t="str">
        <f t="shared" si="20"/>
        <v/>
      </c>
    </row>
    <row r="1343" spans="1:13" x14ac:dyDescent="0.35">
      <c r="A1343" s="11"/>
      <c r="B1343" s="12"/>
      <c r="C1343" s="12"/>
      <c r="D1343" s="12"/>
      <c r="E1343" s="13"/>
      <c r="F1343" s="13"/>
      <c r="G1343" s="13"/>
      <c r="H1343" s="13"/>
      <c r="I1343" s="12"/>
      <c r="J1343" s="13"/>
      <c r="K1343" s="14" t="str">
        <f>IF(C1343="","",IFERROR(N('Fee Settings'!$C$5)*(E1343+N(F1343)-N(J1343))+N('Fee Settings'!$C$6)*(E1343+N(F1343)+N(G1343))+N('Fee Settings'!$C$7)+N('Fee Settings'!$C$10)*D1343+IF(I1343="Yes",MIN(N('Fee Settings'!$C$8)*(E1343+N(F1343)),N('Fee Settings'!$C$9)),0),""))</f>
        <v/>
      </c>
      <c r="L1343" s="14" t="str">
        <f>IF(C1343="","",IFERROR(D1343*N(INDEX(Products!$C$5:$C$29,MATCH(C1343,Lists!$A$2:$A$26,0))),""))</f>
        <v/>
      </c>
      <c r="M1343" s="15" t="str">
        <f t="shared" si="20"/>
        <v/>
      </c>
    </row>
    <row r="1344" spans="1:13" x14ac:dyDescent="0.35">
      <c r="A1344" s="11"/>
      <c r="B1344" s="12"/>
      <c r="C1344" s="12"/>
      <c r="D1344" s="12"/>
      <c r="E1344" s="13"/>
      <c r="F1344" s="13"/>
      <c r="G1344" s="13"/>
      <c r="H1344" s="13"/>
      <c r="I1344" s="12"/>
      <c r="J1344" s="13"/>
      <c r="K1344" s="14" t="str">
        <f>IF(C1344="","",IFERROR(N('Fee Settings'!$C$5)*(E1344+N(F1344)-N(J1344))+N('Fee Settings'!$C$6)*(E1344+N(F1344)+N(G1344))+N('Fee Settings'!$C$7)+N('Fee Settings'!$C$10)*D1344+IF(I1344="Yes",MIN(N('Fee Settings'!$C$8)*(E1344+N(F1344)),N('Fee Settings'!$C$9)),0),""))</f>
        <v/>
      </c>
      <c r="L1344" s="14" t="str">
        <f>IF(C1344="","",IFERROR(D1344*N(INDEX(Products!$C$5:$C$29,MATCH(C1344,Lists!$A$2:$A$26,0))),""))</f>
        <v/>
      </c>
      <c r="M1344" s="15" t="str">
        <f t="shared" si="20"/>
        <v/>
      </c>
    </row>
    <row r="1345" spans="1:13" x14ac:dyDescent="0.35">
      <c r="A1345" s="11"/>
      <c r="B1345" s="12"/>
      <c r="C1345" s="12"/>
      <c r="D1345" s="12"/>
      <c r="E1345" s="13"/>
      <c r="F1345" s="13"/>
      <c r="G1345" s="13"/>
      <c r="H1345" s="13"/>
      <c r="I1345" s="12"/>
      <c r="J1345" s="13"/>
      <c r="K1345" s="14" t="str">
        <f>IF(C1345="","",IFERROR(N('Fee Settings'!$C$5)*(E1345+N(F1345)-N(J1345))+N('Fee Settings'!$C$6)*(E1345+N(F1345)+N(G1345))+N('Fee Settings'!$C$7)+N('Fee Settings'!$C$10)*D1345+IF(I1345="Yes",MIN(N('Fee Settings'!$C$8)*(E1345+N(F1345)),N('Fee Settings'!$C$9)),0),""))</f>
        <v/>
      </c>
      <c r="L1345" s="14" t="str">
        <f>IF(C1345="","",IFERROR(D1345*N(INDEX(Products!$C$5:$C$29,MATCH(C1345,Lists!$A$2:$A$26,0))),""))</f>
        <v/>
      </c>
      <c r="M1345" s="15" t="str">
        <f t="shared" si="20"/>
        <v/>
      </c>
    </row>
    <row r="1346" spans="1:13" x14ac:dyDescent="0.35">
      <c r="A1346" s="11"/>
      <c r="B1346" s="12"/>
      <c r="C1346" s="12"/>
      <c r="D1346" s="12"/>
      <c r="E1346" s="13"/>
      <c r="F1346" s="13"/>
      <c r="G1346" s="13"/>
      <c r="H1346" s="13"/>
      <c r="I1346" s="12"/>
      <c r="J1346" s="13"/>
      <c r="K1346" s="14" t="str">
        <f>IF(C1346="","",IFERROR(N('Fee Settings'!$C$5)*(E1346+N(F1346)-N(J1346))+N('Fee Settings'!$C$6)*(E1346+N(F1346)+N(G1346))+N('Fee Settings'!$C$7)+N('Fee Settings'!$C$10)*D1346+IF(I1346="Yes",MIN(N('Fee Settings'!$C$8)*(E1346+N(F1346)),N('Fee Settings'!$C$9)),0),""))</f>
        <v/>
      </c>
      <c r="L1346" s="14" t="str">
        <f>IF(C1346="","",IFERROR(D1346*N(INDEX(Products!$C$5:$C$29,MATCH(C1346,Lists!$A$2:$A$26,0))),""))</f>
        <v/>
      </c>
      <c r="M1346" s="15" t="str">
        <f t="shared" si="20"/>
        <v/>
      </c>
    </row>
    <row r="1347" spans="1:13" x14ac:dyDescent="0.35">
      <c r="A1347" s="11"/>
      <c r="B1347" s="12"/>
      <c r="C1347" s="12"/>
      <c r="D1347" s="12"/>
      <c r="E1347" s="13"/>
      <c r="F1347" s="13"/>
      <c r="G1347" s="13"/>
      <c r="H1347" s="13"/>
      <c r="I1347" s="12"/>
      <c r="J1347" s="13"/>
      <c r="K1347" s="14" t="str">
        <f>IF(C1347="","",IFERROR(N('Fee Settings'!$C$5)*(E1347+N(F1347)-N(J1347))+N('Fee Settings'!$C$6)*(E1347+N(F1347)+N(G1347))+N('Fee Settings'!$C$7)+N('Fee Settings'!$C$10)*D1347+IF(I1347="Yes",MIN(N('Fee Settings'!$C$8)*(E1347+N(F1347)),N('Fee Settings'!$C$9)),0),""))</f>
        <v/>
      </c>
      <c r="L1347" s="14" t="str">
        <f>IF(C1347="","",IFERROR(D1347*N(INDEX(Products!$C$5:$C$29,MATCH(C1347,Lists!$A$2:$A$26,0))),""))</f>
        <v/>
      </c>
      <c r="M1347" s="15" t="str">
        <f t="shared" si="20"/>
        <v/>
      </c>
    </row>
    <row r="1348" spans="1:13" x14ac:dyDescent="0.35">
      <c r="A1348" s="11"/>
      <c r="B1348" s="12"/>
      <c r="C1348" s="12"/>
      <c r="D1348" s="12"/>
      <c r="E1348" s="13"/>
      <c r="F1348" s="13"/>
      <c r="G1348" s="13"/>
      <c r="H1348" s="13"/>
      <c r="I1348" s="12"/>
      <c r="J1348" s="13"/>
      <c r="K1348" s="14" t="str">
        <f>IF(C1348="","",IFERROR(N('Fee Settings'!$C$5)*(E1348+N(F1348)-N(J1348))+N('Fee Settings'!$C$6)*(E1348+N(F1348)+N(G1348))+N('Fee Settings'!$C$7)+N('Fee Settings'!$C$10)*D1348+IF(I1348="Yes",MIN(N('Fee Settings'!$C$8)*(E1348+N(F1348)),N('Fee Settings'!$C$9)),0),""))</f>
        <v/>
      </c>
      <c r="L1348" s="14" t="str">
        <f>IF(C1348="","",IFERROR(D1348*N(INDEX(Products!$C$5:$C$29,MATCH(C1348,Lists!$A$2:$A$26,0))),""))</f>
        <v/>
      </c>
      <c r="M1348" s="15" t="str">
        <f t="shared" si="20"/>
        <v/>
      </c>
    </row>
    <row r="1349" spans="1:13" x14ac:dyDescent="0.35">
      <c r="A1349" s="11"/>
      <c r="B1349" s="12"/>
      <c r="C1349" s="12"/>
      <c r="D1349" s="12"/>
      <c r="E1349" s="13"/>
      <c r="F1349" s="13"/>
      <c r="G1349" s="13"/>
      <c r="H1349" s="13"/>
      <c r="I1349" s="12"/>
      <c r="J1349" s="13"/>
      <c r="K1349" s="14" t="str">
        <f>IF(C1349="","",IFERROR(N('Fee Settings'!$C$5)*(E1349+N(F1349)-N(J1349))+N('Fee Settings'!$C$6)*(E1349+N(F1349)+N(G1349))+N('Fee Settings'!$C$7)+N('Fee Settings'!$C$10)*D1349+IF(I1349="Yes",MIN(N('Fee Settings'!$C$8)*(E1349+N(F1349)),N('Fee Settings'!$C$9)),0),""))</f>
        <v/>
      </c>
      <c r="L1349" s="14" t="str">
        <f>IF(C1349="","",IFERROR(D1349*N(INDEX(Products!$C$5:$C$29,MATCH(C1349,Lists!$A$2:$A$26,0))),""))</f>
        <v/>
      </c>
      <c r="M1349" s="15" t="str">
        <f t="shared" ref="M1349:M1412" si="21">IF(C1349="","",IFERROR(E1349+N(F1349)-N(J1349)-K1349-L1349-N(H1349),""))</f>
        <v/>
      </c>
    </row>
    <row r="1350" spans="1:13" x14ac:dyDescent="0.35">
      <c r="A1350" s="11"/>
      <c r="B1350" s="12"/>
      <c r="C1350" s="12"/>
      <c r="D1350" s="12"/>
      <c r="E1350" s="13"/>
      <c r="F1350" s="13"/>
      <c r="G1350" s="13"/>
      <c r="H1350" s="13"/>
      <c r="I1350" s="12"/>
      <c r="J1350" s="13"/>
      <c r="K1350" s="14" t="str">
        <f>IF(C1350="","",IFERROR(N('Fee Settings'!$C$5)*(E1350+N(F1350)-N(J1350))+N('Fee Settings'!$C$6)*(E1350+N(F1350)+N(G1350))+N('Fee Settings'!$C$7)+N('Fee Settings'!$C$10)*D1350+IF(I1350="Yes",MIN(N('Fee Settings'!$C$8)*(E1350+N(F1350)),N('Fee Settings'!$C$9)),0),""))</f>
        <v/>
      </c>
      <c r="L1350" s="14" t="str">
        <f>IF(C1350="","",IFERROR(D1350*N(INDEX(Products!$C$5:$C$29,MATCH(C1350,Lists!$A$2:$A$26,0))),""))</f>
        <v/>
      </c>
      <c r="M1350" s="15" t="str">
        <f t="shared" si="21"/>
        <v/>
      </c>
    </row>
    <row r="1351" spans="1:13" x14ac:dyDescent="0.35">
      <c r="A1351" s="11"/>
      <c r="B1351" s="12"/>
      <c r="C1351" s="12"/>
      <c r="D1351" s="12"/>
      <c r="E1351" s="13"/>
      <c r="F1351" s="13"/>
      <c r="G1351" s="13"/>
      <c r="H1351" s="13"/>
      <c r="I1351" s="12"/>
      <c r="J1351" s="13"/>
      <c r="K1351" s="14" t="str">
        <f>IF(C1351="","",IFERROR(N('Fee Settings'!$C$5)*(E1351+N(F1351)-N(J1351))+N('Fee Settings'!$C$6)*(E1351+N(F1351)+N(G1351))+N('Fee Settings'!$C$7)+N('Fee Settings'!$C$10)*D1351+IF(I1351="Yes",MIN(N('Fee Settings'!$C$8)*(E1351+N(F1351)),N('Fee Settings'!$C$9)),0),""))</f>
        <v/>
      </c>
      <c r="L1351" s="14" t="str">
        <f>IF(C1351="","",IFERROR(D1351*N(INDEX(Products!$C$5:$C$29,MATCH(C1351,Lists!$A$2:$A$26,0))),""))</f>
        <v/>
      </c>
      <c r="M1351" s="15" t="str">
        <f t="shared" si="21"/>
        <v/>
      </c>
    </row>
    <row r="1352" spans="1:13" x14ac:dyDescent="0.35">
      <c r="A1352" s="11"/>
      <c r="B1352" s="12"/>
      <c r="C1352" s="12"/>
      <c r="D1352" s="12"/>
      <c r="E1352" s="13"/>
      <c r="F1352" s="13"/>
      <c r="G1352" s="13"/>
      <c r="H1352" s="13"/>
      <c r="I1352" s="12"/>
      <c r="J1352" s="13"/>
      <c r="K1352" s="14" t="str">
        <f>IF(C1352="","",IFERROR(N('Fee Settings'!$C$5)*(E1352+N(F1352)-N(J1352))+N('Fee Settings'!$C$6)*(E1352+N(F1352)+N(G1352))+N('Fee Settings'!$C$7)+N('Fee Settings'!$C$10)*D1352+IF(I1352="Yes",MIN(N('Fee Settings'!$C$8)*(E1352+N(F1352)),N('Fee Settings'!$C$9)),0),""))</f>
        <v/>
      </c>
      <c r="L1352" s="14" t="str">
        <f>IF(C1352="","",IFERROR(D1352*N(INDEX(Products!$C$5:$C$29,MATCH(C1352,Lists!$A$2:$A$26,0))),""))</f>
        <v/>
      </c>
      <c r="M1352" s="15" t="str">
        <f t="shared" si="21"/>
        <v/>
      </c>
    </row>
    <row r="1353" spans="1:13" x14ac:dyDescent="0.35">
      <c r="A1353" s="11"/>
      <c r="B1353" s="12"/>
      <c r="C1353" s="12"/>
      <c r="D1353" s="12"/>
      <c r="E1353" s="13"/>
      <c r="F1353" s="13"/>
      <c r="G1353" s="13"/>
      <c r="H1353" s="13"/>
      <c r="I1353" s="12"/>
      <c r="J1353" s="13"/>
      <c r="K1353" s="14" t="str">
        <f>IF(C1353="","",IFERROR(N('Fee Settings'!$C$5)*(E1353+N(F1353)-N(J1353))+N('Fee Settings'!$C$6)*(E1353+N(F1353)+N(G1353))+N('Fee Settings'!$C$7)+N('Fee Settings'!$C$10)*D1353+IF(I1353="Yes",MIN(N('Fee Settings'!$C$8)*(E1353+N(F1353)),N('Fee Settings'!$C$9)),0),""))</f>
        <v/>
      </c>
      <c r="L1353" s="14" t="str">
        <f>IF(C1353="","",IFERROR(D1353*N(INDEX(Products!$C$5:$C$29,MATCH(C1353,Lists!$A$2:$A$26,0))),""))</f>
        <v/>
      </c>
      <c r="M1353" s="15" t="str">
        <f t="shared" si="21"/>
        <v/>
      </c>
    </row>
    <row r="1354" spans="1:13" x14ac:dyDescent="0.35">
      <c r="A1354" s="11"/>
      <c r="B1354" s="12"/>
      <c r="C1354" s="12"/>
      <c r="D1354" s="12"/>
      <c r="E1354" s="13"/>
      <c r="F1354" s="13"/>
      <c r="G1354" s="13"/>
      <c r="H1354" s="13"/>
      <c r="I1354" s="12"/>
      <c r="J1354" s="13"/>
      <c r="K1354" s="14" t="str">
        <f>IF(C1354="","",IFERROR(N('Fee Settings'!$C$5)*(E1354+N(F1354)-N(J1354))+N('Fee Settings'!$C$6)*(E1354+N(F1354)+N(G1354))+N('Fee Settings'!$C$7)+N('Fee Settings'!$C$10)*D1354+IF(I1354="Yes",MIN(N('Fee Settings'!$C$8)*(E1354+N(F1354)),N('Fee Settings'!$C$9)),0),""))</f>
        <v/>
      </c>
      <c r="L1354" s="14" t="str">
        <f>IF(C1354="","",IFERROR(D1354*N(INDEX(Products!$C$5:$C$29,MATCH(C1354,Lists!$A$2:$A$26,0))),""))</f>
        <v/>
      </c>
      <c r="M1354" s="15" t="str">
        <f t="shared" si="21"/>
        <v/>
      </c>
    </row>
    <row r="1355" spans="1:13" x14ac:dyDescent="0.35">
      <c r="A1355" s="11"/>
      <c r="B1355" s="12"/>
      <c r="C1355" s="12"/>
      <c r="D1355" s="12"/>
      <c r="E1355" s="13"/>
      <c r="F1355" s="13"/>
      <c r="G1355" s="13"/>
      <c r="H1355" s="13"/>
      <c r="I1355" s="12"/>
      <c r="J1355" s="13"/>
      <c r="K1355" s="14" t="str">
        <f>IF(C1355="","",IFERROR(N('Fee Settings'!$C$5)*(E1355+N(F1355)-N(J1355))+N('Fee Settings'!$C$6)*(E1355+N(F1355)+N(G1355))+N('Fee Settings'!$C$7)+N('Fee Settings'!$C$10)*D1355+IF(I1355="Yes",MIN(N('Fee Settings'!$C$8)*(E1355+N(F1355)),N('Fee Settings'!$C$9)),0),""))</f>
        <v/>
      </c>
      <c r="L1355" s="14" t="str">
        <f>IF(C1355="","",IFERROR(D1355*N(INDEX(Products!$C$5:$C$29,MATCH(C1355,Lists!$A$2:$A$26,0))),""))</f>
        <v/>
      </c>
      <c r="M1355" s="15" t="str">
        <f t="shared" si="21"/>
        <v/>
      </c>
    </row>
    <row r="1356" spans="1:13" x14ac:dyDescent="0.35">
      <c r="A1356" s="11"/>
      <c r="B1356" s="12"/>
      <c r="C1356" s="12"/>
      <c r="D1356" s="12"/>
      <c r="E1356" s="13"/>
      <c r="F1356" s="13"/>
      <c r="G1356" s="13"/>
      <c r="H1356" s="13"/>
      <c r="I1356" s="12"/>
      <c r="J1356" s="13"/>
      <c r="K1356" s="14" t="str">
        <f>IF(C1356="","",IFERROR(N('Fee Settings'!$C$5)*(E1356+N(F1356)-N(J1356))+N('Fee Settings'!$C$6)*(E1356+N(F1356)+N(G1356))+N('Fee Settings'!$C$7)+N('Fee Settings'!$C$10)*D1356+IF(I1356="Yes",MIN(N('Fee Settings'!$C$8)*(E1356+N(F1356)),N('Fee Settings'!$C$9)),0),""))</f>
        <v/>
      </c>
      <c r="L1356" s="14" t="str">
        <f>IF(C1356="","",IFERROR(D1356*N(INDEX(Products!$C$5:$C$29,MATCH(C1356,Lists!$A$2:$A$26,0))),""))</f>
        <v/>
      </c>
      <c r="M1356" s="15" t="str">
        <f t="shared" si="21"/>
        <v/>
      </c>
    </row>
    <row r="1357" spans="1:13" x14ac:dyDescent="0.35">
      <c r="A1357" s="11"/>
      <c r="B1357" s="12"/>
      <c r="C1357" s="12"/>
      <c r="D1357" s="12"/>
      <c r="E1357" s="13"/>
      <c r="F1357" s="13"/>
      <c r="G1357" s="13"/>
      <c r="H1357" s="13"/>
      <c r="I1357" s="12"/>
      <c r="J1357" s="13"/>
      <c r="K1357" s="14" t="str">
        <f>IF(C1357="","",IFERROR(N('Fee Settings'!$C$5)*(E1357+N(F1357)-N(J1357))+N('Fee Settings'!$C$6)*(E1357+N(F1357)+N(G1357))+N('Fee Settings'!$C$7)+N('Fee Settings'!$C$10)*D1357+IF(I1357="Yes",MIN(N('Fee Settings'!$C$8)*(E1357+N(F1357)),N('Fee Settings'!$C$9)),0),""))</f>
        <v/>
      </c>
      <c r="L1357" s="14" t="str">
        <f>IF(C1357="","",IFERROR(D1357*N(INDEX(Products!$C$5:$C$29,MATCH(C1357,Lists!$A$2:$A$26,0))),""))</f>
        <v/>
      </c>
      <c r="M1357" s="15" t="str">
        <f t="shared" si="21"/>
        <v/>
      </c>
    </row>
    <row r="1358" spans="1:13" x14ac:dyDescent="0.35">
      <c r="A1358" s="11"/>
      <c r="B1358" s="12"/>
      <c r="C1358" s="12"/>
      <c r="D1358" s="12"/>
      <c r="E1358" s="13"/>
      <c r="F1358" s="13"/>
      <c r="G1358" s="13"/>
      <c r="H1358" s="13"/>
      <c r="I1358" s="12"/>
      <c r="J1358" s="13"/>
      <c r="K1358" s="14" t="str">
        <f>IF(C1358="","",IFERROR(N('Fee Settings'!$C$5)*(E1358+N(F1358)-N(J1358))+N('Fee Settings'!$C$6)*(E1358+N(F1358)+N(G1358))+N('Fee Settings'!$C$7)+N('Fee Settings'!$C$10)*D1358+IF(I1358="Yes",MIN(N('Fee Settings'!$C$8)*(E1358+N(F1358)),N('Fee Settings'!$C$9)),0),""))</f>
        <v/>
      </c>
      <c r="L1358" s="14" t="str">
        <f>IF(C1358="","",IFERROR(D1358*N(INDEX(Products!$C$5:$C$29,MATCH(C1358,Lists!$A$2:$A$26,0))),""))</f>
        <v/>
      </c>
      <c r="M1358" s="15" t="str">
        <f t="shared" si="21"/>
        <v/>
      </c>
    </row>
    <row r="1359" spans="1:13" x14ac:dyDescent="0.35">
      <c r="A1359" s="11"/>
      <c r="B1359" s="12"/>
      <c r="C1359" s="12"/>
      <c r="D1359" s="12"/>
      <c r="E1359" s="13"/>
      <c r="F1359" s="13"/>
      <c r="G1359" s="13"/>
      <c r="H1359" s="13"/>
      <c r="I1359" s="12"/>
      <c r="J1359" s="13"/>
      <c r="K1359" s="14" t="str">
        <f>IF(C1359="","",IFERROR(N('Fee Settings'!$C$5)*(E1359+N(F1359)-N(J1359))+N('Fee Settings'!$C$6)*(E1359+N(F1359)+N(G1359))+N('Fee Settings'!$C$7)+N('Fee Settings'!$C$10)*D1359+IF(I1359="Yes",MIN(N('Fee Settings'!$C$8)*(E1359+N(F1359)),N('Fee Settings'!$C$9)),0),""))</f>
        <v/>
      </c>
      <c r="L1359" s="14" t="str">
        <f>IF(C1359="","",IFERROR(D1359*N(INDEX(Products!$C$5:$C$29,MATCH(C1359,Lists!$A$2:$A$26,0))),""))</f>
        <v/>
      </c>
      <c r="M1359" s="15" t="str">
        <f t="shared" si="21"/>
        <v/>
      </c>
    </row>
    <row r="1360" spans="1:13" x14ac:dyDescent="0.35">
      <c r="A1360" s="11"/>
      <c r="B1360" s="12"/>
      <c r="C1360" s="12"/>
      <c r="D1360" s="12"/>
      <c r="E1360" s="13"/>
      <c r="F1360" s="13"/>
      <c r="G1360" s="13"/>
      <c r="H1360" s="13"/>
      <c r="I1360" s="12"/>
      <c r="J1360" s="13"/>
      <c r="K1360" s="14" t="str">
        <f>IF(C1360="","",IFERROR(N('Fee Settings'!$C$5)*(E1360+N(F1360)-N(J1360))+N('Fee Settings'!$C$6)*(E1360+N(F1360)+N(G1360))+N('Fee Settings'!$C$7)+N('Fee Settings'!$C$10)*D1360+IF(I1360="Yes",MIN(N('Fee Settings'!$C$8)*(E1360+N(F1360)),N('Fee Settings'!$C$9)),0),""))</f>
        <v/>
      </c>
      <c r="L1360" s="14" t="str">
        <f>IF(C1360="","",IFERROR(D1360*N(INDEX(Products!$C$5:$C$29,MATCH(C1360,Lists!$A$2:$A$26,0))),""))</f>
        <v/>
      </c>
      <c r="M1360" s="15" t="str">
        <f t="shared" si="21"/>
        <v/>
      </c>
    </row>
    <row r="1361" spans="1:13" x14ac:dyDescent="0.35">
      <c r="A1361" s="11"/>
      <c r="B1361" s="12"/>
      <c r="C1361" s="12"/>
      <c r="D1361" s="12"/>
      <c r="E1361" s="13"/>
      <c r="F1361" s="13"/>
      <c r="G1361" s="13"/>
      <c r="H1361" s="13"/>
      <c r="I1361" s="12"/>
      <c r="J1361" s="13"/>
      <c r="K1361" s="14" t="str">
        <f>IF(C1361="","",IFERROR(N('Fee Settings'!$C$5)*(E1361+N(F1361)-N(J1361))+N('Fee Settings'!$C$6)*(E1361+N(F1361)+N(G1361))+N('Fee Settings'!$C$7)+N('Fee Settings'!$C$10)*D1361+IF(I1361="Yes",MIN(N('Fee Settings'!$C$8)*(E1361+N(F1361)),N('Fee Settings'!$C$9)),0),""))</f>
        <v/>
      </c>
      <c r="L1361" s="14" t="str">
        <f>IF(C1361="","",IFERROR(D1361*N(INDEX(Products!$C$5:$C$29,MATCH(C1361,Lists!$A$2:$A$26,0))),""))</f>
        <v/>
      </c>
      <c r="M1361" s="15" t="str">
        <f t="shared" si="21"/>
        <v/>
      </c>
    </row>
    <row r="1362" spans="1:13" x14ac:dyDescent="0.35">
      <c r="A1362" s="11"/>
      <c r="B1362" s="12"/>
      <c r="C1362" s="12"/>
      <c r="D1362" s="12"/>
      <c r="E1362" s="13"/>
      <c r="F1362" s="13"/>
      <c r="G1362" s="13"/>
      <c r="H1362" s="13"/>
      <c r="I1362" s="12"/>
      <c r="J1362" s="13"/>
      <c r="K1362" s="14" t="str">
        <f>IF(C1362="","",IFERROR(N('Fee Settings'!$C$5)*(E1362+N(F1362)-N(J1362))+N('Fee Settings'!$C$6)*(E1362+N(F1362)+N(G1362))+N('Fee Settings'!$C$7)+N('Fee Settings'!$C$10)*D1362+IF(I1362="Yes",MIN(N('Fee Settings'!$C$8)*(E1362+N(F1362)),N('Fee Settings'!$C$9)),0),""))</f>
        <v/>
      </c>
      <c r="L1362" s="14" t="str">
        <f>IF(C1362="","",IFERROR(D1362*N(INDEX(Products!$C$5:$C$29,MATCH(C1362,Lists!$A$2:$A$26,0))),""))</f>
        <v/>
      </c>
      <c r="M1362" s="15" t="str">
        <f t="shared" si="21"/>
        <v/>
      </c>
    </row>
    <row r="1363" spans="1:13" x14ac:dyDescent="0.35">
      <c r="A1363" s="11"/>
      <c r="B1363" s="12"/>
      <c r="C1363" s="12"/>
      <c r="D1363" s="12"/>
      <c r="E1363" s="13"/>
      <c r="F1363" s="13"/>
      <c r="G1363" s="13"/>
      <c r="H1363" s="13"/>
      <c r="I1363" s="12"/>
      <c r="J1363" s="13"/>
      <c r="K1363" s="14" t="str">
        <f>IF(C1363="","",IFERROR(N('Fee Settings'!$C$5)*(E1363+N(F1363)-N(J1363))+N('Fee Settings'!$C$6)*(E1363+N(F1363)+N(G1363))+N('Fee Settings'!$C$7)+N('Fee Settings'!$C$10)*D1363+IF(I1363="Yes",MIN(N('Fee Settings'!$C$8)*(E1363+N(F1363)),N('Fee Settings'!$C$9)),0),""))</f>
        <v/>
      </c>
      <c r="L1363" s="14" t="str">
        <f>IF(C1363="","",IFERROR(D1363*N(INDEX(Products!$C$5:$C$29,MATCH(C1363,Lists!$A$2:$A$26,0))),""))</f>
        <v/>
      </c>
      <c r="M1363" s="15" t="str">
        <f t="shared" si="21"/>
        <v/>
      </c>
    </row>
    <row r="1364" spans="1:13" x14ac:dyDescent="0.35">
      <c r="A1364" s="11"/>
      <c r="B1364" s="12"/>
      <c r="C1364" s="12"/>
      <c r="D1364" s="12"/>
      <c r="E1364" s="13"/>
      <c r="F1364" s="13"/>
      <c r="G1364" s="13"/>
      <c r="H1364" s="13"/>
      <c r="I1364" s="12"/>
      <c r="J1364" s="13"/>
      <c r="K1364" s="14" t="str">
        <f>IF(C1364="","",IFERROR(N('Fee Settings'!$C$5)*(E1364+N(F1364)-N(J1364))+N('Fee Settings'!$C$6)*(E1364+N(F1364)+N(G1364))+N('Fee Settings'!$C$7)+N('Fee Settings'!$C$10)*D1364+IF(I1364="Yes",MIN(N('Fee Settings'!$C$8)*(E1364+N(F1364)),N('Fee Settings'!$C$9)),0),""))</f>
        <v/>
      </c>
      <c r="L1364" s="14" t="str">
        <f>IF(C1364="","",IFERROR(D1364*N(INDEX(Products!$C$5:$C$29,MATCH(C1364,Lists!$A$2:$A$26,0))),""))</f>
        <v/>
      </c>
      <c r="M1364" s="15" t="str">
        <f t="shared" si="21"/>
        <v/>
      </c>
    </row>
    <row r="1365" spans="1:13" x14ac:dyDescent="0.35">
      <c r="A1365" s="11"/>
      <c r="B1365" s="12"/>
      <c r="C1365" s="12"/>
      <c r="D1365" s="12"/>
      <c r="E1365" s="13"/>
      <c r="F1365" s="13"/>
      <c r="G1365" s="13"/>
      <c r="H1365" s="13"/>
      <c r="I1365" s="12"/>
      <c r="J1365" s="13"/>
      <c r="K1365" s="14" t="str">
        <f>IF(C1365="","",IFERROR(N('Fee Settings'!$C$5)*(E1365+N(F1365)-N(J1365))+N('Fee Settings'!$C$6)*(E1365+N(F1365)+N(G1365))+N('Fee Settings'!$C$7)+N('Fee Settings'!$C$10)*D1365+IF(I1365="Yes",MIN(N('Fee Settings'!$C$8)*(E1365+N(F1365)),N('Fee Settings'!$C$9)),0),""))</f>
        <v/>
      </c>
      <c r="L1365" s="14" t="str">
        <f>IF(C1365="","",IFERROR(D1365*N(INDEX(Products!$C$5:$C$29,MATCH(C1365,Lists!$A$2:$A$26,0))),""))</f>
        <v/>
      </c>
      <c r="M1365" s="15" t="str">
        <f t="shared" si="21"/>
        <v/>
      </c>
    </row>
    <row r="1366" spans="1:13" x14ac:dyDescent="0.35">
      <c r="A1366" s="11"/>
      <c r="B1366" s="12"/>
      <c r="C1366" s="12"/>
      <c r="D1366" s="12"/>
      <c r="E1366" s="13"/>
      <c r="F1366" s="13"/>
      <c r="G1366" s="13"/>
      <c r="H1366" s="13"/>
      <c r="I1366" s="12"/>
      <c r="J1366" s="13"/>
      <c r="K1366" s="14" t="str">
        <f>IF(C1366="","",IFERROR(N('Fee Settings'!$C$5)*(E1366+N(F1366)-N(J1366))+N('Fee Settings'!$C$6)*(E1366+N(F1366)+N(G1366))+N('Fee Settings'!$C$7)+N('Fee Settings'!$C$10)*D1366+IF(I1366="Yes",MIN(N('Fee Settings'!$C$8)*(E1366+N(F1366)),N('Fee Settings'!$C$9)),0),""))</f>
        <v/>
      </c>
      <c r="L1366" s="14" t="str">
        <f>IF(C1366="","",IFERROR(D1366*N(INDEX(Products!$C$5:$C$29,MATCH(C1366,Lists!$A$2:$A$26,0))),""))</f>
        <v/>
      </c>
      <c r="M1366" s="15" t="str">
        <f t="shared" si="21"/>
        <v/>
      </c>
    </row>
    <row r="1367" spans="1:13" x14ac:dyDescent="0.35">
      <c r="A1367" s="11"/>
      <c r="B1367" s="12"/>
      <c r="C1367" s="12"/>
      <c r="D1367" s="12"/>
      <c r="E1367" s="13"/>
      <c r="F1367" s="13"/>
      <c r="G1367" s="13"/>
      <c r="H1367" s="13"/>
      <c r="I1367" s="12"/>
      <c r="J1367" s="13"/>
      <c r="K1367" s="14" t="str">
        <f>IF(C1367="","",IFERROR(N('Fee Settings'!$C$5)*(E1367+N(F1367)-N(J1367))+N('Fee Settings'!$C$6)*(E1367+N(F1367)+N(G1367))+N('Fee Settings'!$C$7)+N('Fee Settings'!$C$10)*D1367+IF(I1367="Yes",MIN(N('Fee Settings'!$C$8)*(E1367+N(F1367)),N('Fee Settings'!$C$9)),0),""))</f>
        <v/>
      </c>
      <c r="L1367" s="14" t="str">
        <f>IF(C1367="","",IFERROR(D1367*N(INDEX(Products!$C$5:$C$29,MATCH(C1367,Lists!$A$2:$A$26,0))),""))</f>
        <v/>
      </c>
      <c r="M1367" s="15" t="str">
        <f t="shared" si="21"/>
        <v/>
      </c>
    </row>
    <row r="1368" spans="1:13" x14ac:dyDescent="0.35">
      <c r="A1368" s="11"/>
      <c r="B1368" s="12"/>
      <c r="C1368" s="12"/>
      <c r="D1368" s="12"/>
      <c r="E1368" s="13"/>
      <c r="F1368" s="13"/>
      <c r="G1368" s="13"/>
      <c r="H1368" s="13"/>
      <c r="I1368" s="12"/>
      <c r="J1368" s="13"/>
      <c r="K1368" s="14" t="str">
        <f>IF(C1368="","",IFERROR(N('Fee Settings'!$C$5)*(E1368+N(F1368)-N(J1368))+N('Fee Settings'!$C$6)*(E1368+N(F1368)+N(G1368))+N('Fee Settings'!$C$7)+N('Fee Settings'!$C$10)*D1368+IF(I1368="Yes",MIN(N('Fee Settings'!$C$8)*(E1368+N(F1368)),N('Fee Settings'!$C$9)),0),""))</f>
        <v/>
      </c>
      <c r="L1368" s="14" t="str">
        <f>IF(C1368="","",IFERROR(D1368*N(INDEX(Products!$C$5:$C$29,MATCH(C1368,Lists!$A$2:$A$26,0))),""))</f>
        <v/>
      </c>
      <c r="M1368" s="15" t="str">
        <f t="shared" si="21"/>
        <v/>
      </c>
    </row>
    <row r="1369" spans="1:13" x14ac:dyDescent="0.35">
      <c r="A1369" s="11"/>
      <c r="B1369" s="12"/>
      <c r="C1369" s="12"/>
      <c r="D1369" s="12"/>
      <c r="E1369" s="13"/>
      <c r="F1369" s="13"/>
      <c r="G1369" s="13"/>
      <c r="H1369" s="13"/>
      <c r="I1369" s="12"/>
      <c r="J1369" s="13"/>
      <c r="K1369" s="14" t="str">
        <f>IF(C1369="","",IFERROR(N('Fee Settings'!$C$5)*(E1369+N(F1369)-N(J1369))+N('Fee Settings'!$C$6)*(E1369+N(F1369)+N(G1369))+N('Fee Settings'!$C$7)+N('Fee Settings'!$C$10)*D1369+IF(I1369="Yes",MIN(N('Fee Settings'!$C$8)*(E1369+N(F1369)),N('Fee Settings'!$C$9)),0),""))</f>
        <v/>
      </c>
      <c r="L1369" s="14" t="str">
        <f>IF(C1369="","",IFERROR(D1369*N(INDEX(Products!$C$5:$C$29,MATCH(C1369,Lists!$A$2:$A$26,0))),""))</f>
        <v/>
      </c>
      <c r="M1369" s="15" t="str">
        <f t="shared" si="21"/>
        <v/>
      </c>
    </row>
    <row r="1370" spans="1:13" x14ac:dyDescent="0.35">
      <c r="A1370" s="11"/>
      <c r="B1370" s="12"/>
      <c r="C1370" s="12"/>
      <c r="D1370" s="12"/>
      <c r="E1370" s="13"/>
      <c r="F1370" s="13"/>
      <c r="G1370" s="13"/>
      <c r="H1370" s="13"/>
      <c r="I1370" s="12"/>
      <c r="J1370" s="13"/>
      <c r="K1370" s="14" t="str">
        <f>IF(C1370="","",IFERROR(N('Fee Settings'!$C$5)*(E1370+N(F1370)-N(J1370))+N('Fee Settings'!$C$6)*(E1370+N(F1370)+N(G1370))+N('Fee Settings'!$C$7)+N('Fee Settings'!$C$10)*D1370+IF(I1370="Yes",MIN(N('Fee Settings'!$C$8)*(E1370+N(F1370)),N('Fee Settings'!$C$9)),0),""))</f>
        <v/>
      </c>
      <c r="L1370" s="14" t="str">
        <f>IF(C1370="","",IFERROR(D1370*N(INDEX(Products!$C$5:$C$29,MATCH(C1370,Lists!$A$2:$A$26,0))),""))</f>
        <v/>
      </c>
      <c r="M1370" s="15" t="str">
        <f t="shared" si="21"/>
        <v/>
      </c>
    </row>
    <row r="1371" spans="1:13" x14ac:dyDescent="0.35">
      <c r="A1371" s="11"/>
      <c r="B1371" s="12"/>
      <c r="C1371" s="12"/>
      <c r="D1371" s="12"/>
      <c r="E1371" s="13"/>
      <c r="F1371" s="13"/>
      <c r="G1371" s="13"/>
      <c r="H1371" s="13"/>
      <c r="I1371" s="12"/>
      <c r="J1371" s="13"/>
      <c r="K1371" s="14" t="str">
        <f>IF(C1371="","",IFERROR(N('Fee Settings'!$C$5)*(E1371+N(F1371)-N(J1371))+N('Fee Settings'!$C$6)*(E1371+N(F1371)+N(G1371))+N('Fee Settings'!$C$7)+N('Fee Settings'!$C$10)*D1371+IF(I1371="Yes",MIN(N('Fee Settings'!$C$8)*(E1371+N(F1371)),N('Fee Settings'!$C$9)),0),""))</f>
        <v/>
      </c>
      <c r="L1371" s="14" t="str">
        <f>IF(C1371="","",IFERROR(D1371*N(INDEX(Products!$C$5:$C$29,MATCH(C1371,Lists!$A$2:$A$26,0))),""))</f>
        <v/>
      </c>
      <c r="M1371" s="15" t="str">
        <f t="shared" si="21"/>
        <v/>
      </c>
    </row>
    <row r="1372" spans="1:13" x14ac:dyDescent="0.35">
      <c r="A1372" s="11"/>
      <c r="B1372" s="12"/>
      <c r="C1372" s="12"/>
      <c r="D1372" s="12"/>
      <c r="E1372" s="13"/>
      <c r="F1372" s="13"/>
      <c r="G1372" s="13"/>
      <c r="H1372" s="13"/>
      <c r="I1372" s="12"/>
      <c r="J1372" s="13"/>
      <c r="K1372" s="14" t="str">
        <f>IF(C1372="","",IFERROR(N('Fee Settings'!$C$5)*(E1372+N(F1372)-N(J1372))+N('Fee Settings'!$C$6)*(E1372+N(F1372)+N(G1372))+N('Fee Settings'!$C$7)+N('Fee Settings'!$C$10)*D1372+IF(I1372="Yes",MIN(N('Fee Settings'!$C$8)*(E1372+N(F1372)),N('Fee Settings'!$C$9)),0),""))</f>
        <v/>
      </c>
      <c r="L1372" s="14" t="str">
        <f>IF(C1372="","",IFERROR(D1372*N(INDEX(Products!$C$5:$C$29,MATCH(C1372,Lists!$A$2:$A$26,0))),""))</f>
        <v/>
      </c>
      <c r="M1372" s="15" t="str">
        <f t="shared" si="21"/>
        <v/>
      </c>
    </row>
    <row r="1373" spans="1:13" x14ac:dyDescent="0.35">
      <c r="A1373" s="11"/>
      <c r="B1373" s="12"/>
      <c r="C1373" s="12"/>
      <c r="D1373" s="12"/>
      <c r="E1373" s="13"/>
      <c r="F1373" s="13"/>
      <c r="G1373" s="13"/>
      <c r="H1373" s="13"/>
      <c r="I1373" s="12"/>
      <c r="J1373" s="13"/>
      <c r="K1373" s="14" t="str">
        <f>IF(C1373="","",IFERROR(N('Fee Settings'!$C$5)*(E1373+N(F1373)-N(J1373))+N('Fee Settings'!$C$6)*(E1373+N(F1373)+N(G1373))+N('Fee Settings'!$C$7)+N('Fee Settings'!$C$10)*D1373+IF(I1373="Yes",MIN(N('Fee Settings'!$C$8)*(E1373+N(F1373)),N('Fee Settings'!$C$9)),0),""))</f>
        <v/>
      </c>
      <c r="L1373" s="14" t="str">
        <f>IF(C1373="","",IFERROR(D1373*N(INDEX(Products!$C$5:$C$29,MATCH(C1373,Lists!$A$2:$A$26,0))),""))</f>
        <v/>
      </c>
      <c r="M1373" s="15" t="str">
        <f t="shared" si="21"/>
        <v/>
      </c>
    </row>
    <row r="1374" spans="1:13" x14ac:dyDescent="0.35">
      <c r="A1374" s="11"/>
      <c r="B1374" s="12"/>
      <c r="C1374" s="12"/>
      <c r="D1374" s="12"/>
      <c r="E1374" s="13"/>
      <c r="F1374" s="13"/>
      <c r="G1374" s="13"/>
      <c r="H1374" s="13"/>
      <c r="I1374" s="12"/>
      <c r="J1374" s="13"/>
      <c r="K1374" s="14" t="str">
        <f>IF(C1374="","",IFERROR(N('Fee Settings'!$C$5)*(E1374+N(F1374)-N(J1374))+N('Fee Settings'!$C$6)*(E1374+N(F1374)+N(G1374))+N('Fee Settings'!$C$7)+N('Fee Settings'!$C$10)*D1374+IF(I1374="Yes",MIN(N('Fee Settings'!$C$8)*(E1374+N(F1374)),N('Fee Settings'!$C$9)),0),""))</f>
        <v/>
      </c>
      <c r="L1374" s="14" t="str">
        <f>IF(C1374="","",IFERROR(D1374*N(INDEX(Products!$C$5:$C$29,MATCH(C1374,Lists!$A$2:$A$26,0))),""))</f>
        <v/>
      </c>
      <c r="M1374" s="15" t="str">
        <f t="shared" si="21"/>
        <v/>
      </c>
    </row>
    <row r="1375" spans="1:13" x14ac:dyDescent="0.35">
      <c r="A1375" s="11"/>
      <c r="B1375" s="12"/>
      <c r="C1375" s="12"/>
      <c r="D1375" s="12"/>
      <c r="E1375" s="13"/>
      <c r="F1375" s="13"/>
      <c r="G1375" s="13"/>
      <c r="H1375" s="13"/>
      <c r="I1375" s="12"/>
      <c r="J1375" s="13"/>
      <c r="K1375" s="14" t="str">
        <f>IF(C1375="","",IFERROR(N('Fee Settings'!$C$5)*(E1375+N(F1375)-N(J1375))+N('Fee Settings'!$C$6)*(E1375+N(F1375)+N(G1375))+N('Fee Settings'!$C$7)+N('Fee Settings'!$C$10)*D1375+IF(I1375="Yes",MIN(N('Fee Settings'!$C$8)*(E1375+N(F1375)),N('Fee Settings'!$C$9)),0),""))</f>
        <v/>
      </c>
      <c r="L1375" s="14" t="str">
        <f>IF(C1375="","",IFERROR(D1375*N(INDEX(Products!$C$5:$C$29,MATCH(C1375,Lists!$A$2:$A$26,0))),""))</f>
        <v/>
      </c>
      <c r="M1375" s="15" t="str">
        <f t="shared" si="21"/>
        <v/>
      </c>
    </row>
    <row r="1376" spans="1:13" x14ac:dyDescent="0.35">
      <c r="A1376" s="11"/>
      <c r="B1376" s="12"/>
      <c r="C1376" s="12"/>
      <c r="D1376" s="12"/>
      <c r="E1376" s="13"/>
      <c r="F1376" s="13"/>
      <c r="G1376" s="13"/>
      <c r="H1376" s="13"/>
      <c r="I1376" s="12"/>
      <c r="J1376" s="13"/>
      <c r="K1376" s="14" t="str">
        <f>IF(C1376="","",IFERROR(N('Fee Settings'!$C$5)*(E1376+N(F1376)-N(J1376))+N('Fee Settings'!$C$6)*(E1376+N(F1376)+N(G1376))+N('Fee Settings'!$C$7)+N('Fee Settings'!$C$10)*D1376+IF(I1376="Yes",MIN(N('Fee Settings'!$C$8)*(E1376+N(F1376)),N('Fee Settings'!$C$9)),0),""))</f>
        <v/>
      </c>
      <c r="L1376" s="14" t="str">
        <f>IF(C1376="","",IFERROR(D1376*N(INDEX(Products!$C$5:$C$29,MATCH(C1376,Lists!$A$2:$A$26,0))),""))</f>
        <v/>
      </c>
      <c r="M1376" s="15" t="str">
        <f t="shared" si="21"/>
        <v/>
      </c>
    </row>
    <row r="1377" spans="1:13" x14ac:dyDescent="0.35">
      <c r="A1377" s="11"/>
      <c r="B1377" s="12"/>
      <c r="C1377" s="12"/>
      <c r="D1377" s="12"/>
      <c r="E1377" s="13"/>
      <c r="F1377" s="13"/>
      <c r="G1377" s="13"/>
      <c r="H1377" s="13"/>
      <c r="I1377" s="12"/>
      <c r="J1377" s="13"/>
      <c r="K1377" s="14" t="str">
        <f>IF(C1377="","",IFERROR(N('Fee Settings'!$C$5)*(E1377+N(F1377)-N(J1377))+N('Fee Settings'!$C$6)*(E1377+N(F1377)+N(G1377))+N('Fee Settings'!$C$7)+N('Fee Settings'!$C$10)*D1377+IF(I1377="Yes",MIN(N('Fee Settings'!$C$8)*(E1377+N(F1377)),N('Fee Settings'!$C$9)),0),""))</f>
        <v/>
      </c>
      <c r="L1377" s="14" t="str">
        <f>IF(C1377="","",IFERROR(D1377*N(INDEX(Products!$C$5:$C$29,MATCH(C1377,Lists!$A$2:$A$26,0))),""))</f>
        <v/>
      </c>
      <c r="M1377" s="15" t="str">
        <f t="shared" si="21"/>
        <v/>
      </c>
    </row>
    <row r="1378" spans="1:13" x14ac:dyDescent="0.35">
      <c r="A1378" s="11"/>
      <c r="B1378" s="12"/>
      <c r="C1378" s="12"/>
      <c r="D1378" s="12"/>
      <c r="E1378" s="13"/>
      <c r="F1378" s="13"/>
      <c r="G1378" s="13"/>
      <c r="H1378" s="13"/>
      <c r="I1378" s="12"/>
      <c r="J1378" s="13"/>
      <c r="K1378" s="14" t="str">
        <f>IF(C1378="","",IFERROR(N('Fee Settings'!$C$5)*(E1378+N(F1378)-N(J1378))+N('Fee Settings'!$C$6)*(E1378+N(F1378)+N(G1378))+N('Fee Settings'!$C$7)+N('Fee Settings'!$C$10)*D1378+IF(I1378="Yes",MIN(N('Fee Settings'!$C$8)*(E1378+N(F1378)),N('Fee Settings'!$C$9)),0),""))</f>
        <v/>
      </c>
      <c r="L1378" s="14" t="str">
        <f>IF(C1378="","",IFERROR(D1378*N(INDEX(Products!$C$5:$C$29,MATCH(C1378,Lists!$A$2:$A$26,0))),""))</f>
        <v/>
      </c>
      <c r="M1378" s="15" t="str">
        <f t="shared" si="21"/>
        <v/>
      </c>
    </row>
    <row r="1379" spans="1:13" x14ac:dyDescent="0.35">
      <c r="A1379" s="11"/>
      <c r="B1379" s="12"/>
      <c r="C1379" s="12"/>
      <c r="D1379" s="12"/>
      <c r="E1379" s="13"/>
      <c r="F1379" s="13"/>
      <c r="G1379" s="13"/>
      <c r="H1379" s="13"/>
      <c r="I1379" s="12"/>
      <c r="J1379" s="13"/>
      <c r="K1379" s="14" t="str">
        <f>IF(C1379="","",IFERROR(N('Fee Settings'!$C$5)*(E1379+N(F1379)-N(J1379))+N('Fee Settings'!$C$6)*(E1379+N(F1379)+N(G1379))+N('Fee Settings'!$C$7)+N('Fee Settings'!$C$10)*D1379+IF(I1379="Yes",MIN(N('Fee Settings'!$C$8)*(E1379+N(F1379)),N('Fee Settings'!$C$9)),0),""))</f>
        <v/>
      </c>
      <c r="L1379" s="14" t="str">
        <f>IF(C1379="","",IFERROR(D1379*N(INDEX(Products!$C$5:$C$29,MATCH(C1379,Lists!$A$2:$A$26,0))),""))</f>
        <v/>
      </c>
      <c r="M1379" s="15" t="str">
        <f t="shared" si="21"/>
        <v/>
      </c>
    </row>
    <row r="1380" spans="1:13" x14ac:dyDescent="0.35">
      <c r="A1380" s="11"/>
      <c r="B1380" s="12"/>
      <c r="C1380" s="12"/>
      <c r="D1380" s="12"/>
      <c r="E1380" s="13"/>
      <c r="F1380" s="13"/>
      <c r="G1380" s="13"/>
      <c r="H1380" s="13"/>
      <c r="I1380" s="12"/>
      <c r="J1380" s="13"/>
      <c r="K1380" s="14" t="str">
        <f>IF(C1380="","",IFERROR(N('Fee Settings'!$C$5)*(E1380+N(F1380)-N(J1380))+N('Fee Settings'!$C$6)*(E1380+N(F1380)+N(G1380))+N('Fee Settings'!$C$7)+N('Fee Settings'!$C$10)*D1380+IF(I1380="Yes",MIN(N('Fee Settings'!$C$8)*(E1380+N(F1380)),N('Fee Settings'!$C$9)),0),""))</f>
        <v/>
      </c>
      <c r="L1380" s="14" t="str">
        <f>IF(C1380="","",IFERROR(D1380*N(INDEX(Products!$C$5:$C$29,MATCH(C1380,Lists!$A$2:$A$26,0))),""))</f>
        <v/>
      </c>
      <c r="M1380" s="15" t="str">
        <f t="shared" si="21"/>
        <v/>
      </c>
    </row>
    <row r="1381" spans="1:13" x14ac:dyDescent="0.35">
      <c r="A1381" s="11"/>
      <c r="B1381" s="12"/>
      <c r="C1381" s="12"/>
      <c r="D1381" s="12"/>
      <c r="E1381" s="13"/>
      <c r="F1381" s="13"/>
      <c r="G1381" s="13"/>
      <c r="H1381" s="13"/>
      <c r="I1381" s="12"/>
      <c r="J1381" s="13"/>
      <c r="K1381" s="14" t="str">
        <f>IF(C1381="","",IFERROR(N('Fee Settings'!$C$5)*(E1381+N(F1381)-N(J1381))+N('Fee Settings'!$C$6)*(E1381+N(F1381)+N(G1381))+N('Fee Settings'!$C$7)+N('Fee Settings'!$C$10)*D1381+IF(I1381="Yes",MIN(N('Fee Settings'!$C$8)*(E1381+N(F1381)),N('Fee Settings'!$C$9)),0),""))</f>
        <v/>
      </c>
      <c r="L1381" s="14" t="str">
        <f>IF(C1381="","",IFERROR(D1381*N(INDEX(Products!$C$5:$C$29,MATCH(C1381,Lists!$A$2:$A$26,0))),""))</f>
        <v/>
      </c>
      <c r="M1381" s="15" t="str">
        <f t="shared" si="21"/>
        <v/>
      </c>
    </row>
    <row r="1382" spans="1:13" x14ac:dyDescent="0.35">
      <c r="A1382" s="11"/>
      <c r="B1382" s="12"/>
      <c r="C1382" s="12"/>
      <c r="D1382" s="12"/>
      <c r="E1382" s="13"/>
      <c r="F1382" s="13"/>
      <c r="G1382" s="13"/>
      <c r="H1382" s="13"/>
      <c r="I1382" s="12"/>
      <c r="J1382" s="13"/>
      <c r="K1382" s="14" t="str">
        <f>IF(C1382="","",IFERROR(N('Fee Settings'!$C$5)*(E1382+N(F1382)-N(J1382))+N('Fee Settings'!$C$6)*(E1382+N(F1382)+N(G1382))+N('Fee Settings'!$C$7)+N('Fee Settings'!$C$10)*D1382+IF(I1382="Yes",MIN(N('Fee Settings'!$C$8)*(E1382+N(F1382)),N('Fee Settings'!$C$9)),0),""))</f>
        <v/>
      </c>
      <c r="L1382" s="14" t="str">
        <f>IF(C1382="","",IFERROR(D1382*N(INDEX(Products!$C$5:$C$29,MATCH(C1382,Lists!$A$2:$A$26,0))),""))</f>
        <v/>
      </c>
      <c r="M1382" s="15" t="str">
        <f t="shared" si="21"/>
        <v/>
      </c>
    </row>
    <row r="1383" spans="1:13" x14ac:dyDescent="0.35">
      <c r="A1383" s="11"/>
      <c r="B1383" s="12"/>
      <c r="C1383" s="12"/>
      <c r="D1383" s="12"/>
      <c r="E1383" s="13"/>
      <c r="F1383" s="13"/>
      <c r="G1383" s="13"/>
      <c r="H1383" s="13"/>
      <c r="I1383" s="12"/>
      <c r="J1383" s="13"/>
      <c r="K1383" s="14" t="str">
        <f>IF(C1383="","",IFERROR(N('Fee Settings'!$C$5)*(E1383+N(F1383)-N(J1383))+N('Fee Settings'!$C$6)*(E1383+N(F1383)+N(G1383))+N('Fee Settings'!$C$7)+N('Fee Settings'!$C$10)*D1383+IF(I1383="Yes",MIN(N('Fee Settings'!$C$8)*(E1383+N(F1383)),N('Fee Settings'!$C$9)),0),""))</f>
        <v/>
      </c>
      <c r="L1383" s="14" t="str">
        <f>IF(C1383="","",IFERROR(D1383*N(INDEX(Products!$C$5:$C$29,MATCH(C1383,Lists!$A$2:$A$26,0))),""))</f>
        <v/>
      </c>
      <c r="M1383" s="15" t="str">
        <f t="shared" si="21"/>
        <v/>
      </c>
    </row>
    <row r="1384" spans="1:13" x14ac:dyDescent="0.35">
      <c r="A1384" s="11"/>
      <c r="B1384" s="12"/>
      <c r="C1384" s="12"/>
      <c r="D1384" s="12"/>
      <c r="E1384" s="13"/>
      <c r="F1384" s="13"/>
      <c r="G1384" s="13"/>
      <c r="H1384" s="13"/>
      <c r="I1384" s="12"/>
      <c r="J1384" s="13"/>
      <c r="K1384" s="14" t="str">
        <f>IF(C1384="","",IFERROR(N('Fee Settings'!$C$5)*(E1384+N(F1384)-N(J1384))+N('Fee Settings'!$C$6)*(E1384+N(F1384)+N(G1384))+N('Fee Settings'!$C$7)+N('Fee Settings'!$C$10)*D1384+IF(I1384="Yes",MIN(N('Fee Settings'!$C$8)*(E1384+N(F1384)),N('Fee Settings'!$C$9)),0),""))</f>
        <v/>
      </c>
      <c r="L1384" s="14" t="str">
        <f>IF(C1384="","",IFERROR(D1384*N(INDEX(Products!$C$5:$C$29,MATCH(C1384,Lists!$A$2:$A$26,0))),""))</f>
        <v/>
      </c>
      <c r="M1384" s="15" t="str">
        <f t="shared" si="21"/>
        <v/>
      </c>
    </row>
    <row r="1385" spans="1:13" x14ac:dyDescent="0.35">
      <c r="A1385" s="11"/>
      <c r="B1385" s="12"/>
      <c r="C1385" s="12"/>
      <c r="D1385" s="12"/>
      <c r="E1385" s="13"/>
      <c r="F1385" s="13"/>
      <c r="G1385" s="13"/>
      <c r="H1385" s="13"/>
      <c r="I1385" s="12"/>
      <c r="J1385" s="13"/>
      <c r="K1385" s="14" t="str">
        <f>IF(C1385="","",IFERROR(N('Fee Settings'!$C$5)*(E1385+N(F1385)-N(J1385))+N('Fee Settings'!$C$6)*(E1385+N(F1385)+N(G1385))+N('Fee Settings'!$C$7)+N('Fee Settings'!$C$10)*D1385+IF(I1385="Yes",MIN(N('Fee Settings'!$C$8)*(E1385+N(F1385)),N('Fee Settings'!$C$9)),0),""))</f>
        <v/>
      </c>
      <c r="L1385" s="14" t="str">
        <f>IF(C1385="","",IFERROR(D1385*N(INDEX(Products!$C$5:$C$29,MATCH(C1385,Lists!$A$2:$A$26,0))),""))</f>
        <v/>
      </c>
      <c r="M1385" s="15" t="str">
        <f t="shared" si="21"/>
        <v/>
      </c>
    </row>
    <row r="1386" spans="1:13" x14ac:dyDescent="0.35">
      <c r="A1386" s="11"/>
      <c r="B1386" s="12"/>
      <c r="C1386" s="12"/>
      <c r="D1386" s="12"/>
      <c r="E1386" s="13"/>
      <c r="F1386" s="13"/>
      <c r="G1386" s="13"/>
      <c r="H1386" s="13"/>
      <c r="I1386" s="12"/>
      <c r="J1386" s="13"/>
      <c r="K1386" s="14" t="str">
        <f>IF(C1386="","",IFERROR(N('Fee Settings'!$C$5)*(E1386+N(F1386)-N(J1386))+N('Fee Settings'!$C$6)*(E1386+N(F1386)+N(G1386))+N('Fee Settings'!$C$7)+N('Fee Settings'!$C$10)*D1386+IF(I1386="Yes",MIN(N('Fee Settings'!$C$8)*(E1386+N(F1386)),N('Fee Settings'!$C$9)),0),""))</f>
        <v/>
      </c>
      <c r="L1386" s="14" t="str">
        <f>IF(C1386="","",IFERROR(D1386*N(INDEX(Products!$C$5:$C$29,MATCH(C1386,Lists!$A$2:$A$26,0))),""))</f>
        <v/>
      </c>
      <c r="M1386" s="15" t="str">
        <f t="shared" si="21"/>
        <v/>
      </c>
    </row>
    <row r="1387" spans="1:13" x14ac:dyDescent="0.35">
      <c r="A1387" s="11"/>
      <c r="B1387" s="12"/>
      <c r="C1387" s="12"/>
      <c r="D1387" s="12"/>
      <c r="E1387" s="13"/>
      <c r="F1387" s="13"/>
      <c r="G1387" s="13"/>
      <c r="H1387" s="13"/>
      <c r="I1387" s="12"/>
      <c r="J1387" s="13"/>
      <c r="K1387" s="14" t="str">
        <f>IF(C1387="","",IFERROR(N('Fee Settings'!$C$5)*(E1387+N(F1387)-N(J1387))+N('Fee Settings'!$C$6)*(E1387+N(F1387)+N(G1387))+N('Fee Settings'!$C$7)+N('Fee Settings'!$C$10)*D1387+IF(I1387="Yes",MIN(N('Fee Settings'!$C$8)*(E1387+N(F1387)),N('Fee Settings'!$C$9)),0),""))</f>
        <v/>
      </c>
      <c r="L1387" s="14" t="str">
        <f>IF(C1387="","",IFERROR(D1387*N(INDEX(Products!$C$5:$C$29,MATCH(C1387,Lists!$A$2:$A$26,0))),""))</f>
        <v/>
      </c>
      <c r="M1387" s="15" t="str">
        <f t="shared" si="21"/>
        <v/>
      </c>
    </row>
    <row r="1388" spans="1:13" x14ac:dyDescent="0.35">
      <c r="A1388" s="11"/>
      <c r="B1388" s="12"/>
      <c r="C1388" s="12"/>
      <c r="D1388" s="12"/>
      <c r="E1388" s="13"/>
      <c r="F1388" s="13"/>
      <c r="G1388" s="13"/>
      <c r="H1388" s="13"/>
      <c r="I1388" s="12"/>
      <c r="J1388" s="13"/>
      <c r="K1388" s="14" t="str">
        <f>IF(C1388="","",IFERROR(N('Fee Settings'!$C$5)*(E1388+N(F1388)-N(J1388))+N('Fee Settings'!$C$6)*(E1388+N(F1388)+N(G1388))+N('Fee Settings'!$C$7)+N('Fee Settings'!$C$10)*D1388+IF(I1388="Yes",MIN(N('Fee Settings'!$C$8)*(E1388+N(F1388)),N('Fee Settings'!$C$9)),0),""))</f>
        <v/>
      </c>
      <c r="L1388" s="14" t="str">
        <f>IF(C1388="","",IFERROR(D1388*N(INDEX(Products!$C$5:$C$29,MATCH(C1388,Lists!$A$2:$A$26,0))),""))</f>
        <v/>
      </c>
      <c r="M1388" s="15" t="str">
        <f t="shared" si="21"/>
        <v/>
      </c>
    </row>
    <row r="1389" spans="1:13" x14ac:dyDescent="0.35">
      <c r="A1389" s="11"/>
      <c r="B1389" s="12"/>
      <c r="C1389" s="12"/>
      <c r="D1389" s="12"/>
      <c r="E1389" s="13"/>
      <c r="F1389" s="13"/>
      <c r="G1389" s="13"/>
      <c r="H1389" s="13"/>
      <c r="I1389" s="12"/>
      <c r="J1389" s="13"/>
      <c r="K1389" s="14" t="str">
        <f>IF(C1389="","",IFERROR(N('Fee Settings'!$C$5)*(E1389+N(F1389)-N(J1389))+N('Fee Settings'!$C$6)*(E1389+N(F1389)+N(G1389))+N('Fee Settings'!$C$7)+N('Fee Settings'!$C$10)*D1389+IF(I1389="Yes",MIN(N('Fee Settings'!$C$8)*(E1389+N(F1389)),N('Fee Settings'!$C$9)),0),""))</f>
        <v/>
      </c>
      <c r="L1389" s="14" t="str">
        <f>IF(C1389="","",IFERROR(D1389*N(INDEX(Products!$C$5:$C$29,MATCH(C1389,Lists!$A$2:$A$26,0))),""))</f>
        <v/>
      </c>
      <c r="M1389" s="15" t="str">
        <f t="shared" si="21"/>
        <v/>
      </c>
    </row>
    <row r="1390" spans="1:13" x14ac:dyDescent="0.35">
      <c r="A1390" s="11"/>
      <c r="B1390" s="12"/>
      <c r="C1390" s="12"/>
      <c r="D1390" s="12"/>
      <c r="E1390" s="13"/>
      <c r="F1390" s="13"/>
      <c r="G1390" s="13"/>
      <c r="H1390" s="13"/>
      <c r="I1390" s="12"/>
      <c r="J1390" s="13"/>
      <c r="K1390" s="14" t="str">
        <f>IF(C1390="","",IFERROR(N('Fee Settings'!$C$5)*(E1390+N(F1390)-N(J1390))+N('Fee Settings'!$C$6)*(E1390+N(F1390)+N(G1390))+N('Fee Settings'!$C$7)+N('Fee Settings'!$C$10)*D1390+IF(I1390="Yes",MIN(N('Fee Settings'!$C$8)*(E1390+N(F1390)),N('Fee Settings'!$C$9)),0),""))</f>
        <v/>
      </c>
      <c r="L1390" s="14" t="str">
        <f>IF(C1390="","",IFERROR(D1390*N(INDEX(Products!$C$5:$C$29,MATCH(C1390,Lists!$A$2:$A$26,0))),""))</f>
        <v/>
      </c>
      <c r="M1390" s="15" t="str">
        <f t="shared" si="21"/>
        <v/>
      </c>
    </row>
    <row r="1391" spans="1:13" x14ac:dyDescent="0.35">
      <c r="A1391" s="11"/>
      <c r="B1391" s="12"/>
      <c r="C1391" s="12"/>
      <c r="D1391" s="12"/>
      <c r="E1391" s="13"/>
      <c r="F1391" s="13"/>
      <c r="G1391" s="13"/>
      <c r="H1391" s="13"/>
      <c r="I1391" s="12"/>
      <c r="J1391" s="13"/>
      <c r="K1391" s="14" t="str">
        <f>IF(C1391="","",IFERROR(N('Fee Settings'!$C$5)*(E1391+N(F1391)-N(J1391))+N('Fee Settings'!$C$6)*(E1391+N(F1391)+N(G1391))+N('Fee Settings'!$C$7)+N('Fee Settings'!$C$10)*D1391+IF(I1391="Yes",MIN(N('Fee Settings'!$C$8)*(E1391+N(F1391)),N('Fee Settings'!$C$9)),0),""))</f>
        <v/>
      </c>
      <c r="L1391" s="14" t="str">
        <f>IF(C1391="","",IFERROR(D1391*N(INDEX(Products!$C$5:$C$29,MATCH(C1391,Lists!$A$2:$A$26,0))),""))</f>
        <v/>
      </c>
      <c r="M1391" s="15" t="str">
        <f t="shared" si="21"/>
        <v/>
      </c>
    </row>
    <row r="1392" spans="1:13" x14ac:dyDescent="0.35">
      <c r="A1392" s="11"/>
      <c r="B1392" s="12"/>
      <c r="C1392" s="12"/>
      <c r="D1392" s="12"/>
      <c r="E1392" s="13"/>
      <c r="F1392" s="13"/>
      <c r="G1392" s="13"/>
      <c r="H1392" s="13"/>
      <c r="I1392" s="12"/>
      <c r="J1392" s="13"/>
      <c r="K1392" s="14" t="str">
        <f>IF(C1392="","",IFERROR(N('Fee Settings'!$C$5)*(E1392+N(F1392)-N(J1392))+N('Fee Settings'!$C$6)*(E1392+N(F1392)+N(G1392))+N('Fee Settings'!$C$7)+N('Fee Settings'!$C$10)*D1392+IF(I1392="Yes",MIN(N('Fee Settings'!$C$8)*(E1392+N(F1392)),N('Fee Settings'!$C$9)),0),""))</f>
        <v/>
      </c>
      <c r="L1392" s="14" t="str">
        <f>IF(C1392="","",IFERROR(D1392*N(INDEX(Products!$C$5:$C$29,MATCH(C1392,Lists!$A$2:$A$26,0))),""))</f>
        <v/>
      </c>
      <c r="M1392" s="15" t="str">
        <f t="shared" si="21"/>
        <v/>
      </c>
    </row>
    <row r="1393" spans="1:13" x14ac:dyDescent="0.35">
      <c r="A1393" s="11"/>
      <c r="B1393" s="12"/>
      <c r="C1393" s="12"/>
      <c r="D1393" s="12"/>
      <c r="E1393" s="13"/>
      <c r="F1393" s="13"/>
      <c r="G1393" s="13"/>
      <c r="H1393" s="13"/>
      <c r="I1393" s="12"/>
      <c r="J1393" s="13"/>
      <c r="K1393" s="14" t="str">
        <f>IF(C1393="","",IFERROR(N('Fee Settings'!$C$5)*(E1393+N(F1393)-N(J1393))+N('Fee Settings'!$C$6)*(E1393+N(F1393)+N(G1393))+N('Fee Settings'!$C$7)+N('Fee Settings'!$C$10)*D1393+IF(I1393="Yes",MIN(N('Fee Settings'!$C$8)*(E1393+N(F1393)),N('Fee Settings'!$C$9)),0),""))</f>
        <v/>
      </c>
      <c r="L1393" s="14" t="str">
        <f>IF(C1393="","",IFERROR(D1393*N(INDEX(Products!$C$5:$C$29,MATCH(C1393,Lists!$A$2:$A$26,0))),""))</f>
        <v/>
      </c>
      <c r="M1393" s="15" t="str">
        <f t="shared" si="21"/>
        <v/>
      </c>
    </row>
    <row r="1394" spans="1:13" x14ac:dyDescent="0.35">
      <c r="A1394" s="11"/>
      <c r="B1394" s="12"/>
      <c r="C1394" s="12"/>
      <c r="D1394" s="12"/>
      <c r="E1394" s="13"/>
      <c r="F1394" s="13"/>
      <c r="G1394" s="13"/>
      <c r="H1394" s="13"/>
      <c r="I1394" s="12"/>
      <c r="J1394" s="13"/>
      <c r="K1394" s="14" t="str">
        <f>IF(C1394="","",IFERROR(N('Fee Settings'!$C$5)*(E1394+N(F1394)-N(J1394))+N('Fee Settings'!$C$6)*(E1394+N(F1394)+N(G1394))+N('Fee Settings'!$C$7)+N('Fee Settings'!$C$10)*D1394+IF(I1394="Yes",MIN(N('Fee Settings'!$C$8)*(E1394+N(F1394)),N('Fee Settings'!$C$9)),0),""))</f>
        <v/>
      </c>
      <c r="L1394" s="14" t="str">
        <f>IF(C1394="","",IFERROR(D1394*N(INDEX(Products!$C$5:$C$29,MATCH(C1394,Lists!$A$2:$A$26,0))),""))</f>
        <v/>
      </c>
      <c r="M1394" s="15" t="str">
        <f t="shared" si="21"/>
        <v/>
      </c>
    </row>
    <row r="1395" spans="1:13" x14ac:dyDescent="0.35">
      <c r="A1395" s="11"/>
      <c r="B1395" s="12"/>
      <c r="C1395" s="12"/>
      <c r="D1395" s="12"/>
      <c r="E1395" s="13"/>
      <c r="F1395" s="13"/>
      <c r="G1395" s="13"/>
      <c r="H1395" s="13"/>
      <c r="I1395" s="12"/>
      <c r="J1395" s="13"/>
      <c r="K1395" s="14" t="str">
        <f>IF(C1395="","",IFERROR(N('Fee Settings'!$C$5)*(E1395+N(F1395)-N(J1395))+N('Fee Settings'!$C$6)*(E1395+N(F1395)+N(G1395))+N('Fee Settings'!$C$7)+N('Fee Settings'!$C$10)*D1395+IF(I1395="Yes",MIN(N('Fee Settings'!$C$8)*(E1395+N(F1395)),N('Fee Settings'!$C$9)),0),""))</f>
        <v/>
      </c>
      <c r="L1395" s="14" t="str">
        <f>IF(C1395="","",IFERROR(D1395*N(INDEX(Products!$C$5:$C$29,MATCH(C1395,Lists!$A$2:$A$26,0))),""))</f>
        <v/>
      </c>
      <c r="M1395" s="15" t="str">
        <f t="shared" si="21"/>
        <v/>
      </c>
    </row>
    <row r="1396" spans="1:13" x14ac:dyDescent="0.35">
      <c r="A1396" s="11"/>
      <c r="B1396" s="12"/>
      <c r="C1396" s="12"/>
      <c r="D1396" s="12"/>
      <c r="E1396" s="13"/>
      <c r="F1396" s="13"/>
      <c r="G1396" s="13"/>
      <c r="H1396" s="13"/>
      <c r="I1396" s="12"/>
      <c r="J1396" s="13"/>
      <c r="K1396" s="14" t="str">
        <f>IF(C1396="","",IFERROR(N('Fee Settings'!$C$5)*(E1396+N(F1396)-N(J1396))+N('Fee Settings'!$C$6)*(E1396+N(F1396)+N(G1396))+N('Fee Settings'!$C$7)+N('Fee Settings'!$C$10)*D1396+IF(I1396="Yes",MIN(N('Fee Settings'!$C$8)*(E1396+N(F1396)),N('Fee Settings'!$C$9)),0),""))</f>
        <v/>
      </c>
      <c r="L1396" s="14" t="str">
        <f>IF(C1396="","",IFERROR(D1396*N(INDEX(Products!$C$5:$C$29,MATCH(C1396,Lists!$A$2:$A$26,0))),""))</f>
        <v/>
      </c>
      <c r="M1396" s="15" t="str">
        <f t="shared" si="21"/>
        <v/>
      </c>
    </row>
    <row r="1397" spans="1:13" x14ac:dyDescent="0.35">
      <c r="A1397" s="11"/>
      <c r="B1397" s="12"/>
      <c r="C1397" s="12"/>
      <c r="D1397" s="12"/>
      <c r="E1397" s="13"/>
      <c r="F1397" s="13"/>
      <c r="G1397" s="13"/>
      <c r="H1397" s="13"/>
      <c r="I1397" s="12"/>
      <c r="J1397" s="13"/>
      <c r="K1397" s="14" t="str">
        <f>IF(C1397="","",IFERROR(N('Fee Settings'!$C$5)*(E1397+N(F1397)-N(J1397))+N('Fee Settings'!$C$6)*(E1397+N(F1397)+N(G1397))+N('Fee Settings'!$C$7)+N('Fee Settings'!$C$10)*D1397+IF(I1397="Yes",MIN(N('Fee Settings'!$C$8)*(E1397+N(F1397)),N('Fee Settings'!$C$9)),0),""))</f>
        <v/>
      </c>
      <c r="L1397" s="14" t="str">
        <f>IF(C1397="","",IFERROR(D1397*N(INDEX(Products!$C$5:$C$29,MATCH(C1397,Lists!$A$2:$A$26,0))),""))</f>
        <v/>
      </c>
      <c r="M1397" s="15" t="str">
        <f t="shared" si="21"/>
        <v/>
      </c>
    </row>
    <row r="1398" spans="1:13" x14ac:dyDescent="0.35">
      <c r="A1398" s="11"/>
      <c r="B1398" s="12"/>
      <c r="C1398" s="12"/>
      <c r="D1398" s="12"/>
      <c r="E1398" s="13"/>
      <c r="F1398" s="13"/>
      <c r="G1398" s="13"/>
      <c r="H1398" s="13"/>
      <c r="I1398" s="12"/>
      <c r="J1398" s="13"/>
      <c r="K1398" s="14" t="str">
        <f>IF(C1398="","",IFERROR(N('Fee Settings'!$C$5)*(E1398+N(F1398)-N(J1398))+N('Fee Settings'!$C$6)*(E1398+N(F1398)+N(G1398))+N('Fee Settings'!$C$7)+N('Fee Settings'!$C$10)*D1398+IF(I1398="Yes",MIN(N('Fee Settings'!$C$8)*(E1398+N(F1398)),N('Fee Settings'!$C$9)),0),""))</f>
        <v/>
      </c>
      <c r="L1398" s="14" t="str">
        <f>IF(C1398="","",IFERROR(D1398*N(INDEX(Products!$C$5:$C$29,MATCH(C1398,Lists!$A$2:$A$26,0))),""))</f>
        <v/>
      </c>
      <c r="M1398" s="15" t="str">
        <f t="shared" si="21"/>
        <v/>
      </c>
    </row>
    <row r="1399" spans="1:13" x14ac:dyDescent="0.35">
      <c r="A1399" s="11"/>
      <c r="B1399" s="12"/>
      <c r="C1399" s="12"/>
      <c r="D1399" s="12"/>
      <c r="E1399" s="13"/>
      <c r="F1399" s="13"/>
      <c r="G1399" s="13"/>
      <c r="H1399" s="13"/>
      <c r="I1399" s="12"/>
      <c r="J1399" s="13"/>
      <c r="K1399" s="14" t="str">
        <f>IF(C1399="","",IFERROR(N('Fee Settings'!$C$5)*(E1399+N(F1399)-N(J1399))+N('Fee Settings'!$C$6)*(E1399+N(F1399)+N(G1399))+N('Fee Settings'!$C$7)+N('Fee Settings'!$C$10)*D1399+IF(I1399="Yes",MIN(N('Fee Settings'!$C$8)*(E1399+N(F1399)),N('Fee Settings'!$C$9)),0),""))</f>
        <v/>
      </c>
      <c r="L1399" s="14" t="str">
        <f>IF(C1399="","",IFERROR(D1399*N(INDEX(Products!$C$5:$C$29,MATCH(C1399,Lists!$A$2:$A$26,0))),""))</f>
        <v/>
      </c>
      <c r="M1399" s="15" t="str">
        <f t="shared" si="21"/>
        <v/>
      </c>
    </row>
    <row r="1400" spans="1:13" x14ac:dyDescent="0.35">
      <c r="A1400" s="11"/>
      <c r="B1400" s="12"/>
      <c r="C1400" s="12"/>
      <c r="D1400" s="12"/>
      <c r="E1400" s="13"/>
      <c r="F1400" s="13"/>
      <c r="G1400" s="13"/>
      <c r="H1400" s="13"/>
      <c r="I1400" s="12"/>
      <c r="J1400" s="13"/>
      <c r="K1400" s="14" t="str">
        <f>IF(C1400="","",IFERROR(N('Fee Settings'!$C$5)*(E1400+N(F1400)-N(J1400))+N('Fee Settings'!$C$6)*(E1400+N(F1400)+N(G1400))+N('Fee Settings'!$C$7)+N('Fee Settings'!$C$10)*D1400+IF(I1400="Yes",MIN(N('Fee Settings'!$C$8)*(E1400+N(F1400)),N('Fee Settings'!$C$9)),0),""))</f>
        <v/>
      </c>
      <c r="L1400" s="14" t="str">
        <f>IF(C1400="","",IFERROR(D1400*N(INDEX(Products!$C$5:$C$29,MATCH(C1400,Lists!$A$2:$A$26,0))),""))</f>
        <v/>
      </c>
      <c r="M1400" s="15" t="str">
        <f t="shared" si="21"/>
        <v/>
      </c>
    </row>
    <row r="1401" spans="1:13" x14ac:dyDescent="0.35">
      <c r="A1401" s="11"/>
      <c r="B1401" s="12"/>
      <c r="C1401" s="12"/>
      <c r="D1401" s="12"/>
      <c r="E1401" s="13"/>
      <c r="F1401" s="13"/>
      <c r="G1401" s="13"/>
      <c r="H1401" s="13"/>
      <c r="I1401" s="12"/>
      <c r="J1401" s="13"/>
      <c r="K1401" s="14" t="str">
        <f>IF(C1401="","",IFERROR(N('Fee Settings'!$C$5)*(E1401+N(F1401)-N(J1401))+N('Fee Settings'!$C$6)*(E1401+N(F1401)+N(G1401))+N('Fee Settings'!$C$7)+N('Fee Settings'!$C$10)*D1401+IF(I1401="Yes",MIN(N('Fee Settings'!$C$8)*(E1401+N(F1401)),N('Fee Settings'!$C$9)),0),""))</f>
        <v/>
      </c>
      <c r="L1401" s="14" t="str">
        <f>IF(C1401="","",IFERROR(D1401*N(INDEX(Products!$C$5:$C$29,MATCH(C1401,Lists!$A$2:$A$26,0))),""))</f>
        <v/>
      </c>
      <c r="M1401" s="15" t="str">
        <f t="shared" si="21"/>
        <v/>
      </c>
    </row>
    <row r="1402" spans="1:13" x14ac:dyDescent="0.35">
      <c r="A1402" s="11"/>
      <c r="B1402" s="12"/>
      <c r="C1402" s="12"/>
      <c r="D1402" s="12"/>
      <c r="E1402" s="13"/>
      <c r="F1402" s="13"/>
      <c r="G1402" s="13"/>
      <c r="H1402" s="13"/>
      <c r="I1402" s="12"/>
      <c r="J1402" s="13"/>
      <c r="K1402" s="14" t="str">
        <f>IF(C1402="","",IFERROR(N('Fee Settings'!$C$5)*(E1402+N(F1402)-N(J1402))+N('Fee Settings'!$C$6)*(E1402+N(F1402)+N(G1402))+N('Fee Settings'!$C$7)+N('Fee Settings'!$C$10)*D1402+IF(I1402="Yes",MIN(N('Fee Settings'!$C$8)*(E1402+N(F1402)),N('Fee Settings'!$C$9)),0),""))</f>
        <v/>
      </c>
      <c r="L1402" s="14" t="str">
        <f>IF(C1402="","",IFERROR(D1402*N(INDEX(Products!$C$5:$C$29,MATCH(C1402,Lists!$A$2:$A$26,0))),""))</f>
        <v/>
      </c>
      <c r="M1402" s="15" t="str">
        <f t="shared" si="21"/>
        <v/>
      </c>
    </row>
    <row r="1403" spans="1:13" x14ac:dyDescent="0.35">
      <c r="A1403" s="11"/>
      <c r="B1403" s="12"/>
      <c r="C1403" s="12"/>
      <c r="D1403" s="12"/>
      <c r="E1403" s="13"/>
      <c r="F1403" s="13"/>
      <c r="G1403" s="13"/>
      <c r="H1403" s="13"/>
      <c r="I1403" s="12"/>
      <c r="J1403" s="13"/>
      <c r="K1403" s="14" t="str">
        <f>IF(C1403="","",IFERROR(N('Fee Settings'!$C$5)*(E1403+N(F1403)-N(J1403))+N('Fee Settings'!$C$6)*(E1403+N(F1403)+N(G1403))+N('Fee Settings'!$C$7)+N('Fee Settings'!$C$10)*D1403+IF(I1403="Yes",MIN(N('Fee Settings'!$C$8)*(E1403+N(F1403)),N('Fee Settings'!$C$9)),0),""))</f>
        <v/>
      </c>
      <c r="L1403" s="14" t="str">
        <f>IF(C1403="","",IFERROR(D1403*N(INDEX(Products!$C$5:$C$29,MATCH(C1403,Lists!$A$2:$A$26,0))),""))</f>
        <v/>
      </c>
      <c r="M1403" s="15" t="str">
        <f t="shared" si="21"/>
        <v/>
      </c>
    </row>
    <row r="1404" spans="1:13" x14ac:dyDescent="0.35">
      <c r="A1404" s="11"/>
      <c r="B1404" s="12"/>
      <c r="C1404" s="12"/>
      <c r="D1404" s="12"/>
      <c r="E1404" s="13"/>
      <c r="F1404" s="13"/>
      <c r="G1404" s="13"/>
      <c r="H1404" s="13"/>
      <c r="I1404" s="12"/>
      <c r="J1404" s="13"/>
      <c r="K1404" s="14" t="str">
        <f>IF(C1404="","",IFERROR(N('Fee Settings'!$C$5)*(E1404+N(F1404)-N(J1404))+N('Fee Settings'!$C$6)*(E1404+N(F1404)+N(G1404))+N('Fee Settings'!$C$7)+N('Fee Settings'!$C$10)*D1404+IF(I1404="Yes",MIN(N('Fee Settings'!$C$8)*(E1404+N(F1404)),N('Fee Settings'!$C$9)),0),""))</f>
        <v/>
      </c>
      <c r="L1404" s="14" t="str">
        <f>IF(C1404="","",IFERROR(D1404*N(INDEX(Products!$C$5:$C$29,MATCH(C1404,Lists!$A$2:$A$26,0))),""))</f>
        <v/>
      </c>
      <c r="M1404" s="15" t="str">
        <f t="shared" si="21"/>
        <v/>
      </c>
    </row>
    <row r="1405" spans="1:13" x14ac:dyDescent="0.35">
      <c r="A1405" s="11"/>
      <c r="B1405" s="12"/>
      <c r="C1405" s="12"/>
      <c r="D1405" s="12"/>
      <c r="E1405" s="13"/>
      <c r="F1405" s="13"/>
      <c r="G1405" s="13"/>
      <c r="H1405" s="13"/>
      <c r="I1405" s="12"/>
      <c r="J1405" s="13"/>
      <c r="K1405" s="14" t="str">
        <f>IF(C1405="","",IFERROR(N('Fee Settings'!$C$5)*(E1405+N(F1405)-N(J1405))+N('Fee Settings'!$C$6)*(E1405+N(F1405)+N(G1405))+N('Fee Settings'!$C$7)+N('Fee Settings'!$C$10)*D1405+IF(I1405="Yes",MIN(N('Fee Settings'!$C$8)*(E1405+N(F1405)),N('Fee Settings'!$C$9)),0),""))</f>
        <v/>
      </c>
      <c r="L1405" s="14" t="str">
        <f>IF(C1405="","",IFERROR(D1405*N(INDEX(Products!$C$5:$C$29,MATCH(C1405,Lists!$A$2:$A$26,0))),""))</f>
        <v/>
      </c>
      <c r="M1405" s="15" t="str">
        <f t="shared" si="21"/>
        <v/>
      </c>
    </row>
    <row r="1406" spans="1:13" x14ac:dyDescent="0.35">
      <c r="A1406" s="11"/>
      <c r="B1406" s="12"/>
      <c r="C1406" s="12"/>
      <c r="D1406" s="12"/>
      <c r="E1406" s="13"/>
      <c r="F1406" s="13"/>
      <c r="G1406" s="13"/>
      <c r="H1406" s="13"/>
      <c r="I1406" s="12"/>
      <c r="J1406" s="13"/>
      <c r="K1406" s="14" t="str">
        <f>IF(C1406="","",IFERROR(N('Fee Settings'!$C$5)*(E1406+N(F1406)-N(J1406))+N('Fee Settings'!$C$6)*(E1406+N(F1406)+N(G1406))+N('Fee Settings'!$C$7)+N('Fee Settings'!$C$10)*D1406+IF(I1406="Yes",MIN(N('Fee Settings'!$C$8)*(E1406+N(F1406)),N('Fee Settings'!$C$9)),0),""))</f>
        <v/>
      </c>
      <c r="L1406" s="14" t="str">
        <f>IF(C1406="","",IFERROR(D1406*N(INDEX(Products!$C$5:$C$29,MATCH(C1406,Lists!$A$2:$A$26,0))),""))</f>
        <v/>
      </c>
      <c r="M1406" s="15" t="str">
        <f t="shared" si="21"/>
        <v/>
      </c>
    </row>
    <row r="1407" spans="1:13" x14ac:dyDescent="0.35">
      <c r="A1407" s="11"/>
      <c r="B1407" s="12"/>
      <c r="C1407" s="12"/>
      <c r="D1407" s="12"/>
      <c r="E1407" s="13"/>
      <c r="F1407" s="13"/>
      <c r="G1407" s="13"/>
      <c r="H1407" s="13"/>
      <c r="I1407" s="12"/>
      <c r="J1407" s="13"/>
      <c r="K1407" s="14" t="str">
        <f>IF(C1407="","",IFERROR(N('Fee Settings'!$C$5)*(E1407+N(F1407)-N(J1407))+N('Fee Settings'!$C$6)*(E1407+N(F1407)+N(G1407))+N('Fee Settings'!$C$7)+N('Fee Settings'!$C$10)*D1407+IF(I1407="Yes",MIN(N('Fee Settings'!$C$8)*(E1407+N(F1407)),N('Fee Settings'!$C$9)),0),""))</f>
        <v/>
      </c>
      <c r="L1407" s="14" t="str">
        <f>IF(C1407="","",IFERROR(D1407*N(INDEX(Products!$C$5:$C$29,MATCH(C1407,Lists!$A$2:$A$26,0))),""))</f>
        <v/>
      </c>
      <c r="M1407" s="15" t="str">
        <f t="shared" si="21"/>
        <v/>
      </c>
    </row>
    <row r="1408" spans="1:13" x14ac:dyDescent="0.35">
      <c r="A1408" s="11"/>
      <c r="B1408" s="12"/>
      <c r="C1408" s="12"/>
      <c r="D1408" s="12"/>
      <c r="E1408" s="13"/>
      <c r="F1408" s="13"/>
      <c r="G1408" s="13"/>
      <c r="H1408" s="13"/>
      <c r="I1408" s="12"/>
      <c r="J1408" s="13"/>
      <c r="K1408" s="14" t="str">
        <f>IF(C1408="","",IFERROR(N('Fee Settings'!$C$5)*(E1408+N(F1408)-N(J1408))+N('Fee Settings'!$C$6)*(E1408+N(F1408)+N(G1408))+N('Fee Settings'!$C$7)+N('Fee Settings'!$C$10)*D1408+IF(I1408="Yes",MIN(N('Fee Settings'!$C$8)*(E1408+N(F1408)),N('Fee Settings'!$C$9)),0),""))</f>
        <v/>
      </c>
      <c r="L1408" s="14" t="str">
        <f>IF(C1408="","",IFERROR(D1408*N(INDEX(Products!$C$5:$C$29,MATCH(C1408,Lists!$A$2:$A$26,0))),""))</f>
        <v/>
      </c>
      <c r="M1408" s="15" t="str">
        <f t="shared" si="21"/>
        <v/>
      </c>
    </row>
    <row r="1409" spans="1:13" x14ac:dyDescent="0.35">
      <c r="A1409" s="11"/>
      <c r="B1409" s="12"/>
      <c r="C1409" s="12"/>
      <c r="D1409" s="12"/>
      <c r="E1409" s="13"/>
      <c r="F1409" s="13"/>
      <c r="G1409" s="13"/>
      <c r="H1409" s="13"/>
      <c r="I1409" s="12"/>
      <c r="J1409" s="13"/>
      <c r="K1409" s="14" t="str">
        <f>IF(C1409="","",IFERROR(N('Fee Settings'!$C$5)*(E1409+N(F1409)-N(J1409))+N('Fee Settings'!$C$6)*(E1409+N(F1409)+N(G1409))+N('Fee Settings'!$C$7)+N('Fee Settings'!$C$10)*D1409+IF(I1409="Yes",MIN(N('Fee Settings'!$C$8)*(E1409+N(F1409)),N('Fee Settings'!$C$9)),0),""))</f>
        <v/>
      </c>
      <c r="L1409" s="14" t="str">
        <f>IF(C1409="","",IFERROR(D1409*N(INDEX(Products!$C$5:$C$29,MATCH(C1409,Lists!$A$2:$A$26,0))),""))</f>
        <v/>
      </c>
      <c r="M1409" s="15" t="str">
        <f t="shared" si="21"/>
        <v/>
      </c>
    </row>
    <row r="1410" spans="1:13" x14ac:dyDescent="0.35">
      <c r="A1410" s="11"/>
      <c r="B1410" s="12"/>
      <c r="C1410" s="12"/>
      <c r="D1410" s="12"/>
      <c r="E1410" s="13"/>
      <c r="F1410" s="13"/>
      <c r="G1410" s="13"/>
      <c r="H1410" s="13"/>
      <c r="I1410" s="12"/>
      <c r="J1410" s="13"/>
      <c r="K1410" s="14" t="str">
        <f>IF(C1410="","",IFERROR(N('Fee Settings'!$C$5)*(E1410+N(F1410)-N(J1410))+N('Fee Settings'!$C$6)*(E1410+N(F1410)+N(G1410))+N('Fee Settings'!$C$7)+N('Fee Settings'!$C$10)*D1410+IF(I1410="Yes",MIN(N('Fee Settings'!$C$8)*(E1410+N(F1410)),N('Fee Settings'!$C$9)),0),""))</f>
        <v/>
      </c>
      <c r="L1410" s="14" t="str">
        <f>IF(C1410="","",IFERROR(D1410*N(INDEX(Products!$C$5:$C$29,MATCH(C1410,Lists!$A$2:$A$26,0))),""))</f>
        <v/>
      </c>
      <c r="M1410" s="15" t="str">
        <f t="shared" si="21"/>
        <v/>
      </c>
    </row>
    <row r="1411" spans="1:13" x14ac:dyDescent="0.35">
      <c r="A1411" s="11"/>
      <c r="B1411" s="12"/>
      <c r="C1411" s="12"/>
      <c r="D1411" s="12"/>
      <c r="E1411" s="13"/>
      <c r="F1411" s="13"/>
      <c r="G1411" s="13"/>
      <c r="H1411" s="13"/>
      <c r="I1411" s="12"/>
      <c r="J1411" s="13"/>
      <c r="K1411" s="14" t="str">
        <f>IF(C1411="","",IFERROR(N('Fee Settings'!$C$5)*(E1411+N(F1411)-N(J1411))+N('Fee Settings'!$C$6)*(E1411+N(F1411)+N(G1411))+N('Fee Settings'!$C$7)+N('Fee Settings'!$C$10)*D1411+IF(I1411="Yes",MIN(N('Fee Settings'!$C$8)*(E1411+N(F1411)),N('Fee Settings'!$C$9)),0),""))</f>
        <v/>
      </c>
      <c r="L1411" s="14" t="str">
        <f>IF(C1411="","",IFERROR(D1411*N(INDEX(Products!$C$5:$C$29,MATCH(C1411,Lists!$A$2:$A$26,0))),""))</f>
        <v/>
      </c>
      <c r="M1411" s="15" t="str">
        <f t="shared" si="21"/>
        <v/>
      </c>
    </row>
    <row r="1412" spans="1:13" x14ac:dyDescent="0.35">
      <c r="A1412" s="11"/>
      <c r="B1412" s="12"/>
      <c r="C1412" s="12"/>
      <c r="D1412" s="12"/>
      <c r="E1412" s="13"/>
      <c r="F1412" s="13"/>
      <c r="G1412" s="13"/>
      <c r="H1412" s="13"/>
      <c r="I1412" s="12"/>
      <c r="J1412" s="13"/>
      <c r="K1412" s="14" t="str">
        <f>IF(C1412="","",IFERROR(N('Fee Settings'!$C$5)*(E1412+N(F1412)-N(J1412))+N('Fee Settings'!$C$6)*(E1412+N(F1412)+N(G1412))+N('Fee Settings'!$C$7)+N('Fee Settings'!$C$10)*D1412+IF(I1412="Yes",MIN(N('Fee Settings'!$C$8)*(E1412+N(F1412)),N('Fee Settings'!$C$9)),0),""))</f>
        <v/>
      </c>
      <c r="L1412" s="14" t="str">
        <f>IF(C1412="","",IFERROR(D1412*N(INDEX(Products!$C$5:$C$29,MATCH(C1412,Lists!$A$2:$A$26,0))),""))</f>
        <v/>
      </c>
      <c r="M1412" s="15" t="str">
        <f t="shared" si="21"/>
        <v/>
      </c>
    </row>
    <row r="1413" spans="1:13" x14ac:dyDescent="0.35">
      <c r="A1413" s="11"/>
      <c r="B1413" s="12"/>
      <c r="C1413" s="12"/>
      <c r="D1413" s="12"/>
      <c r="E1413" s="13"/>
      <c r="F1413" s="13"/>
      <c r="G1413" s="13"/>
      <c r="H1413" s="13"/>
      <c r="I1413" s="12"/>
      <c r="J1413" s="13"/>
      <c r="K1413" s="14" t="str">
        <f>IF(C1413="","",IFERROR(N('Fee Settings'!$C$5)*(E1413+N(F1413)-N(J1413))+N('Fee Settings'!$C$6)*(E1413+N(F1413)+N(G1413))+N('Fee Settings'!$C$7)+N('Fee Settings'!$C$10)*D1413+IF(I1413="Yes",MIN(N('Fee Settings'!$C$8)*(E1413+N(F1413)),N('Fee Settings'!$C$9)),0),""))</f>
        <v/>
      </c>
      <c r="L1413" s="14" t="str">
        <f>IF(C1413="","",IFERROR(D1413*N(INDEX(Products!$C$5:$C$29,MATCH(C1413,Lists!$A$2:$A$26,0))),""))</f>
        <v/>
      </c>
      <c r="M1413" s="15" t="str">
        <f t="shared" ref="M1413:M1476" si="22">IF(C1413="","",IFERROR(E1413+N(F1413)-N(J1413)-K1413-L1413-N(H1413),""))</f>
        <v/>
      </c>
    </row>
    <row r="1414" spans="1:13" x14ac:dyDescent="0.35">
      <c r="A1414" s="11"/>
      <c r="B1414" s="12"/>
      <c r="C1414" s="12"/>
      <c r="D1414" s="12"/>
      <c r="E1414" s="13"/>
      <c r="F1414" s="13"/>
      <c r="G1414" s="13"/>
      <c r="H1414" s="13"/>
      <c r="I1414" s="12"/>
      <c r="J1414" s="13"/>
      <c r="K1414" s="14" t="str">
        <f>IF(C1414="","",IFERROR(N('Fee Settings'!$C$5)*(E1414+N(F1414)-N(J1414))+N('Fee Settings'!$C$6)*(E1414+N(F1414)+N(G1414))+N('Fee Settings'!$C$7)+N('Fee Settings'!$C$10)*D1414+IF(I1414="Yes",MIN(N('Fee Settings'!$C$8)*(E1414+N(F1414)),N('Fee Settings'!$C$9)),0),""))</f>
        <v/>
      </c>
      <c r="L1414" s="14" t="str">
        <f>IF(C1414="","",IFERROR(D1414*N(INDEX(Products!$C$5:$C$29,MATCH(C1414,Lists!$A$2:$A$26,0))),""))</f>
        <v/>
      </c>
      <c r="M1414" s="15" t="str">
        <f t="shared" si="22"/>
        <v/>
      </c>
    </row>
    <row r="1415" spans="1:13" x14ac:dyDescent="0.35">
      <c r="A1415" s="11"/>
      <c r="B1415" s="12"/>
      <c r="C1415" s="12"/>
      <c r="D1415" s="12"/>
      <c r="E1415" s="13"/>
      <c r="F1415" s="13"/>
      <c r="G1415" s="13"/>
      <c r="H1415" s="13"/>
      <c r="I1415" s="12"/>
      <c r="J1415" s="13"/>
      <c r="K1415" s="14" t="str">
        <f>IF(C1415="","",IFERROR(N('Fee Settings'!$C$5)*(E1415+N(F1415)-N(J1415))+N('Fee Settings'!$C$6)*(E1415+N(F1415)+N(G1415))+N('Fee Settings'!$C$7)+N('Fee Settings'!$C$10)*D1415+IF(I1415="Yes",MIN(N('Fee Settings'!$C$8)*(E1415+N(F1415)),N('Fee Settings'!$C$9)),0),""))</f>
        <v/>
      </c>
      <c r="L1415" s="14" t="str">
        <f>IF(C1415="","",IFERROR(D1415*N(INDEX(Products!$C$5:$C$29,MATCH(C1415,Lists!$A$2:$A$26,0))),""))</f>
        <v/>
      </c>
      <c r="M1415" s="15" t="str">
        <f t="shared" si="22"/>
        <v/>
      </c>
    </row>
    <row r="1416" spans="1:13" x14ac:dyDescent="0.35">
      <c r="A1416" s="11"/>
      <c r="B1416" s="12"/>
      <c r="C1416" s="12"/>
      <c r="D1416" s="12"/>
      <c r="E1416" s="13"/>
      <c r="F1416" s="13"/>
      <c r="G1416" s="13"/>
      <c r="H1416" s="13"/>
      <c r="I1416" s="12"/>
      <c r="J1416" s="13"/>
      <c r="K1416" s="14" t="str">
        <f>IF(C1416="","",IFERROR(N('Fee Settings'!$C$5)*(E1416+N(F1416)-N(J1416))+N('Fee Settings'!$C$6)*(E1416+N(F1416)+N(G1416))+N('Fee Settings'!$C$7)+N('Fee Settings'!$C$10)*D1416+IF(I1416="Yes",MIN(N('Fee Settings'!$C$8)*(E1416+N(F1416)),N('Fee Settings'!$C$9)),0),""))</f>
        <v/>
      </c>
      <c r="L1416" s="14" t="str">
        <f>IF(C1416="","",IFERROR(D1416*N(INDEX(Products!$C$5:$C$29,MATCH(C1416,Lists!$A$2:$A$26,0))),""))</f>
        <v/>
      </c>
      <c r="M1416" s="15" t="str">
        <f t="shared" si="22"/>
        <v/>
      </c>
    </row>
    <row r="1417" spans="1:13" x14ac:dyDescent="0.35">
      <c r="A1417" s="11"/>
      <c r="B1417" s="12"/>
      <c r="C1417" s="12"/>
      <c r="D1417" s="12"/>
      <c r="E1417" s="13"/>
      <c r="F1417" s="13"/>
      <c r="G1417" s="13"/>
      <c r="H1417" s="13"/>
      <c r="I1417" s="12"/>
      <c r="J1417" s="13"/>
      <c r="K1417" s="14" t="str">
        <f>IF(C1417="","",IFERROR(N('Fee Settings'!$C$5)*(E1417+N(F1417)-N(J1417))+N('Fee Settings'!$C$6)*(E1417+N(F1417)+N(G1417))+N('Fee Settings'!$C$7)+N('Fee Settings'!$C$10)*D1417+IF(I1417="Yes",MIN(N('Fee Settings'!$C$8)*(E1417+N(F1417)),N('Fee Settings'!$C$9)),0),""))</f>
        <v/>
      </c>
      <c r="L1417" s="14" t="str">
        <f>IF(C1417="","",IFERROR(D1417*N(INDEX(Products!$C$5:$C$29,MATCH(C1417,Lists!$A$2:$A$26,0))),""))</f>
        <v/>
      </c>
      <c r="M1417" s="15" t="str">
        <f t="shared" si="22"/>
        <v/>
      </c>
    </row>
    <row r="1418" spans="1:13" x14ac:dyDescent="0.35">
      <c r="A1418" s="11"/>
      <c r="B1418" s="12"/>
      <c r="C1418" s="12"/>
      <c r="D1418" s="12"/>
      <c r="E1418" s="13"/>
      <c r="F1418" s="13"/>
      <c r="G1418" s="13"/>
      <c r="H1418" s="13"/>
      <c r="I1418" s="12"/>
      <c r="J1418" s="13"/>
      <c r="K1418" s="14" t="str">
        <f>IF(C1418="","",IFERROR(N('Fee Settings'!$C$5)*(E1418+N(F1418)-N(J1418))+N('Fee Settings'!$C$6)*(E1418+N(F1418)+N(G1418))+N('Fee Settings'!$C$7)+N('Fee Settings'!$C$10)*D1418+IF(I1418="Yes",MIN(N('Fee Settings'!$C$8)*(E1418+N(F1418)),N('Fee Settings'!$C$9)),0),""))</f>
        <v/>
      </c>
      <c r="L1418" s="14" t="str">
        <f>IF(C1418="","",IFERROR(D1418*N(INDEX(Products!$C$5:$C$29,MATCH(C1418,Lists!$A$2:$A$26,0))),""))</f>
        <v/>
      </c>
      <c r="M1418" s="15" t="str">
        <f t="shared" si="22"/>
        <v/>
      </c>
    </row>
    <row r="1419" spans="1:13" x14ac:dyDescent="0.35">
      <c r="A1419" s="11"/>
      <c r="B1419" s="12"/>
      <c r="C1419" s="12"/>
      <c r="D1419" s="12"/>
      <c r="E1419" s="13"/>
      <c r="F1419" s="13"/>
      <c r="G1419" s="13"/>
      <c r="H1419" s="13"/>
      <c r="I1419" s="12"/>
      <c r="J1419" s="13"/>
      <c r="K1419" s="14" t="str">
        <f>IF(C1419="","",IFERROR(N('Fee Settings'!$C$5)*(E1419+N(F1419)-N(J1419))+N('Fee Settings'!$C$6)*(E1419+N(F1419)+N(G1419))+N('Fee Settings'!$C$7)+N('Fee Settings'!$C$10)*D1419+IF(I1419="Yes",MIN(N('Fee Settings'!$C$8)*(E1419+N(F1419)),N('Fee Settings'!$C$9)),0),""))</f>
        <v/>
      </c>
      <c r="L1419" s="14" t="str">
        <f>IF(C1419="","",IFERROR(D1419*N(INDEX(Products!$C$5:$C$29,MATCH(C1419,Lists!$A$2:$A$26,0))),""))</f>
        <v/>
      </c>
      <c r="M1419" s="15" t="str">
        <f t="shared" si="22"/>
        <v/>
      </c>
    </row>
    <row r="1420" spans="1:13" x14ac:dyDescent="0.35">
      <c r="A1420" s="11"/>
      <c r="B1420" s="12"/>
      <c r="C1420" s="12"/>
      <c r="D1420" s="12"/>
      <c r="E1420" s="13"/>
      <c r="F1420" s="13"/>
      <c r="G1420" s="13"/>
      <c r="H1420" s="13"/>
      <c r="I1420" s="12"/>
      <c r="J1420" s="13"/>
      <c r="K1420" s="14" t="str">
        <f>IF(C1420="","",IFERROR(N('Fee Settings'!$C$5)*(E1420+N(F1420)-N(J1420))+N('Fee Settings'!$C$6)*(E1420+N(F1420)+N(G1420))+N('Fee Settings'!$C$7)+N('Fee Settings'!$C$10)*D1420+IF(I1420="Yes",MIN(N('Fee Settings'!$C$8)*(E1420+N(F1420)),N('Fee Settings'!$C$9)),0),""))</f>
        <v/>
      </c>
      <c r="L1420" s="14" t="str">
        <f>IF(C1420="","",IFERROR(D1420*N(INDEX(Products!$C$5:$C$29,MATCH(C1420,Lists!$A$2:$A$26,0))),""))</f>
        <v/>
      </c>
      <c r="M1420" s="15" t="str">
        <f t="shared" si="22"/>
        <v/>
      </c>
    </row>
    <row r="1421" spans="1:13" x14ac:dyDescent="0.35">
      <c r="A1421" s="11"/>
      <c r="B1421" s="12"/>
      <c r="C1421" s="12"/>
      <c r="D1421" s="12"/>
      <c r="E1421" s="13"/>
      <c r="F1421" s="13"/>
      <c r="G1421" s="13"/>
      <c r="H1421" s="13"/>
      <c r="I1421" s="12"/>
      <c r="J1421" s="13"/>
      <c r="K1421" s="14" t="str">
        <f>IF(C1421="","",IFERROR(N('Fee Settings'!$C$5)*(E1421+N(F1421)-N(J1421))+N('Fee Settings'!$C$6)*(E1421+N(F1421)+N(G1421))+N('Fee Settings'!$C$7)+N('Fee Settings'!$C$10)*D1421+IF(I1421="Yes",MIN(N('Fee Settings'!$C$8)*(E1421+N(F1421)),N('Fee Settings'!$C$9)),0),""))</f>
        <v/>
      </c>
      <c r="L1421" s="14" t="str">
        <f>IF(C1421="","",IFERROR(D1421*N(INDEX(Products!$C$5:$C$29,MATCH(C1421,Lists!$A$2:$A$26,0))),""))</f>
        <v/>
      </c>
      <c r="M1421" s="15" t="str">
        <f t="shared" si="22"/>
        <v/>
      </c>
    </row>
    <row r="1422" spans="1:13" x14ac:dyDescent="0.35">
      <c r="A1422" s="11"/>
      <c r="B1422" s="12"/>
      <c r="C1422" s="12"/>
      <c r="D1422" s="12"/>
      <c r="E1422" s="13"/>
      <c r="F1422" s="13"/>
      <c r="G1422" s="13"/>
      <c r="H1422" s="13"/>
      <c r="I1422" s="12"/>
      <c r="J1422" s="13"/>
      <c r="K1422" s="14" t="str">
        <f>IF(C1422="","",IFERROR(N('Fee Settings'!$C$5)*(E1422+N(F1422)-N(J1422))+N('Fee Settings'!$C$6)*(E1422+N(F1422)+N(G1422))+N('Fee Settings'!$C$7)+N('Fee Settings'!$C$10)*D1422+IF(I1422="Yes",MIN(N('Fee Settings'!$C$8)*(E1422+N(F1422)),N('Fee Settings'!$C$9)),0),""))</f>
        <v/>
      </c>
      <c r="L1422" s="14" t="str">
        <f>IF(C1422="","",IFERROR(D1422*N(INDEX(Products!$C$5:$C$29,MATCH(C1422,Lists!$A$2:$A$26,0))),""))</f>
        <v/>
      </c>
      <c r="M1422" s="15" t="str">
        <f t="shared" si="22"/>
        <v/>
      </c>
    </row>
    <row r="1423" spans="1:13" x14ac:dyDescent="0.35">
      <c r="A1423" s="11"/>
      <c r="B1423" s="12"/>
      <c r="C1423" s="12"/>
      <c r="D1423" s="12"/>
      <c r="E1423" s="13"/>
      <c r="F1423" s="13"/>
      <c r="G1423" s="13"/>
      <c r="H1423" s="13"/>
      <c r="I1423" s="12"/>
      <c r="J1423" s="13"/>
      <c r="K1423" s="14" t="str">
        <f>IF(C1423="","",IFERROR(N('Fee Settings'!$C$5)*(E1423+N(F1423)-N(J1423))+N('Fee Settings'!$C$6)*(E1423+N(F1423)+N(G1423))+N('Fee Settings'!$C$7)+N('Fee Settings'!$C$10)*D1423+IF(I1423="Yes",MIN(N('Fee Settings'!$C$8)*(E1423+N(F1423)),N('Fee Settings'!$C$9)),0),""))</f>
        <v/>
      </c>
      <c r="L1423" s="14" t="str">
        <f>IF(C1423="","",IFERROR(D1423*N(INDEX(Products!$C$5:$C$29,MATCH(C1423,Lists!$A$2:$A$26,0))),""))</f>
        <v/>
      </c>
      <c r="M1423" s="15" t="str">
        <f t="shared" si="22"/>
        <v/>
      </c>
    </row>
    <row r="1424" spans="1:13" x14ac:dyDescent="0.35">
      <c r="A1424" s="11"/>
      <c r="B1424" s="12"/>
      <c r="C1424" s="12"/>
      <c r="D1424" s="12"/>
      <c r="E1424" s="13"/>
      <c r="F1424" s="13"/>
      <c r="G1424" s="13"/>
      <c r="H1424" s="13"/>
      <c r="I1424" s="12"/>
      <c r="J1424" s="13"/>
      <c r="K1424" s="14" t="str">
        <f>IF(C1424="","",IFERROR(N('Fee Settings'!$C$5)*(E1424+N(F1424)-N(J1424))+N('Fee Settings'!$C$6)*(E1424+N(F1424)+N(G1424))+N('Fee Settings'!$C$7)+N('Fee Settings'!$C$10)*D1424+IF(I1424="Yes",MIN(N('Fee Settings'!$C$8)*(E1424+N(F1424)),N('Fee Settings'!$C$9)),0),""))</f>
        <v/>
      </c>
      <c r="L1424" s="14" t="str">
        <f>IF(C1424="","",IFERROR(D1424*N(INDEX(Products!$C$5:$C$29,MATCH(C1424,Lists!$A$2:$A$26,0))),""))</f>
        <v/>
      </c>
      <c r="M1424" s="15" t="str">
        <f t="shared" si="22"/>
        <v/>
      </c>
    </row>
    <row r="1425" spans="1:13" x14ac:dyDescent="0.35">
      <c r="A1425" s="11"/>
      <c r="B1425" s="12"/>
      <c r="C1425" s="12"/>
      <c r="D1425" s="12"/>
      <c r="E1425" s="13"/>
      <c r="F1425" s="13"/>
      <c r="G1425" s="13"/>
      <c r="H1425" s="13"/>
      <c r="I1425" s="12"/>
      <c r="J1425" s="13"/>
      <c r="K1425" s="14" t="str">
        <f>IF(C1425="","",IFERROR(N('Fee Settings'!$C$5)*(E1425+N(F1425)-N(J1425))+N('Fee Settings'!$C$6)*(E1425+N(F1425)+N(G1425))+N('Fee Settings'!$C$7)+N('Fee Settings'!$C$10)*D1425+IF(I1425="Yes",MIN(N('Fee Settings'!$C$8)*(E1425+N(F1425)),N('Fee Settings'!$C$9)),0),""))</f>
        <v/>
      </c>
      <c r="L1425" s="14" t="str">
        <f>IF(C1425="","",IFERROR(D1425*N(INDEX(Products!$C$5:$C$29,MATCH(C1425,Lists!$A$2:$A$26,0))),""))</f>
        <v/>
      </c>
      <c r="M1425" s="15" t="str">
        <f t="shared" si="22"/>
        <v/>
      </c>
    </row>
    <row r="1426" spans="1:13" x14ac:dyDescent="0.35">
      <c r="A1426" s="11"/>
      <c r="B1426" s="12"/>
      <c r="C1426" s="12"/>
      <c r="D1426" s="12"/>
      <c r="E1426" s="13"/>
      <c r="F1426" s="13"/>
      <c r="G1426" s="13"/>
      <c r="H1426" s="13"/>
      <c r="I1426" s="12"/>
      <c r="J1426" s="13"/>
      <c r="K1426" s="14" t="str">
        <f>IF(C1426="","",IFERROR(N('Fee Settings'!$C$5)*(E1426+N(F1426)-N(J1426))+N('Fee Settings'!$C$6)*(E1426+N(F1426)+N(G1426))+N('Fee Settings'!$C$7)+N('Fee Settings'!$C$10)*D1426+IF(I1426="Yes",MIN(N('Fee Settings'!$C$8)*(E1426+N(F1426)),N('Fee Settings'!$C$9)),0),""))</f>
        <v/>
      </c>
      <c r="L1426" s="14" t="str">
        <f>IF(C1426="","",IFERROR(D1426*N(INDEX(Products!$C$5:$C$29,MATCH(C1426,Lists!$A$2:$A$26,0))),""))</f>
        <v/>
      </c>
      <c r="M1426" s="15" t="str">
        <f t="shared" si="22"/>
        <v/>
      </c>
    </row>
    <row r="1427" spans="1:13" x14ac:dyDescent="0.35">
      <c r="A1427" s="11"/>
      <c r="B1427" s="12"/>
      <c r="C1427" s="12"/>
      <c r="D1427" s="12"/>
      <c r="E1427" s="13"/>
      <c r="F1427" s="13"/>
      <c r="G1427" s="13"/>
      <c r="H1427" s="13"/>
      <c r="I1427" s="12"/>
      <c r="J1427" s="13"/>
      <c r="K1427" s="14" t="str">
        <f>IF(C1427="","",IFERROR(N('Fee Settings'!$C$5)*(E1427+N(F1427)-N(J1427))+N('Fee Settings'!$C$6)*(E1427+N(F1427)+N(G1427))+N('Fee Settings'!$C$7)+N('Fee Settings'!$C$10)*D1427+IF(I1427="Yes",MIN(N('Fee Settings'!$C$8)*(E1427+N(F1427)),N('Fee Settings'!$C$9)),0),""))</f>
        <v/>
      </c>
      <c r="L1427" s="14" t="str">
        <f>IF(C1427="","",IFERROR(D1427*N(INDEX(Products!$C$5:$C$29,MATCH(C1427,Lists!$A$2:$A$26,0))),""))</f>
        <v/>
      </c>
      <c r="M1427" s="15" t="str">
        <f t="shared" si="22"/>
        <v/>
      </c>
    </row>
    <row r="1428" spans="1:13" x14ac:dyDescent="0.35">
      <c r="A1428" s="11"/>
      <c r="B1428" s="12"/>
      <c r="C1428" s="12"/>
      <c r="D1428" s="12"/>
      <c r="E1428" s="13"/>
      <c r="F1428" s="13"/>
      <c r="G1428" s="13"/>
      <c r="H1428" s="13"/>
      <c r="I1428" s="12"/>
      <c r="J1428" s="13"/>
      <c r="K1428" s="14" t="str">
        <f>IF(C1428="","",IFERROR(N('Fee Settings'!$C$5)*(E1428+N(F1428)-N(J1428))+N('Fee Settings'!$C$6)*(E1428+N(F1428)+N(G1428))+N('Fee Settings'!$C$7)+N('Fee Settings'!$C$10)*D1428+IF(I1428="Yes",MIN(N('Fee Settings'!$C$8)*(E1428+N(F1428)),N('Fee Settings'!$C$9)),0),""))</f>
        <v/>
      </c>
      <c r="L1428" s="14" t="str">
        <f>IF(C1428="","",IFERROR(D1428*N(INDEX(Products!$C$5:$C$29,MATCH(C1428,Lists!$A$2:$A$26,0))),""))</f>
        <v/>
      </c>
      <c r="M1428" s="15" t="str">
        <f t="shared" si="22"/>
        <v/>
      </c>
    </row>
    <row r="1429" spans="1:13" x14ac:dyDescent="0.35">
      <c r="A1429" s="11"/>
      <c r="B1429" s="12"/>
      <c r="C1429" s="12"/>
      <c r="D1429" s="12"/>
      <c r="E1429" s="13"/>
      <c r="F1429" s="13"/>
      <c r="G1429" s="13"/>
      <c r="H1429" s="13"/>
      <c r="I1429" s="12"/>
      <c r="J1429" s="13"/>
      <c r="K1429" s="14" t="str">
        <f>IF(C1429="","",IFERROR(N('Fee Settings'!$C$5)*(E1429+N(F1429)-N(J1429))+N('Fee Settings'!$C$6)*(E1429+N(F1429)+N(G1429))+N('Fee Settings'!$C$7)+N('Fee Settings'!$C$10)*D1429+IF(I1429="Yes",MIN(N('Fee Settings'!$C$8)*(E1429+N(F1429)),N('Fee Settings'!$C$9)),0),""))</f>
        <v/>
      </c>
      <c r="L1429" s="14" t="str">
        <f>IF(C1429="","",IFERROR(D1429*N(INDEX(Products!$C$5:$C$29,MATCH(C1429,Lists!$A$2:$A$26,0))),""))</f>
        <v/>
      </c>
      <c r="M1429" s="15" t="str">
        <f t="shared" si="22"/>
        <v/>
      </c>
    </row>
    <row r="1430" spans="1:13" x14ac:dyDescent="0.35">
      <c r="A1430" s="11"/>
      <c r="B1430" s="12"/>
      <c r="C1430" s="12"/>
      <c r="D1430" s="12"/>
      <c r="E1430" s="13"/>
      <c r="F1430" s="13"/>
      <c r="G1430" s="13"/>
      <c r="H1430" s="13"/>
      <c r="I1430" s="12"/>
      <c r="J1430" s="13"/>
      <c r="K1430" s="14" t="str">
        <f>IF(C1430="","",IFERROR(N('Fee Settings'!$C$5)*(E1430+N(F1430)-N(J1430))+N('Fee Settings'!$C$6)*(E1430+N(F1430)+N(G1430))+N('Fee Settings'!$C$7)+N('Fee Settings'!$C$10)*D1430+IF(I1430="Yes",MIN(N('Fee Settings'!$C$8)*(E1430+N(F1430)),N('Fee Settings'!$C$9)),0),""))</f>
        <v/>
      </c>
      <c r="L1430" s="14" t="str">
        <f>IF(C1430="","",IFERROR(D1430*N(INDEX(Products!$C$5:$C$29,MATCH(C1430,Lists!$A$2:$A$26,0))),""))</f>
        <v/>
      </c>
      <c r="M1430" s="15" t="str">
        <f t="shared" si="22"/>
        <v/>
      </c>
    </row>
    <row r="1431" spans="1:13" x14ac:dyDescent="0.35">
      <c r="A1431" s="11"/>
      <c r="B1431" s="12"/>
      <c r="C1431" s="12"/>
      <c r="D1431" s="12"/>
      <c r="E1431" s="13"/>
      <c r="F1431" s="13"/>
      <c r="G1431" s="13"/>
      <c r="H1431" s="13"/>
      <c r="I1431" s="12"/>
      <c r="J1431" s="13"/>
      <c r="K1431" s="14" t="str">
        <f>IF(C1431="","",IFERROR(N('Fee Settings'!$C$5)*(E1431+N(F1431)-N(J1431))+N('Fee Settings'!$C$6)*(E1431+N(F1431)+N(G1431))+N('Fee Settings'!$C$7)+N('Fee Settings'!$C$10)*D1431+IF(I1431="Yes",MIN(N('Fee Settings'!$C$8)*(E1431+N(F1431)),N('Fee Settings'!$C$9)),0),""))</f>
        <v/>
      </c>
      <c r="L1431" s="14" t="str">
        <f>IF(C1431="","",IFERROR(D1431*N(INDEX(Products!$C$5:$C$29,MATCH(C1431,Lists!$A$2:$A$26,0))),""))</f>
        <v/>
      </c>
      <c r="M1431" s="15" t="str">
        <f t="shared" si="22"/>
        <v/>
      </c>
    </row>
    <row r="1432" spans="1:13" x14ac:dyDescent="0.35">
      <c r="A1432" s="11"/>
      <c r="B1432" s="12"/>
      <c r="C1432" s="12"/>
      <c r="D1432" s="12"/>
      <c r="E1432" s="13"/>
      <c r="F1432" s="13"/>
      <c r="G1432" s="13"/>
      <c r="H1432" s="13"/>
      <c r="I1432" s="12"/>
      <c r="J1432" s="13"/>
      <c r="K1432" s="14" t="str">
        <f>IF(C1432="","",IFERROR(N('Fee Settings'!$C$5)*(E1432+N(F1432)-N(J1432))+N('Fee Settings'!$C$6)*(E1432+N(F1432)+N(G1432))+N('Fee Settings'!$C$7)+N('Fee Settings'!$C$10)*D1432+IF(I1432="Yes",MIN(N('Fee Settings'!$C$8)*(E1432+N(F1432)),N('Fee Settings'!$C$9)),0),""))</f>
        <v/>
      </c>
      <c r="L1432" s="14" t="str">
        <f>IF(C1432="","",IFERROR(D1432*N(INDEX(Products!$C$5:$C$29,MATCH(C1432,Lists!$A$2:$A$26,0))),""))</f>
        <v/>
      </c>
      <c r="M1432" s="15" t="str">
        <f t="shared" si="22"/>
        <v/>
      </c>
    </row>
    <row r="1433" spans="1:13" x14ac:dyDescent="0.35">
      <c r="A1433" s="11"/>
      <c r="B1433" s="12"/>
      <c r="C1433" s="12"/>
      <c r="D1433" s="12"/>
      <c r="E1433" s="13"/>
      <c r="F1433" s="13"/>
      <c r="G1433" s="13"/>
      <c r="H1433" s="13"/>
      <c r="I1433" s="12"/>
      <c r="J1433" s="13"/>
      <c r="K1433" s="14" t="str">
        <f>IF(C1433="","",IFERROR(N('Fee Settings'!$C$5)*(E1433+N(F1433)-N(J1433))+N('Fee Settings'!$C$6)*(E1433+N(F1433)+N(G1433))+N('Fee Settings'!$C$7)+N('Fee Settings'!$C$10)*D1433+IF(I1433="Yes",MIN(N('Fee Settings'!$C$8)*(E1433+N(F1433)),N('Fee Settings'!$C$9)),0),""))</f>
        <v/>
      </c>
      <c r="L1433" s="14" t="str">
        <f>IF(C1433="","",IFERROR(D1433*N(INDEX(Products!$C$5:$C$29,MATCH(C1433,Lists!$A$2:$A$26,0))),""))</f>
        <v/>
      </c>
      <c r="M1433" s="15" t="str">
        <f t="shared" si="22"/>
        <v/>
      </c>
    </row>
    <row r="1434" spans="1:13" x14ac:dyDescent="0.35">
      <c r="A1434" s="11"/>
      <c r="B1434" s="12"/>
      <c r="C1434" s="12"/>
      <c r="D1434" s="12"/>
      <c r="E1434" s="13"/>
      <c r="F1434" s="13"/>
      <c r="G1434" s="13"/>
      <c r="H1434" s="13"/>
      <c r="I1434" s="12"/>
      <c r="J1434" s="13"/>
      <c r="K1434" s="14" t="str">
        <f>IF(C1434="","",IFERROR(N('Fee Settings'!$C$5)*(E1434+N(F1434)-N(J1434))+N('Fee Settings'!$C$6)*(E1434+N(F1434)+N(G1434))+N('Fee Settings'!$C$7)+N('Fee Settings'!$C$10)*D1434+IF(I1434="Yes",MIN(N('Fee Settings'!$C$8)*(E1434+N(F1434)),N('Fee Settings'!$C$9)),0),""))</f>
        <v/>
      </c>
      <c r="L1434" s="14" t="str">
        <f>IF(C1434="","",IFERROR(D1434*N(INDEX(Products!$C$5:$C$29,MATCH(C1434,Lists!$A$2:$A$26,0))),""))</f>
        <v/>
      </c>
      <c r="M1434" s="15" t="str">
        <f t="shared" si="22"/>
        <v/>
      </c>
    </row>
    <row r="1435" spans="1:13" x14ac:dyDescent="0.35">
      <c r="A1435" s="11"/>
      <c r="B1435" s="12"/>
      <c r="C1435" s="12"/>
      <c r="D1435" s="12"/>
      <c r="E1435" s="13"/>
      <c r="F1435" s="13"/>
      <c r="G1435" s="13"/>
      <c r="H1435" s="13"/>
      <c r="I1435" s="12"/>
      <c r="J1435" s="13"/>
      <c r="K1435" s="14" t="str">
        <f>IF(C1435="","",IFERROR(N('Fee Settings'!$C$5)*(E1435+N(F1435)-N(J1435))+N('Fee Settings'!$C$6)*(E1435+N(F1435)+N(G1435))+N('Fee Settings'!$C$7)+N('Fee Settings'!$C$10)*D1435+IF(I1435="Yes",MIN(N('Fee Settings'!$C$8)*(E1435+N(F1435)),N('Fee Settings'!$C$9)),0),""))</f>
        <v/>
      </c>
      <c r="L1435" s="14" t="str">
        <f>IF(C1435="","",IFERROR(D1435*N(INDEX(Products!$C$5:$C$29,MATCH(C1435,Lists!$A$2:$A$26,0))),""))</f>
        <v/>
      </c>
      <c r="M1435" s="15" t="str">
        <f t="shared" si="22"/>
        <v/>
      </c>
    </row>
    <row r="1436" spans="1:13" x14ac:dyDescent="0.35">
      <c r="A1436" s="11"/>
      <c r="B1436" s="12"/>
      <c r="C1436" s="12"/>
      <c r="D1436" s="12"/>
      <c r="E1436" s="13"/>
      <c r="F1436" s="13"/>
      <c r="G1436" s="13"/>
      <c r="H1436" s="13"/>
      <c r="I1436" s="12"/>
      <c r="J1436" s="13"/>
      <c r="K1436" s="14" t="str">
        <f>IF(C1436="","",IFERROR(N('Fee Settings'!$C$5)*(E1436+N(F1436)-N(J1436))+N('Fee Settings'!$C$6)*(E1436+N(F1436)+N(G1436))+N('Fee Settings'!$C$7)+N('Fee Settings'!$C$10)*D1436+IF(I1436="Yes",MIN(N('Fee Settings'!$C$8)*(E1436+N(F1436)),N('Fee Settings'!$C$9)),0),""))</f>
        <v/>
      </c>
      <c r="L1436" s="14" t="str">
        <f>IF(C1436="","",IFERROR(D1436*N(INDEX(Products!$C$5:$C$29,MATCH(C1436,Lists!$A$2:$A$26,0))),""))</f>
        <v/>
      </c>
      <c r="M1436" s="15" t="str">
        <f t="shared" si="22"/>
        <v/>
      </c>
    </row>
    <row r="1437" spans="1:13" x14ac:dyDescent="0.35">
      <c r="A1437" s="11"/>
      <c r="B1437" s="12"/>
      <c r="C1437" s="12"/>
      <c r="D1437" s="12"/>
      <c r="E1437" s="13"/>
      <c r="F1437" s="13"/>
      <c r="G1437" s="13"/>
      <c r="H1437" s="13"/>
      <c r="I1437" s="12"/>
      <c r="J1437" s="13"/>
      <c r="K1437" s="14" t="str">
        <f>IF(C1437="","",IFERROR(N('Fee Settings'!$C$5)*(E1437+N(F1437)-N(J1437))+N('Fee Settings'!$C$6)*(E1437+N(F1437)+N(G1437))+N('Fee Settings'!$C$7)+N('Fee Settings'!$C$10)*D1437+IF(I1437="Yes",MIN(N('Fee Settings'!$C$8)*(E1437+N(F1437)),N('Fee Settings'!$C$9)),0),""))</f>
        <v/>
      </c>
      <c r="L1437" s="14" t="str">
        <f>IF(C1437="","",IFERROR(D1437*N(INDEX(Products!$C$5:$C$29,MATCH(C1437,Lists!$A$2:$A$26,0))),""))</f>
        <v/>
      </c>
      <c r="M1437" s="15" t="str">
        <f t="shared" si="22"/>
        <v/>
      </c>
    </row>
    <row r="1438" spans="1:13" x14ac:dyDescent="0.35">
      <c r="A1438" s="11"/>
      <c r="B1438" s="12"/>
      <c r="C1438" s="12"/>
      <c r="D1438" s="12"/>
      <c r="E1438" s="13"/>
      <c r="F1438" s="13"/>
      <c r="G1438" s="13"/>
      <c r="H1438" s="13"/>
      <c r="I1438" s="12"/>
      <c r="J1438" s="13"/>
      <c r="K1438" s="14" t="str">
        <f>IF(C1438="","",IFERROR(N('Fee Settings'!$C$5)*(E1438+N(F1438)-N(J1438))+N('Fee Settings'!$C$6)*(E1438+N(F1438)+N(G1438))+N('Fee Settings'!$C$7)+N('Fee Settings'!$C$10)*D1438+IF(I1438="Yes",MIN(N('Fee Settings'!$C$8)*(E1438+N(F1438)),N('Fee Settings'!$C$9)),0),""))</f>
        <v/>
      </c>
      <c r="L1438" s="14" t="str">
        <f>IF(C1438="","",IFERROR(D1438*N(INDEX(Products!$C$5:$C$29,MATCH(C1438,Lists!$A$2:$A$26,0))),""))</f>
        <v/>
      </c>
      <c r="M1438" s="15" t="str">
        <f t="shared" si="22"/>
        <v/>
      </c>
    </row>
    <row r="1439" spans="1:13" x14ac:dyDescent="0.35">
      <c r="A1439" s="11"/>
      <c r="B1439" s="12"/>
      <c r="C1439" s="12"/>
      <c r="D1439" s="12"/>
      <c r="E1439" s="13"/>
      <c r="F1439" s="13"/>
      <c r="G1439" s="13"/>
      <c r="H1439" s="13"/>
      <c r="I1439" s="12"/>
      <c r="J1439" s="13"/>
      <c r="K1439" s="14" t="str">
        <f>IF(C1439="","",IFERROR(N('Fee Settings'!$C$5)*(E1439+N(F1439)-N(J1439))+N('Fee Settings'!$C$6)*(E1439+N(F1439)+N(G1439))+N('Fee Settings'!$C$7)+N('Fee Settings'!$C$10)*D1439+IF(I1439="Yes",MIN(N('Fee Settings'!$C$8)*(E1439+N(F1439)),N('Fee Settings'!$C$9)),0),""))</f>
        <v/>
      </c>
      <c r="L1439" s="14" t="str">
        <f>IF(C1439="","",IFERROR(D1439*N(INDEX(Products!$C$5:$C$29,MATCH(C1439,Lists!$A$2:$A$26,0))),""))</f>
        <v/>
      </c>
      <c r="M1439" s="15" t="str">
        <f t="shared" si="22"/>
        <v/>
      </c>
    </row>
    <row r="1440" spans="1:13" x14ac:dyDescent="0.35">
      <c r="A1440" s="11"/>
      <c r="B1440" s="12"/>
      <c r="C1440" s="12"/>
      <c r="D1440" s="12"/>
      <c r="E1440" s="13"/>
      <c r="F1440" s="13"/>
      <c r="G1440" s="13"/>
      <c r="H1440" s="13"/>
      <c r="I1440" s="12"/>
      <c r="J1440" s="13"/>
      <c r="K1440" s="14" t="str">
        <f>IF(C1440="","",IFERROR(N('Fee Settings'!$C$5)*(E1440+N(F1440)-N(J1440))+N('Fee Settings'!$C$6)*(E1440+N(F1440)+N(G1440))+N('Fee Settings'!$C$7)+N('Fee Settings'!$C$10)*D1440+IF(I1440="Yes",MIN(N('Fee Settings'!$C$8)*(E1440+N(F1440)),N('Fee Settings'!$C$9)),0),""))</f>
        <v/>
      </c>
      <c r="L1440" s="14" t="str">
        <f>IF(C1440="","",IFERROR(D1440*N(INDEX(Products!$C$5:$C$29,MATCH(C1440,Lists!$A$2:$A$26,0))),""))</f>
        <v/>
      </c>
      <c r="M1440" s="15" t="str">
        <f t="shared" si="22"/>
        <v/>
      </c>
    </row>
    <row r="1441" spans="1:13" x14ac:dyDescent="0.35">
      <c r="A1441" s="11"/>
      <c r="B1441" s="12"/>
      <c r="C1441" s="12"/>
      <c r="D1441" s="12"/>
      <c r="E1441" s="13"/>
      <c r="F1441" s="13"/>
      <c r="G1441" s="13"/>
      <c r="H1441" s="13"/>
      <c r="I1441" s="12"/>
      <c r="J1441" s="13"/>
      <c r="K1441" s="14" t="str">
        <f>IF(C1441="","",IFERROR(N('Fee Settings'!$C$5)*(E1441+N(F1441)-N(J1441))+N('Fee Settings'!$C$6)*(E1441+N(F1441)+N(G1441))+N('Fee Settings'!$C$7)+N('Fee Settings'!$C$10)*D1441+IF(I1441="Yes",MIN(N('Fee Settings'!$C$8)*(E1441+N(F1441)),N('Fee Settings'!$C$9)),0),""))</f>
        <v/>
      </c>
      <c r="L1441" s="14" t="str">
        <f>IF(C1441="","",IFERROR(D1441*N(INDEX(Products!$C$5:$C$29,MATCH(C1441,Lists!$A$2:$A$26,0))),""))</f>
        <v/>
      </c>
      <c r="M1441" s="15" t="str">
        <f t="shared" si="22"/>
        <v/>
      </c>
    </row>
    <row r="1442" spans="1:13" x14ac:dyDescent="0.35">
      <c r="A1442" s="11"/>
      <c r="B1442" s="12"/>
      <c r="C1442" s="12"/>
      <c r="D1442" s="12"/>
      <c r="E1442" s="13"/>
      <c r="F1442" s="13"/>
      <c r="G1442" s="13"/>
      <c r="H1442" s="13"/>
      <c r="I1442" s="12"/>
      <c r="J1442" s="13"/>
      <c r="K1442" s="14" t="str">
        <f>IF(C1442="","",IFERROR(N('Fee Settings'!$C$5)*(E1442+N(F1442)-N(J1442))+N('Fee Settings'!$C$6)*(E1442+N(F1442)+N(G1442))+N('Fee Settings'!$C$7)+N('Fee Settings'!$C$10)*D1442+IF(I1442="Yes",MIN(N('Fee Settings'!$C$8)*(E1442+N(F1442)),N('Fee Settings'!$C$9)),0),""))</f>
        <v/>
      </c>
      <c r="L1442" s="14" t="str">
        <f>IF(C1442="","",IFERROR(D1442*N(INDEX(Products!$C$5:$C$29,MATCH(C1442,Lists!$A$2:$A$26,0))),""))</f>
        <v/>
      </c>
      <c r="M1442" s="15" t="str">
        <f t="shared" si="22"/>
        <v/>
      </c>
    </row>
    <row r="1443" spans="1:13" x14ac:dyDescent="0.35">
      <c r="A1443" s="11"/>
      <c r="B1443" s="12"/>
      <c r="C1443" s="12"/>
      <c r="D1443" s="12"/>
      <c r="E1443" s="13"/>
      <c r="F1443" s="13"/>
      <c r="G1443" s="13"/>
      <c r="H1443" s="13"/>
      <c r="I1443" s="12"/>
      <c r="J1443" s="13"/>
      <c r="K1443" s="14" t="str">
        <f>IF(C1443="","",IFERROR(N('Fee Settings'!$C$5)*(E1443+N(F1443)-N(J1443))+N('Fee Settings'!$C$6)*(E1443+N(F1443)+N(G1443))+N('Fee Settings'!$C$7)+N('Fee Settings'!$C$10)*D1443+IF(I1443="Yes",MIN(N('Fee Settings'!$C$8)*(E1443+N(F1443)),N('Fee Settings'!$C$9)),0),""))</f>
        <v/>
      </c>
      <c r="L1443" s="14" t="str">
        <f>IF(C1443="","",IFERROR(D1443*N(INDEX(Products!$C$5:$C$29,MATCH(C1443,Lists!$A$2:$A$26,0))),""))</f>
        <v/>
      </c>
      <c r="M1443" s="15" t="str">
        <f t="shared" si="22"/>
        <v/>
      </c>
    </row>
    <row r="1444" spans="1:13" x14ac:dyDescent="0.35">
      <c r="A1444" s="11"/>
      <c r="B1444" s="12"/>
      <c r="C1444" s="12"/>
      <c r="D1444" s="12"/>
      <c r="E1444" s="13"/>
      <c r="F1444" s="13"/>
      <c r="G1444" s="13"/>
      <c r="H1444" s="13"/>
      <c r="I1444" s="12"/>
      <c r="J1444" s="13"/>
      <c r="K1444" s="14" t="str">
        <f>IF(C1444="","",IFERROR(N('Fee Settings'!$C$5)*(E1444+N(F1444)-N(J1444))+N('Fee Settings'!$C$6)*(E1444+N(F1444)+N(G1444))+N('Fee Settings'!$C$7)+N('Fee Settings'!$C$10)*D1444+IF(I1444="Yes",MIN(N('Fee Settings'!$C$8)*(E1444+N(F1444)),N('Fee Settings'!$C$9)),0),""))</f>
        <v/>
      </c>
      <c r="L1444" s="14" t="str">
        <f>IF(C1444="","",IFERROR(D1444*N(INDEX(Products!$C$5:$C$29,MATCH(C1444,Lists!$A$2:$A$26,0))),""))</f>
        <v/>
      </c>
      <c r="M1444" s="15" t="str">
        <f t="shared" si="22"/>
        <v/>
      </c>
    </row>
    <row r="1445" spans="1:13" x14ac:dyDescent="0.35">
      <c r="A1445" s="11"/>
      <c r="B1445" s="12"/>
      <c r="C1445" s="12"/>
      <c r="D1445" s="12"/>
      <c r="E1445" s="13"/>
      <c r="F1445" s="13"/>
      <c r="G1445" s="13"/>
      <c r="H1445" s="13"/>
      <c r="I1445" s="12"/>
      <c r="J1445" s="13"/>
      <c r="K1445" s="14" t="str">
        <f>IF(C1445="","",IFERROR(N('Fee Settings'!$C$5)*(E1445+N(F1445)-N(J1445))+N('Fee Settings'!$C$6)*(E1445+N(F1445)+N(G1445))+N('Fee Settings'!$C$7)+N('Fee Settings'!$C$10)*D1445+IF(I1445="Yes",MIN(N('Fee Settings'!$C$8)*(E1445+N(F1445)),N('Fee Settings'!$C$9)),0),""))</f>
        <v/>
      </c>
      <c r="L1445" s="14" t="str">
        <f>IF(C1445="","",IFERROR(D1445*N(INDEX(Products!$C$5:$C$29,MATCH(C1445,Lists!$A$2:$A$26,0))),""))</f>
        <v/>
      </c>
      <c r="M1445" s="15" t="str">
        <f t="shared" si="22"/>
        <v/>
      </c>
    </row>
    <row r="1446" spans="1:13" x14ac:dyDescent="0.35">
      <c r="A1446" s="11"/>
      <c r="B1446" s="12"/>
      <c r="C1446" s="12"/>
      <c r="D1446" s="12"/>
      <c r="E1446" s="13"/>
      <c r="F1446" s="13"/>
      <c r="G1446" s="13"/>
      <c r="H1446" s="13"/>
      <c r="I1446" s="12"/>
      <c r="J1446" s="13"/>
      <c r="K1446" s="14" t="str">
        <f>IF(C1446="","",IFERROR(N('Fee Settings'!$C$5)*(E1446+N(F1446)-N(J1446))+N('Fee Settings'!$C$6)*(E1446+N(F1446)+N(G1446))+N('Fee Settings'!$C$7)+N('Fee Settings'!$C$10)*D1446+IF(I1446="Yes",MIN(N('Fee Settings'!$C$8)*(E1446+N(F1446)),N('Fee Settings'!$C$9)),0),""))</f>
        <v/>
      </c>
      <c r="L1446" s="14" t="str">
        <f>IF(C1446="","",IFERROR(D1446*N(INDEX(Products!$C$5:$C$29,MATCH(C1446,Lists!$A$2:$A$26,0))),""))</f>
        <v/>
      </c>
      <c r="M1446" s="15" t="str">
        <f t="shared" si="22"/>
        <v/>
      </c>
    </row>
    <row r="1447" spans="1:13" x14ac:dyDescent="0.35">
      <c r="A1447" s="11"/>
      <c r="B1447" s="12"/>
      <c r="C1447" s="12"/>
      <c r="D1447" s="12"/>
      <c r="E1447" s="13"/>
      <c r="F1447" s="13"/>
      <c r="G1447" s="13"/>
      <c r="H1447" s="13"/>
      <c r="I1447" s="12"/>
      <c r="J1447" s="13"/>
      <c r="K1447" s="14" t="str">
        <f>IF(C1447="","",IFERROR(N('Fee Settings'!$C$5)*(E1447+N(F1447)-N(J1447))+N('Fee Settings'!$C$6)*(E1447+N(F1447)+N(G1447))+N('Fee Settings'!$C$7)+N('Fee Settings'!$C$10)*D1447+IF(I1447="Yes",MIN(N('Fee Settings'!$C$8)*(E1447+N(F1447)),N('Fee Settings'!$C$9)),0),""))</f>
        <v/>
      </c>
      <c r="L1447" s="14" t="str">
        <f>IF(C1447="","",IFERROR(D1447*N(INDEX(Products!$C$5:$C$29,MATCH(C1447,Lists!$A$2:$A$26,0))),""))</f>
        <v/>
      </c>
      <c r="M1447" s="15" t="str">
        <f t="shared" si="22"/>
        <v/>
      </c>
    </row>
    <row r="1448" spans="1:13" x14ac:dyDescent="0.35">
      <c r="A1448" s="11"/>
      <c r="B1448" s="12"/>
      <c r="C1448" s="12"/>
      <c r="D1448" s="12"/>
      <c r="E1448" s="13"/>
      <c r="F1448" s="13"/>
      <c r="G1448" s="13"/>
      <c r="H1448" s="13"/>
      <c r="I1448" s="12"/>
      <c r="J1448" s="13"/>
      <c r="K1448" s="14" t="str">
        <f>IF(C1448="","",IFERROR(N('Fee Settings'!$C$5)*(E1448+N(F1448)-N(J1448))+N('Fee Settings'!$C$6)*(E1448+N(F1448)+N(G1448))+N('Fee Settings'!$C$7)+N('Fee Settings'!$C$10)*D1448+IF(I1448="Yes",MIN(N('Fee Settings'!$C$8)*(E1448+N(F1448)),N('Fee Settings'!$C$9)),0),""))</f>
        <v/>
      </c>
      <c r="L1448" s="14" t="str">
        <f>IF(C1448="","",IFERROR(D1448*N(INDEX(Products!$C$5:$C$29,MATCH(C1448,Lists!$A$2:$A$26,0))),""))</f>
        <v/>
      </c>
      <c r="M1448" s="15" t="str">
        <f t="shared" si="22"/>
        <v/>
      </c>
    </row>
    <row r="1449" spans="1:13" x14ac:dyDescent="0.35">
      <c r="A1449" s="11"/>
      <c r="B1449" s="12"/>
      <c r="C1449" s="12"/>
      <c r="D1449" s="12"/>
      <c r="E1449" s="13"/>
      <c r="F1449" s="13"/>
      <c r="G1449" s="13"/>
      <c r="H1449" s="13"/>
      <c r="I1449" s="12"/>
      <c r="J1449" s="13"/>
      <c r="K1449" s="14" t="str">
        <f>IF(C1449="","",IFERROR(N('Fee Settings'!$C$5)*(E1449+N(F1449)-N(J1449))+N('Fee Settings'!$C$6)*(E1449+N(F1449)+N(G1449))+N('Fee Settings'!$C$7)+N('Fee Settings'!$C$10)*D1449+IF(I1449="Yes",MIN(N('Fee Settings'!$C$8)*(E1449+N(F1449)),N('Fee Settings'!$C$9)),0),""))</f>
        <v/>
      </c>
      <c r="L1449" s="14" t="str">
        <f>IF(C1449="","",IFERROR(D1449*N(INDEX(Products!$C$5:$C$29,MATCH(C1449,Lists!$A$2:$A$26,0))),""))</f>
        <v/>
      </c>
      <c r="M1449" s="15" t="str">
        <f t="shared" si="22"/>
        <v/>
      </c>
    </row>
    <row r="1450" spans="1:13" x14ac:dyDescent="0.35">
      <c r="A1450" s="11"/>
      <c r="B1450" s="12"/>
      <c r="C1450" s="12"/>
      <c r="D1450" s="12"/>
      <c r="E1450" s="13"/>
      <c r="F1450" s="13"/>
      <c r="G1450" s="13"/>
      <c r="H1450" s="13"/>
      <c r="I1450" s="12"/>
      <c r="J1450" s="13"/>
      <c r="K1450" s="14" t="str">
        <f>IF(C1450="","",IFERROR(N('Fee Settings'!$C$5)*(E1450+N(F1450)-N(J1450))+N('Fee Settings'!$C$6)*(E1450+N(F1450)+N(G1450))+N('Fee Settings'!$C$7)+N('Fee Settings'!$C$10)*D1450+IF(I1450="Yes",MIN(N('Fee Settings'!$C$8)*(E1450+N(F1450)),N('Fee Settings'!$C$9)),0),""))</f>
        <v/>
      </c>
      <c r="L1450" s="14" t="str">
        <f>IF(C1450="","",IFERROR(D1450*N(INDEX(Products!$C$5:$C$29,MATCH(C1450,Lists!$A$2:$A$26,0))),""))</f>
        <v/>
      </c>
      <c r="M1450" s="15" t="str">
        <f t="shared" si="22"/>
        <v/>
      </c>
    </row>
    <row r="1451" spans="1:13" x14ac:dyDescent="0.35">
      <c r="A1451" s="11"/>
      <c r="B1451" s="12"/>
      <c r="C1451" s="12"/>
      <c r="D1451" s="12"/>
      <c r="E1451" s="13"/>
      <c r="F1451" s="13"/>
      <c r="G1451" s="13"/>
      <c r="H1451" s="13"/>
      <c r="I1451" s="12"/>
      <c r="J1451" s="13"/>
      <c r="K1451" s="14" t="str">
        <f>IF(C1451="","",IFERROR(N('Fee Settings'!$C$5)*(E1451+N(F1451)-N(J1451))+N('Fee Settings'!$C$6)*(E1451+N(F1451)+N(G1451))+N('Fee Settings'!$C$7)+N('Fee Settings'!$C$10)*D1451+IF(I1451="Yes",MIN(N('Fee Settings'!$C$8)*(E1451+N(F1451)),N('Fee Settings'!$C$9)),0),""))</f>
        <v/>
      </c>
      <c r="L1451" s="14" t="str">
        <f>IF(C1451="","",IFERROR(D1451*N(INDEX(Products!$C$5:$C$29,MATCH(C1451,Lists!$A$2:$A$26,0))),""))</f>
        <v/>
      </c>
      <c r="M1451" s="15" t="str">
        <f t="shared" si="22"/>
        <v/>
      </c>
    </row>
    <row r="1452" spans="1:13" x14ac:dyDescent="0.35">
      <c r="A1452" s="11"/>
      <c r="B1452" s="12"/>
      <c r="C1452" s="12"/>
      <c r="D1452" s="12"/>
      <c r="E1452" s="13"/>
      <c r="F1452" s="13"/>
      <c r="G1452" s="13"/>
      <c r="H1452" s="13"/>
      <c r="I1452" s="12"/>
      <c r="J1452" s="13"/>
      <c r="K1452" s="14" t="str">
        <f>IF(C1452="","",IFERROR(N('Fee Settings'!$C$5)*(E1452+N(F1452)-N(J1452))+N('Fee Settings'!$C$6)*(E1452+N(F1452)+N(G1452))+N('Fee Settings'!$C$7)+N('Fee Settings'!$C$10)*D1452+IF(I1452="Yes",MIN(N('Fee Settings'!$C$8)*(E1452+N(F1452)),N('Fee Settings'!$C$9)),0),""))</f>
        <v/>
      </c>
      <c r="L1452" s="14" t="str">
        <f>IF(C1452="","",IFERROR(D1452*N(INDEX(Products!$C$5:$C$29,MATCH(C1452,Lists!$A$2:$A$26,0))),""))</f>
        <v/>
      </c>
      <c r="M1452" s="15" t="str">
        <f t="shared" si="22"/>
        <v/>
      </c>
    </row>
    <row r="1453" spans="1:13" x14ac:dyDescent="0.35">
      <c r="A1453" s="11"/>
      <c r="B1453" s="12"/>
      <c r="C1453" s="12"/>
      <c r="D1453" s="12"/>
      <c r="E1453" s="13"/>
      <c r="F1453" s="13"/>
      <c r="G1453" s="13"/>
      <c r="H1453" s="13"/>
      <c r="I1453" s="12"/>
      <c r="J1453" s="13"/>
      <c r="K1453" s="14" t="str">
        <f>IF(C1453="","",IFERROR(N('Fee Settings'!$C$5)*(E1453+N(F1453)-N(J1453))+N('Fee Settings'!$C$6)*(E1453+N(F1453)+N(G1453))+N('Fee Settings'!$C$7)+N('Fee Settings'!$C$10)*D1453+IF(I1453="Yes",MIN(N('Fee Settings'!$C$8)*(E1453+N(F1453)),N('Fee Settings'!$C$9)),0),""))</f>
        <v/>
      </c>
      <c r="L1453" s="14" t="str">
        <f>IF(C1453="","",IFERROR(D1453*N(INDEX(Products!$C$5:$C$29,MATCH(C1453,Lists!$A$2:$A$26,0))),""))</f>
        <v/>
      </c>
      <c r="M1453" s="15" t="str">
        <f t="shared" si="22"/>
        <v/>
      </c>
    </row>
    <row r="1454" spans="1:13" x14ac:dyDescent="0.35">
      <c r="A1454" s="11"/>
      <c r="B1454" s="12"/>
      <c r="C1454" s="12"/>
      <c r="D1454" s="12"/>
      <c r="E1454" s="13"/>
      <c r="F1454" s="13"/>
      <c r="G1454" s="13"/>
      <c r="H1454" s="13"/>
      <c r="I1454" s="12"/>
      <c r="J1454" s="13"/>
      <c r="K1454" s="14" t="str">
        <f>IF(C1454="","",IFERROR(N('Fee Settings'!$C$5)*(E1454+N(F1454)-N(J1454))+N('Fee Settings'!$C$6)*(E1454+N(F1454)+N(G1454))+N('Fee Settings'!$C$7)+N('Fee Settings'!$C$10)*D1454+IF(I1454="Yes",MIN(N('Fee Settings'!$C$8)*(E1454+N(F1454)),N('Fee Settings'!$C$9)),0),""))</f>
        <v/>
      </c>
      <c r="L1454" s="14" t="str">
        <f>IF(C1454="","",IFERROR(D1454*N(INDEX(Products!$C$5:$C$29,MATCH(C1454,Lists!$A$2:$A$26,0))),""))</f>
        <v/>
      </c>
      <c r="M1454" s="15" t="str">
        <f t="shared" si="22"/>
        <v/>
      </c>
    </row>
    <row r="1455" spans="1:13" x14ac:dyDescent="0.35">
      <c r="A1455" s="11"/>
      <c r="B1455" s="12"/>
      <c r="C1455" s="12"/>
      <c r="D1455" s="12"/>
      <c r="E1455" s="13"/>
      <c r="F1455" s="13"/>
      <c r="G1455" s="13"/>
      <c r="H1455" s="13"/>
      <c r="I1455" s="12"/>
      <c r="J1455" s="13"/>
      <c r="K1455" s="14" t="str">
        <f>IF(C1455="","",IFERROR(N('Fee Settings'!$C$5)*(E1455+N(F1455)-N(J1455))+N('Fee Settings'!$C$6)*(E1455+N(F1455)+N(G1455))+N('Fee Settings'!$C$7)+N('Fee Settings'!$C$10)*D1455+IF(I1455="Yes",MIN(N('Fee Settings'!$C$8)*(E1455+N(F1455)),N('Fee Settings'!$C$9)),0),""))</f>
        <v/>
      </c>
      <c r="L1455" s="14" t="str">
        <f>IF(C1455="","",IFERROR(D1455*N(INDEX(Products!$C$5:$C$29,MATCH(C1455,Lists!$A$2:$A$26,0))),""))</f>
        <v/>
      </c>
      <c r="M1455" s="15" t="str">
        <f t="shared" si="22"/>
        <v/>
      </c>
    </row>
    <row r="1456" spans="1:13" x14ac:dyDescent="0.35">
      <c r="A1456" s="11"/>
      <c r="B1456" s="12"/>
      <c r="C1456" s="12"/>
      <c r="D1456" s="12"/>
      <c r="E1456" s="13"/>
      <c r="F1456" s="13"/>
      <c r="G1456" s="13"/>
      <c r="H1456" s="13"/>
      <c r="I1456" s="12"/>
      <c r="J1456" s="13"/>
      <c r="K1456" s="14" t="str">
        <f>IF(C1456="","",IFERROR(N('Fee Settings'!$C$5)*(E1456+N(F1456)-N(J1456))+N('Fee Settings'!$C$6)*(E1456+N(F1456)+N(G1456))+N('Fee Settings'!$C$7)+N('Fee Settings'!$C$10)*D1456+IF(I1456="Yes",MIN(N('Fee Settings'!$C$8)*(E1456+N(F1456)),N('Fee Settings'!$C$9)),0),""))</f>
        <v/>
      </c>
      <c r="L1456" s="14" t="str">
        <f>IF(C1456="","",IFERROR(D1456*N(INDEX(Products!$C$5:$C$29,MATCH(C1456,Lists!$A$2:$A$26,0))),""))</f>
        <v/>
      </c>
      <c r="M1456" s="15" t="str">
        <f t="shared" si="22"/>
        <v/>
      </c>
    </row>
    <row r="1457" spans="1:13" x14ac:dyDescent="0.35">
      <c r="A1457" s="11"/>
      <c r="B1457" s="12"/>
      <c r="C1457" s="12"/>
      <c r="D1457" s="12"/>
      <c r="E1457" s="13"/>
      <c r="F1457" s="13"/>
      <c r="G1457" s="13"/>
      <c r="H1457" s="13"/>
      <c r="I1457" s="12"/>
      <c r="J1457" s="13"/>
      <c r="K1457" s="14" t="str">
        <f>IF(C1457="","",IFERROR(N('Fee Settings'!$C$5)*(E1457+N(F1457)-N(J1457))+N('Fee Settings'!$C$6)*(E1457+N(F1457)+N(G1457))+N('Fee Settings'!$C$7)+N('Fee Settings'!$C$10)*D1457+IF(I1457="Yes",MIN(N('Fee Settings'!$C$8)*(E1457+N(F1457)),N('Fee Settings'!$C$9)),0),""))</f>
        <v/>
      </c>
      <c r="L1457" s="14" t="str">
        <f>IF(C1457="","",IFERROR(D1457*N(INDEX(Products!$C$5:$C$29,MATCH(C1457,Lists!$A$2:$A$26,0))),""))</f>
        <v/>
      </c>
      <c r="M1457" s="15" t="str">
        <f t="shared" si="22"/>
        <v/>
      </c>
    </row>
    <row r="1458" spans="1:13" x14ac:dyDescent="0.35">
      <c r="A1458" s="11"/>
      <c r="B1458" s="12"/>
      <c r="C1458" s="12"/>
      <c r="D1458" s="12"/>
      <c r="E1458" s="13"/>
      <c r="F1458" s="13"/>
      <c r="G1458" s="13"/>
      <c r="H1458" s="13"/>
      <c r="I1458" s="12"/>
      <c r="J1458" s="13"/>
      <c r="K1458" s="14" t="str">
        <f>IF(C1458="","",IFERROR(N('Fee Settings'!$C$5)*(E1458+N(F1458)-N(J1458))+N('Fee Settings'!$C$6)*(E1458+N(F1458)+N(G1458))+N('Fee Settings'!$C$7)+N('Fee Settings'!$C$10)*D1458+IF(I1458="Yes",MIN(N('Fee Settings'!$C$8)*(E1458+N(F1458)),N('Fee Settings'!$C$9)),0),""))</f>
        <v/>
      </c>
      <c r="L1458" s="14" t="str">
        <f>IF(C1458="","",IFERROR(D1458*N(INDEX(Products!$C$5:$C$29,MATCH(C1458,Lists!$A$2:$A$26,0))),""))</f>
        <v/>
      </c>
      <c r="M1458" s="15" t="str">
        <f t="shared" si="22"/>
        <v/>
      </c>
    </row>
    <row r="1459" spans="1:13" x14ac:dyDescent="0.35">
      <c r="A1459" s="11"/>
      <c r="B1459" s="12"/>
      <c r="C1459" s="12"/>
      <c r="D1459" s="12"/>
      <c r="E1459" s="13"/>
      <c r="F1459" s="13"/>
      <c r="G1459" s="13"/>
      <c r="H1459" s="13"/>
      <c r="I1459" s="12"/>
      <c r="J1459" s="13"/>
      <c r="K1459" s="14" t="str">
        <f>IF(C1459="","",IFERROR(N('Fee Settings'!$C$5)*(E1459+N(F1459)-N(J1459))+N('Fee Settings'!$C$6)*(E1459+N(F1459)+N(G1459))+N('Fee Settings'!$C$7)+N('Fee Settings'!$C$10)*D1459+IF(I1459="Yes",MIN(N('Fee Settings'!$C$8)*(E1459+N(F1459)),N('Fee Settings'!$C$9)),0),""))</f>
        <v/>
      </c>
      <c r="L1459" s="14" t="str">
        <f>IF(C1459="","",IFERROR(D1459*N(INDEX(Products!$C$5:$C$29,MATCH(C1459,Lists!$A$2:$A$26,0))),""))</f>
        <v/>
      </c>
      <c r="M1459" s="15" t="str">
        <f t="shared" si="22"/>
        <v/>
      </c>
    </row>
    <row r="1460" spans="1:13" x14ac:dyDescent="0.35">
      <c r="A1460" s="11"/>
      <c r="B1460" s="12"/>
      <c r="C1460" s="12"/>
      <c r="D1460" s="12"/>
      <c r="E1460" s="13"/>
      <c r="F1460" s="13"/>
      <c r="G1460" s="13"/>
      <c r="H1460" s="13"/>
      <c r="I1460" s="12"/>
      <c r="J1460" s="13"/>
      <c r="K1460" s="14" t="str">
        <f>IF(C1460="","",IFERROR(N('Fee Settings'!$C$5)*(E1460+N(F1460)-N(J1460))+N('Fee Settings'!$C$6)*(E1460+N(F1460)+N(G1460))+N('Fee Settings'!$C$7)+N('Fee Settings'!$C$10)*D1460+IF(I1460="Yes",MIN(N('Fee Settings'!$C$8)*(E1460+N(F1460)),N('Fee Settings'!$C$9)),0),""))</f>
        <v/>
      </c>
      <c r="L1460" s="14" t="str">
        <f>IF(C1460="","",IFERROR(D1460*N(INDEX(Products!$C$5:$C$29,MATCH(C1460,Lists!$A$2:$A$26,0))),""))</f>
        <v/>
      </c>
      <c r="M1460" s="15" t="str">
        <f t="shared" si="22"/>
        <v/>
      </c>
    </row>
    <row r="1461" spans="1:13" x14ac:dyDescent="0.35">
      <c r="A1461" s="11"/>
      <c r="B1461" s="12"/>
      <c r="C1461" s="12"/>
      <c r="D1461" s="12"/>
      <c r="E1461" s="13"/>
      <c r="F1461" s="13"/>
      <c r="G1461" s="13"/>
      <c r="H1461" s="13"/>
      <c r="I1461" s="12"/>
      <c r="J1461" s="13"/>
      <c r="K1461" s="14" t="str">
        <f>IF(C1461="","",IFERROR(N('Fee Settings'!$C$5)*(E1461+N(F1461)-N(J1461))+N('Fee Settings'!$C$6)*(E1461+N(F1461)+N(G1461))+N('Fee Settings'!$C$7)+N('Fee Settings'!$C$10)*D1461+IF(I1461="Yes",MIN(N('Fee Settings'!$C$8)*(E1461+N(F1461)),N('Fee Settings'!$C$9)),0),""))</f>
        <v/>
      </c>
      <c r="L1461" s="14" t="str">
        <f>IF(C1461="","",IFERROR(D1461*N(INDEX(Products!$C$5:$C$29,MATCH(C1461,Lists!$A$2:$A$26,0))),""))</f>
        <v/>
      </c>
      <c r="M1461" s="15" t="str">
        <f t="shared" si="22"/>
        <v/>
      </c>
    </row>
    <row r="1462" spans="1:13" x14ac:dyDescent="0.35">
      <c r="A1462" s="11"/>
      <c r="B1462" s="12"/>
      <c r="C1462" s="12"/>
      <c r="D1462" s="12"/>
      <c r="E1462" s="13"/>
      <c r="F1462" s="13"/>
      <c r="G1462" s="13"/>
      <c r="H1462" s="13"/>
      <c r="I1462" s="12"/>
      <c r="J1462" s="13"/>
      <c r="K1462" s="14" t="str">
        <f>IF(C1462="","",IFERROR(N('Fee Settings'!$C$5)*(E1462+N(F1462)-N(J1462))+N('Fee Settings'!$C$6)*(E1462+N(F1462)+N(G1462))+N('Fee Settings'!$C$7)+N('Fee Settings'!$C$10)*D1462+IF(I1462="Yes",MIN(N('Fee Settings'!$C$8)*(E1462+N(F1462)),N('Fee Settings'!$C$9)),0),""))</f>
        <v/>
      </c>
      <c r="L1462" s="14" t="str">
        <f>IF(C1462="","",IFERROR(D1462*N(INDEX(Products!$C$5:$C$29,MATCH(C1462,Lists!$A$2:$A$26,0))),""))</f>
        <v/>
      </c>
      <c r="M1462" s="15" t="str">
        <f t="shared" si="22"/>
        <v/>
      </c>
    </row>
    <row r="1463" spans="1:13" x14ac:dyDescent="0.35">
      <c r="A1463" s="11"/>
      <c r="B1463" s="12"/>
      <c r="C1463" s="12"/>
      <c r="D1463" s="12"/>
      <c r="E1463" s="13"/>
      <c r="F1463" s="13"/>
      <c r="G1463" s="13"/>
      <c r="H1463" s="13"/>
      <c r="I1463" s="12"/>
      <c r="J1463" s="13"/>
      <c r="K1463" s="14" t="str">
        <f>IF(C1463="","",IFERROR(N('Fee Settings'!$C$5)*(E1463+N(F1463)-N(J1463))+N('Fee Settings'!$C$6)*(E1463+N(F1463)+N(G1463))+N('Fee Settings'!$C$7)+N('Fee Settings'!$C$10)*D1463+IF(I1463="Yes",MIN(N('Fee Settings'!$C$8)*(E1463+N(F1463)),N('Fee Settings'!$C$9)),0),""))</f>
        <v/>
      </c>
      <c r="L1463" s="14" t="str">
        <f>IF(C1463="","",IFERROR(D1463*N(INDEX(Products!$C$5:$C$29,MATCH(C1463,Lists!$A$2:$A$26,0))),""))</f>
        <v/>
      </c>
      <c r="M1463" s="15" t="str">
        <f t="shared" si="22"/>
        <v/>
      </c>
    </row>
    <row r="1464" spans="1:13" x14ac:dyDescent="0.35">
      <c r="A1464" s="11"/>
      <c r="B1464" s="12"/>
      <c r="C1464" s="12"/>
      <c r="D1464" s="12"/>
      <c r="E1464" s="13"/>
      <c r="F1464" s="13"/>
      <c r="G1464" s="13"/>
      <c r="H1464" s="13"/>
      <c r="I1464" s="12"/>
      <c r="J1464" s="13"/>
      <c r="K1464" s="14" t="str">
        <f>IF(C1464="","",IFERROR(N('Fee Settings'!$C$5)*(E1464+N(F1464)-N(J1464))+N('Fee Settings'!$C$6)*(E1464+N(F1464)+N(G1464))+N('Fee Settings'!$C$7)+N('Fee Settings'!$C$10)*D1464+IF(I1464="Yes",MIN(N('Fee Settings'!$C$8)*(E1464+N(F1464)),N('Fee Settings'!$C$9)),0),""))</f>
        <v/>
      </c>
      <c r="L1464" s="14" t="str">
        <f>IF(C1464="","",IFERROR(D1464*N(INDEX(Products!$C$5:$C$29,MATCH(C1464,Lists!$A$2:$A$26,0))),""))</f>
        <v/>
      </c>
      <c r="M1464" s="15" t="str">
        <f t="shared" si="22"/>
        <v/>
      </c>
    </row>
    <row r="1465" spans="1:13" x14ac:dyDescent="0.35">
      <c r="A1465" s="11"/>
      <c r="B1465" s="12"/>
      <c r="C1465" s="12"/>
      <c r="D1465" s="12"/>
      <c r="E1465" s="13"/>
      <c r="F1465" s="13"/>
      <c r="G1465" s="13"/>
      <c r="H1465" s="13"/>
      <c r="I1465" s="12"/>
      <c r="J1465" s="13"/>
      <c r="K1465" s="14" t="str">
        <f>IF(C1465="","",IFERROR(N('Fee Settings'!$C$5)*(E1465+N(F1465)-N(J1465))+N('Fee Settings'!$C$6)*(E1465+N(F1465)+N(G1465))+N('Fee Settings'!$C$7)+N('Fee Settings'!$C$10)*D1465+IF(I1465="Yes",MIN(N('Fee Settings'!$C$8)*(E1465+N(F1465)),N('Fee Settings'!$C$9)),0),""))</f>
        <v/>
      </c>
      <c r="L1465" s="14" t="str">
        <f>IF(C1465="","",IFERROR(D1465*N(INDEX(Products!$C$5:$C$29,MATCH(C1465,Lists!$A$2:$A$26,0))),""))</f>
        <v/>
      </c>
      <c r="M1465" s="15" t="str">
        <f t="shared" si="22"/>
        <v/>
      </c>
    </row>
    <row r="1466" spans="1:13" x14ac:dyDescent="0.35">
      <c r="A1466" s="11"/>
      <c r="B1466" s="12"/>
      <c r="C1466" s="12"/>
      <c r="D1466" s="12"/>
      <c r="E1466" s="13"/>
      <c r="F1466" s="13"/>
      <c r="G1466" s="13"/>
      <c r="H1466" s="13"/>
      <c r="I1466" s="12"/>
      <c r="J1466" s="13"/>
      <c r="K1466" s="14" t="str">
        <f>IF(C1466="","",IFERROR(N('Fee Settings'!$C$5)*(E1466+N(F1466)-N(J1466))+N('Fee Settings'!$C$6)*(E1466+N(F1466)+N(G1466))+N('Fee Settings'!$C$7)+N('Fee Settings'!$C$10)*D1466+IF(I1466="Yes",MIN(N('Fee Settings'!$C$8)*(E1466+N(F1466)),N('Fee Settings'!$C$9)),0),""))</f>
        <v/>
      </c>
      <c r="L1466" s="14" t="str">
        <f>IF(C1466="","",IFERROR(D1466*N(INDEX(Products!$C$5:$C$29,MATCH(C1466,Lists!$A$2:$A$26,0))),""))</f>
        <v/>
      </c>
      <c r="M1466" s="15" t="str">
        <f t="shared" si="22"/>
        <v/>
      </c>
    </row>
    <row r="1467" spans="1:13" x14ac:dyDescent="0.35">
      <c r="A1467" s="11"/>
      <c r="B1467" s="12"/>
      <c r="C1467" s="12"/>
      <c r="D1467" s="12"/>
      <c r="E1467" s="13"/>
      <c r="F1467" s="13"/>
      <c r="G1467" s="13"/>
      <c r="H1467" s="13"/>
      <c r="I1467" s="12"/>
      <c r="J1467" s="13"/>
      <c r="K1467" s="14" t="str">
        <f>IF(C1467="","",IFERROR(N('Fee Settings'!$C$5)*(E1467+N(F1467)-N(J1467))+N('Fee Settings'!$C$6)*(E1467+N(F1467)+N(G1467))+N('Fee Settings'!$C$7)+N('Fee Settings'!$C$10)*D1467+IF(I1467="Yes",MIN(N('Fee Settings'!$C$8)*(E1467+N(F1467)),N('Fee Settings'!$C$9)),0),""))</f>
        <v/>
      </c>
      <c r="L1467" s="14" t="str">
        <f>IF(C1467="","",IFERROR(D1467*N(INDEX(Products!$C$5:$C$29,MATCH(C1467,Lists!$A$2:$A$26,0))),""))</f>
        <v/>
      </c>
      <c r="M1467" s="15" t="str">
        <f t="shared" si="22"/>
        <v/>
      </c>
    </row>
    <row r="1468" spans="1:13" x14ac:dyDescent="0.35">
      <c r="A1468" s="11"/>
      <c r="B1468" s="12"/>
      <c r="C1468" s="12"/>
      <c r="D1468" s="12"/>
      <c r="E1468" s="13"/>
      <c r="F1468" s="13"/>
      <c r="G1468" s="13"/>
      <c r="H1468" s="13"/>
      <c r="I1468" s="12"/>
      <c r="J1468" s="13"/>
      <c r="K1468" s="14" t="str">
        <f>IF(C1468="","",IFERROR(N('Fee Settings'!$C$5)*(E1468+N(F1468)-N(J1468))+N('Fee Settings'!$C$6)*(E1468+N(F1468)+N(G1468))+N('Fee Settings'!$C$7)+N('Fee Settings'!$C$10)*D1468+IF(I1468="Yes",MIN(N('Fee Settings'!$C$8)*(E1468+N(F1468)),N('Fee Settings'!$C$9)),0),""))</f>
        <v/>
      </c>
      <c r="L1468" s="14" t="str">
        <f>IF(C1468="","",IFERROR(D1468*N(INDEX(Products!$C$5:$C$29,MATCH(C1468,Lists!$A$2:$A$26,0))),""))</f>
        <v/>
      </c>
      <c r="M1468" s="15" t="str">
        <f t="shared" si="22"/>
        <v/>
      </c>
    </row>
    <row r="1469" spans="1:13" x14ac:dyDescent="0.35">
      <c r="A1469" s="11"/>
      <c r="B1469" s="12"/>
      <c r="C1469" s="12"/>
      <c r="D1469" s="12"/>
      <c r="E1469" s="13"/>
      <c r="F1469" s="13"/>
      <c r="G1469" s="13"/>
      <c r="H1469" s="13"/>
      <c r="I1469" s="12"/>
      <c r="J1469" s="13"/>
      <c r="K1469" s="14" t="str">
        <f>IF(C1469="","",IFERROR(N('Fee Settings'!$C$5)*(E1469+N(F1469)-N(J1469))+N('Fee Settings'!$C$6)*(E1469+N(F1469)+N(G1469))+N('Fee Settings'!$C$7)+N('Fee Settings'!$C$10)*D1469+IF(I1469="Yes",MIN(N('Fee Settings'!$C$8)*(E1469+N(F1469)),N('Fee Settings'!$C$9)),0),""))</f>
        <v/>
      </c>
      <c r="L1469" s="14" t="str">
        <f>IF(C1469="","",IFERROR(D1469*N(INDEX(Products!$C$5:$C$29,MATCH(C1469,Lists!$A$2:$A$26,0))),""))</f>
        <v/>
      </c>
      <c r="M1469" s="15" t="str">
        <f t="shared" si="22"/>
        <v/>
      </c>
    </row>
    <row r="1470" spans="1:13" x14ac:dyDescent="0.35">
      <c r="A1470" s="11"/>
      <c r="B1470" s="12"/>
      <c r="C1470" s="12"/>
      <c r="D1470" s="12"/>
      <c r="E1470" s="13"/>
      <c r="F1470" s="13"/>
      <c r="G1470" s="13"/>
      <c r="H1470" s="13"/>
      <c r="I1470" s="12"/>
      <c r="J1470" s="13"/>
      <c r="K1470" s="14" t="str">
        <f>IF(C1470="","",IFERROR(N('Fee Settings'!$C$5)*(E1470+N(F1470)-N(J1470))+N('Fee Settings'!$C$6)*(E1470+N(F1470)+N(G1470))+N('Fee Settings'!$C$7)+N('Fee Settings'!$C$10)*D1470+IF(I1470="Yes",MIN(N('Fee Settings'!$C$8)*(E1470+N(F1470)),N('Fee Settings'!$C$9)),0),""))</f>
        <v/>
      </c>
      <c r="L1470" s="14" t="str">
        <f>IF(C1470="","",IFERROR(D1470*N(INDEX(Products!$C$5:$C$29,MATCH(C1470,Lists!$A$2:$A$26,0))),""))</f>
        <v/>
      </c>
      <c r="M1470" s="15" t="str">
        <f t="shared" si="22"/>
        <v/>
      </c>
    </row>
    <row r="1471" spans="1:13" x14ac:dyDescent="0.35">
      <c r="A1471" s="11"/>
      <c r="B1471" s="12"/>
      <c r="C1471" s="12"/>
      <c r="D1471" s="12"/>
      <c r="E1471" s="13"/>
      <c r="F1471" s="13"/>
      <c r="G1471" s="13"/>
      <c r="H1471" s="13"/>
      <c r="I1471" s="12"/>
      <c r="J1471" s="13"/>
      <c r="K1471" s="14" t="str">
        <f>IF(C1471="","",IFERROR(N('Fee Settings'!$C$5)*(E1471+N(F1471)-N(J1471))+N('Fee Settings'!$C$6)*(E1471+N(F1471)+N(G1471))+N('Fee Settings'!$C$7)+N('Fee Settings'!$C$10)*D1471+IF(I1471="Yes",MIN(N('Fee Settings'!$C$8)*(E1471+N(F1471)),N('Fee Settings'!$C$9)),0),""))</f>
        <v/>
      </c>
      <c r="L1471" s="14" t="str">
        <f>IF(C1471="","",IFERROR(D1471*N(INDEX(Products!$C$5:$C$29,MATCH(C1471,Lists!$A$2:$A$26,0))),""))</f>
        <v/>
      </c>
      <c r="M1471" s="15" t="str">
        <f t="shared" si="22"/>
        <v/>
      </c>
    </row>
    <row r="1472" spans="1:13" x14ac:dyDescent="0.35">
      <c r="A1472" s="11"/>
      <c r="B1472" s="12"/>
      <c r="C1472" s="12"/>
      <c r="D1472" s="12"/>
      <c r="E1472" s="13"/>
      <c r="F1472" s="13"/>
      <c r="G1472" s="13"/>
      <c r="H1472" s="13"/>
      <c r="I1472" s="12"/>
      <c r="J1472" s="13"/>
      <c r="K1472" s="14" t="str">
        <f>IF(C1472="","",IFERROR(N('Fee Settings'!$C$5)*(E1472+N(F1472)-N(J1472))+N('Fee Settings'!$C$6)*(E1472+N(F1472)+N(G1472))+N('Fee Settings'!$C$7)+N('Fee Settings'!$C$10)*D1472+IF(I1472="Yes",MIN(N('Fee Settings'!$C$8)*(E1472+N(F1472)),N('Fee Settings'!$C$9)),0),""))</f>
        <v/>
      </c>
      <c r="L1472" s="14" t="str">
        <f>IF(C1472="","",IFERROR(D1472*N(INDEX(Products!$C$5:$C$29,MATCH(C1472,Lists!$A$2:$A$26,0))),""))</f>
        <v/>
      </c>
      <c r="M1472" s="15" t="str">
        <f t="shared" si="22"/>
        <v/>
      </c>
    </row>
    <row r="1473" spans="1:13" x14ac:dyDescent="0.35">
      <c r="A1473" s="11"/>
      <c r="B1473" s="12"/>
      <c r="C1473" s="12"/>
      <c r="D1473" s="12"/>
      <c r="E1473" s="13"/>
      <c r="F1473" s="13"/>
      <c r="G1473" s="13"/>
      <c r="H1473" s="13"/>
      <c r="I1473" s="12"/>
      <c r="J1473" s="13"/>
      <c r="K1473" s="14" t="str">
        <f>IF(C1473="","",IFERROR(N('Fee Settings'!$C$5)*(E1473+N(F1473)-N(J1473))+N('Fee Settings'!$C$6)*(E1473+N(F1473)+N(G1473))+N('Fee Settings'!$C$7)+N('Fee Settings'!$C$10)*D1473+IF(I1473="Yes",MIN(N('Fee Settings'!$C$8)*(E1473+N(F1473)),N('Fee Settings'!$C$9)),0),""))</f>
        <v/>
      </c>
      <c r="L1473" s="14" t="str">
        <f>IF(C1473="","",IFERROR(D1473*N(INDEX(Products!$C$5:$C$29,MATCH(C1473,Lists!$A$2:$A$26,0))),""))</f>
        <v/>
      </c>
      <c r="M1473" s="15" t="str">
        <f t="shared" si="22"/>
        <v/>
      </c>
    </row>
    <row r="1474" spans="1:13" x14ac:dyDescent="0.35">
      <c r="A1474" s="11"/>
      <c r="B1474" s="12"/>
      <c r="C1474" s="12"/>
      <c r="D1474" s="12"/>
      <c r="E1474" s="13"/>
      <c r="F1474" s="13"/>
      <c r="G1474" s="13"/>
      <c r="H1474" s="13"/>
      <c r="I1474" s="12"/>
      <c r="J1474" s="13"/>
      <c r="K1474" s="14" t="str">
        <f>IF(C1474="","",IFERROR(N('Fee Settings'!$C$5)*(E1474+N(F1474)-N(J1474))+N('Fee Settings'!$C$6)*(E1474+N(F1474)+N(G1474))+N('Fee Settings'!$C$7)+N('Fee Settings'!$C$10)*D1474+IF(I1474="Yes",MIN(N('Fee Settings'!$C$8)*(E1474+N(F1474)),N('Fee Settings'!$C$9)),0),""))</f>
        <v/>
      </c>
      <c r="L1474" s="14" t="str">
        <f>IF(C1474="","",IFERROR(D1474*N(INDEX(Products!$C$5:$C$29,MATCH(C1474,Lists!$A$2:$A$26,0))),""))</f>
        <v/>
      </c>
      <c r="M1474" s="15" t="str">
        <f t="shared" si="22"/>
        <v/>
      </c>
    </row>
    <row r="1475" spans="1:13" x14ac:dyDescent="0.35">
      <c r="A1475" s="11"/>
      <c r="B1475" s="12"/>
      <c r="C1475" s="12"/>
      <c r="D1475" s="12"/>
      <c r="E1475" s="13"/>
      <c r="F1475" s="13"/>
      <c r="G1475" s="13"/>
      <c r="H1475" s="13"/>
      <c r="I1475" s="12"/>
      <c r="J1475" s="13"/>
      <c r="K1475" s="14" t="str">
        <f>IF(C1475="","",IFERROR(N('Fee Settings'!$C$5)*(E1475+N(F1475)-N(J1475))+N('Fee Settings'!$C$6)*(E1475+N(F1475)+N(G1475))+N('Fee Settings'!$C$7)+N('Fee Settings'!$C$10)*D1475+IF(I1475="Yes",MIN(N('Fee Settings'!$C$8)*(E1475+N(F1475)),N('Fee Settings'!$C$9)),0),""))</f>
        <v/>
      </c>
      <c r="L1475" s="14" t="str">
        <f>IF(C1475="","",IFERROR(D1475*N(INDEX(Products!$C$5:$C$29,MATCH(C1475,Lists!$A$2:$A$26,0))),""))</f>
        <v/>
      </c>
      <c r="M1475" s="15" t="str">
        <f t="shared" si="22"/>
        <v/>
      </c>
    </row>
    <row r="1476" spans="1:13" x14ac:dyDescent="0.35">
      <c r="A1476" s="11"/>
      <c r="B1476" s="12"/>
      <c r="C1476" s="12"/>
      <c r="D1476" s="12"/>
      <c r="E1476" s="13"/>
      <c r="F1476" s="13"/>
      <c r="G1476" s="13"/>
      <c r="H1476" s="13"/>
      <c r="I1476" s="12"/>
      <c r="J1476" s="13"/>
      <c r="K1476" s="14" t="str">
        <f>IF(C1476="","",IFERROR(N('Fee Settings'!$C$5)*(E1476+N(F1476)-N(J1476))+N('Fee Settings'!$C$6)*(E1476+N(F1476)+N(G1476))+N('Fee Settings'!$C$7)+N('Fee Settings'!$C$10)*D1476+IF(I1476="Yes",MIN(N('Fee Settings'!$C$8)*(E1476+N(F1476)),N('Fee Settings'!$C$9)),0),""))</f>
        <v/>
      </c>
      <c r="L1476" s="14" t="str">
        <f>IF(C1476="","",IFERROR(D1476*N(INDEX(Products!$C$5:$C$29,MATCH(C1476,Lists!$A$2:$A$26,0))),""))</f>
        <v/>
      </c>
      <c r="M1476" s="15" t="str">
        <f t="shared" si="22"/>
        <v/>
      </c>
    </row>
    <row r="1477" spans="1:13" x14ac:dyDescent="0.35">
      <c r="A1477" s="11"/>
      <c r="B1477" s="12"/>
      <c r="C1477" s="12"/>
      <c r="D1477" s="12"/>
      <c r="E1477" s="13"/>
      <c r="F1477" s="13"/>
      <c r="G1477" s="13"/>
      <c r="H1477" s="13"/>
      <c r="I1477" s="12"/>
      <c r="J1477" s="13"/>
      <c r="K1477" s="14" t="str">
        <f>IF(C1477="","",IFERROR(N('Fee Settings'!$C$5)*(E1477+N(F1477)-N(J1477))+N('Fee Settings'!$C$6)*(E1477+N(F1477)+N(G1477))+N('Fee Settings'!$C$7)+N('Fee Settings'!$C$10)*D1477+IF(I1477="Yes",MIN(N('Fee Settings'!$C$8)*(E1477+N(F1477)),N('Fee Settings'!$C$9)),0),""))</f>
        <v/>
      </c>
      <c r="L1477" s="14" t="str">
        <f>IF(C1477="","",IFERROR(D1477*N(INDEX(Products!$C$5:$C$29,MATCH(C1477,Lists!$A$2:$A$26,0))),""))</f>
        <v/>
      </c>
      <c r="M1477" s="15" t="str">
        <f t="shared" ref="M1477:M1540" si="23">IF(C1477="","",IFERROR(E1477+N(F1477)-N(J1477)-K1477-L1477-N(H1477),""))</f>
        <v/>
      </c>
    </row>
    <row r="1478" spans="1:13" x14ac:dyDescent="0.35">
      <c r="A1478" s="11"/>
      <c r="B1478" s="12"/>
      <c r="C1478" s="12"/>
      <c r="D1478" s="12"/>
      <c r="E1478" s="13"/>
      <c r="F1478" s="13"/>
      <c r="G1478" s="13"/>
      <c r="H1478" s="13"/>
      <c r="I1478" s="12"/>
      <c r="J1478" s="13"/>
      <c r="K1478" s="14" t="str">
        <f>IF(C1478="","",IFERROR(N('Fee Settings'!$C$5)*(E1478+N(F1478)-N(J1478))+N('Fee Settings'!$C$6)*(E1478+N(F1478)+N(G1478))+N('Fee Settings'!$C$7)+N('Fee Settings'!$C$10)*D1478+IF(I1478="Yes",MIN(N('Fee Settings'!$C$8)*(E1478+N(F1478)),N('Fee Settings'!$C$9)),0),""))</f>
        <v/>
      </c>
      <c r="L1478" s="14" t="str">
        <f>IF(C1478="","",IFERROR(D1478*N(INDEX(Products!$C$5:$C$29,MATCH(C1478,Lists!$A$2:$A$26,0))),""))</f>
        <v/>
      </c>
      <c r="M1478" s="15" t="str">
        <f t="shared" si="23"/>
        <v/>
      </c>
    </row>
    <row r="1479" spans="1:13" x14ac:dyDescent="0.35">
      <c r="A1479" s="11"/>
      <c r="B1479" s="12"/>
      <c r="C1479" s="12"/>
      <c r="D1479" s="12"/>
      <c r="E1479" s="13"/>
      <c r="F1479" s="13"/>
      <c r="G1479" s="13"/>
      <c r="H1479" s="13"/>
      <c r="I1479" s="12"/>
      <c r="J1479" s="13"/>
      <c r="K1479" s="14" t="str">
        <f>IF(C1479="","",IFERROR(N('Fee Settings'!$C$5)*(E1479+N(F1479)-N(J1479))+N('Fee Settings'!$C$6)*(E1479+N(F1479)+N(G1479))+N('Fee Settings'!$C$7)+N('Fee Settings'!$C$10)*D1479+IF(I1479="Yes",MIN(N('Fee Settings'!$C$8)*(E1479+N(F1479)),N('Fee Settings'!$C$9)),0),""))</f>
        <v/>
      </c>
      <c r="L1479" s="14" t="str">
        <f>IF(C1479="","",IFERROR(D1479*N(INDEX(Products!$C$5:$C$29,MATCH(C1479,Lists!$A$2:$A$26,0))),""))</f>
        <v/>
      </c>
      <c r="M1479" s="15" t="str">
        <f t="shared" si="23"/>
        <v/>
      </c>
    </row>
    <row r="1480" spans="1:13" x14ac:dyDescent="0.35">
      <c r="A1480" s="11"/>
      <c r="B1480" s="12"/>
      <c r="C1480" s="12"/>
      <c r="D1480" s="12"/>
      <c r="E1480" s="13"/>
      <c r="F1480" s="13"/>
      <c r="G1480" s="13"/>
      <c r="H1480" s="13"/>
      <c r="I1480" s="12"/>
      <c r="J1480" s="13"/>
      <c r="K1480" s="14" t="str">
        <f>IF(C1480="","",IFERROR(N('Fee Settings'!$C$5)*(E1480+N(F1480)-N(J1480))+N('Fee Settings'!$C$6)*(E1480+N(F1480)+N(G1480))+N('Fee Settings'!$C$7)+N('Fee Settings'!$C$10)*D1480+IF(I1480="Yes",MIN(N('Fee Settings'!$C$8)*(E1480+N(F1480)),N('Fee Settings'!$C$9)),0),""))</f>
        <v/>
      </c>
      <c r="L1480" s="14" t="str">
        <f>IF(C1480="","",IFERROR(D1480*N(INDEX(Products!$C$5:$C$29,MATCH(C1480,Lists!$A$2:$A$26,0))),""))</f>
        <v/>
      </c>
      <c r="M1480" s="15" t="str">
        <f t="shared" si="23"/>
        <v/>
      </c>
    </row>
    <row r="1481" spans="1:13" x14ac:dyDescent="0.35">
      <c r="A1481" s="11"/>
      <c r="B1481" s="12"/>
      <c r="C1481" s="12"/>
      <c r="D1481" s="12"/>
      <c r="E1481" s="13"/>
      <c r="F1481" s="13"/>
      <c r="G1481" s="13"/>
      <c r="H1481" s="13"/>
      <c r="I1481" s="12"/>
      <c r="J1481" s="13"/>
      <c r="K1481" s="14" t="str">
        <f>IF(C1481="","",IFERROR(N('Fee Settings'!$C$5)*(E1481+N(F1481)-N(J1481))+N('Fee Settings'!$C$6)*(E1481+N(F1481)+N(G1481))+N('Fee Settings'!$C$7)+N('Fee Settings'!$C$10)*D1481+IF(I1481="Yes",MIN(N('Fee Settings'!$C$8)*(E1481+N(F1481)),N('Fee Settings'!$C$9)),0),""))</f>
        <v/>
      </c>
      <c r="L1481" s="14" t="str">
        <f>IF(C1481="","",IFERROR(D1481*N(INDEX(Products!$C$5:$C$29,MATCH(C1481,Lists!$A$2:$A$26,0))),""))</f>
        <v/>
      </c>
      <c r="M1481" s="15" t="str">
        <f t="shared" si="23"/>
        <v/>
      </c>
    </row>
    <row r="1482" spans="1:13" x14ac:dyDescent="0.35">
      <c r="A1482" s="11"/>
      <c r="B1482" s="12"/>
      <c r="C1482" s="12"/>
      <c r="D1482" s="12"/>
      <c r="E1482" s="13"/>
      <c r="F1482" s="13"/>
      <c r="G1482" s="13"/>
      <c r="H1482" s="13"/>
      <c r="I1482" s="12"/>
      <c r="J1482" s="13"/>
      <c r="K1482" s="14" t="str">
        <f>IF(C1482="","",IFERROR(N('Fee Settings'!$C$5)*(E1482+N(F1482)-N(J1482))+N('Fee Settings'!$C$6)*(E1482+N(F1482)+N(G1482))+N('Fee Settings'!$C$7)+N('Fee Settings'!$C$10)*D1482+IF(I1482="Yes",MIN(N('Fee Settings'!$C$8)*(E1482+N(F1482)),N('Fee Settings'!$C$9)),0),""))</f>
        <v/>
      </c>
      <c r="L1482" s="14" t="str">
        <f>IF(C1482="","",IFERROR(D1482*N(INDEX(Products!$C$5:$C$29,MATCH(C1482,Lists!$A$2:$A$26,0))),""))</f>
        <v/>
      </c>
      <c r="M1482" s="15" t="str">
        <f t="shared" si="23"/>
        <v/>
      </c>
    </row>
    <row r="1483" spans="1:13" x14ac:dyDescent="0.35">
      <c r="A1483" s="11"/>
      <c r="B1483" s="12"/>
      <c r="C1483" s="12"/>
      <c r="D1483" s="12"/>
      <c r="E1483" s="13"/>
      <c r="F1483" s="13"/>
      <c r="G1483" s="13"/>
      <c r="H1483" s="13"/>
      <c r="I1483" s="12"/>
      <c r="J1483" s="13"/>
      <c r="K1483" s="14" t="str">
        <f>IF(C1483="","",IFERROR(N('Fee Settings'!$C$5)*(E1483+N(F1483)-N(J1483))+N('Fee Settings'!$C$6)*(E1483+N(F1483)+N(G1483))+N('Fee Settings'!$C$7)+N('Fee Settings'!$C$10)*D1483+IF(I1483="Yes",MIN(N('Fee Settings'!$C$8)*(E1483+N(F1483)),N('Fee Settings'!$C$9)),0),""))</f>
        <v/>
      </c>
      <c r="L1483" s="14" t="str">
        <f>IF(C1483="","",IFERROR(D1483*N(INDEX(Products!$C$5:$C$29,MATCH(C1483,Lists!$A$2:$A$26,0))),""))</f>
        <v/>
      </c>
      <c r="M1483" s="15" t="str">
        <f t="shared" si="23"/>
        <v/>
      </c>
    </row>
    <row r="1484" spans="1:13" x14ac:dyDescent="0.35">
      <c r="A1484" s="11"/>
      <c r="B1484" s="12"/>
      <c r="C1484" s="12"/>
      <c r="D1484" s="12"/>
      <c r="E1484" s="13"/>
      <c r="F1484" s="13"/>
      <c r="G1484" s="13"/>
      <c r="H1484" s="13"/>
      <c r="I1484" s="12"/>
      <c r="J1484" s="13"/>
      <c r="K1484" s="14" t="str">
        <f>IF(C1484="","",IFERROR(N('Fee Settings'!$C$5)*(E1484+N(F1484)-N(J1484))+N('Fee Settings'!$C$6)*(E1484+N(F1484)+N(G1484))+N('Fee Settings'!$C$7)+N('Fee Settings'!$C$10)*D1484+IF(I1484="Yes",MIN(N('Fee Settings'!$C$8)*(E1484+N(F1484)),N('Fee Settings'!$C$9)),0),""))</f>
        <v/>
      </c>
      <c r="L1484" s="14" t="str">
        <f>IF(C1484="","",IFERROR(D1484*N(INDEX(Products!$C$5:$C$29,MATCH(C1484,Lists!$A$2:$A$26,0))),""))</f>
        <v/>
      </c>
      <c r="M1484" s="15" t="str">
        <f t="shared" si="23"/>
        <v/>
      </c>
    </row>
    <row r="1485" spans="1:13" x14ac:dyDescent="0.35">
      <c r="A1485" s="11"/>
      <c r="B1485" s="12"/>
      <c r="C1485" s="12"/>
      <c r="D1485" s="12"/>
      <c r="E1485" s="13"/>
      <c r="F1485" s="13"/>
      <c r="G1485" s="13"/>
      <c r="H1485" s="13"/>
      <c r="I1485" s="12"/>
      <c r="J1485" s="13"/>
      <c r="K1485" s="14" t="str">
        <f>IF(C1485="","",IFERROR(N('Fee Settings'!$C$5)*(E1485+N(F1485)-N(J1485))+N('Fee Settings'!$C$6)*(E1485+N(F1485)+N(G1485))+N('Fee Settings'!$C$7)+N('Fee Settings'!$C$10)*D1485+IF(I1485="Yes",MIN(N('Fee Settings'!$C$8)*(E1485+N(F1485)),N('Fee Settings'!$C$9)),0),""))</f>
        <v/>
      </c>
      <c r="L1485" s="14" t="str">
        <f>IF(C1485="","",IFERROR(D1485*N(INDEX(Products!$C$5:$C$29,MATCH(C1485,Lists!$A$2:$A$26,0))),""))</f>
        <v/>
      </c>
      <c r="M1485" s="15" t="str">
        <f t="shared" si="23"/>
        <v/>
      </c>
    </row>
    <row r="1486" spans="1:13" x14ac:dyDescent="0.35">
      <c r="A1486" s="11"/>
      <c r="B1486" s="12"/>
      <c r="C1486" s="12"/>
      <c r="D1486" s="12"/>
      <c r="E1486" s="13"/>
      <c r="F1486" s="13"/>
      <c r="G1486" s="13"/>
      <c r="H1486" s="13"/>
      <c r="I1486" s="12"/>
      <c r="J1486" s="13"/>
      <c r="K1486" s="14" t="str">
        <f>IF(C1486="","",IFERROR(N('Fee Settings'!$C$5)*(E1486+N(F1486)-N(J1486))+N('Fee Settings'!$C$6)*(E1486+N(F1486)+N(G1486))+N('Fee Settings'!$C$7)+N('Fee Settings'!$C$10)*D1486+IF(I1486="Yes",MIN(N('Fee Settings'!$C$8)*(E1486+N(F1486)),N('Fee Settings'!$C$9)),0),""))</f>
        <v/>
      </c>
      <c r="L1486" s="14" t="str">
        <f>IF(C1486="","",IFERROR(D1486*N(INDEX(Products!$C$5:$C$29,MATCH(C1486,Lists!$A$2:$A$26,0))),""))</f>
        <v/>
      </c>
      <c r="M1486" s="15" t="str">
        <f t="shared" si="23"/>
        <v/>
      </c>
    </row>
    <row r="1487" spans="1:13" x14ac:dyDescent="0.35">
      <c r="A1487" s="11"/>
      <c r="B1487" s="12"/>
      <c r="C1487" s="12"/>
      <c r="D1487" s="12"/>
      <c r="E1487" s="13"/>
      <c r="F1487" s="13"/>
      <c r="G1487" s="13"/>
      <c r="H1487" s="13"/>
      <c r="I1487" s="12"/>
      <c r="J1487" s="13"/>
      <c r="K1487" s="14" t="str">
        <f>IF(C1487="","",IFERROR(N('Fee Settings'!$C$5)*(E1487+N(F1487)-N(J1487))+N('Fee Settings'!$C$6)*(E1487+N(F1487)+N(G1487))+N('Fee Settings'!$C$7)+N('Fee Settings'!$C$10)*D1487+IF(I1487="Yes",MIN(N('Fee Settings'!$C$8)*(E1487+N(F1487)),N('Fee Settings'!$C$9)),0),""))</f>
        <v/>
      </c>
      <c r="L1487" s="14" t="str">
        <f>IF(C1487="","",IFERROR(D1487*N(INDEX(Products!$C$5:$C$29,MATCH(C1487,Lists!$A$2:$A$26,0))),""))</f>
        <v/>
      </c>
      <c r="M1487" s="15" t="str">
        <f t="shared" si="23"/>
        <v/>
      </c>
    </row>
    <row r="1488" spans="1:13" x14ac:dyDescent="0.35">
      <c r="A1488" s="11"/>
      <c r="B1488" s="12"/>
      <c r="C1488" s="12"/>
      <c r="D1488" s="12"/>
      <c r="E1488" s="13"/>
      <c r="F1488" s="13"/>
      <c r="G1488" s="13"/>
      <c r="H1488" s="13"/>
      <c r="I1488" s="12"/>
      <c r="J1488" s="13"/>
      <c r="K1488" s="14" t="str">
        <f>IF(C1488="","",IFERROR(N('Fee Settings'!$C$5)*(E1488+N(F1488)-N(J1488))+N('Fee Settings'!$C$6)*(E1488+N(F1488)+N(G1488))+N('Fee Settings'!$C$7)+N('Fee Settings'!$C$10)*D1488+IF(I1488="Yes",MIN(N('Fee Settings'!$C$8)*(E1488+N(F1488)),N('Fee Settings'!$C$9)),0),""))</f>
        <v/>
      </c>
      <c r="L1488" s="14" t="str">
        <f>IF(C1488="","",IFERROR(D1488*N(INDEX(Products!$C$5:$C$29,MATCH(C1488,Lists!$A$2:$A$26,0))),""))</f>
        <v/>
      </c>
      <c r="M1488" s="15" t="str">
        <f t="shared" si="23"/>
        <v/>
      </c>
    </row>
    <row r="1489" spans="1:13" x14ac:dyDescent="0.35">
      <c r="A1489" s="11"/>
      <c r="B1489" s="12"/>
      <c r="C1489" s="12"/>
      <c r="D1489" s="12"/>
      <c r="E1489" s="13"/>
      <c r="F1489" s="13"/>
      <c r="G1489" s="13"/>
      <c r="H1489" s="13"/>
      <c r="I1489" s="12"/>
      <c r="J1489" s="13"/>
      <c r="K1489" s="14" t="str">
        <f>IF(C1489="","",IFERROR(N('Fee Settings'!$C$5)*(E1489+N(F1489)-N(J1489))+N('Fee Settings'!$C$6)*(E1489+N(F1489)+N(G1489))+N('Fee Settings'!$C$7)+N('Fee Settings'!$C$10)*D1489+IF(I1489="Yes",MIN(N('Fee Settings'!$C$8)*(E1489+N(F1489)),N('Fee Settings'!$C$9)),0),""))</f>
        <v/>
      </c>
      <c r="L1489" s="14" t="str">
        <f>IF(C1489="","",IFERROR(D1489*N(INDEX(Products!$C$5:$C$29,MATCH(C1489,Lists!$A$2:$A$26,0))),""))</f>
        <v/>
      </c>
      <c r="M1489" s="15" t="str">
        <f t="shared" si="23"/>
        <v/>
      </c>
    </row>
    <row r="1490" spans="1:13" x14ac:dyDescent="0.35">
      <c r="A1490" s="11"/>
      <c r="B1490" s="12"/>
      <c r="C1490" s="12"/>
      <c r="D1490" s="12"/>
      <c r="E1490" s="13"/>
      <c r="F1490" s="13"/>
      <c r="G1490" s="13"/>
      <c r="H1490" s="13"/>
      <c r="I1490" s="12"/>
      <c r="J1490" s="13"/>
      <c r="K1490" s="14" t="str">
        <f>IF(C1490="","",IFERROR(N('Fee Settings'!$C$5)*(E1490+N(F1490)-N(J1490))+N('Fee Settings'!$C$6)*(E1490+N(F1490)+N(G1490))+N('Fee Settings'!$C$7)+N('Fee Settings'!$C$10)*D1490+IF(I1490="Yes",MIN(N('Fee Settings'!$C$8)*(E1490+N(F1490)),N('Fee Settings'!$C$9)),0),""))</f>
        <v/>
      </c>
      <c r="L1490" s="14" t="str">
        <f>IF(C1490="","",IFERROR(D1490*N(INDEX(Products!$C$5:$C$29,MATCH(C1490,Lists!$A$2:$A$26,0))),""))</f>
        <v/>
      </c>
      <c r="M1490" s="15" t="str">
        <f t="shared" si="23"/>
        <v/>
      </c>
    </row>
    <row r="1491" spans="1:13" x14ac:dyDescent="0.35">
      <c r="A1491" s="11"/>
      <c r="B1491" s="12"/>
      <c r="C1491" s="12"/>
      <c r="D1491" s="12"/>
      <c r="E1491" s="13"/>
      <c r="F1491" s="13"/>
      <c r="G1491" s="13"/>
      <c r="H1491" s="13"/>
      <c r="I1491" s="12"/>
      <c r="J1491" s="13"/>
      <c r="K1491" s="14" t="str">
        <f>IF(C1491="","",IFERROR(N('Fee Settings'!$C$5)*(E1491+N(F1491)-N(J1491))+N('Fee Settings'!$C$6)*(E1491+N(F1491)+N(G1491))+N('Fee Settings'!$C$7)+N('Fee Settings'!$C$10)*D1491+IF(I1491="Yes",MIN(N('Fee Settings'!$C$8)*(E1491+N(F1491)),N('Fee Settings'!$C$9)),0),""))</f>
        <v/>
      </c>
      <c r="L1491" s="14" t="str">
        <f>IF(C1491="","",IFERROR(D1491*N(INDEX(Products!$C$5:$C$29,MATCH(C1491,Lists!$A$2:$A$26,0))),""))</f>
        <v/>
      </c>
      <c r="M1491" s="15" t="str">
        <f t="shared" si="23"/>
        <v/>
      </c>
    </row>
    <row r="1492" spans="1:13" x14ac:dyDescent="0.35">
      <c r="A1492" s="11"/>
      <c r="B1492" s="12"/>
      <c r="C1492" s="12"/>
      <c r="D1492" s="12"/>
      <c r="E1492" s="13"/>
      <c r="F1492" s="13"/>
      <c r="G1492" s="13"/>
      <c r="H1492" s="13"/>
      <c r="I1492" s="12"/>
      <c r="J1492" s="13"/>
      <c r="K1492" s="14" t="str">
        <f>IF(C1492="","",IFERROR(N('Fee Settings'!$C$5)*(E1492+N(F1492)-N(J1492))+N('Fee Settings'!$C$6)*(E1492+N(F1492)+N(G1492))+N('Fee Settings'!$C$7)+N('Fee Settings'!$C$10)*D1492+IF(I1492="Yes",MIN(N('Fee Settings'!$C$8)*(E1492+N(F1492)),N('Fee Settings'!$C$9)),0),""))</f>
        <v/>
      </c>
      <c r="L1492" s="14" t="str">
        <f>IF(C1492="","",IFERROR(D1492*N(INDEX(Products!$C$5:$C$29,MATCH(C1492,Lists!$A$2:$A$26,0))),""))</f>
        <v/>
      </c>
      <c r="M1492" s="15" t="str">
        <f t="shared" si="23"/>
        <v/>
      </c>
    </row>
    <row r="1493" spans="1:13" x14ac:dyDescent="0.35">
      <c r="A1493" s="11"/>
      <c r="B1493" s="12"/>
      <c r="C1493" s="12"/>
      <c r="D1493" s="12"/>
      <c r="E1493" s="13"/>
      <c r="F1493" s="13"/>
      <c r="G1493" s="13"/>
      <c r="H1493" s="13"/>
      <c r="I1493" s="12"/>
      <c r="J1493" s="13"/>
      <c r="K1493" s="14" t="str">
        <f>IF(C1493="","",IFERROR(N('Fee Settings'!$C$5)*(E1493+N(F1493)-N(J1493))+N('Fee Settings'!$C$6)*(E1493+N(F1493)+N(G1493))+N('Fee Settings'!$C$7)+N('Fee Settings'!$C$10)*D1493+IF(I1493="Yes",MIN(N('Fee Settings'!$C$8)*(E1493+N(F1493)),N('Fee Settings'!$C$9)),0),""))</f>
        <v/>
      </c>
      <c r="L1493" s="14" t="str">
        <f>IF(C1493="","",IFERROR(D1493*N(INDEX(Products!$C$5:$C$29,MATCH(C1493,Lists!$A$2:$A$26,0))),""))</f>
        <v/>
      </c>
      <c r="M1493" s="15" t="str">
        <f t="shared" si="23"/>
        <v/>
      </c>
    </row>
    <row r="1494" spans="1:13" x14ac:dyDescent="0.35">
      <c r="A1494" s="11"/>
      <c r="B1494" s="12"/>
      <c r="C1494" s="12"/>
      <c r="D1494" s="12"/>
      <c r="E1494" s="13"/>
      <c r="F1494" s="13"/>
      <c r="G1494" s="13"/>
      <c r="H1494" s="13"/>
      <c r="I1494" s="12"/>
      <c r="J1494" s="13"/>
      <c r="K1494" s="14" t="str">
        <f>IF(C1494="","",IFERROR(N('Fee Settings'!$C$5)*(E1494+N(F1494)-N(J1494))+N('Fee Settings'!$C$6)*(E1494+N(F1494)+N(G1494))+N('Fee Settings'!$C$7)+N('Fee Settings'!$C$10)*D1494+IF(I1494="Yes",MIN(N('Fee Settings'!$C$8)*(E1494+N(F1494)),N('Fee Settings'!$C$9)),0),""))</f>
        <v/>
      </c>
      <c r="L1494" s="14" t="str">
        <f>IF(C1494="","",IFERROR(D1494*N(INDEX(Products!$C$5:$C$29,MATCH(C1494,Lists!$A$2:$A$26,0))),""))</f>
        <v/>
      </c>
      <c r="M1494" s="15" t="str">
        <f t="shared" si="23"/>
        <v/>
      </c>
    </row>
    <row r="1495" spans="1:13" x14ac:dyDescent="0.35">
      <c r="A1495" s="11"/>
      <c r="B1495" s="12"/>
      <c r="C1495" s="12"/>
      <c r="D1495" s="12"/>
      <c r="E1495" s="13"/>
      <c r="F1495" s="13"/>
      <c r="G1495" s="13"/>
      <c r="H1495" s="13"/>
      <c r="I1495" s="12"/>
      <c r="J1495" s="13"/>
      <c r="K1495" s="14" t="str">
        <f>IF(C1495="","",IFERROR(N('Fee Settings'!$C$5)*(E1495+N(F1495)-N(J1495))+N('Fee Settings'!$C$6)*(E1495+N(F1495)+N(G1495))+N('Fee Settings'!$C$7)+N('Fee Settings'!$C$10)*D1495+IF(I1495="Yes",MIN(N('Fee Settings'!$C$8)*(E1495+N(F1495)),N('Fee Settings'!$C$9)),0),""))</f>
        <v/>
      </c>
      <c r="L1495" s="14" t="str">
        <f>IF(C1495="","",IFERROR(D1495*N(INDEX(Products!$C$5:$C$29,MATCH(C1495,Lists!$A$2:$A$26,0))),""))</f>
        <v/>
      </c>
      <c r="M1495" s="15" t="str">
        <f t="shared" si="23"/>
        <v/>
      </c>
    </row>
    <row r="1496" spans="1:13" x14ac:dyDescent="0.35">
      <c r="A1496" s="11"/>
      <c r="B1496" s="12"/>
      <c r="C1496" s="12"/>
      <c r="D1496" s="12"/>
      <c r="E1496" s="13"/>
      <c r="F1496" s="13"/>
      <c r="G1496" s="13"/>
      <c r="H1496" s="13"/>
      <c r="I1496" s="12"/>
      <c r="J1496" s="13"/>
      <c r="K1496" s="14" t="str">
        <f>IF(C1496="","",IFERROR(N('Fee Settings'!$C$5)*(E1496+N(F1496)-N(J1496))+N('Fee Settings'!$C$6)*(E1496+N(F1496)+N(G1496))+N('Fee Settings'!$C$7)+N('Fee Settings'!$C$10)*D1496+IF(I1496="Yes",MIN(N('Fee Settings'!$C$8)*(E1496+N(F1496)),N('Fee Settings'!$C$9)),0),""))</f>
        <v/>
      </c>
      <c r="L1496" s="14" t="str">
        <f>IF(C1496="","",IFERROR(D1496*N(INDEX(Products!$C$5:$C$29,MATCH(C1496,Lists!$A$2:$A$26,0))),""))</f>
        <v/>
      </c>
      <c r="M1496" s="15" t="str">
        <f t="shared" si="23"/>
        <v/>
      </c>
    </row>
    <row r="1497" spans="1:13" x14ac:dyDescent="0.35">
      <c r="A1497" s="11"/>
      <c r="B1497" s="12"/>
      <c r="C1497" s="12"/>
      <c r="D1497" s="12"/>
      <c r="E1497" s="13"/>
      <c r="F1497" s="13"/>
      <c r="G1497" s="13"/>
      <c r="H1497" s="13"/>
      <c r="I1497" s="12"/>
      <c r="J1497" s="13"/>
      <c r="K1497" s="14" t="str">
        <f>IF(C1497="","",IFERROR(N('Fee Settings'!$C$5)*(E1497+N(F1497)-N(J1497))+N('Fee Settings'!$C$6)*(E1497+N(F1497)+N(G1497))+N('Fee Settings'!$C$7)+N('Fee Settings'!$C$10)*D1497+IF(I1497="Yes",MIN(N('Fee Settings'!$C$8)*(E1497+N(F1497)),N('Fee Settings'!$C$9)),0),""))</f>
        <v/>
      </c>
      <c r="L1497" s="14" t="str">
        <f>IF(C1497="","",IFERROR(D1497*N(INDEX(Products!$C$5:$C$29,MATCH(C1497,Lists!$A$2:$A$26,0))),""))</f>
        <v/>
      </c>
      <c r="M1497" s="15" t="str">
        <f t="shared" si="23"/>
        <v/>
      </c>
    </row>
    <row r="1498" spans="1:13" x14ac:dyDescent="0.35">
      <c r="A1498" s="11"/>
      <c r="B1498" s="12"/>
      <c r="C1498" s="12"/>
      <c r="D1498" s="12"/>
      <c r="E1498" s="13"/>
      <c r="F1498" s="13"/>
      <c r="G1498" s="13"/>
      <c r="H1498" s="13"/>
      <c r="I1498" s="12"/>
      <c r="J1498" s="13"/>
      <c r="K1498" s="14" t="str">
        <f>IF(C1498="","",IFERROR(N('Fee Settings'!$C$5)*(E1498+N(F1498)-N(J1498))+N('Fee Settings'!$C$6)*(E1498+N(F1498)+N(G1498))+N('Fee Settings'!$C$7)+N('Fee Settings'!$C$10)*D1498+IF(I1498="Yes",MIN(N('Fee Settings'!$C$8)*(E1498+N(F1498)),N('Fee Settings'!$C$9)),0),""))</f>
        <v/>
      </c>
      <c r="L1498" s="14" t="str">
        <f>IF(C1498="","",IFERROR(D1498*N(INDEX(Products!$C$5:$C$29,MATCH(C1498,Lists!$A$2:$A$26,0))),""))</f>
        <v/>
      </c>
      <c r="M1498" s="15" t="str">
        <f t="shared" si="23"/>
        <v/>
      </c>
    </row>
    <row r="1499" spans="1:13" x14ac:dyDescent="0.35">
      <c r="A1499" s="11"/>
      <c r="B1499" s="12"/>
      <c r="C1499" s="12"/>
      <c r="D1499" s="12"/>
      <c r="E1499" s="13"/>
      <c r="F1499" s="13"/>
      <c r="G1499" s="13"/>
      <c r="H1499" s="13"/>
      <c r="I1499" s="12"/>
      <c r="J1499" s="13"/>
      <c r="K1499" s="14" t="str">
        <f>IF(C1499="","",IFERROR(N('Fee Settings'!$C$5)*(E1499+N(F1499)-N(J1499))+N('Fee Settings'!$C$6)*(E1499+N(F1499)+N(G1499))+N('Fee Settings'!$C$7)+N('Fee Settings'!$C$10)*D1499+IF(I1499="Yes",MIN(N('Fee Settings'!$C$8)*(E1499+N(F1499)),N('Fee Settings'!$C$9)),0),""))</f>
        <v/>
      </c>
      <c r="L1499" s="14" t="str">
        <f>IF(C1499="","",IFERROR(D1499*N(INDEX(Products!$C$5:$C$29,MATCH(C1499,Lists!$A$2:$A$26,0))),""))</f>
        <v/>
      </c>
      <c r="M1499" s="15" t="str">
        <f t="shared" si="23"/>
        <v/>
      </c>
    </row>
    <row r="1500" spans="1:13" x14ac:dyDescent="0.35">
      <c r="A1500" s="11"/>
      <c r="B1500" s="12"/>
      <c r="C1500" s="12"/>
      <c r="D1500" s="12"/>
      <c r="E1500" s="13"/>
      <c r="F1500" s="13"/>
      <c r="G1500" s="13"/>
      <c r="H1500" s="13"/>
      <c r="I1500" s="12"/>
      <c r="J1500" s="13"/>
      <c r="K1500" s="14" t="str">
        <f>IF(C1500="","",IFERROR(N('Fee Settings'!$C$5)*(E1500+N(F1500)-N(J1500))+N('Fee Settings'!$C$6)*(E1500+N(F1500)+N(G1500))+N('Fee Settings'!$C$7)+N('Fee Settings'!$C$10)*D1500+IF(I1500="Yes",MIN(N('Fee Settings'!$C$8)*(E1500+N(F1500)),N('Fee Settings'!$C$9)),0),""))</f>
        <v/>
      </c>
      <c r="L1500" s="14" t="str">
        <f>IF(C1500="","",IFERROR(D1500*N(INDEX(Products!$C$5:$C$29,MATCH(C1500,Lists!$A$2:$A$26,0))),""))</f>
        <v/>
      </c>
      <c r="M1500" s="15" t="str">
        <f t="shared" si="23"/>
        <v/>
      </c>
    </row>
    <row r="1501" spans="1:13" x14ac:dyDescent="0.35">
      <c r="A1501" s="11"/>
      <c r="B1501" s="12"/>
      <c r="C1501" s="12"/>
      <c r="D1501" s="12"/>
      <c r="E1501" s="13"/>
      <c r="F1501" s="13"/>
      <c r="G1501" s="13"/>
      <c r="H1501" s="13"/>
      <c r="I1501" s="12"/>
      <c r="J1501" s="13"/>
      <c r="K1501" s="14" t="str">
        <f>IF(C1501="","",IFERROR(N('Fee Settings'!$C$5)*(E1501+N(F1501)-N(J1501))+N('Fee Settings'!$C$6)*(E1501+N(F1501)+N(G1501))+N('Fee Settings'!$C$7)+N('Fee Settings'!$C$10)*D1501+IF(I1501="Yes",MIN(N('Fee Settings'!$C$8)*(E1501+N(F1501)),N('Fee Settings'!$C$9)),0),""))</f>
        <v/>
      </c>
      <c r="L1501" s="14" t="str">
        <f>IF(C1501="","",IFERROR(D1501*N(INDEX(Products!$C$5:$C$29,MATCH(C1501,Lists!$A$2:$A$26,0))),""))</f>
        <v/>
      </c>
      <c r="M1501" s="15" t="str">
        <f t="shared" si="23"/>
        <v/>
      </c>
    </row>
    <row r="1502" spans="1:13" x14ac:dyDescent="0.35">
      <c r="A1502" s="11"/>
      <c r="B1502" s="12"/>
      <c r="C1502" s="12"/>
      <c r="D1502" s="12"/>
      <c r="E1502" s="13"/>
      <c r="F1502" s="13"/>
      <c r="G1502" s="13"/>
      <c r="H1502" s="13"/>
      <c r="I1502" s="12"/>
      <c r="J1502" s="13"/>
      <c r="K1502" s="14" t="str">
        <f>IF(C1502="","",IFERROR(N('Fee Settings'!$C$5)*(E1502+N(F1502)-N(J1502))+N('Fee Settings'!$C$6)*(E1502+N(F1502)+N(G1502))+N('Fee Settings'!$C$7)+N('Fee Settings'!$C$10)*D1502+IF(I1502="Yes",MIN(N('Fee Settings'!$C$8)*(E1502+N(F1502)),N('Fee Settings'!$C$9)),0),""))</f>
        <v/>
      </c>
      <c r="L1502" s="14" t="str">
        <f>IF(C1502="","",IFERROR(D1502*N(INDEX(Products!$C$5:$C$29,MATCH(C1502,Lists!$A$2:$A$26,0))),""))</f>
        <v/>
      </c>
      <c r="M1502" s="15" t="str">
        <f t="shared" si="23"/>
        <v/>
      </c>
    </row>
    <row r="1503" spans="1:13" x14ac:dyDescent="0.35">
      <c r="A1503" s="11"/>
      <c r="B1503" s="12"/>
      <c r="C1503" s="12"/>
      <c r="D1503" s="12"/>
      <c r="E1503" s="13"/>
      <c r="F1503" s="13"/>
      <c r="G1503" s="13"/>
      <c r="H1503" s="13"/>
      <c r="I1503" s="12"/>
      <c r="J1503" s="13"/>
      <c r="K1503" s="14" t="str">
        <f>IF(C1503="","",IFERROR(N('Fee Settings'!$C$5)*(E1503+N(F1503)-N(J1503))+N('Fee Settings'!$C$6)*(E1503+N(F1503)+N(G1503))+N('Fee Settings'!$C$7)+N('Fee Settings'!$C$10)*D1503+IF(I1503="Yes",MIN(N('Fee Settings'!$C$8)*(E1503+N(F1503)),N('Fee Settings'!$C$9)),0),""))</f>
        <v/>
      </c>
      <c r="L1503" s="14" t="str">
        <f>IF(C1503="","",IFERROR(D1503*N(INDEX(Products!$C$5:$C$29,MATCH(C1503,Lists!$A$2:$A$26,0))),""))</f>
        <v/>
      </c>
      <c r="M1503" s="15" t="str">
        <f t="shared" si="23"/>
        <v/>
      </c>
    </row>
    <row r="1504" spans="1:13" x14ac:dyDescent="0.35">
      <c r="A1504" s="11"/>
      <c r="B1504" s="12"/>
      <c r="C1504" s="12"/>
      <c r="D1504" s="12"/>
      <c r="E1504" s="13"/>
      <c r="F1504" s="13"/>
      <c r="G1504" s="13"/>
      <c r="H1504" s="13"/>
      <c r="I1504" s="12"/>
      <c r="J1504" s="13"/>
      <c r="K1504" s="14" t="str">
        <f>IF(C1504="","",IFERROR(N('Fee Settings'!$C$5)*(E1504+N(F1504)-N(J1504))+N('Fee Settings'!$C$6)*(E1504+N(F1504)+N(G1504))+N('Fee Settings'!$C$7)+N('Fee Settings'!$C$10)*D1504+IF(I1504="Yes",MIN(N('Fee Settings'!$C$8)*(E1504+N(F1504)),N('Fee Settings'!$C$9)),0),""))</f>
        <v/>
      </c>
      <c r="L1504" s="14" t="str">
        <f>IF(C1504="","",IFERROR(D1504*N(INDEX(Products!$C$5:$C$29,MATCH(C1504,Lists!$A$2:$A$26,0))),""))</f>
        <v/>
      </c>
      <c r="M1504" s="15" t="str">
        <f t="shared" si="23"/>
        <v/>
      </c>
    </row>
    <row r="1505" spans="1:13" x14ac:dyDescent="0.35">
      <c r="A1505" s="11"/>
      <c r="B1505" s="12"/>
      <c r="C1505" s="12"/>
      <c r="D1505" s="12"/>
      <c r="E1505" s="13"/>
      <c r="F1505" s="13"/>
      <c r="G1505" s="13"/>
      <c r="H1505" s="13"/>
      <c r="I1505" s="12"/>
      <c r="J1505" s="13"/>
      <c r="K1505" s="14" t="str">
        <f>IF(C1505="","",IFERROR(N('Fee Settings'!$C$5)*(E1505+N(F1505)-N(J1505))+N('Fee Settings'!$C$6)*(E1505+N(F1505)+N(G1505))+N('Fee Settings'!$C$7)+N('Fee Settings'!$C$10)*D1505+IF(I1505="Yes",MIN(N('Fee Settings'!$C$8)*(E1505+N(F1505)),N('Fee Settings'!$C$9)),0),""))</f>
        <v/>
      </c>
      <c r="L1505" s="14" t="str">
        <f>IF(C1505="","",IFERROR(D1505*N(INDEX(Products!$C$5:$C$29,MATCH(C1505,Lists!$A$2:$A$26,0))),""))</f>
        <v/>
      </c>
      <c r="M1505" s="15" t="str">
        <f t="shared" si="23"/>
        <v/>
      </c>
    </row>
    <row r="1506" spans="1:13" x14ac:dyDescent="0.35">
      <c r="A1506" s="11"/>
      <c r="B1506" s="12"/>
      <c r="C1506" s="12"/>
      <c r="D1506" s="12"/>
      <c r="E1506" s="13"/>
      <c r="F1506" s="13"/>
      <c r="G1506" s="13"/>
      <c r="H1506" s="13"/>
      <c r="I1506" s="12"/>
      <c r="J1506" s="13"/>
      <c r="K1506" s="14" t="str">
        <f>IF(C1506="","",IFERROR(N('Fee Settings'!$C$5)*(E1506+N(F1506)-N(J1506))+N('Fee Settings'!$C$6)*(E1506+N(F1506)+N(G1506))+N('Fee Settings'!$C$7)+N('Fee Settings'!$C$10)*D1506+IF(I1506="Yes",MIN(N('Fee Settings'!$C$8)*(E1506+N(F1506)),N('Fee Settings'!$C$9)),0),""))</f>
        <v/>
      </c>
      <c r="L1506" s="14" t="str">
        <f>IF(C1506="","",IFERROR(D1506*N(INDEX(Products!$C$5:$C$29,MATCH(C1506,Lists!$A$2:$A$26,0))),""))</f>
        <v/>
      </c>
      <c r="M1506" s="15" t="str">
        <f t="shared" si="23"/>
        <v/>
      </c>
    </row>
    <row r="1507" spans="1:13" x14ac:dyDescent="0.35">
      <c r="A1507" s="11"/>
      <c r="B1507" s="12"/>
      <c r="C1507" s="12"/>
      <c r="D1507" s="12"/>
      <c r="E1507" s="13"/>
      <c r="F1507" s="13"/>
      <c r="G1507" s="13"/>
      <c r="H1507" s="13"/>
      <c r="I1507" s="12"/>
      <c r="J1507" s="13"/>
      <c r="K1507" s="14" t="str">
        <f>IF(C1507="","",IFERROR(N('Fee Settings'!$C$5)*(E1507+N(F1507)-N(J1507))+N('Fee Settings'!$C$6)*(E1507+N(F1507)+N(G1507))+N('Fee Settings'!$C$7)+N('Fee Settings'!$C$10)*D1507+IF(I1507="Yes",MIN(N('Fee Settings'!$C$8)*(E1507+N(F1507)),N('Fee Settings'!$C$9)),0),""))</f>
        <v/>
      </c>
      <c r="L1507" s="14" t="str">
        <f>IF(C1507="","",IFERROR(D1507*N(INDEX(Products!$C$5:$C$29,MATCH(C1507,Lists!$A$2:$A$26,0))),""))</f>
        <v/>
      </c>
      <c r="M1507" s="15" t="str">
        <f t="shared" si="23"/>
        <v/>
      </c>
    </row>
    <row r="1508" spans="1:13" x14ac:dyDescent="0.35">
      <c r="A1508" s="11"/>
      <c r="B1508" s="12"/>
      <c r="C1508" s="12"/>
      <c r="D1508" s="12"/>
      <c r="E1508" s="13"/>
      <c r="F1508" s="13"/>
      <c r="G1508" s="13"/>
      <c r="H1508" s="13"/>
      <c r="I1508" s="12"/>
      <c r="J1508" s="13"/>
      <c r="K1508" s="14" t="str">
        <f>IF(C1508="","",IFERROR(N('Fee Settings'!$C$5)*(E1508+N(F1508)-N(J1508))+N('Fee Settings'!$C$6)*(E1508+N(F1508)+N(G1508))+N('Fee Settings'!$C$7)+N('Fee Settings'!$C$10)*D1508+IF(I1508="Yes",MIN(N('Fee Settings'!$C$8)*(E1508+N(F1508)),N('Fee Settings'!$C$9)),0),""))</f>
        <v/>
      </c>
      <c r="L1508" s="14" t="str">
        <f>IF(C1508="","",IFERROR(D1508*N(INDEX(Products!$C$5:$C$29,MATCH(C1508,Lists!$A$2:$A$26,0))),""))</f>
        <v/>
      </c>
      <c r="M1508" s="15" t="str">
        <f t="shared" si="23"/>
        <v/>
      </c>
    </row>
    <row r="1509" spans="1:13" x14ac:dyDescent="0.35">
      <c r="A1509" s="11"/>
      <c r="B1509" s="12"/>
      <c r="C1509" s="12"/>
      <c r="D1509" s="12"/>
      <c r="E1509" s="13"/>
      <c r="F1509" s="13"/>
      <c r="G1509" s="13"/>
      <c r="H1509" s="13"/>
      <c r="I1509" s="12"/>
      <c r="J1509" s="13"/>
      <c r="K1509" s="14" t="str">
        <f>IF(C1509="","",IFERROR(N('Fee Settings'!$C$5)*(E1509+N(F1509)-N(J1509))+N('Fee Settings'!$C$6)*(E1509+N(F1509)+N(G1509))+N('Fee Settings'!$C$7)+N('Fee Settings'!$C$10)*D1509+IF(I1509="Yes",MIN(N('Fee Settings'!$C$8)*(E1509+N(F1509)),N('Fee Settings'!$C$9)),0),""))</f>
        <v/>
      </c>
      <c r="L1509" s="14" t="str">
        <f>IF(C1509="","",IFERROR(D1509*N(INDEX(Products!$C$5:$C$29,MATCH(C1509,Lists!$A$2:$A$26,0))),""))</f>
        <v/>
      </c>
      <c r="M1509" s="15" t="str">
        <f t="shared" si="23"/>
        <v/>
      </c>
    </row>
    <row r="1510" spans="1:13" x14ac:dyDescent="0.35">
      <c r="A1510" s="11"/>
      <c r="B1510" s="12"/>
      <c r="C1510" s="12"/>
      <c r="D1510" s="12"/>
      <c r="E1510" s="13"/>
      <c r="F1510" s="13"/>
      <c r="G1510" s="13"/>
      <c r="H1510" s="13"/>
      <c r="I1510" s="12"/>
      <c r="J1510" s="13"/>
      <c r="K1510" s="14" t="str">
        <f>IF(C1510="","",IFERROR(N('Fee Settings'!$C$5)*(E1510+N(F1510)-N(J1510))+N('Fee Settings'!$C$6)*(E1510+N(F1510)+N(G1510))+N('Fee Settings'!$C$7)+N('Fee Settings'!$C$10)*D1510+IF(I1510="Yes",MIN(N('Fee Settings'!$C$8)*(E1510+N(F1510)),N('Fee Settings'!$C$9)),0),""))</f>
        <v/>
      </c>
      <c r="L1510" s="14" t="str">
        <f>IF(C1510="","",IFERROR(D1510*N(INDEX(Products!$C$5:$C$29,MATCH(C1510,Lists!$A$2:$A$26,0))),""))</f>
        <v/>
      </c>
      <c r="M1510" s="15" t="str">
        <f t="shared" si="23"/>
        <v/>
      </c>
    </row>
    <row r="1511" spans="1:13" x14ac:dyDescent="0.35">
      <c r="A1511" s="11"/>
      <c r="B1511" s="12"/>
      <c r="C1511" s="12"/>
      <c r="D1511" s="12"/>
      <c r="E1511" s="13"/>
      <c r="F1511" s="13"/>
      <c r="G1511" s="13"/>
      <c r="H1511" s="13"/>
      <c r="I1511" s="12"/>
      <c r="J1511" s="13"/>
      <c r="K1511" s="14" t="str">
        <f>IF(C1511="","",IFERROR(N('Fee Settings'!$C$5)*(E1511+N(F1511)-N(J1511))+N('Fee Settings'!$C$6)*(E1511+N(F1511)+N(G1511))+N('Fee Settings'!$C$7)+N('Fee Settings'!$C$10)*D1511+IF(I1511="Yes",MIN(N('Fee Settings'!$C$8)*(E1511+N(F1511)),N('Fee Settings'!$C$9)),0),""))</f>
        <v/>
      </c>
      <c r="L1511" s="14" t="str">
        <f>IF(C1511="","",IFERROR(D1511*N(INDEX(Products!$C$5:$C$29,MATCH(C1511,Lists!$A$2:$A$26,0))),""))</f>
        <v/>
      </c>
      <c r="M1511" s="15" t="str">
        <f t="shared" si="23"/>
        <v/>
      </c>
    </row>
    <row r="1512" spans="1:13" x14ac:dyDescent="0.35">
      <c r="A1512" s="11"/>
      <c r="B1512" s="12"/>
      <c r="C1512" s="12"/>
      <c r="D1512" s="12"/>
      <c r="E1512" s="13"/>
      <c r="F1512" s="13"/>
      <c r="G1512" s="13"/>
      <c r="H1512" s="13"/>
      <c r="I1512" s="12"/>
      <c r="J1512" s="13"/>
      <c r="K1512" s="14" t="str">
        <f>IF(C1512="","",IFERROR(N('Fee Settings'!$C$5)*(E1512+N(F1512)-N(J1512))+N('Fee Settings'!$C$6)*(E1512+N(F1512)+N(G1512))+N('Fee Settings'!$C$7)+N('Fee Settings'!$C$10)*D1512+IF(I1512="Yes",MIN(N('Fee Settings'!$C$8)*(E1512+N(F1512)),N('Fee Settings'!$C$9)),0),""))</f>
        <v/>
      </c>
      <c r="L1512" s="14" t="str">
        <f>IF(C1512="","",IFERROR(D1512*N(INDEX(Products!$C$5:$C$29,MATCH(C1512,Lists!$A$2:$A$26,0))),""))</f>
        <v/>
      </c>
      <c r="M1512" s="15" t="str">
        <f t="shared" si="23"/>
        <v/>
      </c>
    </row>
    <row r="1513" spans="1:13" x14ac:dyDescent="0.35">
      <c r="A1513" s="11"/>
      <c r="B1513" s="12"/>
      <c r="C1513" s="12"/>
      <c r="D1513" s="12"/>
      <c r="E1513" s="13"/>
      <c r="F1513" s="13"/>
      <c r="G1513" s="13"/>
      <c r="H1513" s="13"/>
      <c r="I1513" s="12"/>
      <c r="J1513" s="13"/>
      <c r="K1513" s="14" t="str">
        <f>IF(C1513="","",IFERROR(N('Fee Settings'!$C$5)*(E1513+N(F1513)-N(J1513))+N('Fee Settings'!$C$6)*(E1513+N(F1513)+N(G1513))+N('Fee Settings'!$C$7)+N('Fee Settings'!$C$10)*D1513+IF(I1513="Yes",MIN(N('Fee Settings'!$C$8)*(E1513+N(F1513)),N('Fee Settings'!$C$9)),0),""))</f>
        <v/>
      </c>
      <c r="L1513" s="14" t="str">
        <f>IF(C1513="","",IFERROR(D1513*N(INDEX(Products!$C$5:$C$29,MATCH(C1513,Lists!$A$2:$A$26,0))),""))</f>
        <v/>
      </c>
      <c r="M1513" s="15" t="str">
        <f t="shared" si="23"/>
        <v/>
      </c>
    </row>
    <row r="1514" spans="1:13" x14ac:dyDescent="0.35">
      <c r="A1514" s="11"/>
      <c r="B1514" s="12"/>
      <c r="C1514" s="12"/>
      <c r="D1514" s="12"/>
      <c r="E1514" s="13"/>
      <c r="F1514" s="13"/>
      <c r="G1514" s="13"/>
      <c r="H1514" s="13"/>
      <c r="I1514" s="12"/>
      <c r="J1514" s="13"/>
      <c r="K1514" s="14" t="str">
        <f>IF(C1514="","",IFERROR(N('Fee Settings'!$C$5)*(E1514+N(F1514)-N(J1514))+N('Fee Settings'!$C$6)*(E1514+N(F1514)+N(G1514))+N('Fee Settings'!$C$7)+N('Fee Settings'!$C$10)*D1514+IF(I1514="Yes",MIN(N('Fee Settings'!$C$8)*(E1514+N(F1514)),N('Fee Settings'!$C$9)),0),""))</f>
        <v/>
      </c>
      <c r="L1514" s="14" t="str">
        <f>IF(C1514="","",IFERROR(D1514*N(INDEX(Products!$C$5:$C$29,MATCH(C1514,Lists!$A$2:$A$26,0))),""))</f>
        <v/>
      </c>
      <c r="M1514" s="15" t="str">
        <f t="shared" si="23"/>
        <v/>
      </c>
    </row>
    <row r="1515" spans="1:13" x14ac:dyDescent="0.35">
      <c r="A1515" s="11"/>
      <c r="B1515" s="12"/>
      <c r="C1515" s="12"/>
      <c r="D1515" s="12"/>
      <c r="E1515" s="13"/>
      <c r="F1515" s="13"/>
      <c r="G1515" s="13"/>
      <c r="H1515" s="13"/>
      <c r="I1515" s="12"/>
      <c r="J1515" s="13"/>
      <c r="K1515" s="14" t="str">
        <f>IF(C1515="","",IFERROR(N('Fee Settings'!$C$5)*(E1515+N(F1515)-N(J1515))+N('Fee Settings'!$C$6)*(E1515+N(F1515)+N(G1515))+N('Fee Settings'!$C$7)+N('Fee Settings'!$C$10)*D1515+IF(I1515="Yes",MIN(N('Fee Settings'!$C$8)*(E1515+N(F1515)),N('Fee Settings'!$C$9)),0),""))</f>
        <v/>
      </c>
      <c r="L1515" s="14" t="str">
        <f>IF(C1515="","",IFERROR(D1515*N(INDEX(Products!$C$5:$C$29,MATCH(C1515,Lists!$A$2:$A$26,0))),""))</f>
        <v/>
      </c>
      <c r="M1515" s="15" t="str">
        <f t="shared" si="23"/>
        <v/>
      </c>
    </row>
    <row r="1516" spans="1:13" x14ac:dyDescent="0.35">
      <c r="A1516" s="11"/>
      <c r="B1516" s="12"/>
      <c r="C1516" s="12"/>
      <c r="D1516" s="12"/>
      <c r="E1516" s="13"/>
      <c r="F1516" s="13"/>
      <c r="G1516" s="13"/>
      <c r="H1516" s="13"/>
      <c r="I1516" s="12"/>
      <c r="J1516" s="13"/>
      <c r="K1516" s="14" t="str">
        <f>IF(C1516="","",IFERROR(N('Fee Settings'!$C$5)*(E1516+N(F1516)-N(J1516))+N('Fee Settings'!$C$6)*(E1516+N(F1516)+N(G1516))+N('Fee Settings'!$C$7)+N('Fee Settings'!$C$10)*D1516+IF(I1516="Yes",MIN(N('Fee Settings'!$C$8)*(E1516+N(F1516)),N('Fee Settings'!$C$9)),0),""))</f>
        <v/>
      </c>
      <c r="L1516" s="14" t="str">
        <f>IF(C1516="","",IFERROR(D1516*N(INDEX(Products!$C$5:$C$29,MATCH(C1516,Lists!$A$2:$A$26,0))),""))</f>
        <v/>
      </c>
      <c r="M1516" s="15" t="str">
        <f t="shared" si="23"/>
        <v/>
      </c>
    </row>
    <row r="1517" spans="1:13" x14ac:dyDescent="0.35">
      <c r="A1517" s="11"/>
      <c r="B1517" s="12"/>
      <c r="C1517" s="12"/>
      <c r="D1517" s="12"/>
      <c r="E1517" s="13"/>
      <c r="F1517" s="13"/>
      <c r="G1517" s="13"/>
      <c r="H1517" s="13"/>
      <c r="I1517" s="12"/>
      <c r="J1517" s="13"/>
      <c r="K1517" s="14" t="str">
        <f>IF(C1517="","",IFERROR(N('Fee Settings'!$C$5)*(E1517+N(F1517)-N(J1517))+N('Fee Settings'!$C$6)*(E1517+N(F1517)+N(G1517))+N('Fee Settings'!$C$7)+N('Fee Settings'!$C$10)*D1517+IF(I1517="Yes",MIN(N('Fee Settings'!$C$8)*(E1517+N(F1517)),N('Fee Settings'!$C$9)),0),""))</f>
        <v/>
      </c>
      <c r="L1517" s="14" t="str">
        <f>IF(C1517="","",IFERROR(D1517*N(INDEX(Products!$C$5:$C$29,MATCH(C1517,Lists!$A$2:$A$26,0))),""))</f>
        <v/>
      </c>
      <c r="M1517" s="15" t="str">
        <f t="shared" si="23"/>
        <v/>
      </c>
    </row>
    <row r="1518" spans="1:13" x14ac:dyDescent="0.35">
      <c r="A1518" s="11"/>
      <c r="B1518" s="12"/>
      <c r="C1518" s="12"/>
      <c r="D1518" s="12"/>
      <c r="E1518" s="13"/>
      <c r="F1518" s="13"/>
      <c r="G1518" s="13"/>
      <c r="H1518" s="13"/>
      <c r="I1518" s="12"/>
      <c r="J1518" s="13"/>
      <c r="K1518" s="14" t="str">
        <f>IF(C1518="","",IFERROR(N('Fee Settings'!$C$5)*(E1518+N(F1518)-N(J1518))+N('Fee Settings'!$C$6)*(E1518+N(F1518)+N(G1518))+N('Fee Settings'!$C$7)+N('Fee Settings'!$C$10)*D1518+IF(I1518="Yes",MIN(N('Fee Settings'!$C$8)*(E1518+N(F1518)),N('Fee Settings'!$C$9)),0),""))</f>
        <v/>
      </c>
      <c r="L1518" s="14" t="str">
        <f>IF(C1518="","",IFERROR(D1518*N(INDEX(Products!$C$5:$C$29,MATCH(C1518,Lists!$A$2:$A$26,0))),""))</f>
        <v/>
      </c>
      <c r="M1518" s="15" t="str">
        <f t="shared" si="23"/>
        <v/>
      </c>
    </row>
    <row r="1519" spans="1:13" x14ac:dyDescent="0.35">
      <c r="A1519" s="11"/>
      <c r="B1519" s="12"/>
      <c r="C1519" s="12"/>
      <c r="D1519" s="12"/>
      <c r="E1519" s="13"/>
      <c r="F1519" s="13"/>
      <c r="G1519" s="13"/>
      <c r="H1519" s="13"/>
      <c r="I1519" s="12"/>
      <c r="J1519" s="13"/>
      <c r="K1519" s="14" t="str">
        <f>IF(C1519="","",IFERROR(N('Fee Settings'!$C$5)*(E1519+N(F1519)-N(J1519))+N('Fee Settings'!$C$6)*(E1519+N(F1519)+N(G1519))+N('Fee Settings'!$C$7)+N('Fee Settings'!$C$10)*D1519+IF(I1519="Yes",MIN(N('Fee Settings'!$C$8)*(E1519+N(F1519)),N('Fee Settings'!$C$9)),0),""))</f>
        <v/>
      </c>
      <c r="L1519" s="14" t="str">
        <f>IF(C1519="","",IFERROR(D1519*N(INDEX(Products!$C$5:$C$29,MATCH(C1519,Lists!$A$2:$A$26,0))),""))</f>
        <v/>
      </c>
      <c r="M1519" s="15" t="str">
        <f t="shared" si="23"/>
        <v/>
      </c>
    </row>
    <row r="1520" spans="1:13" x14ac:dyDescent="0.35">
      <c r="A1520" s="11"/>
      <c r="B1520" s="12"/>
      <c r="C1520" s="12"/>
      <c r="D1520" s="12"/>
      <c r="E1520" s="13"/>
      <c r="F1520" s="13"/>
      <c r="G1520" s="13"/>
      <c r="H1520" s="13"/>
      <c r="I1520" s="12"/>
      <c r="J1520" s="13"/>
      <c r="K1520" s="14" t="str">
        <f>IF(C1520="","",IFERROR(N('Fee Settings'!$C$5)*(E1520+N(F1520)-N(J1520))+N('Fee Settings'!$C$6)*(E1520+N(F1520)+N(G1520))+N('Fee Settings'!$C$7)+N('Fee Settings'!$C$10)*D1520+IF(I1520="Yes",MIN(N('Fee Settings'!$C$8)*(E1520+N(F1520)),N('Fee Settings'!$C$9)),0),""))</f>
        <v/>
      </c>
      <c r="L1520" s="14" t="str">
        <f>IF(C1520="","",IFERROR(D1520*N(INDEX(Products!$C$5:$C$29,MATCH(C1520,Lists!$A$2:$A$26,0))),""))</f>
        <v/>
      </c>
      <c r="M1520" s="15" t="str">
        <f t="shared" si="23"/>
        <v/>
      </c>
    </row>
    <row r="1521" spans="1:13" x14ac:dyDescent="0.35">
      <c r="A1521" s="11"/>
      <c r="B1521" s="12"/>
      <c r="C1521" s="12"/>
      <c r="D1521" s="12"/>
      <c r="E1521" s="13"/>
      <c r="F1521" s="13"/>
      <c r="G1521" s="13"/>
      <c r="H1521" s="13"/>
      <c r="I1521" s="12"/>
      <c r="J1521" s="13"/>
      <c r="K1521" s="14" t="str">
        <f>IF(C1521="","",IFERROR(N('Fee Settings'!$C$5)*(E1521+N(F1521)-N(J1521))+N('Fee Settings'!$C$6)*(E1521+N(F1521)+N(G1521))+N('Fee Settings'!$C$7)+N('Fee Settings'!$C$10)*D1521+IF(I1521="Yes",MIN(N('Fee Settings'!$C$8)*(E1521+N(F1521)),N('Fee Settings'!$C$9)),0),""))</f>
        <v/>
      </c>
      <c r="L1521" s="14" t="str">
        <f>IF(C1521="","",IFERROR(D1521*N(INDEX(Products!$C$5:$C$29,MATCH(C1521,Lists!$A$2:$A$26,0))),""))</f>
        <v/>
      </c>
      <c r="M1521" s="15" t="str">
        <f t="shared" si="23"/>
        <v/>
      </c>
    </row>
    <row r="1522" spans="1:13" x14ac:dyDescent="0.35">
      <c r="A1522" s="11"/>
      <c r="B1522" s="12"/>
      <c r="C1522" s="12"/>
      <c r="D1522" s="12"/>
      <c r="E1522" s="13"/>
      <c r="F1522" s="13"/>
      <c r="G1522" s="13"/>
      <c r="H1522" s="13"/>
      <c r="I1522" s="12"/>
      <c r="J1522" s="13"/>
      <c r="K1522" s="14" t="str">
        <f>IF(C1522="","",IFERROR(N('Fee Settings'!$C$5)*(E1522+N(F1522)-N(J1522))+N('Fee Settings'!$C$6)*(E1522+N(F1522)+N(G1522))+N('Fee Settings'!$C$7)+N('Fee Settings'!$C$10)*D1522+IF(I1522="Yes",MIN(N('Fee Settings'!$C$8)*(E1522+N(F1522)),N('Fee Settings'!$C$9)),0),""))</f>
        <v/>
      </c>
      <c r="L1522" s="14" t="str">
        <f>IF(C1522="","",IFERROR(D1522*N(INDEX(Products!$C$5:$C$29,MATCH(C1522,Lists!$A$2:$A$26,0))),""))</f>
        <v/>
      </c>
      <c r="M1522" s="15" t="str">
        <f t="shared" si="23"/>
        <v/>
      </c>
    </row>
    <row r="1523" spans="1:13" x14ac:dyDescent="0.35">
      <c r="A1523" s="11"/>
      <c r="B1523" s="12"/>
      <c r="C1523" s="12"/>
      <c r="D1523" s="12"/>
      <c r="E1523" s="13"/>
      <c r="F1523" s="13"/>
      <c r="G1523" s="13"/>
      <c r="H1523" s="13"/>
      <c r="I1523" s="12"/>
      <c r="J1523" s="13"/>
      <c r="K1523" s="14" t="str">
        <f>IF(C1523="","",IFERROR(N('Fee Settings'!$C$5)*(E1523+N(F1523)-N(J1523))+N('Fee Settings'!$C$6)*(E1523+N(F1523)+N(G1523))+N('Fee Settings'!$C$7)+N('Fee Settings'!$C$10)*D1523+IF(I1523="Yes",MIN(N('Fee Settings'!$C$8)*(E1523+N(F1523)),N('Fee Settings'!$C$9)),0),""))</f>
        <v/>
      </c>
      <c r="L1523" s="14" t="str">
        <f>IF(C1523="","",IFERROR(D1523*N(INDEX(Products!$C$5:$C$29,MATCH(C1523,Lists!$A$2:$A$26,0))),""))</f>
        <v/>
      </c>
      <c r="M1523" s="15" t="str">
        <f t="shared" si="23"/>
        <v/>
      </c>
    </row>
    <row r="1524" spans="1:13" x14ac:dyDescent="0.35">
      <c r="A1524" s="11"/>
      <c r="B1524" s="12"/>
      <c r="C1524" s="12"/>
      <c r="D1524" s="12"/>
      <c r="E1524" s="13"/>
      <c r="F1524" s="13"/>
      <c r="G1524" s="13"/>
      <c r="H1524" s="13"/>
      <c r="I1524" s="12"/>
      <c r="J1524" s="13"/>
      <c r="K1524" s="14" t="str">
        <f>IF(C1524="","",IFERROR(N('Fee Settings'!$C$5)*(E1524+N(F1524)-N(J1524))+N('Fee Settings'!$C$6)*(E1524+N(F1524)+N(G1524))+N('Fee Settings'!$C$7)+N('Fee Settings'!$C$10)*D1524+IF(I1524="Yes",MIN(N('Fee Settings'!$C$8)*(E1524+N(F1524)),N('Fee Settings'!$C$9)),0),""))</f>
        <v/>
      </c>
      <c r="L1524" s="14" t="str">
        <f>IF(C1524="","",IFERROR(D1524*N(INDEX(Products!$C$5:$C$29,MATCH(C1524,Lists!$A$2:$A$26,0))),""))</f>
        <v/>
      </c>
      <c r="M1524" s="15" t="str">
        <f t="shared" si="23"/>
        <v/>
      </c>
    </row>
    <row r="1525" spans="1:13" x14ac:dyDescent="0.35">
      <c r="A1525" s="11"/>
      <c r="B1525" s="12"/>
      <c r="C1525" s="12"/>
      <c r="D1525" s="12"/>
      <c r="E1525" s="13"/>
      <c r="F1525" s="13"/>
      <c r="G1525" s="13"/>
      <c r="H1525" s="13"/>
      <c r="I1525" s="12"/>
      <c r="J1525" s="13"/>
      <c r="K1525" s="14" t="str">
        <f>IF(C1525="","",IFERROR(N('Fee Settings'!$C$5)*(E1525+N(F1525)-N(J1525))+N('Fee Settings'!$C$6)*(E1525+N(F1525)+N(G1525))+N('Fee Settings'!$C$7)+N('Fee Settings'!$C$10)*D1525+IF(I1525="Yes",MIN(N('Fee Settings'!$C$8)*(E1525+N(F1525)),N('Fee Settings'!$C$9)),0),""))</f>
        <v/>
      </c>
      <c r="L1525" s="14" t="str">
        <f>IF(C1525="","",IFERROR(D1525*N(INDEX(Products!$C$5:$C$29,MATCH(C1525,Lists!$A$2:$A$26,0))),""))</f>
        <v/>
      </c>
      <c r="M1525" s="15" t="str">
        <f t="shared" si="23"/>
        <v/>
      </c>
    </row>
    <row r="1526" spans="1:13" x14ac:dyDescent="0.35">
      <c r="A1526" s="11"/>
      <c r="B1526" s="12"/>
      <c r="C1526" s="12"/>
      <c r="D1526" s="12"/>
      <c r="E1526" s="13"/>
      <c r="F1526" s="13"/>
      <c r="G1526" s="13"/>
      <c r="H1526" s="13"/>
      <c r="I1526" s="12"/>
      <c r="J1526" s="13"/>
      <c r="K1526" s="14" t="str">
        <f>IF(C1526="","",IFERROR(N('Fee Settings'!$C$5)*(E1526+N(F1526)-N(J1526))+N('Fee Settings'!$C$6)*(E1526+N(F1526)+N(G1526))+N('Fee Settings'!$C$7)+N('Fee Settings'!$C$10)*D1526+IF(I1526="Yes",MIN(N('Fee Settings'!$C$8)*(E1526+N(F1526)),N('Fee Settings'!$C$9)),0),""))</f>
        <v/>
      </c>
      <c r="L1526" s="14" t="str">
        <f>IF(C1526="","",IFERROR(D1526*N(INDEX(Products!$C$5:$C$29,MATCH(C1526,Lists!$A$2:$A$26,0))),""))</f>
        <v/>
      </c>
      <c r="M1526" s="15" t="str">
        <f t="shared" si="23"/>
        <v/>
      </c>
    </row>
    <row r="1527" spans="1:13" x14ac:dyDescent="0.35">
      <c r="A1527" s="11"/>
      <c r="B1527" s="12"/>
      <c r="C1527" s="12"/>
      <c r="D1527" s="12"/>
      <c r="E1527" s="13"/>
      <c r="F1527" s="13"/>
      <c r="G1527" s="13"/>
      <c r="H1527" s="13"/>
      <c r="I1527" s="12"/>
      <c r="J1527" s="13"/>
      <c r="K1527" s="14" t="str">
        <f>IF(C1527="","",IFERROR(N('Fee Settings'!$C$5)*(E1527+N(F1527)-N(J1527))+N('Fee Settings'!$C$6)*(E1527+N(F1527)+N(G1527))+N('Fee Settings'!$C$7)+N('Fee Settings'!$C$10)*D1527+IF(I1527="Yes",MIN(N('Fee Settings'!$C$8)*(E1527+N(F1527)),N('Fee Settings'!$C$9)),0),""))</f>
        <v/>
      </c>
      <c r="L1527" s="14" t="str">
        <f>IF(C1527="","",IFERROR(D1527*N(INDEX(Products!$C$5:$C$29,MATCH(C1527,Lists!$A$2:$A$26,0))),""))</f>
        <v/>
      </c>
      <c r="M1527" s="15" t="str">
        <f t="shared" si="23"/>
        <v/>
      </c>
    </row>
    <row r="1528" spans="1:13" x14ac:dyDescent="0.35">
      <c r="A1528" s="11"/>
      <c r="B1528" s="12"/>
      <c r="C1528" s="12"/>
      <c r="D1528" s="12"/>
      <c r="E1528" s="13"/>
      <c r="F1528" s="13"/>
      <c r="G1528" s="13"/>
      <c r="H1528" s="13"/>
      <c r="I1528" s="12"/>
      <c r="J1528" s="13"/>
      <c r="K1528" s="14" t="str">
        <f>IF(C1528="","",IFERROR(N('Fee Settings'!$C$5)*(E1528+N(F1528)-N(J1528))+N('Fee Settings'!$C$6)*(E1528+N(F1528)+N(G1528))+N('Fee Settings'!$C$7)+N('Fee Settings'!$C$10)*D1528+IF(I1528="Yes",MIN(N('Fee Settings'!$C$8)*(E1528+N(F1528)),N('Fee Settings'!$C$9)),0),""))</f>
        <v/>
      </c>
      <c r="L1528" s="14" t="str">
        <f>IF(C1528="","",IFERROR(D1528*N(INDEX(Products!$C$5:$C$29,MATCH(C1528,Lists!$A$2:$A$26,0))),""))</f>
        <v/>
      </c>
      <c r="M1528" s="15" t="str">
        <f t="shared" si="23"/>
        <v/>
      </c>
    </row>
    <row r="1529" spans="1:13" x14ac:dyDescent="0.35">
      <c r="A1529" s="11"/>
      <c r="B1529" s="12"/>
      <c r="C1529" s="12"/>
      <c r="D1529" s="12"/>
      <c r="E1529" s="13"/>
      <c r="F1529" s="13"/>
      <c r="G1529" s="13"/>
      <c r="H1529" s="13"/>
      <c r="I1529" s="12"/>
      <c r="J1529" s="13"/>
      <c r="K1529" s="14" t="str">
        <f>IF(C1529="","",IFERROR(N('Fee Settings'!$C$5)*(E1529+N(F1529)-N(J1529))+N('Fee Settings'!$C$6)*(E1529+N(F1529)+N(G1529))+N('Fee Settings'!$C$7)+N('Fee Settings'!$C$10)*D1529+IF(I1529="Yes",MIN(N('Fee Settings'!$C$8)*(E1529+N(F1529)),N('Fee Settings'!$C$9)),0),""))</f>
        <v/>
      </c>
      <c r="L1529" s="14" t="str">
        <f>IF(C1529="","",IFERROR(D1529*N(INDEX(Products!$C$5:$C$29,MATCH(C1529,Lists!$A$2:$A$26,0))),""))</f>
        <v/>
      </c>
      <c r="M1529" s="15" t="str">
        <f t="shared" si="23"/>
        <v/>
      </c>
    </row>
    <row r="1530" spans="1:13" x14ac:dyDescent="0.35">
      <c r="A1530" s="11"/>
      <c r="B1530" s="12"/>
      <c r="C1530" s="12"/>
      <c r="D1530" s="12"/>
      <c r="E1530" s="13"/>
      <c r="F1530" s="13"/>
      <c r="G1530" s="13"/>
      <c r="H1530" s="13"/>
      <c r="I1530" s="12"/>
      <c r="J1530" s="13"/>
      <c r="K1530" s="14" t="str">
        <f>IF(C1530="","",IFERROR(N('Fee Settings'!$C$5)*(E1530+N(F1530)-N(J1530))+N('Fee Settings'!$C$6)*(E1530+N(F1530)+N(G1530))+N('Fee Settings'!$C$7)+N('Fee Settings'!$C$10)*D1530+IF(I1530="Yes",MIN(N('Fee Settings'!$C$8)*(E1530+N(F1530)),N('Fee Settings'!$C$9)),0),""))</f>
        <v/>
      </c>
      <c r="L1530" s="14" t="str">
        <f>IF(C1530="","",IFERROR(D1530*N(INDEX(Products!$C$5:$C$29,MATCH(C1530,Lists!$A$2:$A$26,0))),""))</f>
        <v/>
      </c>
      <c r="M1530" s="15" t="str">
        <f t="shared" si="23"/>
        <v/>
      </c>
    </row>
    <row r="1531" spans="1:13" x14ac:dyDescent="0.35">
      <c r="A1531" s="11"/>
      <c r="B1531" s="12"/>
      <c r="C1531" s="12"/>
      <c r="D1531" s="12"/>
      <c r="E1531" s="13"/>
      <c r="F1531" s="13"/>
      <c r="G1531" s="13"/>
      <c r="H1531" s="13"/>
      <c r="I1531" s="12"/>
      <c r="J1531" s="13"/>
      <c r="K1531" s="14" t="str">
        <f>IF(C1531="","",IFERROR(N('Fee Settings'!$C$5)*(E1531+N(F1531)-N(J1531))+N('Fee Settings'!$C$6)*(E1531+N(F1531)+N(G1531))+N('Fee Settings'!$C$7)+N('Fee Settings'!$C$10)*D1531+IF(I1531="Yes",MIN(N('Fee Settings'!$C$8)*(E1531+N(F1531)),N('Fee Settings'!$C$9)),0),""))</f>
        <v/>
      </c>
      <c r="L1531" s="14" t="str">
        <f>IF(C1531="","",IFERROR(D1531*N(INDEX(Products!$C$5:$C$29,MATCH(C1531,Lists!$A$2:$A$26,0))),""))</f>
        <v/>
      </c>
      <c r="M1531" s="15" t="str">
        <f t="shared" si="23"/>
        <v/>
      </c>
    </row>
    <row r="1532" spans="1:13" x14ac:dyDescent="0.35">
      <c r="A1532" s="11"/>
      <c r="B1532" s="12"/>
      <c r="C1532" s="12"/>
      <c r="D1532" s="12"/>
      <c r="E1532" s="13"/>
      <c r="F1532" s="13"/>
      <c r="G1532" s="13"/>
      <c r="H1532" s="13"/>
      <c r="I1532" s="12"/>
      <c r="J1532" s="13"/>
      <c r="K1532" s="14" t="str">
        <f>IF(C1532="","",IFERROR(N('Fee Settings'!$C$5)*(E1532+N(F1532)-N(J1532))+N('Fee Settings'!$C$6)*(E1532+N(F1532)+N(G1532))+N('Fee Settings'!$C$7)+N('Fee Settings'!$C$10)*D1532+IF(I1532="Yes",MIN(N('Fee Settings'!$C$8)*(E1532+N(F1532)),N('Fee Settings'!$C$9)),0),""))</f>
        <v/>
      </c>
      <c r="L1532" s="14" t="str">
        <f>IF(C1532="","",IFERROR(D1532*N(INDEX(Products!$C$5:$C$29,MATCH(C1532,Lists!$A$2:$A$26,0))),""))</f>
        <v/>
      </c>
      <c r="M1532" s="15" t="str">
        <f t="shared" si="23"/>
        <v/>
      </c>
    </row>
    <row r="1533" spans="1:13" x14ac:dyDescent="0.35">
      <c r="A1533" s="11"/>
      <c r="B1533" s="12"/>
      <c r="C1533" s="12"/>
      <c r="D1533" s="12"/>
      <c r="E1533" s="13"/>
      <c r="F1533" s="13"/>
      <c r="G1533" s="13"/>
      <c r="H1533" s="13"/>
      <c r="I1533" s="12"/>
      <c r="J1533" s="13"/>
      <c r="K1533" s="14" t="str">
        <f>IF(C1533="","",IFERROR(N('Fee Settings'!$C$5)*(E1533+N(F1533)-N(J1533))+N('Fee Settings'!$C$6)*(E1533+N(F1533)+N(G1533))+N('Fee Settings'!$C$7)+N('Fee Settings'!$C$10)*D1533+IF(I1533="Yes",MIN(N('Fee Settings'!$C$8)*(E1533+N(F1533)),N('Fee Settings'!$C$9)),0),""))</f>
        <v/>
      </c>
      <c r="L1533" s="14" t="str">
        <f>IF(C1533="","",IFERROR(D1533*N(INDEX(Products!$C$5:$C$29,MATCH(C1533,Lists!$A$2:$A$26,0))),""))</f>
        <v/>
      </c>
      <c r="M1533" s="15" t="str">
        <f t="shared" si="23"/>
        <v/>
      </c>
    </row>
    <row r="1534" spans="1:13" x14ac:dyDescent="0.35">
      <c r="A1534" s="11"/>
      <c r="B1534" s="12"/>
      <c r="C1534" s="12"/>
      <c r="D1534" s="12"/>
      <c r="E1534" s="13"/>
      <c r="F1534" s="13"/>
      <c r="G1534" s="13"/>
      <c r="H1534" s="13"/>
      <c r="I1534" s="12"/>
      <c r="J1534" s="13"/>
      <c r="K1534" s="14" t="str">
        <f>IF(C1534="","",IFERROR(N('Fee Settings'!$C$5)*(E1534+N(F1534)-N(J1534))+N('Fee Settings'!$C$6)*(E1534+N(F1534)+N(G1534))+N('Fee Settings'!$C$7)+N('Fee Settings'!$C$10)*D1534+IF(I1534="Yes",MIN(N('Fee Settings'!$C$8)*(E1534+N(F1534)),N('Fee Settings'!$C$9)),0),""))</f>
        <v/>
      </c>
      <c r="L1534" s="14" t="str">
        <f>IF(C1534="","",IFERROR(D1534*N(INDEX(Products!$C$5:$C$29,MATCH(C1534,Lists!$A$2:$A$26,0))),""))</f>
        <v/>
      </c>
      <c r="M1534" s="15" t="str">
        <f t="shared" si="23"/>
        <v/>
      </c>
    </row>
    <row r="1535" spans="1:13" x14ac:dyDescent="0.35">
      <c r="A1535" s="11"/>
      <c r="B1535" s="12"/>
      <c r="C1535" s="12"/>
      <c r="D1535" s="12"/>
      <c r="E1535" s="13"/>
      <c r="F1535" s="13"/>
      <c r="G1535" s="13"/>
      <c r="H1535" s="13"/>
      <c r="I1535" s="12"/>
      <c r="J1535" s="13"/>
      <c r="K1535" s="14" t="str">
        <f>IF(C1535="","",IFERROR(N('Fee Settings'!$C$5)*(E1535+N(F1535)-N(J1535))+N('Fee Settings'!$C$6)*(E1535+N(F1535)+N(G1535))+N('Fee Settings'!$C$7)+N('Fee Settings'!$C$10)*D1535+IF(I1535="Yes",MIN(N('Fee Settings'!$C$8)*(E1535+N(F1535)),N('Fee Settings'!$C$9)),0),""))</f>
        <v/>
      </c>
      <c r="L1535" s="14" t="str">
        <f>IF(C1535="","",IFERROR(D1535*N(INDEX(Products!$C$5:$C$29,MATCH(C1535,Lists!$A$2:$A$26,0))),""))</f>
        <v/>
      </c>
      <c r="M1535" s="15" t="str">
        <f t="shared" si="23"/>
        <v/>
      </c>
    </row>
    <row r="1536" spans="1:13" x14ac:dyDescent="0.35">
      <c r="A1536" s="11"/>
      <c r="B1536" s="12"/>
      <c r="C1536" s="12"/>
      <c r="D1536" s="12"/>
      <c r="E1536" s="13"/>
      <c r="F1536" s="13"/>
      <c r="G1536" s="13"/>
      <c r="H1536" s="13"/>
      <c r="I1536" s="12"/>
      <c r="J1536" s="13"/>
      <c r="K1536" s="14" t="str">
        <f>IF(C1536="","",IFERROR(N('Fee Settings'!$C$5)*(E1536+N(F1536)-N(J1536))+N('Fee Settings'!$C$6)*(E1536+N(F1536)+N(G1536))+N('Fee Settings'!$C$7)+N('Fee Settings'!$C$10)*D1536+IF(I1536="Yes",MIN(N('Fee Settings'!$C$8)*(E1536+N(F1536)),N('Fee Settings'!$C$9)),0),""))</f>
        <v/>
      </c>
      <c r="L1536" s="14" t="str">
        <f>IF(C1536="","",IFERROR(D1536*N(INDEX(Products!$C$5:$C$29,MATCH(C1536,Lists!$A$2:$A$26,0))),""))</f>
        <v/>
      </c>
      <c r="M1536" s="15" t="str">
        <f t="shared" si="23"/>
        <v/>
      </c>
    </row>
    <row r="1537" spans="1:13" x14ac:dyDescent="0.35">
      <c r="A1537" s="11"/>
      <c r="B1537" s="12"/>
      <c r="C1537" s="12"/>
      <c r="D1537" s="12"/>
      <c r="E1537" s="13"/>
      <c r="F1537" s="13"/>
      <c r="G1537" s="13"/>
      <c r="H1537" s="13"/>
      <c r="I1537" s="12"/>
      <c r="J1537" s="13"/>
      <c r="K1537" s="14" t="str">
        <f>IF(C1537="","",IFERROR(N('Fee Settings'!$C$5)*(E1537+N(F1537)-N(J1537))+N('Fee Settings'!$C$6)*(E1537+N(F1537)+N(G1537))+N('Fee Settings'!$C$7)+N('Fee Settings'!$C$10)*D1537+IF(I1537="Yes",MIN(N('Fee Settings'!$C$8)*(E1537+N(F1537)),N('Fee Settings'!$C$9)),0),""))</f>
        <v/>
      </c>
      <c r="L1537" s="14" t="str">
        <f>IF(C1537="","",IFERROR(D1537*N(INDEX(Products!$C$5:$C$29,MATCH(C1537,Lists!$A$2:$A$26,0))),""))</f>
        <v/>
      </c>
      <c r="M1537" s="15" t="str">
        <f t="shared" si="23"/>
        <v/>
      </c>
    </row>
    <row r="1538" spans="1:13" x14ac:dyDescent="0.35">
      <c r="A1538" s="11"/>
      <c r="B1538" s="12"/>
      <c r="C1538" s="12"/>
      <c r="D1538" s="12"/>
      <c r="E1538" s="13"/>
      <c r="F1538" s="13"/>
      <c r="G1538" s="13"/>
      <c r="H1538" s="13"/>
      <c r="I1538" s="12"/>
      <c r="J1538" s="13"/>
      <c r="K1538" s="14" t="str">
        <f>IF(C1538="","",IFERROR(N('Fee Settings'!$C$5)*(E1538+N(F1538)-N(J1538))+N('Fee Settings'!$C$6)*(E1538+N(F1538)+N(G1538))+N('Fee Settings'!$C$7)+N('Fee Settings'!$C$10)*D1538+IF(I1538="Yes",MIN(N('Fee Settings'!$C$8)*(E1538+N(F1538)),N('Fee Settings'!$C$9)),0),""))</f>
        <v/>
      </c>
      <c r="L1538" s="14" t="str">
        <f>IF(C1538="","",IFERROR(D1538*N(INDEX(Products!$C$5:$C$29,MATCH(C1538,Lists!$A$2:$A$26,0))),""))</f>
        <v/>
      </c>
      <c r="M1538" s="15" t="str">
        <f t="shared" si="23"/>
        <v/>
      </c>
    </row>
    <row r="1539" spans="1:13" x14ac:dyDescent="0.35">
      <c r="A1539" s="11"/>
      <c r="B1539" s="12"/>
      <c r="C1539" s="12"/>
      <c r="D1539" s="12"/>
      <c r="E1539" s="13"/>
      <c r="F1539" s="13"/>
      <c r="G1539" s="13"/>
      <c r="H1539" s="13"/>
      <c r="I1539" s="12"/>
      <c r="J1539" s="13"/>
      <c r="K1539" s="14" t="str">
        <f>IF(C1539="","",IFERROR(N('Fee Settings'!$C$5)*(E1539+N(F1539)-N(J1539))+N('Fee Settings'!$C$6)*(E1539+N(F1539)+N(G1539))+N('Fee Settings'!$C$7)+N('Fee Settings'!$C$10)*D1539+IF(I1539="Yes",MIN(N('Fee Settings'!$C$8)*(E1539+N(F1539)),N('Fee Settings'!$C$9)),0),""))</f>
        <v/>
      </c>
      <c r="L1539" s="14" t="str">
        <f>IF(C1539="","",IFERROR(D1539*N(INDEX(Products!$C$5:$C$29,MATCH(C1539,Lists!$A$2:$A$26,0))),""))</f>
        <v/>
      </c>
      <c r="M1539" s="15" t="str">
        <f t="shared" si="23"/>
        <v/>
      </c>
    </row>
    <row r="1540" spans="1:13" x14ac:dyDescent="0.35">
      <c r="A1540" s="11"/>
      <c r="B1540" s="12"/>
      <c r="C1540" s="12"/>
      <c r="D1540" s="12"/>
      <c r="E1540" s="13"/>
      <c r="F1540" s="13"/>
      <c r="G1540" s="13"/>
      <c r="H1540" s="13"/>
      <c r="I1540" s="12"/>
      <c r="J1540" s="13"/>
      <c r="K1540" s="14" t="str">
        <f>IF(C1540="","",IFERROR(N('Fee Settings'!$C$5)*(E1540+N(F1540)-N(J1540))+N('Fee Settings'!$C$6)*(E1540+N(F1540)+N(G1540))+N('Fee Settings'!$C$7)+N('Fee Settings'!$C$10)*D1540+IF(I1540="Yes",MIN(N('Fee Settings'!$C$8)*(E1540+N(F1540)),N('Fee Settings'!$C$9)),0),""))</f>
        <v/>
      </c>
      <c r="L1540" s="14" t="str">
        <f>IF(C1540="","",IFERROR(D1540*N(INDEX(Products!$C$5:$C$29,MATCH(C1540,Lists!$A$2:$A$26,0))),""))</f>
        <v/>
      </c>
      <c r="M1540" s="15" t="str">
        <f t="shared" si="23"/>
        <v/>
      </c>
    </row>
    <row r="1541" spans="1:13" x14ac:dyDescent="0.35">
      <c r="A1541" s="11"/>
      <c r="B1541" s="12"/>
      <c r="C1541" s="12"/>
      <c r="D1541" s="12"/>
      <c r="E1541" s="13"/>
      <c r="F1541" s="13"/>
      <c r="G1541" s="13"/>
      <c r="H1541" s="13"/>
      <c r="I1541" s="12"/>
      <c r="J1541" s="13"/>
      <c r="K1541" s="14" t="str">
        <f>IF(C1541="","",IFERROR(N('Fee Settings'!$C$5)*(E1541+N(F1541)-N(J1541))+N('Fee Settings'!$C$6)*(E1541+N(F1541)+N(G1541))+N('Fee Settings'!$C$7)+N('Fee Settings'!$C$10)*D1541+IF(I1541="Yes",MIN(N('Fee Settings'!$C$8)*(E1541+N(F1541)),N('Fee Settings'!$C$9)),0),""))</f>
        <v/>
      </c>
      <c r="L1541" s="14" t="str">
        <f>IF(C1541="","",IFERROR(D1541*N(INDEX(Products!$C$5:$C$29,MATCH(C1541,Lists!$A$2:$A$26,0))),""))</f>
        <v/>
      </c>
      <c r="M1541" s="15" t="str">
        <f t="shared" ref="M1541:M1604" si="24">IF(C1541="","",IFERROR(E1541+N(F1541)-N(J1541)-K1541-L1541-N(H1541),""))</f>
        <v/>
      </c>
    </row>
    <row r="1542" spans="1:13" x14ac:dyDescent="0.35">
      <c r="A1542" s="11"/>
      <c r="B1542" s="12"/>
      <c r="C1542" s="12"/>
      <c r="D1542" s="12"/>
      <c r="E1542" s="13"/>
      <c r="F1542" s="13"/>
      <c r="G1542" s="13"/>
      <c r="H1542" s="13"/>
      <c r="I1542" s="12"/>
      <c r="J1542" s="13"/>
      <c r="K1542" s="14" t="str">
        <f>IF(C1542="","",IFERROR(N('Fee Settings'!$C$5)*(E1542+N(F1542)-N(J1542))+N('Fee Settings'!$C$6)*(E1542+N(F1542)+N(G1542))+N('Fee Settings'!$C$7)+N('Fee Settings'!$C$10)*D1542+IF(I1542="Yes",MIN(N('Fee Settings'!$C$8)*(E1542+N(F1542)),N('Fee Settings'!$C$9)),0),""))</f>
        <v/>
      </c>
      <c r="L1542" s="14" t="str">
        <f>IF(C1542="","",IFERROR(D1542*N(INDEX(Products!$C$5:$C$29,MATCH(C1542,Lists!$A$2:$A$26,0))),""))</f>
        <v/>
      </c>
      <c r="M1542" s="15" t="str">
        <f t="shared" si="24"/>
        <v/>
      </c>
    </row>
    <row r="1543" spans="1:13" x14ac:dyDescent="0.35">
      <c r="A1543" s="11"/>
      <c r="B1543" s="12"/>
      <c r="C1543" s="12"/>
      <c r="D1543" s="12"/>
      <c r="E1543" s="13"/>
      <c r="F1543" s="13"/>
      <c r="G1543" s="13"/>
      <c r="H1543" s="13"/>
      <c r="I1543" s="12"/>
      <c r="J1543" s="13"/>
      <c r="K1543" s="14" t="str">
        <f>IF(C1543="","",IFERROR(N('Fee Settings'!$C$5)*(E1543+N(F1543)-N(J1543))+N('Fee Settings'!$C$6)*(E1543+N(F1543)+N(G1543))+N('Fee Settings'!$C$7)+N('Fee Settings'!$C$10)*D1543+IF(I1543="Yes",MIN(N('Fee Settings'!$C$8)*(E1543+N(F1543)),N('Fee Settings'!$C$9)),0),""))</f>
        <v/>
      </c>
      <c r="L1543" s="14" t="str">
        <f>IF(C1543="","",IFERROR(D1543*N(INDEX(Products!$C$5:$C$29,MATCH(C1543,Lists!$A$2:$A$26,0))),""))</f>
        <v/>
      </c>
      <c r="M1543" s="15" t="str">
        <f t="shared" si="24"/>
        <v/>
      </c>
    </row>
    <row r="1544" spans="1:13" x14ac:dyDescent="0.35">
      <c r="A1544" s="11"/>
      <c r="B1544" s="12"/>
      <c r="C1544" s="12"/>
      <c r="D1544" s="12"/>
      <c r="E1544" s="13"/>
      <c r="F1544" s="13"/>
      <c r="G1544" s="13"/>
      <c r="H1544" s="13"/>
      <c r="I1544" s="12"/>
      <c r="J1544" s="13"/>
      <c r="K1544" s="14" t="str">
        <f>IF(C1544="","",IFERROR(N('Fee Settings'!$C$5)*(E1544+N(F1544)-N(J1544))+N('Fee Settings'!$C$6)*(E1544+N(F1544)+N(G1544))+N('Fee Settings'!$C$7)+N('Fee Settings'!$C$10)*D1544+IF(I1544="Yes",MIN(N('Fee Settings'!$C$8)*(E1544+N(F1544)),N('Fee Settings'!$C$9)),0),""))</f>
        <v/>
      </c>
      <c r="L1544" s="14" t="str">
        <f>IF(C1544="","",IFERROR(D1544*N(INDEX(Products!$C$5:$C$29,MATCH(C1544,Lists!$A$2:$A$26,0))),""))</f>
        <v/>
      </c>
      <c r="M1544" s="15" t="str">
        <f t="shared" si="24"/>
        <v/>
      </c>
    </row>
    <row r="1545" spans="1:13" x14ac:dyDescent="0.35">
      <c r="A1545" s="11"/>
      <c r="B1545" s="12"/>
      <c r="C1545" s="12"/>
      <c r="D1545" s="12"/>
      <c r="E1545" s="13"/>
      <c r="F1545" s="13"/>
      <c r="G1545" s="13"/>
      <c r="H1545" s="13"/>
      <c r="I1545" s="12"/>
      <c r="J1545" s="13"/>
      <c r="K1545" s="14" t="str">
        <f>IF(C1545="","",IFERROR(N('Fee Settings'!$C$5)*(E1545+N(F1545)-N(J1545))+N('Fee Settings'!$C$6)*(E1545+N(F1545)+N(G1545))+N('Fee Settings'!$C$7)+N('Fee Settings'!$C$10)*D1545+IF(I1545="Yes",MIN(N('Fee Settings'!$C$8)*(E1545+N(F1545)),N('Fee Settings'!$C$9)),0),""))</f>
        <v/>
      </c>
      <c r="L1545" s="14" t="str">
        <f>IF(C1545="","",IFERROR(D1545*N(INDEX(Products!$C$5:$C$29,MATCH(C1545,Lists!$A$2:$A$26,0))),""))</f>
        <v/>
      </c>
      <c r="M1545" s="15" t="str">
        <f t="shared" si="24"/>
        <v/>
      </c>
    </row>
    <row r="1546" spans="1:13" x14ac:dyDescent="0.35">
      <c r="A1546" s="11"/>
      <c r="B1546" s="12"/>
      <c r="C1546" s="12"/>
      <c r="D1546" s="12"/>
      <c r="E1546" s="13"/>
      <c r="F1546" s="13"/>
      <c r="G1546" s="13"/>
      <c r="H1546" s="13"/>
      <c r="I1546" s="12"/>
      <c r="J1546" s="13"/>
      <c r="K1546" s="14" t="str">
        <f>IF(C1546="","",IFERROR(N('Fee Settings'!$C$5)*(E1546+N(F1546)-N(J1546))+N('Fee Settings'!$C$6)*(E1546+N(F1546)+N(G1546))+N('Fee Settings'!$C$7)+N('Fee Settings'!$C$10)*D1546+IF(I1546="Yes",MIN(N('Fee Settings'!$C$8)*(E1546+N(F1546)),N('Fee Settings'!$C$9)),0),""))</f>
        <v/>
      </c>
      <c r="L1546" s="14" t="str">
        <f>IF(C1546="","",IFERROR(D1546*N(INDEX(Products!$C$5:$C$29,MATCH(C1546,Lists!$A$2:$A$26,0))),""))</f>
        <v/>
      </c>
      <c r="M1546" s="15" t="str">
        <f t="shared" si="24"/>
        <v/>
      </c>
    </row>
    <row r="1547" spans="1:13" x14ac:dyDescent="0.35">
      <c r="A1547" s="11"/>
      <c r="B1547" s="12"/>
      <c r="C1547" s="12"/>
      <c r="D1547" s="12"/>
      <c r="E1547" s="13"/>
      <c r="F1547" s="13"/>
      <c r="G1547" s="13"/>
      <c r="H1547" s="13"/>
      <c r="I1547" s="12"/>
      <c r="J1547" s="13"/>
      <c r="K1547" s="14" t="str">
        <f>IF(C1547="","",IFERROR(N('Fee Settings'!$C$5)*(E1547+N(F1547)-N(J1547))+N('Fee Settings'!$C$6)*(E1547+N(F1547)+N(G1547))+N('Fee Settings'!$C$7)+N('Fee Settings'!$C$10)*D1547+IF(I1547="Yes",MIN(N('Fee Settings'!$C$8)*(E1547+N(F1547)),N('Fee Settings'!$C$9)),0),""))</f>
        <v/>
      </c>
      <c r="L1547" s="14" t="str">
        <f>IF(C1547="","",IFERROR(D1547*N(INDEX(Products!$C$5:$C$29,MATCH(C1547,Lists!$A$2:$A$26,0))),""))</f>
        <v/>
      </c>
      <c r="M1547" s="15" t="str">
        <f t="shared" si="24"/>
        <v/>
      </c>
    </row>
    <row r="1548" spans="1:13" x14ac:dyDescent="0.35">
      <c r="A1548" s="11"/>
      <c r="B1548" s="12"/>
      <c r="C1548" s="12"/>
      <c r="D1548" s="12"/>
      <c r="E1548" s="13"/>
      <c r="F1548" s="13"/>
      <c r="G1548" s="13"/>
      <c r="H1548" s="13"/>
      <c r="I1548" s="12"/>
      <c r="J1548" s="13"/>
      <c r="K1548" s="14" t="str">
        <f>IF(C1548="","",IFERROR(N('Fee Settings'!$C$5)*(E1548+N(F1548)-N(J1548))+N('Fee Settings'!$C$6)*(E1548+N(F1548)+N(G1548))+N('Fee Settings'!$C$7)+N('Fee Settings'!$C$10)*D1548+IF(I1548="Yes",MIN(N('Fee Settings'!$C$8)*(E1548+N(F1548)),N('Fee Settings'!$C$9)),0),""))</f>
        <v/>
      </c>
      <c r="L1548" s="14" t="str">
        <f>IF(C1548="","",IFERROR(D1548*N(INDEX(Products!$C$5:$C$29,MATCH(C1548,Lists!$A$2:$A$26,0))),""))</f>
        <v/>
      </c>
      <c r="M1548" s="15" t="str">
        <f t="shared" si="24"/>
        <v/>
      </c>
    </row>
    <row r="1549" spans="1:13" x14ac:dyDescent="0.35">
      <c r="A1549" s="11"/>
      <c r="B1549" s="12"/>
      <c r="C1549" s="12"/>
      <c r="D1549" s="12"/>
      <c r="E1549" s="13"/>
      <c r="F1549" s="13"/>
      <c r="G1549" s="13"/>
      <c r="H1549" s="13"/>
      <c r="I1549" s="12"/>
      <c r="J1549" s="13"/>
      <c r="K1549" s="14" t="str">
        <f>IF(C1549="","",IFERROR(N('Fee Settings'!$C$5)*(E1549+N(F1549)-N(J1549))+N('Fee Settings'!$C$6)*(E1549+N(F1549)+N(G1549))+N('Fee Settings'!$C$7)+N('Fee Settings'!$C$10)*D1549+IF(I1549="Yes",MIN(N('Fee Settings'!$C$8)*(E1549+N(F1549)),N('Fee Settings'!$C$9)),0),""))</f>
        <v/>
      </c>
      <c r="L1549" s="14" t="str">
        <f>IF(C1549="","",IFERROR(D1549*N(INDEX(Products!$C$5:$C$29,MATCH(C1549,Lists!$A$2:$A$26,0))),""))</f>
        <v/>
      </c>
      <c r="M1549" s="15" t="str">
        <f t="shared" si="24"/>
        <v/>
      </c>
    </row>
    <row r="1550" spans="1:13" x14ac:dyDescent="0.35">
      <c r="A1550" s="11"/>
      <c r="B1550" s="12"/>
      <c r="C1550" s="12"/>
      <c r="D1550" s="12"/>
      <c r="E1550" s="13"/>
      <c r="F1550" s="13"/>
      <c r="G1550" s="13"/>
      <c r="H1550" s="13"/>
      <c r="I1550" s="12"/>
      <c r="J1550" s="13"/>
      <c r="K1550" s="14" t="str">
        <f>IF(C1550="","",IFERROR(N('Fee Settings'!$C$5)*(E1550+N(F1550)-N(J1550))+N('Fee Settings'!$C$6)*(E1550+N(F1550)+N(G1550))+N('Fee Settings'!$C$7)+N('Fee Settings'!$C$10)*D1550+IF(I1550="Yes",MIN(N('Fee Settings'!$C$8)*(E1550+N(F1550)),N('Fee Settings'!$C$9)),0),""))</f>
        <v/>
      </c>
      <c r="L1550" s="14" t="str">
        <f>IF(C1550="","",IFERROR(D1550*N(INDEX(Products!$C$5:$C$29,MATCH(C1550,Lists!$A$2:$A$26,0))),""))</f>
        <v/>
      </c>
      <c r="M1550" s="15" t="str">
        <f t="shared" si="24"/>
        <v/>
      </c>
    </row>
    <row r="1551" spans="1:13" x14ac:dyDescent="0.35">
      <c r="A1551" s="11"/>
      <c r="B1551" s="12"/>
      <c r="C1551" s="12"/>
      <c r="D1551" s="12"/>
      <c r="E1551" s="13"/>
      <c r="F1551" s="13"/>
      <c r="G1551" s="13"/>
      <c r="H1551" s="13"/>
      <c r="I1551" s="12"/>
      <c r="J1551" s="13"/>
      <c r="K1551" s="14" t="str">
        <f>IF(C1551="","",IFERROR(N('Fee Settings'!$C$5)*(E1551+N(F1551)-N(J1551))+N('Fee Settings'!$C$6)*(E1551+N(F1551)+N(G1551))+N('Fee Settings'!$C$7)+N('Fee Settings'!$C$10)*D1551+IF(I1551="Yes",MIN(N('Fee Settings'!$C$8)*(E1551+N(F1551)),N('Fee Settings'!$C$9)),0),""))</f>
        <v/>
      </c>
      <c r="L1551" s="14" t="str">
        <f>IF(C1551="","",IFERROR(D1551*N(INDEX(Products!$C$5:$C$29,MATCH(C1551,Lists!$A$2:$A$26,0))),""))</f>
        <v/>
      </c>
      <c r="M1551" s="15" t="str">
        <f t="shared" si="24"/>
        <v/>
      </c>
    </row>
    <row r="1552" spans="1:13" x14ac:dyDescent="0.35">
      <c r="A1552" s="11"/>
      <c r="B1552" s="12"/>
      <c r="C1552" s="12"/>
      <c r="D1552" s="12"/>
      <c r="E1552" s="13"/>
      <c r="F1552" s="13"/>
      <c r="G1552" s="13"/>
      <c r="H1552" s="13"/>
      <c r="I1552" s="12"/>
      <c r="J1552" s="13"/>
      <c r="K1552" s="14" t="str">
        <f>IF(C1552="","",IFERROR(N('Fee Settings'!$C$5)*(E1552+N(F1552)-N(J1552))+N('Fee Settings'!$C$6)*(E1552+N(F1552)+N(G1552))+N('Fee Settings'!$C$7)+N('Fee Settings'!$C$10)*D1552+IF(I1552="Yes",MIN(N('Fee Settings'!$C$8)*(E1552+N(F1552)),N('Fee Settings'!$C$9)),0),""))</f>
        <v/>
      </c>
      <c r="L1552" s="14" t="str">
        <f>IF(C1552="","",IFERROR(D1552*N(INDEX(Products!$C$5:$C$29,MATCH(C1552,Lists!$A$2:$A$26,0))),""))</f>
        <v/>
      </c>
      <c r="M1552" s="15" t="str">
        <f t="shared" si="24"/>
        <v/>
      </c>
    </row>
    <row r="1553" spans="1:13" x14ac:dyDescent="0.35">
      <c r="A1553" s="11"/>
      <c r="B1553" s="12"/>
      <c r="C1553" s="12"/>
      <c r="D1553" s="12"/>
      <c r="E1553" s="13"/>
      <c r="F1553" s="13"/>
      <c r="G1553" s="13"/>
      <c r="H1553" s="13"/>
      <c r="I1553" s="12"/>
      <c r="J1553" s="13"/>
      <c r="K1553" s="14" t="str">
        <f>IF(C1553="","",IFERROR(N('Fee Settings'!$C$5)*(E1553+N(F1553)-N(J1553))+N('Fee Settings'!$C$6)*(E1553+N(F1553)+N(G1553))+N('Fee Settings'!$C$7)+N('Fee Settings'!$C$10)*D1553+IF(I1553="Yes",MIN(N('Fee Settings'!$C$8)*(E1553+N(F1553)),N('Fee Settings'!$C$9)),0),""))</f>
        <v/>
      </c>
      <c r="L1553" s="14" t="str">
        <f>IF(C1553="","",IFERROR(D1553*N(INDEX(Products!$C$5:$C$29,MATCH(C1553,Lists!$A$2:$A$26,0))),""))</f>
        <v/>
      </c>
      <c r="M1553" s="15" t="str">
        <f t="shared" si="24"/>
        <v/>
      </c>
    </row>
    <row r="1554" spans="1:13" x14ac:dyDescent="0.35">
      <c r="A1554" s="11"/>
      <c r="B1554" s="12"/>
      <c r="C1554" s="12"/>
      <c r="D1554" s="12"/>
      <c r="E1554" s="13"/>
      <c r="F1554" s="13"/>
      <c r="G1554" s="13"/>
      <c r="H1554" s="13"/>
      <c r="I1554" s="12"/>
      <c r="J1554" s="13"/>
      <c r="K1554" s="14" t="str">
        <f>IF(C1554="","",IFERROR(N('Fee Settings'!$C$5)*(E1554+N(F1554)-N(J1554))+N('Fee Settings'!$C$6)*(E1554+N(F1554)+N(G1554))+N('Fee Settings'!$C$7)+N('Fee Settings'!$C$10)*D1554+IF(I1554="Yes",MIN(N('Fee Settings'!$C$8)*(E1554+N(F1554)),N('Fee Settings'!$C$9)),0),""))</f>
        <v/>
      </c>
      <c r="L1554" s="14" t="str">
        <f>IF(C1554="","",IFERROR(D1554*N(INDEX(Products!$C$5:$C$29,MATCH(C1554,Lists!$A$2:$A$26,0))),""))</f>
        <v/>
      </c>
      <c r="M1554" s="15" t="str">
        <f t="shared" si="24"/>
        <v/>
      </c>
    </row>
    <row r="1555" spans="1:13" x14ac:dyDescent="0.35">
      <c r="A1555" s="11"/>
      <c r="B1555" s="12"/>
      <c r="C1555" s="12"/>
      <c r="D1555" s="12"/>
      <c r="E1555" s="13"/>
      <c r="F1555" s="13"/>
      <c r="G1555" s="13"/>
      <c r="H1555" s="13"/>
      <c r="I1555" s="12"/>
      <c r="J1555" s="13"/>
      <c r="K1555" s="14" t="str">
        <f>IF(C1555="","",IFERROR(N('Fee Settings'!$C$5)*(E1555+N(F1555)-N(J1555))+N('Fee Settings'!$C$6)*(E1555+N(F1555)+N(G1555))+N('Fee Settings'!$C$7)+N('Fee Settings'!$C$10)*D1555+IF(I1555="Yes",MIN(N('Fee Settings'!$C$8)*(E1555+N(F1555)),N('Fee Settings'!$C$9)),0),""))</f>
        <v/>
      </c>
      <c r="L1555" s="14" t="str">
        <f>IF(C1555="","",IFERROR(D1555*N(INDEX(Products!$C$5:$C$29,MATCH(C1555,Lists!$A$2:$A$26,0))),""))</f>
        <v/>
      </c>
      <c r="M1555" s="15" t="str">
        <f t="shared" si="24"/>
        <v/>
      </c>
    </row>
    <row r="1556" spans="1:13" x14ac:dyDescent="0.35">
      <c r="A1556" s="11"/>
      <c r="B1556" s="12"/>
      <c r="C1556" s="12"/>
      <c r="D1556" s="12"/>
      <c r="E1556" s="13"/>
      <c r="F1556" s="13"/>
      <c r="G1556" s="13"/>
      <c r="H1556" s="13"/>
      <c r="I1556" s="12"/>
      <c r="J1556" s="13"/>
      <c r="K1556" s="14" t="str">
        <f>IF(C1556="","",IFERROR(N('Fee Settings'!$C$5)*(E1556+N(F1556)-N(J1556))+N('Fee Settings'!$C$6)*(E1556+N(F1556)+N(G1556))+N('Fee Settings'!$C$7)+N('Fee Settings'!$C$10)*D1556+IF(I1556="Yes",MIN(N('Fee Settings'!$C$8)*(E1556+N(F1556)),N('Fee Settings'!$C$9)),0),""))</f>
        <v/>
      </c>
      <c r="L1556" s="14" t="str">
        <f>IF(C1556="","",IFERROR(D1556*N(INDEX(Products!$C$5:$C$29,MATCH(C1556,Lists!$A$2:$A$26,0))),""))</f>
        <v/>
      </c>
      <c r="M1556" s="15" t="str">
        <f t="shared" si="24"/>
        <v/>
      </c>
    </row>
    <row r="1557" spans="1:13" x14ac:dyDescent="0.35">
      <c r="A1557" s="11"/>
      <c r="B1557" s="12"/>
      <c r="C1557" s="12"/>
      <c r="D1557" s="12"/>
      <c r="E1557" s="13"/>
      <c r="F1557" s="13"/>
      <c r="G1557" s="13"/>
      <c r="H1557" s="13"/>
      <c r="I1557" s="12"/>
      <c r="J1557" s="13"/>
      <c r="K1557" s="14" t="str">
        <f>IF(C1557="","",IFERROR(N('Fee Settings'!$C$5)*(E1557+N(F1557)-N(J1557))+N('Fee Settings'!$C$6)*(E1557+N(F1557)+N(G1557))+N('Fee Settings'!$C$7)+N('Fee Settings'!$C$10)*D1557+IF(I1557="Yes",MIN(N('Fee Settings'!$C$8)*(E1557+N(F1557)),N('Fee Settings'!$C$9)),0),""))</f>
        <v/>
      </c>
      <c r="L1557" s="14" t="str">
        <f>IF(C1557="","",IFERROR(D1557*N(INDEX(Products!$C$5:$C$29,MATCH(C1557,Lists!$A$2:$A$26,0))),""))</f>
        <v/>
      </c>
      <c r="M1557" s="15" t="str">
        <f t="shared" si="24"/>
        <v/>
      </c>
    </row>
    <row r="1558" spans="1:13" x14ac:dyDescent="0.35">
      <c r="A1558" s="11"/>
      <c r="B1558" s="12"/>
      <c r="C1558" s="12"/>
      <c r="D1558" s="12"/>
      <c r="E1558" s="13"/>
      <c r="F1558" s="13"/>
      <c r="G1558" s="13"/>
      <c r="H1558" s="13"/>
      <c r="I1558" s="12"/>
      <c r="J1558" s="13"/>
      <c r="K1558" s="14" t="str">
        <f>IF(C1558="","",IFERROR(N('Fee Settings'!$C$5)*(E1558+N(F1558)-N(J1558))+N('Fee Settings'!$C$6)*(E1558+N(F1558)+N(G1558))+N('Fee Settings'!$C$7)+N('Fee Settings'!$C$10)*D1558+IF(I1558="Yes",MIN(N('Fee Settings'!$C$8)*(E1558+N(F1558)),N('Fee Settings'!$C$9)),0),""))</f>
        <v/>
      </c>
      <c r="L1558" s="14" t="str">
        <f>IF(C1558="","",IFERROR(D1558*N(INDEX(Products!$C$5:$C$29,MATCH(C1558,Lists!$A$2:$A$26,0))),""))</f>
        <v/>
      </c>
      <c r="M1558" s="15" t="str">
        <f t="shared" si="24"/>
        <v/>
      </c>
    </row>
    <row r="1559" spans="1:13" x14ac:dyDescent="0.35">
      <c r="A1559" s="11"/>
      <c r="B1559" s="12"/>
      <c r="C1559" s="12"/>
      <c r="D1559" s="12"/>
      <c r="E1559" s="13"/>
      <c r="F1559" s="13"/>
      <c r="G1559" s="13"/>
      <c r="H1559" s="13"/>
      <c r="I1559" s="12"/>
      <c r="J1559" s="13"/>
      <c r="K1559" s="14" t="str">
        <f>IF(C1559="","",IFERROR(N('Fee Settings'!$C$5)*(E1559+N(F1559)-N(J1559))+N('Fee Settings'!$C$6)*(E1559+N(F1559)+N(G1559))+N('Fee Settings'!$C$7)+N('Fee Settings'!$C$10)*D1559+IF(I1559="Yes",MIN(N('Fee Settings'!$C$8)*(E1559+N(F1559)),N('Fee Settings'!$C$9)),0),""))</f>
        <v/>
      </c>
      <c r="L1559" s="14" t="str">
        <f>IF(C1559="","",IFERROR(D1559*N(INDEX(Products!$C$5:$C$29,MATCH(C1559,Lists!$A$2:$A$26,0))),""))</f>
        <v/>
      </c>
      <c r="M1559" s="15" t="str">
        <f t="shared" si="24"/>
        <v/>
      </c>
    </row>
    <row r="1560" spans="1:13" x14ac:dyDescent="0.35">
      <c r="A1560" s="11"/>
      <c r="B1560" s="12"/>
      <c r="C1560" s="12"/>
      <c r="D1560" s="12"/>
      <c r="E1560" s="13"/>
      <c r="F1560" s="13"/>
      <c r="G1560" s="13"/>
      <c r="H1560" s="13"/>
      <c r="I1560" s="12"/>
      <c r="J1560" s="13"/>
      <c r="K1560" s="14" t="str">
        <f>IF(C1560="","",IFERROR(N('Fee Settings'!$C$5)*(E1560+N(F1560)-N(J1560))+N('Fee Settings'!$C$6)*(E1560+N(F1560)+N(G1560))+N('Fee Settings'!$C$7)+N('Fee Settings'!$C$10)*D1560+IF(I1560="Yes",MIN(N('Fee Settings'!$C$8)*(E1560+N(F1560)),N('Fee Settings'!$C$9)),0),""))</f>
        <v/>
      </c>
      <c r="L1560" s="14" t="str">
        <f>IF(C1560="","",IFERROR(D1560*N(INDEX(Products!$C$5:$C$29,MATCH(C1560,Lists!$A$2:$A$26,0))),""))</f>
        <v/>
      </c>
      <c r="M1560" s="15" t="str">
        <f t="shared" si="24"/>
        <v/>
      </c>
    </row>
    <row r="1561" spans="1:13" x14ac:dyDescent="0.35">
      <c r="A1561" s="11"/>
      <c r="B1561" s="12"/>
      <c r="C1561" s="12"/>
      <c r="D1561" s="12"/>
      <c r="E1561" s="13"/>
      <c r="F1561" s="13"/>
      <c r="G1561" s="13"/>
      <c r="H1561" s="13"/>
      <c r="I1561" s="12"/>
      <c r="J1561" s="13"/>
      <c r="K1561" s="14" t="str">
        <f>IF(C1561="","",IFERROR(N('Fee Settings'!$C$5)*(E1561+N(F1561)-N(J1561))+N('Fee Settings'!$C$6)*(E1561+N(F1561)+N(G1561))+N('Fee Settings'!$C$7)+N('Fee Settings'!$C$10)*D1561+IF(I1561="Yes",MIN(N('Fee Settings'!$C$8)*(E1561+N(F1561)),N('Fee Settings'!$C$9)),0),""))</f>
        <v/>
      </c>
      <c r="L1561" s="14" t="str">
        <f>IF(C1561="","",IFERROR(D1561*N(INDEX(Products!$C$5:$C$29,MATCH(C1561,Lists!$A$2:$A$26,0))),""))</f>
        <v/>
      </c>
      <c r="M1561" s="15" t="str">
        <f t="shared" si="24"/>
        <v/>
      </c>
    </row>
    <row r="1562" spans="1:13" x14ac:dyDescent="0.35">
      <c r="A1562" s="11"/>
      <c r="B1562" s="12"/>
      <c r="C1562" s="12"/>
      <c r="D1562" s="12"/>
      <c r="E1562" s="13"/>
      <c r="F1562" s="13"/>
      <c r="G1562" s="13"/>
      <c r="H1562" s="13"/>
      <c r="I1562" s="12"/>
      <c r="J1562" s="13"/>
      <c r="K1562" s="14" t="str">
        <f>IF(C1562="","",IFERROR(N('Fee Settings'!$C$5)*(E1562+N(F1562)-N(J1562))+N('Fee Settings'!$C$6)*(E1562+N(F1562)+N(G1562))+N('Fee Settings'!$C$7)+N('Fee Settings'!$C$10)*D1562+IF(I1562="Yes",MIN(N('Fee Settings'!$C$8)*(E1562+N(F1562)),N('Fee Settings'!$C$9)),0),""))</f>
        <v/>
      </c>
      <c r="L1562" s="14" t="str">
        <f>IF(C1562="","",IFERROR(D1562*N(INDEX(Products!$C$5:$C$29,MATCH(C1562,Lists!$A$2:$A$26,0))),""))</f>
        <v/>
      </c>
      <c r="M1562" s="15" t="str">
        <f t="shared" si="24"/>
        <v/>
      </c>
    </row>
    <row r="1563" spans="1:13" x14ac:dyDescent="0.35">
      <c r="A1563" s="11"/>
      <c r="B1563" s="12"/>
      <c r="C1563" s="12"/>
      <c r="D1563" s="12"/>
      <c r="E1563" s="13"/>
      <c r="F1563" s="13"/>
      <c r="G1563" s="13"/>
      <c r="H1563" s="13"/>
      <c r="I1563" s="12"/>
      <c r="J1563" s="13"/>
      <c r="K1563" s="14" t="str">
        <f>IF(C1563="","",IFERROR(N('Fee Settings'!$C$5)*(E1563+N(F1563)-N(J1563))+N('Fee Settings'!$C$6)*(E1563+N(F1563)+N(G1563))+N('Fee Settings'!$C$7)+N('Fee Settings'!$C$10)*D1563+IF(I1563="Yes",MIN(N('Fee Settings'!$C$8)*(E1563+N(F1563)),N('Fee Settings'!$C$9)),0),""))</f>
        <v/>
      </c>
      <c r="L1563" s="14" t="str">
        <f>IF(C1563="","",IFERROR(D1563*N(INDEX(Products!$C$5:$C$29,MATCH(C1563,Lists!$A$2:$A$26,0))),""))</f>
        <v/>
      </c>
      <c r="M1563" s="15" t="str">
        <f t="shared" si="24"/>
        <v/>
      </c>
    </row>
    <row r="1564" spans="1:13" x14ac:dyDescent="0.35">
      <c r="A1564" s="11"/>
      <c r="B1564" s="12"/>
      <c r="C1564" s="12"/>
      <c r="D1564" s="12"/>
      <c r="E1564" s="13"/>
      <c r="F1564" s="13"/>
      <c r="G1564" s="13"/>
      <c r="H1564" s="13"/>
      <c r="I1564" s="12"/>
      <c r="J1564" s="13"/>
      <c r="K1564" s="14" t="str">
        <f>IF(C1564="","",IFERROR(N('Fee Settings'!$C$5)*(E1564+N(F1564)-N(J1564))+N('Fee Settings'!$C$6)*(E1564+N(F1564)+N(G1564))+N('Fee Settings'!$C$7)+N('Fee Settings'!$C$10)*D1564+IF(I1564="Yes",MIN(N('Fee Settings'!$C$8)*(E1564+N(F1564)),N('Fee Settings'!$C$9)),0),""))</f>
        <v/>
      </c>
      <c r="L1564" s="14" t="str">
        <f>IF(C1564="","",IFERROR(D1564*N(INDEX(Products!$C$5:$C$29,MATCH(C1564,Lists!$A$2:$A$26,0))),""))</f>
        <v/>
      </c>
      <c r="M1564" s="15" t="str">
        <f t="shared" si="24"/>
        <v/>
      </c>
    </row>
    <row r="1565" spans="1:13" x14ac:dyDescent="0.35">
      <c r="A1565" s="11"/>
      <c r="B1565" s="12"/>
      <c r="C1565" s="12"/>
      <c r="D1565" s="12"/>
      <c r="E1565" s="13"/>
      <c r="F1565" s="13"/>
      <c r="G1565" s="13"/>
      <c r="H1565" s="13"/>
      <c r="I1565" s="12"/>
      <c r="J1565" s="13"/>
      <c r="K1565" s="14" t="str">
        <f>IF(C1565="","",IFERROR(N('Fee Settings'!$C$5)*(E1565+N(F1565)-N(J1565))+N('Fee Settings'!$C$6)*(E1565+N(F1565)+N(G1565))+N('Fee Settings'!$C$7)+N('Fee Settings'!$C$10)*D1565+IF(I1565="Yes",MIN(N('Fee Settings'!$C$8)*(E1565+N(F1565)),N('Fee Settings'!$C$9)),0),""))</f>
        <v/>
      </c>
      <c r="L1565" s="14" t="str">
        <f>IF(C1565="","",IFERROR(D1565*N(INDEX(Products!$C$5:$C$29,MATCH(C1565,Lists!$A$2:$A$26,0))),""))</f>
        <v/>
      </c>
      <c r="M1565" s="15" t="str">
        <f t="shared" si="24"/>
        <v/>
      </c>
    </row>
    <row r="1566" spans="1:13" x14ac:dyDescent="0.35">
      <c r="A1566" s="11"/>
      <c r="B1566" s="12"/>
      <c r="C1566" s="12"/>
      <c r="D1566" s="12"/>
      <c r="E1566" s="13"/>
      <c r="F1566" s="13"/>
      <c r="G1566" s="13"/>
      <c r="H1566" s="13"/>
      <c r="I1566" s="12"/>
      <c r="J1566" s="13"/>
      <c r="K1566" s="14" t="str">
        <f>IF(C1566="","",IFERROR(N('Fee Settings'!$C$5)*(E1566+N(F1566)-N(J1566))+N('Fee Settings'!$C$6)*(E1566+N(F1566)+N(G1566))+N('Fee Settings'!$C$7)+N('Fee Settings'!$C$10)*D1566+IF(I1566="Yes",MIN(N('Fee Settings'!$C$8)*(E1566+N(F1566)),N('Fee Settings'!$C$9)),0),""))</f>
        <v/>
      </c>
      <c r="L1566" s="14" t="str">
        <f>IF(C1566="","",IFERROR(D1566*N(INDEX(Products!$C$5:$C$29,MATCH(C1566,Lists!$A$2:$A$26,0))),""))</f>
        <v/>
      </c>
      <c r="M1566" s="15" t="str">
        <f t="shared" si="24"/>
        <v/>
      </c>
    </row>
    <row r="1567" spans="1:13" x14ac:dyDescent="0.35">
      <c r="A1567" s="11"/>
      <c r="B1567" s="12"/>
      <c r="C1567" s="12"/>
      <c r="D1567" s="12"/>
      <c r="E1567" s="13"/>
      <c r="F1567" s="13"/>
      <c r="G1567" s="13"/>
      <c r="H1567" s="13"/>
      <c r="I1567" s="12"/>
      <c r="J1567" s="13"/>
      <c r="K1567" s="14" t="str">
        <f>IF(C1567="","",IFERROR(N('Fee Settings'!$C$5)*(E1567+N(F1567)-N(J1567))+N('Fee Settings'!$C$6)*(E1567+N(F1567)+N(G1567))+N('Fee Settings'!$C$7)+N('Fee Settings'!$C$10)*D1567+IF(I1567="Yes",MIN(N('Fee Settings'!$C$8)*(E1567+N(F1567)),N('Fee Settings'!$C$9)),0),""))</f>
        <v/>
      </c>
      <c r="L1567" s="14" t="str">
        <f>IF(C1567="","",IFERROR(D1567*N(INDEX(Products!$C$5:$C$29,MATCH(C1567,Lists!$A$2:$A$26,0))),""))</f>
        <v/>
      </c>
      <c r="M1567" s="15" t="str">
        <f t="shared" si="24"/>
        <v/>
      </c>
    </row>
    <row r="1568" spans="1:13" x14ac:dyDescent="0.35">
      <c r="A1568" s="11"/>
      <c r="B1568" s="12"/>
      <c r="C1568" s="12"/>
      <c r="D1568" s="12"/>
      <c r="E1568" s="13"/>
      <c r="F1568" s="13"/>
      <c r="G1568" s="13"/>
      <c r="H1568" s="13"/>
      <c r="I1568" s="12"/>
      <c r="J1568" s="13"/>
      <c r="K1568" s="14" t="str">
        <f>IF(C1568="","",IFERROR(N('Fee Settings'!$C$5)*(E1568+N(F1568)-N(J1568))+N('Fee Settings'!$C$6)*(E1568+N(F1568)+N(G1568))+N('Fee Settings'!$C$7)+N('Fee Settings'!$C$10)*D1568+IF(I1568="Yes",MIN(N('Fee Settings'!$C$8)*(E1568+N(F1568)),N('Fee Settings'!$C$9)),0),""))</f>
        <v/>
      </c>
      <c r="L1568" s="14" t="str">
        <f>IF(C1568="","",IFERROR(D1568*N(INDEX(Products!$C$5:$C$29,MATCH(C1568,Lists!$A$2:$A$26,0))),""))</f>
        <v/>
      </c>
      <c r="M1568" s="15" t="str">
        <f t="shared" si="24"/>
        <v/>
      </c>
    </row>
    <row r="1569" spans="1:13" x14ac:dyDescent="0.35">
      <c r="A1569" s="11"/>
      <c r="B1569" s="12"/>
      <c r="C1569" s="12"/>
      <c r="D1569" s="12"/>
      <c r="E1569" s="13"/>
      <c r="F1569" s="13"/>
      <c r="G1569" s="13"/>
      <c r="H1569" s="13"/>
      <c r="I1569" s="12"/>
      <c r="J1569" s="13"/>
      <c r="K1569" s="14" t="str">
        <f>IF(C1569="","",IFERROR(N('Fee Settings'!$C$5)*(E1569+N(F1569)-N(J1569))+N('Fee Settings'!$C$6)*(E1569+N(F1569)+N(G1569))+N('Fee Settings'!$C$7)+N('Fee Settings'!$C$10)*D1569+IF(I1569="Yes",MIN(N('Fee Settings'!$C$8)*(E1569+N(F1569)),N('Fee Settings'!$C$9)),0),""))</f>
        <v/>
      </c>
      <c r="L1569" s="14" t="str">
        <f>IF(C1569="","",IFERROR(D1569*N(INDEX(Products!$C$5:$C$29,MATCH(C1569,Lists!$A$2:$A$26,0))),""))</f>
        <v/>
      </c>
      <c r="M1569" s="15" t="str">
        <f t="shared" si="24"/>
        <v/>
      </c>
    </row>
    <row r="1570" spans="1:13" x14ac:dyDescent="0.35">
      <c r="A1570" s="11"/>
      <c r="B1570" s="12"/>
      <c r="C1570" s="12"/>
      <c r="D1570" s="12"/>
      <c r="E1570" s="13"/>
      <c r="F1570" s="13"/>
      <c r="G1570" s="13"/>
      <c r="H1570" s="13"/>
      <c r="I1570" s="12"/>
      <c r="J1570" s="13"/>
      <c r="K1570" s="14" t="str">
        <f>IF(C1570="","",IFERROR(N('Fee Settings'!$C$5)*(E1570+N(F1570)-N(J1570))+N('Fee Settings'!$C$6)*(E1570+N(F1570)+N(G1570))+N('Fee Settings'!$C$7)+N('Fee Settings'!$C$10)*D1570+IF(I1570="Yes",MIN(N('Fee Settings'!$C$8)*(E1570+N(F1570)),N('Fee Settings'!$C$9)),0),""))</f>
        <v/>
      </c>
      <c r="L1570" s="14" t="str">
        <f>IF(C1570="","",IFERROR(D1570*N(INDEX(Products!$C$5:$C$29,MATCH(C1570,Lists!$A$2:$A$26,0))),""))</f>
        <v/>
      </c>
      <c r="M1570" s="15" t="str">
        <f t="shared" si="24"/>
        <v/>
      </c>
    </row>
    <row r="1571" spans="1:13" x14ac:dyDescent="0.35">
      <c r="A1571" s="11"/>
      <c r="B1571" s="12"/>
      <c r="C1571" s="12"/>
      <c r="D1571" s="12"/>
      <c r="E1571" s="13"/>
      <c r="F1571" s="13"/>
      <c r="G1571" s="13"/>
      <c r="H1571" s="13"/>
      <c r="I1571" s="12"/>
      <c r="J1571" s="13"/>
      <c r="K1571" s="14" t="str">
        <f>IF(C1571="","",IFERROR(N('Fee Settings'!$C$5)*(E1571+N(F1571)-N(J1571))+N('Fee Settings'!$C$6)*(E1571+N(F1571)+N(G1571))+N('Fee Settings'!$C$7)+N('Fee Settings'!$C$10)*D1571+IF(I1571="Yes",MIN(N('Fee Settings'!$C$8)*(E1571+N(F1571)),N('Fee Settings'!$C$9)),0),""))</f>
        <v/>
      </c>
      <c r="L1571" s="14" t="str">
        <f>IF(C1571="","",IFERROR(D1571*N(INDEX(Products!$C$5:$C$29,MATCH(C1571,Lists!$A$2:$A$26,0))),""))</f>
        <v/>
      </c>
      <c r="M1571" s="15" t="str">
        <f t="shared" si="24"/>
        <v/>
      </c>
    </row>
    <row r="1572" spans="1:13" x14ac:dyDescent="0.35">
      <c r="A1572" s="11"/>
      <c r="B1572" s="12"/>
      <c r="C1572" s="12"/>
      <c r="D1572" s="12"/>
      <c r="E1572" s="13"/>
      <c r="F1572" s="13"/>
      <c r="G1572" s="13"/>
      <c r="H1572" s="13"/>
      <c r="I1572" s="12"/>
      <c r="J1572" s="13"/>
      <c r="K1572" s="14" t="str">
        <f>IF(C1572="","",IFERROR(N('Fee Settings'!$C$5)*(E1572+N(F1572)-N(J1572))+N('Fee Settings'!$C$6)*(E1572+N(F1572)+N(G1572))+N('Fee Settings'!$C$7)+N('Fee Settings'!$C$10)*D1572+IF(I1572="Yes",MIN(N('Fee Settings'!$C$8)*(E1572+N(F1572)),N('Fee Settings'!$C$9)),0),""))</f>
        <v/>
      </c>
      <c r="L1572" s="14" t="str">
        <f>IF(C1572="","",IFERROR(D1572*N(INDEX(Products!$C$5:$C$29,MATCH(C1572,Lists!$A$2:$A$26,0))),""))</f>
        <v/>
      </c>
      <c r="M1572" s="15" t="str">
        <f t="shared" si="24"/>
        <v/>
      </c>
    </row>
    <row r="1573" spans="1:13" x14ac:dyDescent="0.35">
      <c r="A1573" s="11"/>
      <c r="B1573" s="12"/>
      <c r="C1573" s="12"/>
      <c r="D1573" s="12"/>
      <c r="E1573" s="13"/>
      <c r="F1573" s="13"/>
      <c r="G1573" s="13"/>
      <c r="H1573" s="13"/>
      <c r="I1573" s="12"/>
      <c r="J1573" s="13"/>
      <c r="K1573" s="14" t="str">
        <f>IF(C1573="","",IFERROR(N('Fee Settings'!$C$5)*(E1573+N(F1573)-N(J1573))+N('Fee Settings'!$C$6)*(E1573+N(F1573)+N(G1573))+N('Fee Settings'!$C$7)+N('Fee Settings'!$C$10)*D1573+IF(I1573="Yes",MIN(N('Fee Settings'!$C$8)*(E1573+N(F1573)),N('Fee Settings'!$C$9)),0),""))</f>
        <v/>
      </c>
      <c r="L1573" s="14" t="str">
        <f>IF(C1573="","",IFERROR(D1573*N(INDEX(Products!$C$5:$C$29,MATCH(C1573,Lists!$A$2:$A$26,0))),""))</f>
        <v/>
      </c>
      <c r="M1573" s="15" t="str">
        <f t="shared" si="24"/>
        <v/>
      </c>
    </row>
    <row r="1574" spans="1:13" x14ac:dyDescent="0.35">
      <c r="A1574" s="11"/>
      <c r="B1574" s="12"/>
      <c r="C1574" s="12"/>
      <c r="D1574" s="12"/>
      <c r="E1574" s="13"/>
      <c r="F1574" s="13"/>
      <c r="G1574" s="13"/>
      <c r="H1574" s="13"/>
      <c r="I1574" s="12"/>
      <c r="J1574" s="13"/>
      <c r="K1574" s="14" t="str">
        <f>IF(C1574="","",IFERROR(N('Fee Settings'!$C$5)*(E1574+N(F1574)-N(J1574))+N('Fee Settings'!$C$6)*(E1574+N(F1574)+N(G1574))+N('Fee Settings'!$C$7)+N('Fee Settings'!$C$10)*D1574+IF(I1574="Yes",MIN(N('Fee Settings'!$C$8)*(E1574+N(F1574)),N('Fee Settings'!$C$9)),0),""))</f>
        <v/>
      </c>
      <c r="L1574" s="14" t="str">
        <f>IF(C1574="","",IFERROR(D1574*N(INDEX(Products!$C$5:$C$29,MATCH(C1574,Lists!$A$2:$A$26,0))),""))</f>
        <v/>
      </c>
      <c r="M1574" s="15" t="str">
        <f t="shared" si="24"/>
        <v/>
      </c>
    </row>
    <row r="1575" spans="1:13" x14ac:dyDescent="0.35">
      <c r="A1575" s="11"/>
      <c r="B1575" s="12"/>
      <c r="C1575" s="12"/>
      <c r="D1575" s="12"/>
      <c r="E1575" s="13"/>
      <c r="F1575" s="13"/>
      <c r="G1575" s="13"/>
      <c r="H1575" s="13"/>
      <c r="I1575" s="12"/>
      <c r="J1575" s="13"/>
      <c r="K1575" s="14" t="str">
        <f>IF(C1575="","",IFERROR(N('Fee Settings'!$C$5)*(E1575+N(F1575)-N(J1575))+N('Fee Settings'!$C$6)*(E1575+N(F1575)+N(G1575))+N('Fee Settings'!$C$7)+N('Fee Settings'!$C$10)*D1575+IF(I1575="Yes",MIN(N('Fee Settings'!$C$8)*(E1575+N(F1575)),N('Fee Settings'!$C$9)),0),""))</f>
        <v/>
      </c>
      <c r="L1575" s="14" t="str">
        <f>IF(C1575="","",IFERROR(D1575*N(INDEX(Products!$C$5:$C$29,MATCH(C1575,Lists!$A$2:$A$26,0))),""))</f>
        <v/>
      </c>
      <c r="M1575" s="15" t="str">
        <f t="shared" si="24"/>
        <v/>
      </c>
    </row>
    <row r="1576" spans="1:13" x14ac:dyDescent="0.35">
      <c r="A1576" s="11"/>
      <c r="B1576" s="12"/>
      <c r="C1576" s="12"/>
      <c r="D1576" s="12"/>
      <c r="E1576" s="13"/>
      <c r="F1576" s="13"/>
      <c r="G1576" s="13"/>
      <c r="H1576" s="13"/>
      <c r="I1576" s="12"/>
      <c r="J1576" s="13"/>
      <c r="K1576" s="14" t="str">
        <f>IF(C1576="","",IFERROR(N('Fee Settings'!$C$5)*(E1576+N(F1576)-N(J1576))+N('Fee Settings'!$C$6)*(E1576+N(F1576)+N(G1576))+N('Fee Settings'!$C$7)+N('Fee Settings'!$C$10)*D1576+IF(I1576="Yes",MIN(N('Fee Settings'!$C$8)*(E1576+N(F1576)),N('Fee Settings'!$C$9)),0),""))</f>
        <v/>
      </c>
      <c r="L1576" s="14" t="str">
        <f>IF(C1576="","",IFERROR(D1576*N(INDEX(Products!$C$5:$C$29,MATCH(C1576,Lists!$A$2:$A$26,0))),""))</f>
        <v/>
      </c>
      <c r="M1576" s="15" t="str">
        <f t="shared" si="24"/>
        <v/>
      </c>
    </row>
    <row r="1577" spans="1:13" x14ac:dyDescent="0.35">
      <c r="A1577" s="11"/>
      <c r="B1577" s="12"/>
      <c r="C1577" s="12"/>
      <c r="D1577" s="12"/>
      <c r="E1577" s="13"/>
      <c r="F1577" s="13"/>
      <c r="G1577" s="13"/>
      <c r="H1577" s="13"/>
      <c r="I1577" s="12"/>
      <c r="J1577" s="13"/>
      <c r="K1577" s="14" t="str">
        <f>IF(C1577="","",IFERROR(N('Fee Settings'!$C$5)*(E1577+N(F1577)-N(J1577))+N('Fee Settings'!$C$6)*(E1577+N(F1577)+N(G1577))+N('Fee Settings'!$C$7)+N('Fee Settings'!$C$10)*D1577+IF(I1577="Yes",MIN(N('Fee Settings'!$C$8)*(E1577+N(F1577)),N('Fee Settings'!$C$9)),0),""))</f>
        <v/>
      </c>
      <c r="L1577" s="14" t="str">
        <f>IF(C1577="","",IFERROR(D1577*N(INDEX(Products!$C$5:$C$29,MATCH(C1577,Lists!$A$2:$A$26,0))),""))</f>
        <v/>
      </c>
      <c r="M1577" s="15" t="str">
        <f t="shared" si="24"/>
        <v/>
      </c>
    </row>
    <row r="1578" spans="1:13" x14ac:dyDescent="0.35">
      <c r="A1578" s="11"/>
      <c r="B1578" s="12"/>
      <c r="C1578" s="12"/>
      <c r="D1578" s="12"/>
      <c r="E1578" s="13"/>
      <c r="F1578" s="13"/>
      <c r="G1578" s="13"/>
      <c r="H1578" s="13"/>
      <c r="I1578" s="12"/>
      <c r="J1578" s="13"/>
      <c r="K1578" s="14" t="str">
        <f>IF(C1578="","",IFERROR(N('Fee Settings'!$C$5)*(E1578+N(F1578)-N(J1578))+N('Fee Settings'!$C$6)*(E1578+N(F1578)+N(G1578))+N('Fee Settings'!$C$7)+N('Fee Settings'!$C$10)*D1578+IF(I1578="Yes",MIN(N('Fee Settings'!$C$8)*(E1578+N(F1578)),N('Fee Settings'!$C$9)),0),""))</f>
        <v/>
      </c>
      <c r="L1578" s="14" t="str">
        <f>IF(C1578="","",IFERROR(D1578*N(INDEX(Products!$C$5:$C$29,MATCH(C1578,Lists!$A$2:$A$26,0))),""))</f>
        <v/>
      </c>
      <c r="M1578" s="15" t="str">
        <f t="shared" si="24"/>
        <v/>
      </c>
    </row>
    <row r="1579" spans="1:13" x14ac:dyDescent="0.35">
      <c r="A1579" s="11"/>
      <c r="B1579" s="12"/>
      <c r="C1579" s="12"/>
      <c r="D1579" s="12"/>
      <c r="E1579" s="13"/>
      <c r="F1579" s="13"/>
      <c r="G1579" s="13"/>
      <c r="H1579" s="13"/>
      <c r="I1579" s="12"/>
      <c r="J1579" s="13"/>
      <c r="K1579" s="14" t="str">
        <f>IF(C1579="","",IFERROR(N('Fee Settings'!$C$5)*(E1579+N(F1579)-N(J1579))+N('Fee Settings'!$C$6)*(E1579+N(F1579)+N(G1579))+N('Fee Settings'!$C$7)+N('Fee Settings'!$C$10)*D1579+IF(I1579="Yes",MIN(N('Fee Settings'!$C$8)*(E1579+N(F1579)),N('Fee Settings'!$C$9)),0),""))</f>
        <v/>
      </c>
      <c r="L1579" s="14" t="str">
        <f>IF(C1579="","",IFERROR(D1579*N(INDEX(Products!$C$5:$C$29,MATCH(C1579,Lists!$A$2:$A$26,0))),""))</f>
        <v/>
      </c>
      <c r="M1579" s="15" t="str">
        <f t="shared" si="24"/>
        <v/>
      </c>
    </row>
    <row r="1580" spans="1:13" x14ac:dyDescent="0.35">
      <c r="A1580" s="11"/>
      <c r="B1580" s="12"/>
      <c r="C1580" s="12"/>
      <c r="D1580" s="12"/>
      <c r="E1580" s="13"/>
      <c r="F1580" s="13"/>
      <c r="G1580" s="13"/>
      <c r="H1580" s="13"/>
      <c r="I1580" s="12"/>
      <c r="J1580" s="13"/>
      <c r="K1580" s="14" t="str">
        <f>IF(C1580="","",IFERROR(N('Fee Settings'!$C$5)*(E1580+N(F1580)-N(J1580))+N('Fee Settings'!$C$6)*(E1580+N(F1580)+N(G1580))+N('Fee Settings'!$C$7)+N('Fee Settings'!$C$10)*D1580+IF(I1580="Yes",MIN(N('Fee Settings'!$C$8)*(E1580+N(F1580)),N('Fee Settings'!$C$9)),0),""))</f>
        <v/>
      </c>
      <c r="L1580" s="14" t="str">
        <f>IF(C1580="","",IFERROR(D1580*N(INDEX(Products!$C$5:$C$29,MATCH(C1580,Lists!$A$2:$A$26,0))),""))</f>
        <v/>
      </c>
      <c r="M1580" s="15" t="str">
        <f t="shared" si="24"/>
        <v/>
      </c>
    </row>
    <row r="1581" spans="1:13" x14ac:dyDescent="0.35">
      <c r="A1581" s="11"/>
      <c r="B1581" s="12"/>
      <c r="C1581" s="12"/>
      <c r="D1581" s="12"/>
      <c r="E1581" s="13"/>
      <c r="F1581" s="13"/>
      <c r="G1581" s="13"/>
      <c r="H1581" s="13"/>
      <c r="I1581" s="12"/>
      <c r="J1581" s="13"/>
      <c r="K1581" s="14" t="str">
        <f>IF(C1581="","",IFERROR(N('Fee Settings'!$C$5)*(E1581+N(F1581)-N(J1581))+N('Fee Settings'!$C$6)*(E1581+N(F1581)+N(G1581))+N('Fee Settings'!$C$7)+N('Fee Settings'!$C$10)*D1581+IF(I1581="Yes",MIN(N('Fee Settings'!$C$8)*(E1581+N(F1581)),N('Fee Settings'!$C$9)),0),""))</f>
        <v/>
      </c>
      <c r="L1581" s="14" t="str">
        <f>IF(C1581="","",IFERROR(D1581*N(INDEX(Products!$C$5:$C$29,MATCH(C1581,Lists!$A$2:$A$26,0))),""))</f>
        <v/>
      </c>
      <c r="M1581" s="15" t="str">
        <f t="shared" si="24"/>
        <v/>
      </c>
    </row>
    <row r="1582" spans="1:13" x14ac:dyDescent="0.35">
      <c r="A1582" s="11"/>
      <c r="B1582" s="12"/>
      <c r="C1582" s="12"/>
      <c r="D1582" s="12"/>
      <c r="E1582" s="13"/>
      <c r="F1582" s="13"/>
      <c r="G1582" s="13"/>
      <c r="H1582" s="13"/>
      <c r="I1582" s="12"/>
      <c r="J1582" s="13"/>
      <c r="K1582" s="14" t="str">
        <f>IF(C1582="","",IFERROR(N('Fee Settings'!$C$5)*(E1582+N(F1582)-N(J1582))+N('Fee Settings'!$C$6)*(E1582+N(F1582)+N(G1582))+N('Fee Settings'!$C$7)+N('Fee Settings'!$C$10)*D1582+IF(I1582="Yes",MIN(N('Fee Settings'!$C$8)*(E1582+N(F1582)),N('Fee Settings'!$C$9)),0),""))</f>
        <v/>
      </c>
      <c r="L1582" s="14" t="str">
        <f>IF(C1582="","",IFERROR(D1582*N(INDEX(Products!$C$5:$C$29,MATCH(C1582,Lists!$A$2:$A$26,0))),""))</f>
        <v/>
      </c>
      <c r="M1582" s="15" t="str">
        <f t="shared" si="24"/>
        <v/>
      </c>
    </row>
    <row r="1583" spans="1:13" x14ac:dyDescent="0.35">
      <c r="A1583" s="11"/>
      <c r="B1583" s="12"/>
      <c r="C1583" s="12"/>
      <c r="D1583" s="12"/>
      <c r="E1583" s="13"/>
      <c r="F1583" s="13"/>
      <c r="G1583" s="13"/>
      <c r="H1583" s="13"/>
      <c r="I1583" s="12"/>
      <c r="J1583" s="13"/>
      <c r="K1583" s="14" t="str">
        <f>IF(C1583="","",IFERROR(N('Fee Settings'!$C$5)*(E1583+N(F1583)-N(J1583))+N('Fee Settings'!$C$6)*(E1583+N(F1583)+N(G1583))+N('Fee Settings'!$C$7)+N('Fee Settings'!$C$10)*D1583+IF(I1583="Yes",MIN(N('Fee Settings'!$C$8)*(E1583+N(F1583)),N('Fee Settings'!$C$9)),0),""))</f>
        <v/>
      </c>
      <c r="L1583" s="14" t="str">
        <f>IF(C1583="","",IFERROR(D1583*N(INDEX(Products!$C$5:$C$29,MATCH(C1583,Lists!$A$2:$A$26,0))),""))</f>
        <v/>
      </c>
      <c r="M1583" s="15" t="str">
        <f t="shared" si="24"/>
        <v/>
      </c>
    </row>
    <row r="1584" spans="1:13" x14ac:dyDescent="0.35">
      <c r="A1584" s="11"/>
      <c r="B1584" s="12"/>
      <c r="C1584" s="12"/>
      <c r="D1584" s="12"/>
      <c r="E1584" s="13"/>
      <c r="F1584" s="13"/>
      <c r="G1584" s="13"/>
      <c r="H1584" s="13"/>
      <c r="I1584" s="12"/>
      <c r="J1584" s="13"/>
      <c r="K1584" s="14" t="str">
        <f>IF(C1584="","",IFERROR(N('Fee Settings'!$C$5)*(E1584+N(F1584)-N(J1584))+N('Fee Settings'!$C$6)*(E1584+N(F1584)+N(G1584))+N('Fee Settings'!$C$7)+N('Fee Settings'!$C$10)*D1584+IF(I1584="Yes",MIN(N('Fee Settings'!$C$8)*(E1584+N(F1584)),N('Fee Settings'!$C$9)),0),""))</f>
        <v/>
      </c>
      <c r="L1584" s="14" t="str">
        <f>IF(C1584="","",IFERROR(D1584*N(INDEX(Products!$C$5:$C$29,MATCH(C1584,Lists!$A$2:$A$26,0))),""))</f>
        <v/>
      </c>
      <c r="M1584" s="15" t="str">
        <f t="shared" si="24"/>
        <v/>
      </c>
    </row>
    <row r="1585" spans="1:13" x14ac:dyDescent="0.35">
      <c r="A1585" s="11"/>
      <c r="B1585" s="12"/>
      <c r="C1585" s="12"/>
      <c r="D1585" s="12"/>
      <c r="E1585" s="13"/>
      <c r="F1585" s="13"/>
      <c r="G1585" s="13"/>
      <c r="H1585" s="13"/>
      <c r="I1585" s="12"/>
      <c r="J1585" s="13"/>
      <c r="K1585" s="14" t="str">
        <f>IF(C1585="","",IFERROR(N('Fee Settings'!$C$5)*(E1585+N(F1585)-N(J1585))+N('Fee Settings'!$C$6)*(E1585+N(F1585)+N(G1585))+N('Fee Settings'!$C$7)+N('Fee Settings'!$C$10)*D1585+IF(I1585="Yes",MIN(N('Fee Settings'!$C$8)*(E1585+N(F1585)),N('Fee Settings'!$C$9)),0),""))</f>
        <v/>
      </c>
      <c r="L1585" s="14" t="str">
        <f>IF(C1585="","",IFERROR(D1585*N(INDEX(Products!$C$5:$C$29,MATCH(C1585,Lists!$A$2:$A$26,0))),""))</f>
        <v/>
      </c>
      <c r="M1585" s="15" t="str">
        <f t="shared" si="24"/>
        <v/>
      </c>
    </row>
    <row r="1586" spans="1:13" x14ac:dyDescent="0.35">
      <c r="A1586" s="11"/>
      <c r="B1586" s="12"/>
      <c r="C1586" s="12"/>
      <c r="D1586" s="12"/>
      <c r="E1586" s="13"/>
      <c r="F1586" s="13"/>
      <c r="G1586" s="13"/>
      <c r="H1586" s="13"/>
      <c r="I1586" s="12"/>
      <c r="J1586" s="13"/>
      <c r="K1586" s="14" t="str">
        <f>IF(C1586="","",IFERROR(N('Fee Settings'!$C$5)*(E1586+N(F1586)-N(J1586))+N('Fee Settings'!$C$6)*(E1586+N(F1586)+N(G1586))+N('Fee Settings'!$C$7)+N('Fee Settings'!$C$10)*D1586+IF(I1586="Yes",MIN(N('Fee Settings'!$C$8)*(E1586+N(F1586)),N('Fee Settings'!$C$9)),0),""))</f>
        <v/>
      </c>
      <c r="L1586" s="14" t="str">
        <f>IF(C1586="","",IFERROR(D1586*N(INDEX(Products!$C$5:$C$29,MATCH(C1586,Lists!$A$2:$A$26,0))),""))</f>
        <v/>
      </c>
      <c r="M1586" s="15" t="str">
        <f t="shared" si="24"/>
        <v/>
      </c>
    </row>
    <row r="1587" spans="1:13" x14ac:dyDescent="0.35">
      <c r="A1587" s="11"/>
      <c r="B1587" s="12"/>
      <c r="C1587" s="12"/>
      <c r="D1587" s="12"/>
      <c r="E1587" s="13"/>
      <c r="F1587" s="13"/>
      <c r="G1587" s="13"/>
      <c r="H1587" s="13"/>
      <c r="I1587" s="12"/>
      <c r="J1587" s="13"/>
      <c r="K1587" s="14" t="str">
        <f>IF(C1587="","",IFERROR(N('Fee Settings'!$C$5)*(E1587+N(F1587)-N(J1587))+N('Fee Settings'!$C$6)*(E1587+N(F1587)+N(G1587))+N('Fee Settings'!$C$7)+N('Fee Settings'!$C$10)*D1587+IF(I1587="Yes",MIN(N('Fee Settings'!$C$8)*(E1587+N(F1587)),N('Fee Settings'!$C$9)),0),""))</f>
        <v/>
      </c>
      <c r="L1587" s="14" t="str">
        <f>IF(C1587="","",IFERROR(D1587*N(INDEX(Products!$C$5:$C$29,MATCH(C1587,Lists!$A$2:$A$26,0))),""))</f>
        <v/>
      </c>
      <c r="M1587" s="15" t="str">
        <f t="shared" si="24"/>
        <v/>
      </c>
    </row>
    <row r="1588" spans="1:13" x14ac:dyDescent="0.35">
      <c r="A1588" s="11"/>
      <c r="B1588" s="12"/>
      <c r="C1588" s="12"/>
      <c r="D1588" s="12"/>
      <c r="E1588" s="13"/>
      <c r="F1588" s="13"/>
      <c r="G1588" s="13"/>
      <c r="H1588" s="13"/>
      <c r="I1588" s="12"/>
      <c r="J1588" s="13"/>
      <c r="K1588" s="14" t="str">
        <f>IF(C1588="","",IFERROR(N('Fee Settings'!$C$5)*(E1588+N(F1588)-N(J1588))+N('Fee Settings'!$C$6)*(E1588+N(F1588)+N(G1588))+N('Fee Settings'!$C$7)+N('Fee Settings'!$C$10)*D1588+IF(I1588="Yes",MIN(N('Fee Settings'!$C$8)*(E1588+N(F1588)),N('Fee Settings'!$C$9)),0),""))</f>
        <v/>
      </c>
      <c r="L1588" s="14" t="str">
        <f>IF(C1588="","",IFERROR(D1588*N(INDEX(Products!$C$5:$C$29,MATCH(C1588,Lists!$A$2:$A$26,0))),""))</f>
        <v/>
      </c>
      <c r="M1588" s="15" t="str">
        <f t="shared" si="24"/>
        <v/>
      </c>
    </row>
    <row r="1589" spans="1:13" x14ac:dyDescent="0.35">
      <c r="A1589" s="11"/>
      <c r="B1589" s="12"/>
      <c r="C1589" s="12"/>
      <c r="D1589" s="12"/>
      <c r="E1589" s="13"/>
      <c r="F1589" s="13"/>
      <c r="G1589" s="13"/>
      <c r="H1589" s="13"/>
      <c r="I1589" s="12"/>
      <c r="J1589" s="13"/>
      <c r="K1589" s="14" t="str">
        <f>IF(C1589="","",IFERROR(N('Fee Settings'!$C$5)*(E1589+N(F1589)-N(J1589))+N('Fee Settings'!$C$6)*(E1589+N(F1589)+N(G1589))+N('Fee Settings'!$C$7)+N('Fee Settings'!$C$10)*D1589+IF(I1589="Yes",MIN(N('Fee Settings'!$C$8)*(E1589+N(F1589)),N('Fee Settings'!$C$9)),0),""))</f>
        <v/>
      </c>
      <c r="L1589" s="14" t="str">
        <f>IF(C1589="","",IFERROR(D1589*N(INDEX(Products!$C$5:$C$29,MATCH(C1589,Lists!$A$2:$A$26,0))),""))</f>
        <v/>
      </c>
      <c r="M1589" s="15" t="str">
        <f t="shared" si="24"/>
        <v/>
      </c>
    </row>
    <row r="1590" spans="1:13" x14ac:dyDescent="0.35">
      <c r="A1590" s="11"/>
      <c r="B1590" s="12"/>
      <c r="C1590" s="12"/>
      <c r="D1590" s="12"/>
      <c r="E1590" s="13"/>
      <c r="F1590" s="13"/>
      <c r="G1590" s="13"/>
      <c r="H1590" s="13"/>
      <c r="I1590" s="12"/>
      <c r="J1590" s="13"/>
      <c r="K1590" s="14" t="str">
        <f>IF(C1590="","",IFERROR(N('Fee Settings'!$C$5)*(E1590+N(F1590)-N(J1590))+N('Fee Settings'!$C$6)*(E1590+N(F1590)+N(G1590))+N('Fee Settings'!$C$7)+N('Fee Settings'!$C$10)*D1590+IF(I1590="Yes",MIN(N('Fee Settings'!$C$8)*(E1590+N(F1590)),N('Fee Settings'!$C$9)),0),""))</f>
        <v/>
      </c>
      <c r="L1590" s="14" t="str">
        <f>IF(C1590="","",IFERROR(D1590*N(INDEX(Products!$C$5:$C$29,MATCH(C1590,Lists!$A$2:$A$26,0))),""))</f>
        <v/>
      </c>
      <c r="M1590" s="15" t="str">
        <f t="shared" si="24"/>
        <v/>
      </c>
    </row>
    <row r="1591" spans="1:13" x14ac:dyDescent="0.35">
      <c r="A1591" s="11"/>
      <c r="B1591" s="12"/>
      <c r="C1591" s="12"/>
      <c r="D1591" s="12"/>
      <c r="E1591" s="13"/>
      <c r="F1591" s="13"/>
      <c r="G1591" s="13"/>
      <c r="H1591" s="13"/>
      <c r="I1591" s="12"/>
      <c r="J1591" s="13"/>
      <c r="K1591" s="14" t="str">
        <f>IF(C1591="","",IFERROR(N('Fee Settings'!$C$5)*(E1591+N(F1591)-N(J1591))+N('Fee Settings'!$C$6)*(E1591+N(F1591)+N(G1591))+N('Fee Settings'!$C$7)+N('Fee Settings'!$C$10)*D1591+IF(I1591="Yes",MIN(N('Fee Settings'!$C$8)*(E1591+N(F1591)),N('Fee Settings'!$C$9)),0),""))</f>
        <v/>
      </c>
      <c r="L1591" s="14" t="str">
        <f>IF(C1591="","",IFERROR(D1591*N(INDEX(Products!$C$5:$C$29,MATCH(C1591,Lists!$A$2:$A$26,0))),""))</f>
        <v/>
      </c>
      <c r="M1591" s="15" t="str">
        <f t="shared" si="24"/>
        <v/>
      </c>
    </row>
    <row r="1592" spans="1:13" x14ac:dyDescent="0.35">
      <c r="A1592" s="11"/>
      <c r="B1592" s="12"/>
      <c r="C1592" s="12"/>
      <c r="D1592" s="12"/>
      <c r="E1592" s="13"/>
      <c r="F1592" s="13"/>
      <c r="G1592" s="13"/>
      <c r="H1592" s="13"/>
      <c r="I1592" s="12"/>
      <c r="J1592" s="13"/>
      <c r="K1592" s="14" t="str">
        <f>IF(C1592="","",IFERROR(N('Fee Settings'!$C$5)*(E1592+N(F1592)-N(J1592))+N('Fee Settings'!$C$6)*(E1592+N(F1592)+N(G1592))+N('Fee Settings'!$C$7)+N('Fee Settings'!$C$10)*D1592+IF(I1592="Yes",MIN(N('Fee Settings'!$C$8)*(E1592+N(F1592)),N('Fee Settings'!$C$9)),0),""))</f>
        <v/>
      </c>
      <c r="L1592" s="14" t="str">
        <f>IF(C1592="","",IFERROR(D1592*N(INDEX(Products!$C$5:$C$29,MATCH(C1592,Lists!$A$2:$A$26,0))),""))</f>
        <v/>
      </c>
      <c r="M1592" s="15" t="str">
        <f t="shared" si="24"/>
        <v/>
      </c>
    </row>
    <row r="1593" spans="1:13" x14ac:dyDescent="0.35">
      <c r="A1593" s="11"/>
      <c r="B1593" s="12"/>
      <c r="C1593" s="12"/>
      <c r="D1593" s="12"/>
      <c r="E1593" s="13"/>
      <c r="F1593" s="13"/>
      <c r="G1593" s="13"/>
      <c r="H1593" s="13"/>
      <c r="I1593" s="12"/>
      <c r="J1593" s="13"/>
      <c r="K1593" s="14" t="str">
        <f>IF(C1593="","",IFERROR(N('Fee Settings'!$C$5)*(E1593+N(F1593)-N(J1593))+N('Fee Settings'!$C$6)*(E1593+N(F1593)+N(G1593))+N('Fee Settings'!$C$7)+N('Fee Settings'!$C$10)*D1593+IF(I1593="Yes",MIN(N('Fee Settings'!$C$8)*(E1593+N(F1593)),N('Fee Settings'!$C$9)),0),""))</f>
        <v/>
      </c>
      <c r="L1593" s="14" t="str">
        <f>IF(C1593="","",IFERROR(D1593*N(INDEX(Products!$C$5:$C$29,MATCH(C1593,Lists!$A$2:$A$26,0))),""))</f>
        <v/>
      </c>
      <c r="M1593" s="15" t="str">
        <f t="shared" si="24"/>
        <v/>
      </c>
    </row>
    <row r="1594" spans="1:13" x14ac:dyDescent="0.35">
      <c r="A1594" s="11"/>
      <c r="B1594" s="12"/>
      <c r="C1594" s="12"/>
      <c r="D1594" s="12"/>
      <c r="E1594" s="13"/>
      <c r="F1594" s="13"/>
      <c r="G1594" s="13"/>
      <c r="H1594" s="13"/>
      <c r="I1594" s="12"/>
      <c r="J1594" s="13"/>
      <c r="K1594" s="14" t="str">
        <f>IF(C1594="","",IFERROR(N('Fee Settings'!$C$5)*(E1594+N(F1594)-N(J1594))+N('Fee Settings'!$C$6)*(E1594+N(F1594)+N(G1594))+N('Fee Settings'!$C$7)+N('Fee Settings'!$C$10)*D1594+IF(I1594="Yes",MIN(N('Fee Settings'!$C$8)*(E1594+N(F1594)),N('Fee Settings'!$C$9)),0),""))</f>
        <v/>
      </c>
      <c r="L1594" s="14" t="str">
        <f>IF(C1594="","",IFERROR(D1594*N(INDEX(Products!$C$5:$C$29,MATCH(C1594,Lists!$A$2:$A$26,0))),""))</f>
        <v/>
      </c>
      <c r="M1594" s="15" t="str">
        <f t="shared" si="24"/>
        <v/>
      </c>
    </row>
    <row r="1595" spans="1:13" x14ac:dyDescent="0.35">
      <c r="A1595" s="11"/>
      <c r="B1595" s="12"/>
      <c r="C1595" s="12"/>
      <c r="D1595" s="12"/>
      <c r="E1595" s="13"/>
      <c r="F1595" s="13"/>
      <c r="G1595" s="13"/>
      <c r="H1595" s="13"/>
      <c r="I1595" s="12"/>
      <c r="J1595" s="13"/>
      <c r="K1595" s="14" t="str">
        <f>IF(C1595="","",IFERROR(N('Fee Settings'!$C$5)*(E1595+N(F1595)-N(J1595))+N('Fee Settings'!$C$6)*(E1595+N(F1595)+N(G1595))+N('Fee Settings'!$C$7)+N('Fee Settings'!$C$10)*D1595+IF(I1595="Yes",MIN(N('Fee Settings'!$C$8)*(E1595+N(F1595)),N('Fee Settings'!$C$9)),0),""))</f>
        <v/>
      </c>
      <c r="L1595" s="14" t="str">
        <f>IF(C1595="","",IFERROR(D1595*N(INDEX(Products!$C$5:$C$29,MATCH(C1595,Lists!$A$2:$A$26,0))),""))</f>
        <v/>
      </c>
      <c r="M1595" s="15" t="str">
        <f t="shared" si="24"/>
        <v/>
      </c>
    </row>
    <row r="1596" spans="1:13" x14ac:dyDescent="0.35">
      <c r="A1596" s="11"/>
      <c r="B1596" s="12"/>
      <c r="C1596" s="12"/>
      <c r="D1596" s="12"/>
      <c r="E1596" s="13"/>
      <c r="F1596" s="13"/>
      <c r="G1596" s="13"/>
      <c r="H1596" s="13"/>
      <c r="I1596" s="12"/>
      <c r="J1596" s="13"/>
      <c r="K1596" s="14" t="str">
        <f>IF(C1596="","",IFERROR(N('Fee Settings'!$C$5)*(E1596+N(F1596)-N(J1596))+N('Fee Settings'!$C$6)*(E1596+N(F1596)+N(G1596))+N('Fee Settings'!$C$7)+N('Fee Settings'!$C$10)*D1596+IF(I1596="Yes",MIN(N('Fee Settings'!$C$8)*(E1596+N(F1596)),N('Fee Settings'!$C$9)),0),""))</f>
        <v/>
      </c>
      <c r="L1596" s="14" t="str">
        <f>IF(C1596="","",IFERROR(D1596*N(INDEX(Products!$C$5:$C$29,MATCH(C1596,Lists!$A$2:$A$26,0))),""))</f>
        <v/>
      </c>
      <c r="M1596" s="15" t="str">
        <f t="shared" si="24"/>
        <v/>
      </c>
    </row>
    <row r="1597" spans="1:13" x14ac:dyDescent="0.35">
      <c r="A1597" s="11"/>
      <c r="B1597" s="12"/>
      <c r="C1597" s="12"/>
      <c r="D1597" s="12"/>
      <c r="E1597" s="13"/>
      <c r="F1597" s="13"/>
      <c r="G1597" s="13"/>
      <c r="H1597" s="13"/>
      <c r="I1597" s="12"/>
      <c r="J1597" s="13"/>
      <c r="K1597" s="14" t="str">
        <f>IF(C1597="","",IFERROR(N('Fee Settings'!$C$5)*(E1597+N(F1597)-N(J1597))+N('Fee Settings'!$C$6)*(E1597+N(F1597)+N(G1597))+N('Fee Settings'!$C$7)+N('Fee Settings'!$C$10)*D1597+IF(I1597="Yes",MIN(N('Fee Settings'!$C$8)*(E1597+N(F1597)),N('Fee Settings'!$C$9)),0),""))</f>
        <v/>
      </c>
      <c r="L1597" s="14" t="str">
        <f>IF(C1597="","",IFERROR(D1597*N(INDEX(Products!$C$5:$C$29,MATCH(C1597,Lists!$A$2:$A$26,0))),""))</f>
        <v/>
      </c>
      <c r="M1597" s="15" t="str">
        <f t="shared" si="24"/>
        <v/>
      </c>
    </row>
    <row r="1598" spans="1:13" x14ac:dyDescent="0.35">
      <c r="A1598" s="11"/>
      <c r="B1598" s="12"/>
      <c r="C1598" s="12"/>
      <c r="D1598" s="12"/>
      <c r="E1598" s="13"/>
      <c r="F1598" s="13"/>
      <c r="G1598" s="13"/>
      <c r="H1598" s="13"/>
      <c r="I1598" s="12"/>
      <c r="J1598" s="13"/>
      <c r="K1598" s="14" t="str">
        <f>IF(C1598="","",IFERROR(N('Fee Settings'!$C$5)*(E1598+N(F1598)-N(J1598))+N('Fee Settings'!$C$6)*(E1598+N(F1598)+N(G1598))+N('Fee Settings'!$C$7)+N('Fee Settings'!$C$10)*D1598+IF(I1598="Yes",MIN(N('Fee Settings'!$C$8)*(E1598+N(F1598)),N('Fee Settings'!$C$9)),0),""))</f>
        <v/>
      </c>
      <c r="L1598" s="14" t="str">
        <f>IF(C1598="","",IFERROR(D1598*N(INDEX(Products!$C$5:$C$29,MATCH(C1598,Lists!$A$2:$A$26,0))),""))</f>
        <v/>
      </c>
      <c r="M1598" s="15" t="str">
        <f t="shared" si="24"/>
        <v/>
      </c>
    </row>
    <row r="1599" spans="1:13" x14ac:dyDescent="0.35">
      <c r="A1599" s="11"/>
      <c r="B1599" s="12"/>
      <c r="C1599" s="12"/>
      <c r="D1599" s="12"/>
      <c r="E1599" s="13"/>
      <c r="F1599" s="13"/>
      <c r="G1599" s="13"/>
      <c r="H1599" s="13"/>
      <c r="I1599" s="12"/>
      <c r="J1599" s="13"/>
      <c r="K1599" s="14" t="str">
        <f>IF(C1599="","",IFERROR(N('Fee Settings'!$C$5)*(E1599+N(F1599)-N(J1599))+N('Fee Settings'!$C$6)*(E1599+N(F1599)+N(G1599))+N('Fee Settings'!$C$7)+N('Fee Settings'!$C$10)*D1599+IF(I1599="Yes",MIN(N('Fee Settings'!$C$8)*(E1599+N(F1599)),N('Fee Settings'!$C$9)),0),""))</f>
        <v/>
      </c>
      <c r="L1599" s="14" t="str">
        <f>IF(C1599="","",IFERROR(D1599*N(INDEX(Products!$C$5:$C$29,MATCH(C1599,Lists!$A$2:$A$26,0))),""))</f>
        <v/>
      </c>
      <c r="M1599" s="15" t="str">
        <f t="shared" si="24"/>
        <v/>
      </c>
    </row>
    <row r="1600" spans="1:13" x14ac:dyDescent="0.35">
      <c r="A1600" s="11"/>
      <c r="B1600" s="12"/>
      <c r="C1600" s="12"/>
      <c r="D1600" s="12"/>
      <c r="E1600" s="13"/>
      <c r="F1600" s="13"/>
      <c r="G1600" s="13"/>
      <c r="H1600" s="13"/>
      <c r="I1600" s="12"/>
      <c r="J1600" s="13"/>
      <c r="K1600" s="14" t="str">
        <f>IF(C1600="","",IFERROR(N('Fee Settings'!$C$5)*(E1600+N(F1600)-N(J1600))+N('Fee Settings'!$C$6)*(E1600+N(F1600)+N(G1600))+N('Fee Settings'!$C$7)+N('Fee Settings'!$C$10)*D1600+IF(I1600="Yes",MIN(N('Fee Settings'!$C$8)*(E1600+N(F1600)),N('Fee Settings'!$C$9)),0),""))</f>
        <v/>
      </c>
      <c r="L1600" s="14" t="str">
        <f>IF(C1600="","",IFERROR(D1600*N(INDEX(Products!$C$5:$C$29,MATCH(C1600,Lists!$A$2:$A$26,0))),""))</f>
        <v/>
      </c>
      <c r="M1600" s="15" t="str">
        <f t="shared" si="24"/>
        <v/>
      </c>
    </row>
    <row r="1601" spans="1:13" x14ac:dyDescent="0.35">
      <c r="A1601" s="11"/>
      <c r="B1601" s="12"/>
      <c r="C1601" s="12"/>
      <c r="D1601" s="12"/>
      <c r="E1601" s="13"/>
      <c r="F1601" s="13"/>
      <c r="G1601" s="13"/>
      <c r="H1601" s="13"/>
      <c r="I1601" s="12"/>
      <c r="J1601" s="13"/>
      <c r="K1601" s="14" t="str">
        <f>IF(C1601="","",IFERROR(N('Fee Settings'!$C$5)*(E1601+N(F1601)-N(J1601))+N('Fee Settings'!$C$6)*(E1601+N(F1601)+N(G1601))+N('Fee Settings'!$C$7)+N('Fee Settings'!$C$10)*D1601+IF(I1601="Yes",MIN(N('Fee Settings'!$C$8)*(E1601+N(F1601)),N('Fee Settings'!$C$9)),0),""))</f>
        <v/>
      </c>
      <c r="L1601" s="14" t="str">
        <f>IF(C1601="","",IFERROR(D1601*N(INDEX(Products!$C$5:$C$29,MATCH(C1601,Lists!$A$2:$A$26,0))),""))</f>
        <v/>
      </c>
      <c r="M1601" s="15" t="str">
        <f t="shared" si="24"/>
        <v/>
      </c>
    </row>
    <row r="1602" spans="1:13" x14ac:dyDescent="0.35">
      <c r="A1602" s="11"/>
      <c r="B1602" s="12"/>
      <c r="C1602" s="12"/>
      <c r="D1602" s="12"/>
      <c r="E1602" s="13"/>
      <c r="F1602" s="13"/>
      <c r="G1602" s="13"/>
      <c r="H1602" s="13"/>
      <c r="I1602" s="12"/>
      <c r="J1602" s="13"/>
      <c r="K1602" s="14" t="str">
        <f>IF(C1602="","",IFERROR(N('Fee Settings'!$C$5)*(E1602+N(F1602)-N(J1602))+N('Fee Settings'!$C$6)*(E1602+N(F1602)+N(G1602))+N('Fee Settings'!$C$7)+N('Fee Settings'!$C$10)*D1602+IF(I1602="Yes",MIN(N('Fee Settings'!$C$8)*(E1602+N(F1602)),N('Fee Settings'!$C$9)),0),""))</f>
        <v/>
      </c>
      <c r="L1602" s="14" t="str">
        <f>IF(C1602="","",IFERROR(D1602*N(INDEX(Products!$C$5:$C$29,MATCH(C1602,Lists!$A$2:$A$26,0))),""))</f>
        <v/>
      </c>
      <c r="M1602" s="15" t="str">
        <f t="shared" si="24"/>
        <v/>
      </c>
    </row>
    <row r="1603" spans="1:13" x14ac:dyDescent="0.35">
      <c r="A1603" s="11"/>
      <c r="B1603" s="12"/>
      <c r="C1603" s="12"/>
      <c r="D1603" s="12"/>
      <c r="E1603" s="13"/>
      <c r="F1603" s="13"/>
      <c r="G1603" s="13"/>
      <c r="H1603" s="13"/>
      <c r="I1603" s="12"/>
      <c r="J1603" s="13"/>
      <c r="K1603" s="14" t="str">
        <f>IF(C1603="","",IFERROR(N('Fee Settings'!$C$5)*(E1603+N(F1603)-N(J1603))+N('Fee Settings'!$C$6)*(E1603+N(F1603)+N(G1603))+N('Fee Settings'!$C$7)+N('Fee Settings'!$C$10)*D1603+IF(I1603="Yes",MIN(N('Fee Settings'!$C$8)*(E1603+N(F1603)),N('Fee Settings'!$C$9)),0),""))</f>
        <v/>
      </c>
      <c r="L1603" s="14" t="str">
        <f>IF(C1603="","",IFERROR(D1603*N(INDEX(Products!$C$5:$C$29,MATCH(C1603,Lists!$A$2:$A$26,0))),""))</f>
        <v/>
      </c>
      <c r="M1603" s="15" t="str">
        <f t="shared" si="24"/>
        <v/>
      </c>
    </row>
    <row r="1604" spans="1:13" x14ac:dyDescent="0.35">
      <c r="A1604" s="11"/>
      <c r="B1604" s="12"/>
      <c r="C1604" s="12"/>
      <c r="D1604" s="12"/>
      <c r="E1604" s="13"/>
      <c r="F1604" s="13"/>
      <c r="G1604" s="13"/>
      <c r="H1604" s="13"/>
      <c r="I1604" s="12"/>
      <c r="J1604" s="13"/>
      <c r="K1604" s="14" t="str">
        <f>IF(C1604="","",IFERROR(N('Fee Settings'!$C$5)*(E1604+N(F1604)-N(J1604))+N('Fee Settings'!$C$6)*(E1604+N(F1604)+N(G1604))+N('Fee Settings'!$C$7)+N('Fee Settings'!$C$10)*D1604+IF(I1604="Yes",MIN(N('Fee Settings'!$C$8)*(E1604+N(F1604)),N('Fee Settings'!$C$9)),0),""))</f>
        <v/>
      </c>
      <c r="L1604" s="14" t="str">
        <f>IF(C1604="","",IFERROR(D1604*N(INDEX(Products!$C$5:$C$29,MATCH(C1604,Lists!$A$2:$A$26,0))),""))</f>
        <v/>
      </c>
      <c r="M1604" s="15" t="str">
        <f t="shared" si="24"/>
        <v/>
      </c>
    </row>
    <row r="1605" spans="1:13" x14ac:dyDescent="0.35">
      <c r="A1605" s="11"/>
      <c r="B1605" s="12"/>
      <c r="C1605" s="12"/>
      <c r="D1605" s="12"/>
      <c r="E1605" s="13"/>
      <c r="F1605" s="13"/>
      <c r="G1605" s="13"/>
      <c r="H1605" s="13"/>
      <c r="I1605" s="12"/>
      <c r="J1605" s="13"/>
      <c r="K1605" s="14" t="str">
        <f>IF(C1605="","",IFERROR(N('Fee Settings'!$C$5)*(E1605+N(F1605)-N(J1605))+N('Fee Settings'!$C$6)*(E1605+N(F1605)+N(G1605))+N('Fee Settings'!$C$7)+N('Fee Settings'!$C$10)*D1605+IF(I1605="Yes",MIN(N('Fee Settings'!$C$8)*(E1605+N(F1605)),N('Fee Settings'!$C$9)),0),""))</f>
        <v/>
      </c>
      <c r="L1605" s="14" t="str">
        <f>IF(C1605="","",IFERROR(D1605*N(INDEX(Products!$C$5:$C$29,MATCH(C1605,Lists!$A$2:$A$26,0))),""))</f>
        <v/>
      </c>
      <c r="M1605" s="15" t="str">
        <f t="shared" ref="M1605:M1668" si="25">IF(C1605="","",IFERROR(E1605+N(F1605)-N(J1605)-K1605-L1605-N(H1605),""))</f>
        <v/>
      </c>
    </row>
    <row r="1606" spans="1:13" x14ac:dyDescent="0.35">
      <c r="A1606" s="11"/>
      <c r="B1606" s="12"/>
      <c r="C1606" s="12"/>
      <c r="D1606" s="12"/>
      <c r="E1606" s="13"/>
      <c r="F1606" s="13"/>
      <c r="G1606" s="13"/>
      <c r="H1606" s="13"/>
      <c r="I1606" s="12"/>
      <c r="J1606" s="13"/>
      <c r="K1606" s="14" t="str">
        <f>IF(C1606="","",IFERROR(N('Fee Settings'!$C$5)*(E1606+N(F1606)-N(J1606))+N('Fee Settings'!$C$6)*(E1606+N(F1606)+N(G1606))+N('Fee Settings'!$C$7)+N('Fee Settings'!$C$10)*D1606+IF(I1606="Yes",MIN(N('Fee Settings'!$C$8)*(E1606+N(F1606)),N('Fee Settings'!$C$9)),0),""))</f>
        <v/>
      </c>
      <c r="L1606" s="14" t="str">
        <f>IF(C1606="","",IFERROR(D1606*N(INDEX(Products!$C$5:$C$29,MATCH(C1606,Lists!$A$2:$A$26,0))),""))</f>
        <v/>
      </c>
      <c r="M1606" s="15" t="str">
        <f t="shared" si="25"/>
        <v/>
      </c>
    </row>
    <row r="1607" spans="1:13" x14ac:dyDescent="0.35">
      <c r="A1607" s="11"/>
      <c r="B1607" s="12"/>
      <c r="C1607" s="12"/>
      <c r="D1607" s="12"/>
      <c r="E1607" s="13"/>
      <c r="F1607" s="13"/>
      <c r="G1607" s="13"/>
      <c r="H1607" s="13"/>
      <c r="I1607" s="12"/>
      <c r="J1607" s="13"/>
      <c r="K1607" s="14" t="str">
        <f>IF(C1607="","",IFERROR(N('Fee Settings'!$C$5)*(E1607+N(F1607)-N(J1607))+N('Fee Settings'!$C$6)*(E1607+N(F1607)+N(G1607))+N('Fee Settings'!$C$7)+N('Fee Settings'!$C$10)*D1607+IF(I1607="Yes",MIN(N('Fee Settings'!$C$8)*(E1607+N(F1607)),N('Fee Settings'!$C$9)),0),""))</f>
        <v/>
      </c>
      <c r="L1607" s="14" t="str">
        <f>IF(C1607="","",IFERROR(D1607*N(INDEX(Products!$C$5:$C$29,MATCH(C1607,Lists!$A$2:$A$26,0))),""))</f>
        <v/>
      </c>
      <c r="M1607" s="15" t="str">
        <f t="shared" si="25"/>
        <v/>
      </c>
    </row>
    <row r="1608" spans="1:13" x14ac:dyDescent="0.35">
      <c r="A1608" s="11"/>
      <c r="B1608" s="12"/>
      <c r="C1608" s="12"/>
      <c r="D1608" s="12"/>
      <c r="E1608" s="13"/>
      <c r="F1608" s="13"/>
      <c r="G1608" s="13"/>
      <c r="H1608" s="13"/>
      <c r="I1608" s="12"/>
      <c r="J1608" s="13"/>
      <c r="K1608" s="14" t="str">
        <f>IF(C1608="","",IFERROR(N('Fee Settings'!$C$5)*(E1608+N(F1608)-N(J1608))+N('Fee Settings'!$C$6)*(E1608+N(F1608)+N(G1608))+N('Fee Settings'!$C$7)+N('Fee Settings'!$C$10)*D1608+IF(I1608="Yes",MIN(N('Fee Settings'!$C$8)*(E1608+N(F1608)),N('Fee Settings'!$C$9)),0),""))</f>
        <v/>
      </c>
      <c r="L1608" s="14" t="str">
        <f>IF(C1608="","",IFERROR(D1608*N(INDEX(Products!$C$5:$C$29,MATCH(C1608,Lists!$A$2:$A$26,0))),""))</f>
        <v/>
      </c>
      <c r="M1608" s="15" t="str">
        <f t="shared" si="25"/>
        <v/>
      </c>
    </row>
    <row r="1609" spans="1:13" x14ac:dyDescent="0.35">
      <c r="A1609" s="11"/>
      <c r="B1609" s="12"/>
      <c r="C1609" s="12"/>
      <c r="D1609" s="12"/>
      <c r="E1609" s="13"/>
      <c r="F1609" s="13"/>
      <c r="G1609" s="13"/>
      <c r="H1609" s="13"/>
      <c r="I1609" s="12"/>
      <c r="J1609" s="13"/>
      <c r="K1609" s="14" t="str">
        <f>IF(C1609="","",IFERROR(N('Fee Settings'!$C$5)*(E1609+N(F1609)-N(J1609))+N('Fee Settings'!$C$6)*(E1609+N(F1609)+N(G1609))+N('Fee Settings'!$C$7)+N('Fee Settings'!$C$10)*D1609+IF(I1609="Yes",MIN(N('Fee Settings'!$C$8)*(E1609+N(F1609)),N('Fee Settings'!$C$9)),0),""))</f>
        <v/>
      </c>
      <c r="L1609" s="14" t="str">
        <f>IF(C1609="","",IFERROR(D1609*N(INDEX(Products!$C$5:$C$29,MATCH(C1609,Lists!$A$2:$A$26,0))),""))</f>
        <v/>
      </c>
      <c r="M1609" s="15" t="str">
        <f t="shared" si="25"/>
        <v/>
      </c>
    </row>
    <row r="1610" spans="1:13" x14ac:dyDescent="0.35">
      <c r="A1610" s="11"/>
      <c r="B1610" s="12"/>
      <c r="C1610" s="12"/>
      <c r="D1610" s="12"/>
      <c r="E1610" s="13"/>
      <c r="F1610" s="13"/>
      <c r="G1610" s="13"/>
      <c r="H1610" s="13"/>
      <c r="I1610" s="12"/>
      <c r="J1610" s="13"/>
      <c r="K1610" s="14" t="str">
        <f>IF(C1610="","",IFERROR(N('Fee Settings'!$C$5)*(E1610+N(F1610)-N(J1610))+N('Fee Settings'!$C$6)*(E1610+N(F1610)+N(G1610))+N('Fee Settings'!$C$7)+N('Fee Settings'!$C$10)*D1610+IF(I1610="Yes",MIN(N('Fee Settings'!$C$8)*(E1610+N(F1610)),N('Fee Settings'!$C$9)),0),""))</f>
        <v/>
      </c>
      <c r="L1610" s="14" t="str">
        <f>IF(C1610="","",IFERROR(D1610*N(INDEX(Products!$C$5:$C$29,MATCH(C1610,Lists!$A$2:$A$26,0))),""))</f>
        <v/>
      </c>
      <c r="M1610" s="15" t="str">
        <f t="shared" si="25"/>
        <v/>
      </c>
    </row>
    <row r="1611" spans="1:13" x14ac:dyDescent="0.35">
      <c r="A1611" s="11"/>
      <c r="B1611" s="12"/>
      <c r="C1611" s="12"/>
      <c r="D1611" s="12"/>
      <c r="E1611" s="13"/>
      <c r="F1611" s="13"/>
      <c r="G1611" s="13"/>
      <c r="H1611" s="13"/>
      <c r="I1611" s="12"/>
      <c r="J1611" s="13"/>
      <c r="K1611" s="14" t="str">
        <f>IF(C1611="","",IFERROR(N('Fee Settings'!$C$5)*(E1611+N(F1611)-N(J1611))+N('Fee Settings'!$C$6)*(E1611+N(F1611)+N(G1611))+N('Fee Settings'!$C$7)+N('Fee Settings'!$C$10)*D1611+IF(I1611="Yes",MIN(N('Fee Settings'!$C$8)*(E1611+N(F1611)),N('Fee Settings'!$C$9)),0),""))</f>
        <v/>
      </c>
      <c r="L1611" s="14" t="str">
        <f>IF(C1611="","",IFERROR(D1611*N(INDEX(Products!$C$5:$C$29,MATCH(C1611,Lists!$A$2:$A$26,0))),""))</f>
        <v/>
      </c>
      <c r="M1611" s="15" t="str">
        <f t="shared" si="25"/>
        <v/>
      </c>
    </row>
    <row r="1612" spans="1:13" x14ac:dyDescent="0.35">
      <c r="A1612" s="11"/>
      <c r="B1612" s="12"/>
      <c r="C1612" s="12"/>
      <c r="D1612" s="12"/>
      <c r="E1612" s="13"/>
      <c r="F1612" s="13"/>
      <c r="G1612" s="13"/>
      <c r="H1612" s="13"/>
      <c r="I1612" s="12"/>
      <c r="J1612" s="13"/>
      <c r="K1612" s="14" t="str">
        <f>IF(C1612="","",IFERROR(N('Fee Settings'!$C$5)*(E1612+N(F1612)-N(J1612))+N('Fee Settings'!$C$6)*(E1612+N(F1612)+N(G1612))+N('Fee Settings'!$C$7)+N('Fee Settings'!$C$10)*D1612+IF(I1612="Yes",MIN(N('Fee Settings'!$C$8)*(E1612+N(F1612)),N('Fee Settings'!$C$9)),0),""))</f>
        <v/>
      </c>
      <c r="L1612" s="14" t="str">
        <f>IF(C1612="","",IFERROR(D1612*N(INDEX(Products!$C$5:$C$29,MATCH(C1612,Lists!$A$2:$A$26,0))),""))</f>
        <v/>
      </c>
      <c r="M1612" s="15" t="str">
        <f t="shared" si="25"/>
        <v/>
      </c>
    </row>
    <row r="1613" spans="1:13" x14ac:dyDescent="0.35">
      <c r="A1613" s="11"/>
      <c r="B1613" s="12"/>
      <c r="C1613" s="12"/>
      <c r="D1613" s="12"/>
      <c r="E1613" s="13"/>
      <c r="F1613" s="13"/>
      <c r="G1613" s="13"/>
      <c r="H1613" s="13"/>
      <c r="I1613" s="12"/>
      <c r="J1613" s="13"/>
      <c r="K1613" s="14" t="str">
        <f>IF(C1613="","",IFERROR(N('Fee Settings'!$C$5)*(E1613+N(F1613)-N(J1613))+N('Fee Settings'!$C$6)*(E1613+N(F1613)+N(G1613))+N('Fee Settings'!$C$7)+N('Fee Settings'!$C$10)*D1613+IF(I1613="Yes",MIN(N('Fee Settings'!$C$8)*(E1613+N(F1613)),N('Fee Settings'!$C$9)),0),""))</f>
        <v/>
      </c>
      <c r="L1613" s="14" t="str">
        <f>IF(C1613="","",IFERROR(D1613*N(INDEX(Products!$C$5:$C$29,MATCH(C1613,Lists!$A$2:$A$26,0))),""))</f>
        <v/>
      </c>
      <c r="M1613" s="15" t="str">
        <f t="shared" si="25"/>
        <v/>
      </c>
    </row>
    <row r="1614" spans="1:13" x14ac:dyDescent="0.35">
      <c r="A1614" s="11"/>
      <c r="B1614" s="12"/>
      <c r="C1614" s="12"/>
      <c r="D1614" s="12"/>
      <c r="E1614" s="13"/>
      <c r="F1614" s="13"/>
      <c r="G1614" s="13"/>
      <c r="H1614" s="13"/>
      <c r="I1614" s="12"/>
      <c r="J1614" s="13"/>
      <c r="K1614" s="14" t="str">
        <f>IF(C1614="","",IFERROR(N('Fee Settings'!$C$5)*(E1614+N(F1614)-N(J1614))+N('Fee Settings'!$C$6)*(E1614+N(F1614)+N(G1614))+N('Fee Settings'!$C$7)+N('Fee Settings'!$C$10)*D1614+IF(I1614="Yes",MIN(N('Fee Settings'!$C$8)*(E1614+N(F1614)),N('Fee Settings'!$C$9)),0),""))</f>
        <v/>
      </c>
      <c r="L1614" s="14" t="str">
        <f>IF(C1614="","",IFERROR(D1614*N(INDEX(Products!$C$5:$C$29,MATCH(C1614,Lists!$A$2:$A$26,0))),""))</f>
        <v/>
      </c>
      <c r="M1614" s="15" t="str">
        <f t="shared" si="25"/>
        <v/>
      </c>
    </row>
    <row r="1615" spans="1:13" x14ac:dyDescent="0.35">
      <c r="A1615" s="11"/>
      <c r="B1615" s="12"/>
      <c r="C1615" s="12"/>
      <c r="D1615" s="12"/>
      <c r="E1615" s="13"/>
      <c r="F1615" s="13"/>
      <c r="G1615" s="13"/>
      <c r="H1615" s="13"/>
      <c r="I1615" s="12"/>
      <c r="J1615" s="13"/>
      <c r="K1615" s="14" t="str">
        <f>IF(C1615="","",IFERROR(N('Fee Settings'!$C$5)*(E1615+N(F1615)-N(J1615))+N('Fee Settings'!$C$6)*(E1615+N(F1615)+N(G1615))+N('Fee Settings'!$C$7)+N('Fee Settings'!$C$10)*D1615+IF(I1615="Yes",MIN(N('Fee Settings'!$C$8)*(E1615+N(F1615)),N('Fee Settings'!$C$9)),0),""))</f>
        <v/>
      </c>
      <c r="L1615" s="14" t="str">
        <f>IF(C1615="","",IFERROR(D1615*N(INDEX(Products!$C$5:$C$29,MATCH(C1615,Lists!$A$2:$A$26,0))),""))</f>
        <v/>
      </c>
      <c r="M1615" s="15" t="str">
        <f t="shared" si="25"/>
        <v/>
      </c>
    </row>
    <row r="1616" spans="1:13" x14ac:dyDescent="0.35">
      <c r="A1616" s="11"/>
      <c r="B1616" s="12"/>
      <c r="C1616" s="12"/>
      <c r="D1616" s="12"/>
      <c r="E1616" s="13"/>
      <c r="F1616" s="13"/>
      <c r="G1616" s="13"/>
      <c r="H1616" s="13"/>
      <c r="I1616" s="12"/>
      <c r="J1616" s="13"/>
      <c r="K1616" s="14" t="str">
        <f>IF(C1616="","",IFERROR(N('Fee Settings'!$C$5)*(E1616+N(F1616)-N(J1616))+N('Fee Settings'!$C$6)*(E1616+N(F1616)+N(G1616))+N('Fee Settings'!$C$7)+N('Fee Settings'!$C$10)*D1616+IF(I1616="Yes",MIN(N('Fee Settings'!$C$8)*(E1616+N(F1616)),N('Fee Settings'!$C$9)),0),""))</f>
        <v/>
      </c>
      <c r="L1616" s="14" t="str">
        <f>IF(C1616="","",IFERROR(D1616*N(INDEX(Products!$C$5:$C$29,MATCH(C1616,Lists!$A$2:$A$26,0))),""))</f>
        <v/>
      </c>
      <c r="M1616" s="15" t="str">
        <f t="shared" si="25"/>
        <v/>
      </c>
    </row>
    <row r="1617" spans="1:13" x14ac:dyDescent="0.35">
      <c r="A1617" s="11"/>
      <c r="B1617" s="12"/>
      <c r="C1617" s="12"/>
      <c r="D1617" s="12"/>
      <c r="E1617" s="13"/>
      <c r="F1617" s="13"/>
      <c r="G1617" s="13"/>
      <c r="H1617" s="13"/>
      <c r="I1617" s="12"/>
      <c r="J1617" s="13"/>
      <c r="K1617" s="14" t="str">
        <f>IF(C1617="","",IFERROR(N('Fee Settings'!$C$5)*(E1617+N(F1617)-N(J1617))+N('Fee Settings'!$C$6)*(E1617+N(F1617)+N(G1617))+N('Fee Settings'!$C$7)+N('Fee Settings'!$C$10)*D1617+IF(I1617="Yes",MIN(N('Fee Settings'!$C$8)*(E1617+N(F1617)),N('Fee Settings'!$C$9)),0),""))</f>
        <v/>
      </c>
      <c r="L1617" s="14" t="str">
        <f>IF(C1617="","",IFERROR(D1617*N(INDEX(Products!$C$5:$C$29,MATCH(C1617,Lists!$A$2:$A$26,0))),""))</f>
        <v/>
      </c>
      <c r="M1617" s="15" t="str">
        <f t="shared" si="25"/>
        <v/>
      </c>
    </row>
    <row r="1618" spans="1:13" x14ac:dyDescent="0.35">
      <c r="A1618" s="11"/>
      <c r="B1618" s="12"/>
      <c r="C1618" s="12"/>
      <c r="D1618" s="12"/>
      <c r="E1618" s="13"/>
      <c r="F1618" s="13"/>
      <c r="G1618" s="13"/>
      <c r="H1618" s="13"/>
      <c r="I1618" s="12"/>
      <c r="J1618" s="13"/>
      <c r="K1618" s="14" t="str">
        <f>IF(C1618="","",IFERROR(N('Fee Settings'!$C$5)*(E1618+N(F1618)-N(J1618))+N('Fee Settings'!$C$6)*(E1618+N(F1618)+N(G1618))+N('Fee Settings'!$C$7)+N('Fee Settings'!$C$10)*D1618+IF(I1618="Yes",MIN(N('Fee Settings'!$C$8)*(E1618+N(F1618)),N('Fee Settings'!$C$9)),0),""))</f>
        <v/>
      </c>
      <c r="L1618" s="14" t="str">
        <f>IF(C1618="","",IFERROR(D1618*N(INDEX(Products!$C$5:$C$29,MATCH(C1618,Lists!$A$2:$A$26,0))),""))</f>
        <v/>
      </c>
      <c r="M1618" s="15" t="str">
        <f t="shared" si="25"/>
        <v/>
      </c>
    </row>
    <row r="1619" spans="1:13" x14ac:dyDescent="0.35">
      <c r="A1619" s="11"/>
      <c r="B1619" s="12"/>
      <c r="C1619" s="12"/>
      <c r="D1619" s="12"/>
      <c r="E1619" s="13"/>
      <c r="F1619" s="13"/>
      <c r="G1619" s="13"/>
      <c r="H1619" s="13"/>
      <c r="I1619" s="12"/>
      <c r="J1619" s="13"/>
      <c r="K1619" s="14" t="str">
        <f>IF(C1619="","",IFERROR(N('Fee Settings'!$C$5)*(E1619+N(F1619)-N(J1619))+N('Fee Settings'!$C$6)*(E1619+N(F1619)+N(G1619))+N('Fee Settings'!$C$7)+N('Fee Settings'!$C$10)*D1619+IF(I1619="Yes",MIN(N('Fee Settings'!$C$8)*(E1619+N(F1619)),N('Fee Settings'!$C$9)),0),""))</f>
        <v/>
      </c>
      <c r="L1619" s="14" t="str">
        <f>IF(C1619="","",IFERROR(D1619*N(INDEX(Products!$C$5:$C$29,MATCH(C1619,Lists!$A$2:$A$26,0))),""))</f>
        <v/>
      </c>
      <c r="M1619" s="15" t="str">
        <f t="shared" si="25"/>
        <v/>
      </c>
    </row>
    <row r="1620" spans="1:13" x14ac:dyDescent="0.35">
      <c r="A1620" s="11"/>
      <c r="B1620" s="12"/>
      <c r="C1620" s="12"/>
      <c r="D1620" s="12"/>
      <c r="E1620" s="13"/>
      <c r="F1620" s="13"/>
      <c r="G1620" s="13"/>
      <c r="H1620" s="13"/>
      <c r="I1620" s="12"/>
      <c r="J1620" s="13"/>
      <c r="K1620" s="14" t="str">
        <f>IF(C1620="","",IFERROR(N('Fee Settings'!$C$5)*(E1620+N(F1620)-N(J1620))+N('Fee Settings'!$C$6)*(E1620+N(F1620)+N(G1620))+N('Fee Settings'!$C$7)+N('Fee Settings'!$C$10)*D1620+IF(I1620="Yes",MIN(N('Fee Settings'!$C$8)*(E1620+N(F1620)),N('Fee Settings'!$C$9)),0),""))</f>
        <v/>
      </c>
      <c r="L1620" s="14" t="str">
        <f>IF(C1620="","",IFERROR(D1620*N(INDEX(Products!$C$5:$C$29,MATCH(C1620,Lists!$A$2:$A$26,0))),""))</f>
        <v/>
      </c>
      <c r="M1620" s="15" t="str">
        <f t="shared" si="25"/>
        <v/>
      </c>
    </row>
    <row r="1621" spans="1:13" x14ac:dyDescent="0.35">
      <c r="A1621" s="11"/>
      <c r="B1621" s="12"/>
      <c r="C1621" s="12"/>
      <c r="D1621" s="12"/>
      <c r="E1621" s="13"/>
      <c r="F1621" s="13"/>
      <c r="G1621" s="13"/>
      <c r="H1621" s="13"/>
      <c r="I1621" s="12"/>
      <c r="J1621" s="13"/>
      <c r="K1621" s="14" t="str">
        <f>IF(C1621="","",IFERROR(N('Fee Settings'!$C$5)*(E1621+N(F1621)-N(J1621))+N('Fee Settings'!$C$6)*(E1621+N(F1621)+N(G1621))+N('Fee Settings'!$C$7)+N('Fee Settings'!$C$10)*D1621+IF(I1621="Yes",MIN(N('Fee Settings'!$C$8)*(E1621+N(F1621)),N('Fee Settings'!$C$9)),0),""))</f>
        <v/>
      </c>
      <c r="L1621" s="14" t="str">
        <f>IF(C1621="","",IFERROR(D1621*N(INDEX(Products!$C$5:$C$29,MATCH(C1621,Lists!$A$2:$A$26,0))),""))</f>
        <v/>
      </c>
      <c r="M1621" s="15" t="str">
        <f t="shared" si="25"/>
        <v/>
      </c>
    </row>
    <row r="1622" spans="1:13" x14ac:dyDescent="0.35">
      <c r="A1622" s="11"/>
      <c r="B1622" s="12"/>
      <c r="C1622" s="12"/>
      <c r="D1622" s="12"/>
      <c r="E1622" s="13"/>
      <c r="F1622" s="13"/>
      <c r="G1622" s="13"/>
      <c r="H1622" s="13"/>
      <c r="I1622" s="12"/>
      <c r="J1622" s="13"/>
      <c r="K1622" s="14" t="str">
        <f>IF(C1622="","",IFERROR(N('Fee Settings'!$C$5)*(E1622+N(F1622)-N(J1622))+N('Fee Settings'!$C$6)*(E1622+N(F1622)+N(G1622))+N('Fee Settings'!$C$7)+N('Fee Settings'!$C$10)*D1622+IF(I1622="Yes",MIN(N('Fee Settings'!$C$8)*(E1622+N(F1622)),N('Fee Settings'!$C$9)),0),""))</f>
        <v/>
      </c>
      <c r="L1622" s="14" t="str">
        <f>IF(C1622="","",IFERROR(D1622*N(INDEX(Products!$C$5:$C$29,MATCH(C1622,Lists!$A$2:$A$26,0))),""))</f>
        <v/>
      </c>
      <c r="M1622" s="15" t="str">
        <f t="shared" si="25"/>
        <v/>
      </c>
    </row>
    <row r="1623" spans="1:13" x14ac:dyDescent="0.35">
      <c r="A1623" s="11"/>
      <c r="B1623" s="12"/>
      <c r="C1623" s="12"/>
      <c r="D1623" s="12"/>
      <c r="E1623" s="13"/>
      <c r="F1623" s="13"/>
      <c r="G1623" s="13"/>
      <c r="H1623" s="13"/>
      <c r="I1623" s="12"/>
      <c r="J1623" s="13"/>
      <c r="K1623" s="14" t="str">
        <f>IF(C1623="","",IFERROR(N('Fee Settings'!$C$5)*(E1623+N(F1623)-N(J1623))+N('Fee Settings'!$C$6)*(E1623+N(F1623)+N(G1623))+N('Fee Settings'!$C$7)+N('Fee Settings'!$C$10)*D1623+IF(I1623="Yes",MIN(N('Fee Settings'!$C$8)*(E1623+N(F1623)),N('Fee Settings'!$C$9)),0),""))</f>
        <v/>
      </c>
      <c r="L1623" s="14" t="str">
        <f>IF(C1623="","",IFERROR(D1623*N(INDEX(Products!$C$5:$C$29,MATCH(C1623,Lists!$A$2:$A$26,0))),""))</f>
        <v/>
      </c>
      <c r="M1623" s="15" t="str">
        <f t="shared" si="25"/>
        <v/>
      </c>
    </row>
    <row r="1624" spans="1:13" x14ac:dyDescent="0.35">
      <c r="A1624" s="11"/>
      <c r="B1624" s="12"/>
      <c r="C1624" s="12"/>
      <c r="D1624" s="12"/>
      <c r="E1624" s="13"/>
      <c r="F1624" s="13"/>
      <c r="G1624" s="13"/>
      <c r="H1624" s="13"/>
      <c r="I1624" s="12"/>
      <c r="J1624" s="13"/>
      <c r="K1624" s="14" t="str">
        <f>IF(C1624="","",IFERROR(N('Fee Settings'!$C$5)*(E1624+N(F1624)-N(J1624))+N('Fee Settings'!$C$6)*(E1624+N(F1624)+N(G1624))+N('Fee Settings'!$C$7)+N('Fee Settings'!$C$10)*D1624+IF(I1624="Yes",MIN(N('Fee Settings'!$C$8)*(E1624+N(F1624)),N('Fee Settings'!$C$9)),0),""))</f>
        <v/>
      </c>
      <c r="L1624" s="14" t="str">
        <f>IF(C1624="","",IFERROR(D1624*N(INDEX(Products!$C$5:$C$29,MATCH(C1624,Lists!$A$2:$A$26,0))),""))</f>
        <v/>
      </c>
      <c r="M1624" s="15" t="str">
        <f t="shared" si="25"/>
        <v/>
      </c>
    </row>
    <row r="1625" spans="1:13" x14ac:dyDescent="0.35">
      <c r="A1625" s="11"/>
      <c r="B1625" s="12"/>
      <c r="C1625" s="12"/>
      <c r="D1625" s="12"/>
      <c r="E1625" s="13"/>
      <c r="F1625" s="13"/>
      <c r="G1625" s="13"/>
      <c r="H1625" s="13"/>
      <c r="I1625" s="12"/>
      <c r="J1625" s="13"/>
      <c r="K1625" s="14" t="str">
        <f>IF(C1625="","",IFERROR(N('Fee Settings'!$C$5)*(E1625+N(F1625)-N(J1625))+N('Fee Settings'!$C$6)*(E1625+N(F1625)+N(G1625))+N('Fee Settings'!$C$7)+N('Fee Settings'!$C$10)*D1625+IF(I1625="Yes",MIN(N('Fee Settings'!$C$8)*(E1625+N(F1625)),N('Fee Settings'!$C$9)),0),""))</f>
        <v/>
      </c>
      <c r="L1625" s="14" t="str">
        <f>IF(C1625="","",IFERROR(D1625*N(INDEX(Products!$C$5:$C$29,MATCH(C1625,Lists!$A$2:$A$26,0))),""))</f>
        <v/>
      </c>
      <c r="M1625" s="15" t="str">
        <f t="shared" si="25"/>
        <v/>
      </c>
    </row>
    <row r="1626" spans="1:13" x14ac:dyDescent="0.35">
      <c r="A1626" s="11"/>
      <c r="B1626" s="12"/>
      <c r="C1626" s="12"/>
      <c r="D1626" s="12"/>
      <c r="E1626" s="13"/>
      <c r="F1626" s="13"/>
      <c r="G1626" s="13"/>
      <c r="H1626" s="13"/>
      <c r="I1626" s="12"/>
      <c r="J1626" s="13"/>
      <c r="K1626" s="14" t="str">
        <f>IF(C1626="","",IFERROR(N('Fee Settings'!$C$5)*(E1626+N(F1626)-N(J1626))+N('Fee Settings'!$C$6)*(E1626+N(F1626)+N(G1626))+N('Fee Settings'!$C$7)+N('Fee Settings'!$C$10)*D1626+IF(I1626="Yes",MIN(N('Fee Settings'!$C$8)*(E1626+N(F1626)),N('Fee Settings'!$C$9)),0),""))</f>
        <v/>
      </c>
      <c r="L1626" s="14" t="str">
        <f>IF(C1626="","",IFERROR(D1626*N(INDEX(Products!$C$5:$C$29,MATCH(C1626,Lists!$A$2:$A$26,0))),""))</f>
        <v/>
      </c>
      <c r="M1626" s="15" t="str">
        <f t="shared" si="25"/>
        <v/>
      </c>
    </row>
    <row r="1627" spans="1:13" x14ac:dyDescent="0.35">
      <c r="A1627" s="11"/>
      <c r="B1627" s="12"/>
      <c r="C1627" s="12"/>
      <c r="D1627" s="12"/>
      <c r="E1627" s="13"/>
      <c r="F1627" s="13"/>
      <c r="G1627" s="13"/>
      <c r="H1627" s="13"/>
      <c r="I1627" s="12"/>
      <c r="J1627" s="13"/>
      <c r="K1627" s="14" t="str">
        <f>IF(C1627="","",IFERROR(N('Fee Settings'!$C$5)*(E1627+N(F1627)-N(J1627))+N('Fee Settings'!$C$6)*(E1627+N(F1627)+N(G1627))+N('Fee Settings'!$C$7)+N('Fee Settings'!$C$10)*D1627+IF(I1627="Yes",MIN(N('Fee Settings'!$C$8)*(E1627+N(F1627)),N('Fee Settings'!$C$9)),0),""))</f>
        <v/>
      </c>
      <c r="L1627" s="14" t="str">
        <f>IF(C1627="","",IFERROR(D1627*N(INDEX(Products!$C$5:$C$29,MATCH(C1627,Lists!$A$2:$A$26,0))),""))</f>
        <v/>
      </c>
      <c r="M1627" s="15" t="str">
        <f t="shared" si="25"/>
        <v/>
      </c>
    </row>
    <row r="1628" spans="1:13" x14ac:dyDescent="0.35">
      <c r="A1628" s="11"/>
      <c r="B1628" s="12"/>
      <c r="C1628" s="12"/>
      <c r="D1628" s="12"/>
      <c r="E1628" s="13"/>
      <c r="F1628" s="13"/>
      <c r="G1628" s="13"/>
      <c r="H1628" s="13"/>
      <c r="I1628" s="12"/>
      <c r="J1628" s="13"/>
      <c r="K1628" s="14" t="str">
        <f>IF(C1628="","",IFERROR(N('Fee Settings'!$C$5)*(E1628+N(F1628)-N(J1628))+N('Fee Settings'!$C$6)*(E1628+N(F1628)+N(G1628))+N('Fee Settings'!$C$7)+N('Fee Settings'!$C$10)*D1628+IF(I1628="Yes",MIN(N('Fee Settings'!$C$8)*(E1628+N(F1628)),N('Fee Settings'!$C$9)),0),""))</f>
        <v/>
      </c>
      <c r="L1628" s="14" t="str">
        <f>IF(C1628="","",IFERROR(D1628*N(INDEX(Products!$C$5:$C$29,MATCH(C1628,Lists!$A$2:$A$26,0))),""))</f>
        <v/>
      </c>
      <c r="M1628" s="15" t="str">
        <f t="shared" si="25"/>
        <v/>
      </c>
    </row>
    <row r="1629" spans="1:13" x14ac:dyDescent="0.35">
      <c r="A1629" s="11"/>
      <c r="B1629" s="12"/>
      <c r="C1629" s="12"/>
      <c r="D1629" s="12"/>
      <c r="E1629" s="13"/>
      <c r="F1629" s="13"/>
      <c r="G1629" s="13"/>
      <c r="H1629" s="13"/>
      <c r="I1629" s="12"/>
      <c r="J1629" s="13"/>
      <c r="K1629" s="14" t="str">
        <f>IF(C1629="","",IFERROR(N('Fee Settings'!$C$5)*(E1629+N(F1629)-N(J1629))+N('Fee Settings'!$C$6)*(E1629+N(F1629)+N(G1629))+N('Fee Settings'!$C$7)+N('Fee Settings'!$C$10)*D1629+IF(I1629="Yes",MIN(N('Fee Settings'!$C$8)*(E1629+N(F1629)),N('Fee Settings'!$C$9)),0),""))</f>
        <v/>
      </c>
      <c r="L1629" s="14" t="str">
        <f>IF(C1629="","",IFERROR(D1629*N(INDEX(Products!$C$5:$C$29,MATCH(C1629,Lists!$A$2:$A$26,0))),""))</f>
        <v/>
      </c>
      <c r="M1629" s="15" t="str">
        <f t="shared" si="25"/>
        <v/>
      </c>
    </row>
    <row r="1630" spans="1:13" x14ac:dyDescent="0.35">
      <c r="A1630" s="11"/>
      <c r="B1630" s="12"/>
      <c r="C1630" s="12"/>
      <c r="D1630" s="12"/>
      <c r="E1630" s="13"/>
      <c r="F1630" s="13"/>
      <c r="G1630" s="13"/>
      <c r="H1630" s="13"/>
      <c r="I1630" s="12"/>
      <c r="J1630" s="13"/>
      <c r="K1630" s="14" t="str">
        <f>IF(C1630="","",IFERROR(N('Fee Settings'!$C$5)*(E1630+N(F1630)-N(J1630))+N('Fee Settings'!$C$6)*(E1630+N(F1630)+N(G1630))+N('Fee Settings'!$C$7)+N('Fee Settings'!$C$10)*D1630+IF(I1630="Yes",MIN(N('Fee Settings'!$C$8)*(E1630+N(F1630)),N('Fee Settings'!$C$9)),0),""))</f>
        <v/>
      </c>
      <c r="L1630" s="14" t="str">
        <f>IF(C1630="","",IFERROR(D1630*N(INDEX(Products!$C$5:$C$29,MATCH(C1630,Lists!$A$2:$A$26,0))),""))</f>
        <v/>
      </c>
      <c r="M1630" s="15" t="str">
        <f t="shared" si="25"/>
        <v/>
      </c>
    </row>
    <row r="1631" spans="1:13" x14ac:dyDescent="0.35">
      <c r="A1631" s="11"/>
      <c r="B1631" s="12"/>
      <c r="C1631" s="12"/>
      <c r="D1631" s="12"/>
      <c r="E1631" s="13"/>
      <c r="F1631" s="13"/>
      <c r="G1631" s="13"/>
      <c r="H1631" s="13"/>
      <c r="I1631" s="12"/>
      <c r="J1631" s="13"/>
      <c r="K1631" s="14" t="str">
        <f>IF(C1631="","",IFERROR(N('Fee Settings'!$C$5)*(E1631+N(F1631)-N(J1631))+N('Fee Settings'!$C$6)*(E1631+N(F1631)+N(G1631))+N('Fee Settings'!$C$7)+N('Fee Settings'!$C$10)*D1631+IF(I1631="Yes",MIN(N('Fee Settings'!$C$8)*(E1631+N(F1631)),N('Fee Settings'!$C$9)),0),""))</f>
        <v/>
      </c>
      <c r="L1631" s="14" t="str">
        <f>IF(C1631="","",IFERROR(D1631*N(INDEX(Products!$C$5:$C$29,MATCH(C1631,Lists!$A$2:$A$26,0))),""))</f>
        <v/>
      </c>
      <c r="M1631" s="15" t="str">
        <f t="shared" si="25"/>
        <v/>
      </c>
    </row>
    <row r="1632" spans="1:13" x14ac:dyDescent="0.35">
      <c r="A1632" s="11"/>
      <c r="B1632" s="12"/>
      <c r="C1632" s="12"/>
      <c r="D1632" s="12"/>
      <c r="E1632" s="13"/>
      <c r="F1632" s="13"/>
      <c r="G1632" s="13"/>
      <c r="H1632" s="13"/>
      <c r="I1632" s="12"/>
      <c r="J1632" s="13"/>
      <c r="K1632" s="14" t="str">
        <f>IF(C1632="","",IFERROR(N('Fee Settings'!$C$5)*(E1632+N(F1632)-N(J1632))+N('Fee Settings'!$C$6)*(E1632+N(F1632)+N(G1632))+N('Fee Settings'!$C$7)+N('Fee Settings'!$C$10)*D1632+IF(I1632="Yes",MIN(N('Fee Settings'!$C$8)*(E1632+N(F1632)),N('Fee Settings'!$C$9)),0),""))</f>
        <v/>
      </c>
      <c r="L1632" s="14" t="str">
        <f>IF(C1632="","",IFERROR(D1632*N(INDEX(Products!$C$5:$C$29,MATCH(C1632,Lists!$A$2:$A$26,0))),""))</f>
        <v/>
      </c>
      <c r="M1632" s="15" t="str">
        <f t="shared" si="25"/>
        <v/>
      </c>
    </row>
    <row r="1633" spans="1:13" x14ac:dyDescent="0.35">
      <c r="A1633" s="11"/>
      <c r="B1633" s="12"/>
      <c r="C1633" s="12"/>
      <c r="D1633" s="12"/>
      <c r="E1633" s="13"/>
      <c r="F1633" s="13"/>
      <c r="G1633" s="13"/>
      <c r="H1633" s="13"/>
      <c r="I1633" s="12"/>
      <c r="J1633" s="13"/>
      <c r="K1633" s="14" t="str">
        <f>IF(C1633="","",IFERROR(N('Fee Settings'!$C$5)*(E1633+N(F1633)-N(J1633))+N('Fee Settings'!$C$6)*(E1633+N(F1633)+N(G1633))+N('Fee Settings'!$C$7)+N('Fee Settings'!$C$10)*D1633+IF(I1633="Yes",MIN(N('Fee Settings'!$C$8)*(E1633+N(F1633)),N('Fee Settings'!$C$9)),0),""))</f>
        <v/>
      </c>
      <c r="L1633" s="14" t="str">
        <f>IF(C1633="","",IFERROR(D1633*N(INDEX(Products!$C$5:$C$29,MATCH(C1633,Lists!$A$2:$A$26,0))),""))</f>
        <v/>
      </c>
      <c r="M1633" s="15" t="str">
        <f t="shared" si="25"/>
        <v/>
      </c>
    </row>
    <row r="1634" spans="1:13" x14ac:dyDescent="0.35">
      <c r="A1634" s="11"/>
      <c r="B1634" s="12"/>
      <c r="C1634" s="12"/>
      <c r="D1634" s="12"/>
      <c r="E1634" s="13"/>
      <c r="F1634" s="13"/>
      <c r="G1634" s="13"/>
      <c r="H1634" s="13"/>
      <c r="I1634" s="12"/>
      <c r="J1634" s="13"/>
      <c r="K1634" s="14" t="str">
        <f>IF(C1634="","",IFERROR(N('Fee Settings'!$C$5)*(E1634+N(F1634)-N(J1634))+N('Fee Settings'!$C$6)*(E1634+N(F1634)+N(G1634))+N('Fee Settings'!$C$7)+N('Fee Settings'!$C$10)*D1634+IF(I1634="Yes",MIN(N('Fee Settings'!$C$8)*(E1634+N(F1634)),N('Fee Settings'!$C$9)),0),""))</f>
        <v/>
      </c>
      <c r="L1634" s="14" t="str">
        <f>IF(C1634="","",IFERROR(D1634*N(INDEX(Products!$C$5:$C$29,MATCH(C1634,Lists!$A$2:$A$26,0))),""))</f>
        <v/>
      </c>
      <c r="M1634" s="15" t="str">
        <f t="shared" si="25"/>
        <v/>
      </c>
    </row>
    <row r="1635" spans="1:13" x14ac:dyDescent="0.35">
      <c r="A1635" s="11"/>
      <c r="B1635" s="12"/>
      <c r="C1635" s="12"/>
      <c r="D1635" s="12"/>
      <c r="E1635" s="13"/>
      <c r="F1635" s="13"/>
      <c r="G1635" s="13"/>
      <c r="H1635" s="13"/>
      <c r="I1635" s="12"/>
      <c r="J1635" s="13"/>
      <c r="K1635" s="14" t="str">
        <f>IF(C1635="","",IFERROR(N('Fee Settings'!$C$5)*(E1635+N(F1635)-N(J1635))+N('Fee Settings'!$C$6)*(E1635+N(F1635)+N(G1635))+N('Fee Settings'!$C$7)+N('Fee Settings'!$C$10)*D1635+IF(I1635="Yes",MIN(N('Fee Settings'!$C$8)*(E1635+N(F1635)),N('Fee Settings'!$C$9)),0),""))</f>
        <v/>
      </c>
      <c r="L1635" s="14" t="str">
        <f>IF(C1635="","",IFERROR(D1635*N(INDEX(Products!$C$5:$C$29,MATCH(C1635,Lists!$A$2:$A$26,0))),""))</f>
        <v/>
      </c>
      <c r="M1635" s="15" t="str">
        <f t="shared" si="25"/>
        <v/>
      </c>
    </row>
    <row r="1636" spans="1:13" x14ac:dyDescent="0.35">
      <c r="A1636" s="11"/>
      <c r="B1636" s="12"/>
      <c r="C1636" s="12"/>
      <c r="D1636" s="12"/>
      <c r="E1636" s="13"/>
      <c r="F1636" s="13"/>
      <c r="G1636" s="13"/>
      <c r="H1636" s="13"/>
      <c r="I1636" s="12"/>
      <c r="J1636" s="13"/>
      <c r="K1636" s="14" t="str">
        <f>IF(C1636="","",IFERROR(N('Fee Settings'!$C$5)*(E1636+N(F1636)-N(J1636))+N('Fee Settings'!$C$6)*(E1636+N(F1636)+N(G1636))+N('Fee Settings'!$C$7)+N('Fee Settings'!$C$10)*D1636+IF(I1636="Yes",MIN(N('Fee Settings'!$C$8)*(E1636+N(F1636)),N('Fee Settings'!$C$9)),0),""))</f>
        <v/>
      </c>
      <c r="L1636" s="14" t="str">
        <f>IF(C1636="","",IFERROR(D1636*N(INDEX(Products!$C$5:$C$29,MATCH(C1636,Lists!$A$2:$A$26,0))),""))</f>
        <v/>
      </c>
      <c r="M1636" s="15" t="str">
        <f t="shared" si="25"/>
        <v/>
      </c>
    </row>
    <row r="1637" spans="1:13" x14ac:dyDescent="0.35">
      <c r="A1637" s="11"/>
      <c r="B1637" s="12"/>
      <c r="C1637" s="12"/>
      <c r="D1637" s="12"/>
      <c r="E1637" s="13"/>
      <c r="F1637" s="13"/>
      <c r="G1637" s="13"/>
      <c r="H1637" s="13"/>
      <c r="I1637" s="12"/>
      <c r="J1637" s="13"/>
      <c r="K1637" s="14" t="str">
        <f>IF(C1637="","",IFERROR(N('Fee Settings'!$C$5)*(E1637+N(F1637)-N(J1637))+N('Fee Settings'!$C$6)*(E1637+N(F1637)+N(G1637))+N('Fee Settings'!$C$7)+N('Fee Settings'!$C$10)*D1637+IF(I1637="Yes",MIN(N('Fee Settings'!$C$8)*(E1637+N(F1637)),N('Fee Settings'!$C$9)),0),""))</f>
        <v/>
      </c>
      <c r="L1637" s="14" t="str">
        <f>IF(C1637="","",IFERROR(D1637*N(INDEX(Products!$C$5:$C$29,MATCH(C1637,Lists!$A$2:$A$26,0))),""))</f>
        <v/>
      </c>
      <c r="M1637" s="15" t="str">
        <f t="shared" si="25"/>
        <v/>
      </c>
    </row>
    <row r="1638" spans="1:13" x14ac:dyDescent="0.35">
      <c r="A1638" s="11"/>
      <c r="B1638" s="12"/>
      <c r="C1638" s="12"/>
      <c r="D1638" s="12"/>
      <c r="E1638" s="13"/>
      <c r="F1638" s="13"/>
      <c r="G1638" s="13"/>
      <c r="H1638" s="13"/>
      <c r="I1638" s="12"/>
      <c r="J1638" s="13"/>
      <c r="K1638" s="14" t="str">
        <f>IF(C1638="","",IFERROR(N('Fee Settings'!$C$5)*(E1638+N(F1638)-N(J1638))+N('Fee Settings'!$C$6)*(E1638+N(F1638)+N(G1638))+N('Fee Settings'!$C$7)+N('Fee Settings'!$C$10)*D1638+IF(I1638="Yes",MIN(N('Fee Settings'!$C$8)*(E1638+N(F1638)),N('Fee Settings'!$C$9)),0),""))</f>
        <v/>
      </c>
      <c r="L1638" s="14" t="str">
        <f>IF(C1638="","",IFERROR(D1638*N(INDEX(Products!$C$5:$C$29,MATCH(C1638,Lists!$A$2:$A$26,0))),""))</f>
        <v/>
      </c>
      <c r="M1638" s="15" t="str">
        <f t="shared" si="25"/>
        <v/>
      </c>
    </row>
    <row r="1639" spans="1:13" x14ac:dyDescent="0.35">
      <c r="A1639" s="11"/>
      <c r="B1639" s="12"/>
      <c r="C1639" s="12"/>
      <c r="D1639" s="12"/>
      <c r="E1639" s="13"/>
      <c r="F1639" s="13"/>
      <c r="G1639" s="13"/>
      <c r="H1639" s="13"/>
      <c r="I1639" s="12"/>
      <c r="J1639" s="13"/>
      <c r="K1639" s="14" t="str">
        <f>IF(C1639="","",IFERROR(N('Fee Settings'!$C$5)*(E1639+N(F1639)-N(J1639))+N('Fee Settings'!$C$6)*(E1639+N(F1639)+N(G1639))+N('Fee Settings'!$C$7)+N('Fee Settings'!$C$10)*D1639+IF(I1639="Yes",MIN(N('Fee Settings'!$C$8)*(E1639+N(F1639)),N('Fee Settings'!$C$9)),0),""))</f>
        <v/>
      </c>
      <c r="L1639" s="14" t="str">
        <f>IF(C1639="","",IFERROR(D1639*N(INDEX(Products!$C$5:$C$29,MATCH(C1639,Lists!$A$2:$A$26,0))),""))</f>
        <v/>
      </c>
      <c r="M1639" s="15" t="str">
        <f t="shared" si="25"/>
        <v/>
      </c>
    </row>
    <row r="1640" spans="1:13" x14ac:dyDescent="0.35">
      <c r="A1640" s="11"/>
      <c r="B1640" s="12"/>
      <c r="C1640" s="12"/>
      <c r="D1640" s="12"/>
      <c r="E1640" s="13"/>
      <c r="F1640" s="13"/>
      <c r="G1640" s="13"/>
      <c r="H1640" s="13"/>
      <c r="I1640" s="12"/>
      <c r="J1640" s="13"/>
      <c r="K1640" s="14" t="str">
        <f>IF(C1640="","",IFERROR(N('Fee Settings'!$C$5)*(E1640+N(F1640)-N(J1640))+N('Fee Settings'!$C$6)*(E1640+N(F1640)+N(G1640))+N('Fee Settings'!$C$7)+N('Fee Settings'!$C$10)*D1640+IF(I1640="Yes",MIN(N('Fee Settings'!$C$8)*(E1640+N(F1640)),N('Fee Settings'!$C$9)),0),""))</f>
        <v/>
      </c>
      <c r="L1640" s="14" t="str">
        <f>IF(C1640="","",IFERROR(D1640*N(INDEX(Products!$C$5:$C$29,MATCH(C1640,Lists!$A$2:$A$26,0))),""))</f>
        <v/>
      </c>
      <c r="M1640" s="15" t="str">
        <f t="shared" si="25"/>
        <v/>
      </c>
    </row>
    <row r="1641" spans="1:13" x14ac:dyDescent="0.35">
      <c r="A1641" s="11"/>
      <c r="B1641" s="12"/>
      <c r="C1641" s="12"/>
      <c r="D1641" s="12"/>
      <c r="E1641" s="13"/>
      <c r="F1641" s="13"/>
      <c r="G1641" s="13"/>
      <c r="H1641" s="13"/>
      <c r="I1641" s="12"/>
      <c r="J1641" s="13"/>
      <c r="K1641" s="14" t="str">
        <f>IF(C1641="","",IFERROR(N('Fee Settings'!$C$5)*(E1641+N(F1641)-N(J1641))+N('Fee Settings'!$C$6)*(E1641+N(F1641)+N(G1641))+N('Fee Settings'!$C$7)+N('Fee Settings'!$C$10)*D1641+IF(I1641="Yes",MIN(N('Fee Settings'!$C$8)*(E1641+N(F1641)),N('Fee Settings'!$C$9)),0),""))</f>
        <v/>
      </c>
      <c r="L1641" s="14" t="str">
        <f>IF(C1641="","",IFERROR(D1641*N(INDEX(Products!$C$5:$C$29,MATCH(C1641,Lists!$A$2:$A$26,0))),""))</f>
        <v/>
      </c>
      <c r="M1641" s="15" t="str">
        <f t="shared" si="25"/>
        <v/>
      </c>
    </row>
    <row r="1642" spans="1:13" x14ac:dyDescent="0.35">
      <c r="A1642" s="11"/>
      <c r="B1642" s="12"/>
      <c r="C1642" s="12"/>
      <c r="D1642" s="12"/>
      <c r="E1642" s="13"/>
      <c r="F1642" s="13"/>
      <c r="G1642" s="13"/>
      <c r="H1642" s="13"/>
      <c r="I1642" s="12"/>
      <c r="J1642" s="13"/>
      <c r="K1642" s="14" t="str">
        <f>IF(C1642="","",IFERROR(N('Fee Settings'!$C$5)*(E1642+N(F1642)-N(J1642))+N('Fee Settings'!$C$6)*(E1642+N(F1642)+N(G1642))+N('Fee Settings'!$C$7)+N('Fee Settings'!$C$10)*D1642+IF(I1642="Yes",MIN(N('Fee Settings'!$C$8)*(E1642+N(F1642)),N('Fee Settings'!$C$9)),0),""))</f>
        <v/>
      </c>
      <c r="L1642" s="14" t="str">
        <f>IF(C1642="","",IFERROR(D1642*N(INDEX(Products!$C$5:$C$29,MATCH(C1642,Lists!$A$2:$A$26,0))),""))</f>
        <v/>
      </c>
      <c r="M1642" s="15" t="str">
        <f t="shared" si="25"/>
        <v/>
      </c>
    </row>
    <row r="1643" spans="1:13" x14ac:dyDescent="0.35">
      <c r="A1643" s="11"/>
      <c r="B1643" s="12"/>
      <c r="C1643" s="12"/>
      <c r="D1643" s="12"/>
      <c r="E1643" s="13"/>
      <c r="F1643" s="13"/>
      <c r="G1643" s="13"/>
      <c r="H1643" s="13"/>
      <c r="I1643" s="12"/>
      <c r="J1643" s="13"/>
      <c r="K1643" s="14" t="str">
        <f>IF(C1643="","",IFERROR(N('Fee Settings'!$C$5)*(E1643+N(F1643)-N(J1643))+N('Fee Settings'!$C$6)*(E1643+N(F1643)+N(G1643))+N('Fee Settings'!$C$7)+N('Fee Settings'!$C$10)*D1643+IF(I1643="Yes",MIN(N('Fee Settings'!$C$8)*(E1643+N(F1643)),N('Fee Settings'!$C$9)),0),""))</f>
        <v/>
      </c>
      <c r="L1643" s="14" t="str">
        <f>IF(C1643="","",IFERROR(D1643*N(INDEX(Products!$C$5:$C$29,MATCH(C1643,Lists!$A$2:$A$26,0))),""))</f>
        <v/>
      </c>
      <c r="M1643" s="15" t="str">
        <f t="shared" si="25"/>
        <v/>
      </c>
    </row>
    <row r="1644" spans="1:13" x14ac:dyDescent="0.35">
      <c r="A1644" s="11"/>
      <c r="B1644" s="12"/>
      <c r="C1644" s="12"/>
      <c r="D1644" s="12"/>
      <c r="E1644" s="13"/>
      <c r="F1644" s="13"/>
      <c r="G1644" s="13"/>
      <c r="H1644" s="13"/>
      <c r="I1644" s="12"/>
      <c r="J1644" s="13"/>
      <c r="K1644" s="14" t="str">
        <f>IF(C1644="","",IFERROR(N('Fee Settings'!$C$5)*(E1644+N(F1644)-N(J1644))+N('Fee Settings'!$C$6)*(E1644+N(F1644)+N(G1644))+N('Fee Settings'!$C$7)+N('Fee Settings'!$C$10)*D1644+IF(I1644="Yes",MIN(N('Fee Settings'!$C$8)*(E1644+N(F1644)),N('Fee Settings'!$C$9)),0),""))</f>
        <v/>
      </c>
      <c r="L1644" s="14" t="str">
        <f>IF(C1644="","",IFERROR(D1644*N(INDEX(Products!$C$5:$C$29,MATCH(C1644,Lists!$A$2:$A$26,0))),""))</f>
        <v/>
      </c>
      <c r="M1644" s="15" t="str">
        <f t="shared" si="25"/>
        <v/>
      </c>
    </row>
    <row r="1645" spans="1:13" x14ac:dyDescent="0.35">
      <c r="A1645" s="11"/>
      <c r="B1645" s="12"/>
      <c r="C1645" s="12"/>
      <c r="D1645" s="12"/>
      <c r="E1645" s="13"/>
      <c r="F1645" s="13"/>
      <c r="G1645" s="13"/>
      <c r="H1645" s="13"/>
      <c r="I1645" s="12"/>
      <c r="J1645" s="13"/>
      <c r="K1645" s="14" t="str">
        <f>IF(C1645="","",IFERROR(N('Fee Settings'!$C$5)*(E1645+N(F1645)-N(J1645))+N('Fee Settings'!$C$6)*(E1645+N(F1645)+N(G1645))+N('Fee Settings'!$C$7)+N('Fee Settings'!$C$10)*D1645+IF(I1645="Yes",MIN(N('Fee Settings'!$C$8)*(E1645+N(F1645)),N('Fee Settings'!$C$9)),0),""))</f>
        <v/>
      </c>
      <c r="L1645" s="14" t="str">
        <f>IF(C1645="","",IFERROR(D1645*N(INDEX(Products!$C$5:$C$29,MATCH(C1645,Lists!$A$2:$A$26,0))),""))</f>
        <v/>
      </c>
      <c r="M1645" s="15" t="str">
        <f t="shared" si="25"/>
        <v/>
      </c>
    </row>
    <row r="1646" spans="1:13" x14ac:dyDescent="0.35">
      <c r="A1646" s="11"/>
      <c r="B1646" s="12"/>
      <c r="C1646" s="12"/>
      <c r="D1646" s="12"/>
      <c r="E1646" s="13"/>
      <c r="F1646" s="13"/>
      <c r="G1646" s="13"/>
      <c r="H1646" s="13"/>
      <c r="I1646" s="12"/>
      <c r="J1646" s="13"/>
      <c r="K1646" s="14" t="str">
        <f>IF(C1646="","",IFERROR(N('Fee Settings'!$C$5)*(E1646+N(F1646)-N(J1646))+N('Fee Settings'!$C$6)*(E1646+N(F1646)+N(G1646))+N('Fee Settings'!$C$7)+N('Fee Settings'!$C$10)*D1646+IF(I1646="Yes",MIN(N('Fee Settings'!$C$8)*(E1646+N(F1646)),N('Fee Settings'!$C$9)),0),""))</f>
        <v/>
      </c>
      <c r="L1646" s="14" t="str">
        <f>IF(C1646="","",IFERROR(D1646*N(INDEX(Products!$C$5:$C$29,MATCH(C1646,Lists!$A$2:$A$26,0))),""))</f>
        <v/>
      </c>
      <c r="M1646" s="15" t="str">
        <f t="shared" si="25"/>
        <v/>
      </c>
    </row>
    <row r="1647" spans="1:13" x14ac:dyDescent="0.35">
      <c r="A1647" s="11"/>
      <c r="B1647" s="12"/>
      <c r="C1647" s="12"/>
      <c r="D1647" s="12"/>
      <c r="E1647" s="13"/>
      <c r="F1647" s="13"/>
      <c r="G1647" s="13"/>
      <c r="H1647" s="13"/>
      <c r="I1647" s="12"/>
      <c r="J1647" s="13"/>
      <c r="K1647" s="14" t="str">
        <f>IF(C1647="","",IFERROR(N('Fee Settings'!$C$5)*(E1647+N(F1647)-N(J1647))+N('Fee Settings'!$C$6)*(E1647+N(F1647)+N(G1647))+N('Fee Settings'!$C$7)+N('Fee Settings'!$C$10)*D1647+IF(I1647="Yes",MIN(N('Fee Settings'!$C$8)*(E1647+N(F1647)),N('Fee Settings'!$C$9)),0),""))</f>
        <v/>
      </c>
      <c r="L1647" s="14" t="str">
        <f>IF(C1647="","",IFERROR(D1647*N(INDEX(Products!$C$5:$C$29,MATCH(C1647,Lists!$A$2:$A$26,0))),""))</f>
        <v/>
      </c>
      <c r="M1647" s="15" t="str">
        <f t="shared" si="25"/>
        <v/>
      </c>
    </row>
    <row r="1648" spans="1:13" x14ac:dyDescent="0.35">
      <c r="A1648" s="11"/>
      <c r="B1648" s="12"/>
      <c r="C1648" s="12"/>
      <c r="D1648" s="12"/>
      <c r="E1648" s="13"/>
      <c r="F1648" s="13"/>
      <c r="G1648" s="13"/>
      <c r="H1648" s="13"/>
      <c r="I1648" s="12"/>
      <c r="J1648" s="13"/>
      <c r="K1648" s="14" t="str">
        <f>IF(C1648="","",IFERROR(N('Fee Settings'!$C$5)*(E1648+N(F1648)-N(J1648))+N('Fee Settings'!$C$6)*(E1648+N(F1648)+N(G1648))+N('Fee Settings'!$C$7)+N('Fee Settings'!$C$10)*D1648+IF(I1648="Yes",MIN(N('Fee Settings'!$C$8)*(E1648+N(F1648)),N('Fee Settings'!$C$9)),0),""))</f>
        <v/>
      </c>
      <c r="L1648" s="14" t="str">
        <f>IF(C1648="","",IFERROR(D1648*N(INDEX(Products!$C$5:$C$29,MATCH(C1648,Lists!$A$2:$A$26,0))),""))</f>
        <v/>
      </c>
      <c r="M1648" s="15" t="str">
        <f t="shared" si="25"/>
        <v/>
      </c>
    </row>
    <row r="1649" spans="1:13" x14ac:dyDescent="0.35">
      <c r="A1649" s="11"/>
      <c r="B1649" s="12"/>
      <c r="C1649" s="12"/>
      <c r="D1649" s="12"/>
      <c r="E1649" s="13"/>
      <c r="F1649" s="13"/>
      <c r="G1649" s="13"/>
      <c r="H1649" s="13"/>
      <c r="I1649" s="12"/>
      <c r="J1649" s="13"/>
      <c r="K1649" s="14" t="str">
        <f>IF(C1649="","",IFERROR(N('Fee Settings'!$C$5)*(E1649+N(F1649)-N(J1649))+N('Fee Settings'!$C$6)*(E1649+N(F1649)+N(G1649))+N('Fee Settings'!$C$7)+N('Fee Settings'!$C$10)*D1649+IF(I1649="Yes",MIN(N('Fee Settings'!$C$8)*(E1649+N(F1649)),N('Fee Settings'!$C$9)),0),""))</f>
        <v/>
      </c>
      <c r="L1649" s="14" t="str">
        <f>IF(C1649="","",IFERROR(D1649*N(INDEX(Products!$C$5:$C$29,MATCH(C1649,Lists!$A$2:$A$26,0))),""))</f>
        <v/>
      </c>
      <c r="M1649" s="15" t="str">
        <f t="shared" si="25"/>
        <v/>
      </c>
    </row>
    <row r="1650" spans="1:13" x14ac:dyDescent="0.35">
      <c r="A1650" s="11"/>
      <c r="B1650" s="12"/>
      <c r="C1650" s="12"/>
      <c r="D1650" s="12"/>
      <c r="E1650" s="13"/>
      <c r="F1650" s="13"/>
      <c r="G1650" s="13"/>
      <c r="H1650" s="13"/>
      <c r="I1650" s="12"/>
      <c r="J1650" s="13"/>
      <c r="K1650" s="14" t="str">
        <f>IF(C1650="","",IFERROR(N('Fee Settings'!$C$5)*(E1650+N(F1650)-N(J1650))+N('Fee Settings'!$C$6)*(E1650+N(F1650)+N(G1650))+N('Fee Settings'!$C$7)+N('Fee Settings'!$C$10)*D1650+IF(I1650="Yes",MIN(N('Fee Settings'!$C$8)*(E1650+N(F1650)),N('Fee Settings'!$C$9)),0),""))</f>
        <v/>
      </c>
      <c r="L1650" s="14" t="str">
        <f>IF(C1650="","",IFERROR(D1650*N(INDEX(Products!$C$5:$C$29,MATCH(C1650,Lists!$A$2:$A$26,0))),""))</f>
        <v/>
      </c>
      <c r="M1650" s="15" t="str">
        <f t="shared" si="25"/>
        <v/>
      </c>
    </row>
    <row r="1651" spans="1:13" x14ac:dyDescent="0.35">
      <c r="A1651" s="11"/>
      <c r="B1651" s="12"/>
      <c r="C1651" s="12"/>
      <c r="D1651" s="12"/>
      <c r="E1651" s="13"/>
      <c r="F1651" s="13"/>
      <c r="G1651" s="13"/>
      <c r="H1651" s="13"/>
      <c r="I1651" s="12"/>
      <c r="J1651" s="13"/>
      <c r="K1651" s="14" t="str">
        <f>IF(C1651="","",IFERROR(N('Fee Settings'!$C$5)*(E1651+N(F1651)-N(J1651))+N('Fee Settings'!$C$6)*(E1651+N(F1651)+N(G1651))+N('Fee Settings'!$C$7)+N('Fee Settings'!$C$10)*D1651+IF(I1651="Yes",MIN(N('Fee Settings'!$C$8)*(E1651+N(F1651)),N('Fee Settings'!$C$9)),0),""))</f>
        <v/>
      </c>
      <c r="L1651" s="14" t="str">
        <f>IF(C1651="","",IFERROR(D1651*N(INDEX(Products!$C$5:$C$29,MATCH(C1651,Lists!$A$2:$A$26,0))),""))</f>
        <v/>
      </c>
      <c r="M1651" s="15" t="str">
        <f t="shared" si="25"/>
        <v/>
      </c>
    </row>
    <row r="1652" spans="1:13" x14ac:dyDescent="0.35">
      <c r="A1652" s="11"/>
      <c r="B1652" s="12"/>
      <c r="C1652" s="12"/>
      <c r="D1652" s="12"/>
      <c r="E1652" s="13"/>
      <c r="F1652" s="13"/>
      <c r="G1652" s="13"/>
      <c r="H1652" s="13"/>
      <c r="I1652" s="12"/>
      <c r="J1652" s="13"/>
      <c r="K1652" s="14" t="str">
        <f>IF(C1652="","",IFERROR(N('Fee Settings'!$C$5)*(E1652+N(F1652)-N(J1652))+N('Fee Settings'!$C$6)*(E1652+N(F1652)+N(G1652))+N('Fee Settings'!$C$7)+N('Fee Settings'!$C$10)*D1652+IF(I1652="Yes",MIN(N('Fee Settings'!$C$8)*(E1652+N(F1652)),N('Fee Settings'!$C$9)),0),""))</f>
        <v/>
      </c>
      <c r="L1652" s="14" t="str">
        <f>IF(C1652="","",IFERROR(D1652*N(INDEX(Products!$C$5:$C$29,MATCH(C1652,Lists!$A$2:$A$26,0))),""))</f>
        <v/>
      </c>
      <c r="M1652" s="15" t="str">
        <f t="shared" si="25"/>
        <v/>
      </c>
    </row>
    <row r="1653" spans="1:13" x14ac:dyDescent="0.35">
      <c r="A1653" s="11"/>
      <c r="B1653" s="12"/>
      <c r="C1653" s="12"/>
      <c r="D1653" s="12"/>
      <c r="E1653" s="13"/>
      <c r="F1653" s="13"/>
      <c r="G1653" s="13"/>
      <c r="H1653" s="13"/>
      <c r="I1653" s="12"/>
      <c r="J1653" s="13"/>
      <c r="K1653" s="14" t="str">
        <f>IF(C1653="","",IFERROR(N('Fee Settings'!$C$5)*(E1653+N(F1653)-N(J1653))+N('Fee Settings'!$C$6)*(E1653+N(F1653)+N(G1653))+N('Fee Settings'!$C$7)+N('Fee Settings'!$C$10)*D1653+IF(I1653="Yes",MIN(N('Fee Settings'!$C$8)*(E1653+N(F1653)),N('Fee Settings'!$C$9)),0),""))</f>
        <v/>
      </c>
      <c r="L1653" s="14" t="str">
        <f>IF(C1653="","",IFERROR(D1653*N(INDEX(Products!$C$5:$C$29,MATCH(C1653,Lists!$A$2:$A$26,0))),""))</f>
        <v/>
      </c>
      <c r="M1653" s="15" t="str">
        <f t="shared" si="25"/>
        <v/>
      </c>
    </row>
    <row r="1654" spans="1:13" x14ac:dyDescent="0.35">
      <c r="A1654" s="11"/>
      <c r="B1654" s="12"/>
      <c r="C1654" s="12"/>
      <c r="D1654" s="12"/>
      <c r="E1654" s="13"/>
      <c r="F1654" s="13"/>
      <c r="G1654" s="13"/>
      <c r="H1654" s="13"/>
      <c r="I1654" s="12"/>
      <c r="J1654" s="13"/>
      <c r="K1654" s="14" t="str">
        <f>IF(C1654="","",IFERROR(N('Fee Settings'!$C$5)*(E1654+N(F1654)-N(J1654))+N('Fee Settings'!$C$6)*(E1654+N(F1654)+N(G1654))+N('Fee Settings'!$C$7)+N('Fee Settings'!$C$10)*D1654+IF(I1654="Yes",MIN(N('Fee Settings'!$C$8)*(E1654+N(F1654)),N('Fee Settings'!$C$9)),0),""))</f>
        <v/>
      </c>
      <c r="L1654" s="14" t="str">
        <f>IF(C1654="","",IFERROR(D1654*N(INDEX(Products!$C$5:$C$29,MATCH(C1654,Lists!$A$2:$A$26,0))),""))</f>
        <v/>
      </c>
      <c r="M1654" s="15" t="str">
        <f t="shared" si="25"/>
        <v/>
      </c>
    </row>
    <row r="1655" spans="1:13" x14ac:dyDescent="0.35">
      <c r="A1655" s="11"/>
      <c r="B1655" s="12"/>
      <c r="C1655" s="12"/>
      <c r="D1655" s="12"/>
      <c r="E1655" s="13"/>
      <c r="F1655" s="13"/>
      <c r="G1655" s="13"/>
      <c r="H1655" s="13"/>
      <c r="I1655" s="12"/>
      <c r="J1655" s="13"/>
      <c r="K1655" s="14" t="str">
        <f>IF(C1655="","",IFERROR(N('Fee Settings'!$C$5)*(E1655+N(F1655)-N(J1655))+N('Fee Settings'!$C$6)*(E1655+N(F1655)+N(G1655))+N('Fee Settings'!$C$7)+N('Fee Settings'!$C$10)*D1655+IF(I1655="Yes",MIN(N('Fee Settings'!$C$8)*(E1655+N(F1655)),N('Fee Settings'!$C$9)),0),""))</f>
        <v/>
      </c>
      <c r="L1655" s="14" t="str">
        <f>IF(C1655="","",IFERROR(D1655*N(INDEX(Products!$C$5:$C$29,MATCH(C1655,Lists!$A$2:$A$26,0))),""))</f>
        <v/>
      </c>
      <c r="M1655" s="15" t="str">
        <f t="shared" si="25"/>
        <v/>
      </c>
    </row>
    <row r="1656" spans="1:13" x14ac:dyDescent="0.35">
      <c r="A1656" s="11"/>
      <c r="B1656" s="12"/>
      <c r="C1656" s="12"/>
      <c r="D1656" s="12"/>
      <c r="E1656" s="13"/>
      <c r="F1656" s="13"/>
      <c r="G1656" s="13"/>
      <c r="H1656" s="13"/>
      <c r="I1656" s="12"/>
      <c r="J1656" s="13"/>
      <c r="K1656" s="14" t="str">
        <f>IF(C1656="","",IFERROR(N('Fee Settings'!$C$5)*(E1656+N(F1656)-N(J1656))+N('Fee Settings'!$C$6)*(E1656+N(F1656)+N(G1656))+N('Fee Settings'!$C$7)+N('Fee Settings'!$C$10)*D1656+IF(I1656="Yes",MIN(N('Fee Settings'!$C$8)*(E1656+N(F1656)),N('Fee Settings'!$C$9)),0),""))</f>
        <v/>
      </c>
      <c r="L1656" s="14" t="str">
        <f>IF(C1656="","",IFERROR(D1656*N(INDEX(Products!$C$5:$C$29,MATCH(C1656,Lists!$A$2:$A$26,0))),""))</f>
        <v/>
      </c>
      <c r="M1656" s="15" t="str">
        <f t="shared" si="25"/>
        <v/>
      </c>
    </row>
    <row r="1657" spans="1:13" x14ac:dyDescent="0.35">
      <c r="A1657" s="11"/>
      <c r="B1657" s="12"/>
      <c r="C1657" s="12"/>
      <c r="D1657" s="12"/>
      <c r="E1657" s="13"/>
      <c r="F1657" s="13"/>
      <c r="G1657" s="13"/>
      <c r="H1657" s="13"/>
      <c r="I1657" s="12"/>
      <c r="J1657" s="13"/>
      <c r="K1657" s="14" t="str">
        <f>IF(C1657="","",IFERROR(N('Fee Settings'!$C$5)*(E1657+N(F1657)-N(J1657))+N('Fee Settings'!$C$6)*(E1657+N(F1657)+N(G1657))+N('Fee Settings'!$C$7)+N('Fee Settings'!$C$10)*D1657+IF(I1657="Yes",MIN(N('Fee Settings'!$C$8)*(E1657+N(F1657)),N('Fee Settings'!$C$9)),0),""))</f>
        <v/>
      </c>
      <c r="L1657" s="14" t="str">
        <f>IF(C1657="","",IFERROR(D1657*N(INDEX(Products!$C$5:$C$29,MATCH(C1657,Lists!$A$2:$A$26,0))),""))</f>
        <v/>
      </c>
      <c r="M1657" s="15" t="str">
        <f t="shared" si="25"/>
        <v/>
      </c>
    </row>
    <row r="1658" spans="1:13" x14ac:dyDescent="0.35">
      <c r="A1658" s="11"/>
      <c r="B1658" s="12"/>
      <c r="C1658" s="12"/>
      <c r="D1658" s="12"/>
      <c r="E1658" s="13"/>
      <c r="F1658" s="13"/>
      <c r="G1658" s="13"/>
      <c r="H1658" s="13"/>
      <c r="I1658" s="12"/>
      <c r="J1658" s="13"/>
      <c r="K1658" s="14" t="str">
        <f>IF(C1658="","",IFERROR(N('Fee Settings'!$C$5)*(E1658+N(F1658)-N(J1658))+N('Fee Settings'!$C$6)*(E1658+N(F1658)+N(G1658))+N('Fee Settings'!$C$7)+N('Fee Settings'!$C$10)*D1658+IF(I1658="Yes",MIN(N('Fee Settings'!$C$8)*(E1658+N(F1658)),N('Fee Settings'!$C$9)),0),""))</f>
        <v/>
      </c>
      <c r="L1658" s="14" t="str">
        <f>IF(C1658="","",IFERROR(D1658*N(INDEX(Products!$C$5:$C$29,MATCH(C1658,Lists!$A$2:$A$26,0))),""))</f>
        <v/>
      </c>
      <c r="M1658" s="15" t="str">
        <f t="shared" si="25"/>
        <v/>
      </c>
    </row>
    <row r="1659" spans="1:13" x14ac:dyDescent="0.35">
      <c r="A1659" s="11"/>
      <c r="B1659" s="12"/>
      <c r="C1659" s="12"/>
      <c r="D1659" s="12"/>
      <c r="E1659" s="13"/>
      <c r="F1659" s="13"/>
      <c r="G1659" s="13"/>
      <c r="H1659" s="13"/>
      <c r="I1659" s="12"/>
      <c r="J1659" s="13"/>
      <c r="K1659" s="14" t="str">
        <f>IF(C1659="","",IFERROR(N('Fee Settings'!$C$5)*(E1659+N(F1659)-N(J1659))+N('Fee Settings'!$C$6)*(E1659+N(F1659)+N(G1659))+N('Fee Settings'!$C$7)+N('Fee Settings'!$C$10)*D1659+IF(I1659="Yes",MIN(N('Fee Settings'!$C$8)*(E1659+N(F1659)),N('Fee Settings'!$C$9)),0),""))</f>
        <v/>
      </c>
      <c r="L1659" s="14" t="str">
        <f>IF(C1659="","",IFERROR(D1659*N(INDEX(Products!$C$5:$C$29,MATCH(C1659,Lists!$A$2:$A$26,0))),""))</f>
        <v/>
      </c>
      <c r="M1659" s="15" t="str">
        <f t="shared" si="25"/>
        <v/>
      </c>
    </row>
    <row r="1660" spans="1:13" x14ac:dyDescent="0.35">
      <c r="A1660" s="11"/>
      <c r="B1660" s="12"/>
      <c r="C1660" s="12"/>
      <c r="D1660" s="12"/>
      <c r="E1660" s="13"/>
      <c r="F1660" s="13"/>
      <c r="G1660" s="13"/>
      <c r="H1660" s="13"/>
      <c r="I1660" s="12"/>
      <c r="J1660" s="13"/>
      <c r="K1660" s="14" t="str">
        <f>IF(C1660="","",IFERROR(N('Fee Settings'!$C$5)*(E1660+N(F1660)-N(J1660))+N('Fee Settings'!$C$6)*(E1660+N(F1660)+N(G1660))+N('Fee Settings'!$C$7)+N('Fee Settings'!$C$10)*D1660+IF(I1660="Yes",MIN(N('Fee Settings'!$C$8)*(E1660+N(F1660)),N('Fee Settings'!$C$9)),0),""))</f>
        <v/>
      </c>
      <c r="L1660" s="14" t="str">
        <f>IF(C1660="","",IFERROR(D1660*N(INDEX(Products!$C$5:$C$29,MATCH(C1660,Lists!$A$2:$A$26,0))),""))</f>
        <v/>
      </c>
      <c r="M1660" s="15" t="str">
        <f t="shared" si="25"/>
        <v/>
      </c>
    </row>
    <row r="1661" spans="1:13" x14ac:dyDescent="0.35">
      <c r="A1661" s="11"/>
      <c r="B1661" s="12"/>
      <c r="C1661" s="12"/>
      <c r="D1661" s="12"/>
      <c r="E1661" s="13"/>
      <c r="F1661" s="13"/>
      <c r="G1661" s="13"/>
      <c r="H1661" s="13"/>
      <c r="I1661" s="12"/>
      <c r="J1661" s="13"/>
      <c r="K1661" s="14" t="str">
        <f>IF(C1661="","",IFERROR(N('Fee Settings'!$C$5)*(E1661+N(F1661)-N(J1661))+N('Fee Settings'!$C$6)*(E1661+N(F1661)+N(G1661))+N('Fee Settings'!$C$7)+N('Fee Settings'!$C$10)*D1661+IF(I1661="Yes",MIN(N('Fee Settings'!$C$8)*(E1661+N(F1661)),N('Fee Settings'!$C$9)),0),""))</f>
        <v/>
      </c>
      <c r="L1661" s="14" t="str">
        <f>IF(C1661="","",IFERROR(D1661*N(INDEX(Products!$C$5:$C$29,MATCH(C1661,Lists!$A$2:$A$26,0))),""))</f>
        <v/>
      </c>
      <c r="M1661" s="15" t="str">
        <f t="shared" si="25"/>
        <v/>
      </c>
    </row>
    <row r="1662" spans="1:13" x14ac:dyDescent="0.35">
      <c r="A1662" s="11"/>
      <c r="B1662" s="12"/>
      <c r="C1662" s="12"/>
      <c r="D1662" s="12"/>
      <c r="E1662" s="13"/>
      <c r="F1662" s="13"/>
      <c r="G1662" s="13"/>
      <c r="H1662" s="13"/>
      <c r="I1662" s="12"/>
      <c r="J1662" s="13"/>
      <c r="K1662" s="14" t="str">
        <f>IF(C1662="","",IFERROR(N('Fee Settings'!$C$5)*(E1662+N(F1662)-N(J1662))+N('Fee Settings'!$C$6)*(E1662+N(F1662)+N(G1662))+N('Fee Settings'!$C$7)+N('Fee Settings'!$C$10)*D1662+IF(I1662="Yes",MIN(N('Fee Settings'!$C$8)*(E1662+N(F1662)),N('Fee Settings'!$C$9)),0),""))</f>
        <v/>
      </c>
      <c r="L1662" s="14" t="str">
        <f>IF(C1662="","",IFERROR(D1662*N(INDEX(Products!$C$5:$C$29,MATCH(C1662,Lists!$A$2:$A$26,0))),""))</f>
        <v/>
      </c>
      <c r="M1662" s="15" t="str">
        <f t="shared" si="25"/>
        <v/>
      </c>
    </row>
    <row r="1663" spans="1:13" x14ac:dyDescent="0.35">
      <c r="A1663" s="11"/>
      <c r="B1663" s="12"/>
      <c r="C1663" s="12"/>
      <c r="D1663" s="12"/>
      <c r="E1663" s="13"/>
      <c r="F1663" s="13"/>
      <c r="G1663" s="13"/>
      <c r="H1663" s="13"/>
      <c r="I1663" s="12"/>
      <c r="J1663" s="13"/>
      <c r="K1663" s="14" t="str">
        <f>IF(C1663="","",IFERROR(N('Fee Settings'!$C$5)*(E1663+N(F1663)-N(J1663))+N('Fee Settings'!$C$6)*(E1663+N(F1663)+N(G1663))+N('Fee Settings'!$C$7)+N('Fee Settings'!$C$10)*D1663+IF(I1663="Yes",MIN(N('Fee Settings'!$C$8)*(E1663+N(F1663)),N('Fee Settings'!$C$9)),0),""))</f>
        <v/>
      </c>
      <c r="L1663" s="14" t="str">
        <f>IF(C1663="","",IFERROR(D1663*N(INDEX(Products!$C$5:$C$29,MATCH(C1663,Lists!$A$2:$A$26,0))),""))</f>
        <v/>
      </c>
      <c r="M1663" s="15" t="str">
        <f t="shared" si="25"/>
        <v/>
      </c>
    </row>
    <row r="1664" spans="1:13" x14ac:dyDescent="0.35">
      <c r="A1664" s="11"/>
      <c r="B1664" s="12"/>
      <c r="C1664" s="12"/>
      <c r="D1664" s="12"/>
      <c r="E1664" s="13"/>
      <c r="F1664" s="13"/>
      <c r="G1664" s="13"/>
      <c r="H1664" s="13"/>
      <c r="I1664" s="12"/>
      <c r="J1664" s="13"/>
      <c r="K1664" s="14" t="str">
        <f>IF(C1664="","",IFERROR(N('Fee Settings'!$C$5)*(E1664+N(F1664)-N(J1664))+N('Fee Settings'!$C$6)*(E1664+N(F1664)+N(G1664))+N('Fee Settings'!$C$7)+N('Fee Settings'!$C$10)*D1664+IF(I1664="Yes",MIN(N('Fee Settings'!$C$8)*(E1664+N(F1664)),N('Fee Settings'!$C$9)),0),""))</f>
        <v/>
      </c>
      <c r="L1664" s="14" t="str">
        <f>IF(C1664="","",IFERROR(D1664*N(INDEX(Products!$C$5:$C$29,MATCH(C1664,Lists!$A$2:$A$26,0))),""))</f>
        <v/>
      </c>
      <c r="M1664" s="15" t="str">
        <f t="shared" si="25"/>
        <v/>
      </c>
    </row>
    <row r="1665" spans="1:13" x14ac:dyDescent="0.35">
      <c r="A1665" s="11"/>
      <c r="B1665" s="12"/>
      <c r="C1665" s="12"/>
      <c r="D1665" s="12"/>
      <c r="E1665" s="13"/>
      <c r="F1665" s="13"/>
      <c r="G1665" s="13"/>
      <c r="H1665" s="13"/>
      <c r="I1665" s="12"/>
      <c r="J1665" s="13"/>
      <c r="K1665" s="14" t="str">
        <f>IF(C1665="","",IFERROR(N('Fee Settings'!$C$5)*(E1665+N(F1665)-N(J1665))+N('Fee Settings'!$C$6)*(E1665+N(F1665)+N(G1665))+N('Fee Settings'!$C$7)+N('Fee Settings'!$C$10)*D1665+IF(I1665="Yes",MIN(N('Fee Settings'!$C$8)*(E1665+N(F1665)),N('Fee Settings'!$C$9)),0),""))</f>
        <v/>
      </c>
      <c r="L1665" s="14" t="str">
        <f>IF(C1665="","",IFERROR(D1665*N(INDEX(Products!$C$5:$C$29,MATCH(C1665,Lists!$A$2:$A$26,0))),""))</f>
        <v/>
      </c>
      <c r="M1665" s="15" t="str">
        <f t="shared" si="25"/>
        <v/>
      </c>
    </row>
    <row r="1666" spans="1:13" x14ac:dyDescent="0.35">
      <c r="A1666" s="11"/>
      <c r="B1666" s="12"/>
      <c r="C1666" s="12"/>
      <c r="D1666" s="12"/>
      <c r="E1666" s="13"/>
      <c r="F1666" s="13"/>
      <c r="G1666" s="13"/>
      <c r="H1666" s="13"/>
      <c r="I1666" s="12"/>
      <c r="J1666" s="13"/>
      <c r="K1666" s="14" t="str">
        <f>IF(C1666="","",IFERROR(N('Fee Settings'!$C$5)*(E1666+N(F1666)-N(J1666))+N('Fee Settings'!$C$6)*(E1666+N(F1666)+N(G1666))+N('Fee Settings'!$C$7)+N('Fee Settings'!$C$10)*D1666+IF(I1666="Yes",MIN(N('Fee Settings'!$C$8)*(E1666+N(F1666)),N('Fee Settings'!$C$9)),0),""))</f>
        <v/>
      </c>
      <c r="L1666" s="14" t="str">
        <f>IF(C1666="","",IFERROR(D1666*N(INDEX(Products!$C$5:$C$29,MATCH(C1666,Lists!$A$2:$A$26,0))),""))</f>
        <v/>
      </c>
      <c r="M1666" s="15" t="str">
        <f t="shared" si="25"/>
        <v/>
      </c>
    </row>
    <row r="1667" spans="1:13" x14ac:dyDescent="0.35">
      <c r="A1667" s="11"/>
      <c r="B1667" s="12"/>
      <c r="C1667" s="12"/>
      <c r="D1667" s="12"/>
      <c r="E1667" s="13"/>
      <c r="F1667" s="13"/>
      <c r="G1667" s="13"/>
      <c r="H1667" s="13"/>
      <c r="I1667" s="12"/>
      <c r="J1667" s="13"/>
      <c r="K1667" s="14" t="str">
        <f>IF(C1667="","",IFERROR(N('Fee Settings'!$C$5)*(E1667+N(F1667)-N(J1667))+N('Fee Settings'!$C$6)*(E1667+N(F1667)+N(G1667))+N('Fee Settings'!$C$7)+N('Fee Settings'!$C$10)*D1667+IF(I1667="Yes",MIN(N('Fee Settings'!$C$8)*(E1667+N(F1667)),N('Fee Settings'!$C$9)),0),""))</f>
        <v/>
      </c>
      <c r="L1667" s="14" t="str">
        <f>IF(C1667="","",IFERROR(D1667*N(INDEX(Products!$C$5:$C$29,MATCH(C1667,Lists!$A$2:$A$26,0))),""))</f>
        <v/>
      </c>
      <c r="M1667" s="15" t="str">
        <f t="shared" si="25"/>
        <v/>
      </c>
    </row>
    <row r="1668" spans="1:13" x14ac:dyDescent="0.35">
      <c r="A1668" s="11"/>
      <c r="B1668" s="12"/>
      <c r="C1668" s="12"/>
      <c r="D1668" s="12"/>
      <c r="E1668" s="13"/>
      <c r="F1668" s="13"/>
      <c r="G1668" s="13"/>
      <c r="H1668" s="13"/>
      <c r="I1668" s="12"/>
      <c r="J1668" s="13"/>
      <c r="K1668" s="14" t="str">
        <f>IF(C1668="","",IFERROR(N('Fee Settings'!$C$5)*(E1668+N(F1668)-N(J1668))+N('Fee Settings'!$C$6)*(E1668+N(F1668)+N(G1668))+N('Fee Settings'!$C$7)+N('Fee Settings'!$C$10)*D1668+IF(I1668="Yes",MIN(N('Fee Settings'!$C$8)*(E1668+N(F1668)),N('Fee Settings'!$C$9)),0),""))</f>
        <v/>
      </c>
      <c r="L1668" s="14" t="str">
        <f>IF(C1668="","",IFERROR(D1668*N(INDEX(Products!$C$5:$C$29,MATCH(C1668,Lists!$A$2:$A$26,0))),""))</f>
        <v/>
      </c>
      <c r="M1668" s="15" t="str">
        <f t="shared" si="25"/>
        <v/>
      </c>
    </row>
    <row r="1669" spans="1:13" x14ac:dyDescent="0.35">
      <c r="A1669" s="11"/>
      <c r="B1669" s="12"/>
      <c r="C1669" s="12"/>
      <c r="D1669" s="12"/>
      <c r="E1669" s="13"/>
      <c r="F1669" s="13"/>
      <c r="G1669" s="13"/>
      <c r="H1669" s="13"/>
      <c r="I1669" s="12"/>
      <c r="J1669" s="13"/>
      <c r="K1669" s="14" t="str">
        <f>IF(C1669="","",IFERROR(N('Fee Settings'!$C$5)*(E1669+N(F1669)-N(J1669))+N('Fee Settings'!$C$6)*(E1669+N(F1669)+N(G1669))+N('Fee Settings'!$C$7)+N('Fee Settings'!$C$10)*D1669+IF(I1669="Yes",MIN(N('Fee Settings'!$C$8)*(E1669+N(F1669)),N('Fee Settings'!$C$9)),0),""))</f>
        <v/>
      </c>
      <c r="L1669" s="14" t="str">
        <f>IF(C1669="","",IFERROR(D1669*N(INDEX(Products!$C$5:$C$29,MATCH(C1669,Lists!$A$2:$A$26,0))),""))</f>
        <v/>
      </c>
      <c r="M1669" s="15" t="str">
        <f t="shared" ref="M1669:M1732" si="26">IF(C1669="","",IFERROR(E1669+N(F1669)-N(J1669)-K1669-L1669-N(H1669),""))</f>
        <v/>
      </c>
    </row>
    <row r="1670" spans="1:13" x14ac:dyDescent="0.35">
      <c r="A1670" s="11"/>
      <c r="B1670" s="12"/>
      <c r="C1670" s="12"/>
      <c r="D1670" s="12"/>
      <c r="E1670" s="13"/>
      <c r="F1670" s="13"/>
      <c r="G1670" s="13"/>
      <c r="H1670" s="13"/>
      <c r="I1670" s="12"/>
      <c r="J1670" s="13"/>
      <c r="K1670" s="14" t="str">
        <f>IF(C1670="","",IFERROR(N('Fee Settings'!$C$5)*(E1670+N(F1670)-N(J1670))+N('Fee Settings'!$C$6)*(E1670+N(F1670)+N(G1670))+N('Fee Settings'!$C$7)+N('Fee Settings'!$C$10)*D1670+IF(I1670="Yes",MIN(N('Fee Settings'!$C$8)*(E1670+N(F1670)),N('Fee Settings'!$C$9)),0),""))</f>
        <v/>
      </c>
      <c r="L1670" s="14" t="str">
        <f>IF(C1670="","",IFERROR(D1670*N(INDEX(Products!$C$5:$C$29,MATCH(C1670,Lists!$A$2:$A$26,0))),""))</f>
        <v/>
      </c>
      <c r="M1670" s="15" t="str">
        <f t="shared" si="26"/>
        <v/>
      </c>
    </row>
    <row r="1671" spans="1:13" x14ac:dyDescent="0.35">
      <c r="A1671" s="11"/>
      <c r="B1671" s="12"/>
      <c r="C1671" s="12"/>
      <c r="D1671" s="12"/>
      <c r="E1671" s="13"/>
      <c r="F1671" s="13"/>
      <c r="G1671" s="13"/>
      <c r="H1671" s="13"/>
      <c r="I1671" s="12"/>
      <c r="J1671" s="13"/>
      <c r="K1671" s="14" t="str">
        <f>IF(C1671="","",IFERROR(N('Fee Settings'!$C$5)*(E1671+N(F1671)-N(J1671))+N('Fee Settings'!$C$6)*(E1671+N(F1671)+N(G1671))+N('Fee Settings'!$C$7)+N('Fee Settings'!$C$10)*D1671+IF(I1671="Yes",MIN(N('Fee Settings'!$C$8)*(E1671+N(F1671)),N('Fee Settings'!$C$9)),0),""))</f>
        <v/>
      </c>
      <c r="L1671" s="14" t="str">
        <f>IF(C1671="","",IFERROR(D1671*N(INDEX(Products!$C$5:$C$29,MATCH(C1671,Lists!$A$2:$A$26,0))),""))</f>
        <v/>
      </c>
      <c r="M1671" s="15" t="str">
        <f t="shared" si="26"/>
        <v/>
      </c>
    </row>
    <row r="1672" spans="1:13" x14ac:dyDescent="0.35">
      <c r="A1672" s="11"/>
      <c r="B1672" s="12"/>
      <c r="C1672" s="12"/>
      <c r="D1672" s="12"/>
      <c r="E1672" s="13"/>
      <c r="F1672" s="13"/>
      <c r="G1672" s="13"/>
      <c r="H1672" s="13"/>
      <c r="I1672" s="12"/>
      <c r="J1672" s="13"/>
      <c r="K1672" s="14" t="str">
        <f>IF(C1672="","",IFERROR(N('Fee Settings'!$C$5)*(E1672+N(F1672)-N(J1672))+N('Fee Settings'!$C$6)*(E1672+N(F1672)+N(G1672))+N('Fee Settings'!$C$7)+N('Fee Settings'!$C$10)*D1672+IF(I1672="Yes",MIN(N('Fee Settings'!$C$8)*(E1672+N(F1672)),N('Fee Settings'!$C$9)),0),""))</f>
        <v/>
      </c>
      <c r="L1672" s="14" t="str">
        <f>IF(C1672="","",IFERROR(D1672*N(INDEX(Products!$C$5:$C$29,MATCH(C1672,Lists!$A$2:$A$26,0))),""))</f>
        <v/>
      </c>
      <c r="M1672" s="15" t="str">
        <f t="shared" si="26"/>
        <v/>
      </c>
    </row>
    <row r="1673" spans="1:13" x14ac:dyDescent="0.35">
      <c r="A1673" s="11"/>
      <c r="B1673" s="12"/>
      <c r="C1673" s="12"/>
      <c r="D1673" s="12"/>
      <c r="E1673" s="13"/>
      <c r="F1673" s="13"/>
      <c r="G1673" s="13"/>
      <c r="H1673" s="13"/>
      <c r="I1673" s="12"/>
      <c r="J1673" s="13"/>
      <c r="K1673" s="14" t="str">
        <f>IF(C1673="","",IFERROR(N('Fee Settings'!$C$5)*(E1673+N(F1673)-N(J1673))+N('Fee Settings'!$C$6)*(E1673+N(F1673)+N(G1673))+N('Fee Settings'!$C$7)+N('Fee Settings'!$C$10)*D1673+IF(I1673="Yes",MIN(N('Fee Settings'!$C$8)*(E1673+N(F1673)),N('Fee Settings'!$C$9)),0),""))</f>
        <v/>
      </c>
      <c r="L1673" s="14" t="str">
        <f>IF(C1673="","",IFERROR(D1673*N(INDEX(Products!$C$5:$C$29,MATCH(C1673,Lists!$A$2:$A$26,0))),""))</f>
        <v/>
      </c>
      <c r="M1673" s="15" t="str">
        <f t="shared" si="26"/>
        <v/>
      </c>
    </row>
    <row r="1674" spans="1:13" x14ac:dyDescent="0.35">
      <c r="A1674" s="11"/>
      <c r="B1674" s="12"/>
      <c r="C1674" s="12"/>
      <c r="D1674" s="12"/>
      <c r="E1674" s="13"/>
      <c r="F1674" s="13"/>
      <c r="G1674" s="13"/>
      <c r="H1674" s="13"/>
      <c r="I1674" s="12"/>
      <c r="J1674" s="13"/>
      <c r="K1674" s="14" t="str">
        <f>IF(C1674="","",IFERROR(N('Fee Settings'!$C$5)*(E1674+N(F1674)-N(J1674))+N('Fee Settings'!$C$6)*(E1674+N(F1674)+N(G1674))+N('Fee Settings'!$C$7)+N('Fee Settings'!$C$10)*D1674+IF(I1674="Yes",MIN(N('Fee Settings'!$C$8)*(E1674+N(F1674)),N('Fee Settings'!$C$9)),0),""))</f>
        <v/>
      </c>
      <c r="L1674" s="14" t="str">
        <f>IF(C1674="","",IFERROR(D1674*N(INDEX(Products!$C$5:$C$29,MATCH(C1674,Lists!$A$2:$A$26,0))),""))</f>
        <v/>
      </c>
      <c r="M1674" s="15" t="str">
        <f t="shared" si="26"/>
        <v/>
      </c>
    </row>
    <row r="1675" spans="1:13" x14ac:dyDescent="0.35">
      <c r="A1675" s="11"/>
      <c r="B1675" s="12"/>
      <c r="C1675" s="12"/>
      <c r="D1675" s="12"/>
      <c r="E1675" s="13"/>
      <c r="F1675" s="13"/>
      <c r="G1675" s="13"/>
      <c r="H1675" s="13"/>
      <c r="I1675" s="12"/>
      <c r="J1675" s="13"/>
      <c r="K1675" s="14" t="str">
        <f>IF(C1675="","",IFERROR(N('Fee Settings'!$C$5)*(E1675+N(F1675)-N(J1675))+N('Fee Settings'!$C$6)*(E1675+N(F1675)+N(G1675))+N('Fee Settings'!$C$7)+N('Fee Settings'!$C$10)*D1675+IF(I1675="Yes",MIN(N('Fee Settings'!$C$8)*(E1675+N(F1675)),N('Fee Settings'!$C$9)),0),""))</f>
        <v/>
      </c>
      <c r="L1675" s="14" t="str">
        <f>IF(C1675="","",IFERROR(D1675*N(INDEX(Products!$C$5:$C$29,MATCH(C1675,Lists!$A$2:$A$26,0))),""))</f>
        <v/>
      </c>
      <c r="M1675" s="15" t="str">
        <f t="shared" si="26"/>
        <v/>
      </c>
    </row>
    <row r="1676" spans="1:13" x14ac:dyDescent="0.35">
      <c r="A1676" s="11"/>
      <c r="B1676" s="12"/>
      <c r="C1676" s="12"/>
      <c r="D1676" s="12"/>
      <c r="E1676" s="13"/>
      <c r="F1676" s="13"/>
      <c r="G1676" s="13"/>
      <c r="H1676" s="13"/>
      <c r="I1676" s="12"/>
      <c r="J1676" s="13"/>
      <c r="K1676" s="14" t="str">
        <f>IF(C1676="","",IFERROR(N('Fee Settings'!$C$5)*(E1676+N(F1676)-N(J1676))+N('Fee Settings'!$C$6)*(E1676+N(F1676)+N(G1676))+N('Fee Settings'!$C$7)+N('Fee Settings'!$C$10)*D1676+IF(I1676="Yes",MIN(N('Fee Settings'!$C$8)*(E1676+N(F1676)),N('Fee Settings'!$C$9)),0),""))</f>
        <v/>
      </c>
      <c r="L1676" s="14" t="str">
        <f>IF(C1676="","",IFERROR(D1676*N(INDEX(Products!$C$5:$C$29,MATCH(C1676,Lists!$A$2:$A$26,0))),""))</f>
        <v/>
      </c>
      <c r="M1676" s="15" t="str">
        <f t="shared" si="26"/>
        <v/>
      </c>
    </row>
    <row r="1677" spans="1:13" x14ac:dyDescent="0.35">
      <c r="A1677" s="11"/>
      <c r="B1677" s="12"/>
      <c r="C1677" s="12"/>
      <c r="D1677" s="12"/>
      <c r="E1677" s="13"/>
      <c r="F1677" s="13"/>
      <c r="G1677" s="13"/>
      <c r="H1677" s="13"/>
      <c r="I1677" s="12"/>
      <c r="J1677" s="13"/>
      <c r="K1677" s="14" t="str">
        <f>IF(C1677="","",IFERROR(N('Fee Settings'!$C$5)*(E1677+N(F1677)-N(J1677))+N('Fee Settings'!$C$6)*(E1677+N(F1677)+N(G1677))+N('Fee Settings'!$C$7)+N('Fee Settings'!$C$10)*D1677+IF(I1677="Yes",MIN(N('Fee Settings'!$C$8)*(E1677+N(F1677)),N('Fee Settings'!$C$9)),0),""))</f>
        <v/>
      </c>
      <c r="L1677" s="14" t="str">
        <f>IF(C1677="","",IFERROR(D1677*N(INDEX(Products!$C$5:$C$29,MATCH(C1677,Lists!$A$2:$A$26,0))),""))</f>
        <v/>
      </c>
      <c r="M1677" s="15" t="str">
        <f t="shared" si="26"/>
        <v/>
      </c>
    </row>
    <row r="1678" spans="1:13" x14ac:dyDescent="0.35">
      <c r="A1678" s="11"/>
      <c r="B1678" s="12"/>
      <c r="C1678" s="12"/>
      <c r="D1678" s="12"/>
      <c r="E1678" s="13"/>
      <c r="F1678" s="13"/>
      <c r="G1678" s="13"/>
      <c r="H1678" s="13"/>
      <c r="I1678" s="12"/>
      <c r="J1678" s="13"/>
      <c r="K1678" s="14" t="str">
        <f>IF(C1678="","",IFERROR(N('Fee Settings'!$C$5)*(E1678+N(F1678)-N(J1678))+N('Fee Settings'!$C$6)*(E1678+N(F1678)+N(G1678))+N('Fee Settings'!$C$7)+N('Fee Settings'!$C$10)*D1678+IF(I1678="Yes",MIN(N('Fee Settings'!$C$8)*(E1678+N(F1678)),N('Fee Settings'!$C$9)),0),""))</f>
        <v/>
      </c>
      <c r="L1678" s="14" t="str">
        <f>IF(C1678="","",IFERROR(D1678*N(INDEX(Products!$C$5:$C$29,MATCH(C1678,Lists!$A$2:$A$26,0))),""))</f>
        <v/>
      </c>
      <c r="M1678" s="15" t="str">
        <f t="shared" si="26"/>
        <v/>
      </c>
    </row>
    <row r="1679" spans="1:13" x14ac:dyDescent="0.35">
      <c r="A1679" s="11"/>
      <c r="B1679" s="12"/>
      <c r="C1679" s="12"/>
      <c r="D1679" s="12"/>
      <c r="E1679" s="13"/>
      <c r="F1679" s="13"/>
      <c r="G1679" s="13"/>
      <c r="H1679" s="13"/>
      <c r="I1679" s="12"/>
      <c r="J1679" s="13"/>
      <c r="K1679" s="14" t="str">
        <f>IF(C1679="","",IFERROR(N('Fee Settings'!$C$5)*(E1679+N(F1679)-N(J1679))+N('Fee Settings'!$C$6)*(E1679+N(F1679)+N(G1679))+N('Fee Settings'!$C$7)+N('Fee Settings'!$C$10)*D1679+IF(I1679="Yes",MIN(N('Fee Settings'!$C$8)*(E1679+N(F1679)),N('Fee Settings'!$C$9)),0),""))</f>
        <v/>
      </c>
      <c r="L1679" s="14" t="str">
        <f>IF(C1679="","",IFERROR(D1679*N(INDEX(Products!$C$5:$C$29,MATCH(C1679,Lists!$A$2:$A$26,0))),""))</f>
        <v/>
      </c>
      <c r="M1679" s="15" t="str">
        <f t="shared" si="26"/>
        <v/>
      </c>
    </row>
    <row r="1680" spans="1:13" x14ac:dyDescent="0.35">
      <c r="A1680" s="11"/>
      <c r="B1680" s="12"/>
      <c r="C1680" s="12"/>
      <c r="D1680" s="12"/>
      <c r="E1680" s="13"/>
      <c r="F1680" s="13"/>
      <c r="G1680" s="13"/>
      <c r="H1680" s="13"/>
      <c r="I1680" s="12"/>
      <c r="J1680" s="13"/>
      <c r="K1680" s="14" t="str">
        <f>IF(C1680="","",IFERROR(N('Fee Settings'!$C$5)*(E1680+N(F1680)-N(J1680))+N('Fee Settings'!$C$6)*(E1680+N(F1680)+N(G1680))+N('Fee Settings'!$C$7)+N('Fee Settings'!$C$10)*D1680+IF(I1680="Yes",MIN(N('Fee Settings'!$C$8)*(E1680+N(F1680)),N('Fee Settings'!$C$9)),0),""))</f>
        <v/>
      </c>
      <c r="L1680" s="14" t="str">
        <f>IF(C1680="","",IFERROR(D1680*N(INDEX(Products!$C$5:$C$29,MATCH(C1680,Lists!$A$2:$A$26,0))),""))</f>
        <v/>
      </c>
      <c r="M1680" s="15" t="str">
        <f t="shared" si="26"/>
        <v/>
      </c>
    </row>
    <row r="1681" spans="1:13" x14ac:dyDescent="0.35">
      <c r="A1681" s="11"/>
      <c r="B1681" s="12"/>
      <c r="C1681" s="12"/>
      <c r="D1681" s="12"/>
      <c r="E1681" s="13"/>
      <c r="F1681" s="13"/>
      <c r="G1681" s="13"/>
      <c r="H1681" s="13"/>
      <c r="I1681" s="12"/>
      <c r="J1681" s="13"/>
      <c r="K1681" s="14" t="str">
        <f>IF(C1681="","",IFERROR(N('Fee Settings'!$C$5)*(E1681+N(F1681)-N(J1681))+N('Fee Settings'!$C$6)*(E1681+N(F1681)+N(G1681))+N('Fee Settings'!$C$7)+N('Fee Settings'!$C$10)*D1681+IF(I1681="Yes",MIN(N('Fee Settings'!$C$8)*(E1681+N(F1681)),N('Fee Settings'!$C$9)),0),""))</f>
        <v/>
      </c>
      <c r="L1681" s="14" t="str">
        <f>IF(C1681="","",IFERROR(D1681*N(INDEX(Products!$C$5:$C$29,MATCH(C1681,Lists!$A$2:$A$26,0))),""))</f>
        <v/>
      </c>
      <c r="M1681" s="15" t="str">
        <f t="shared" si="26"/>
        <v/>
      </c>
    </row>
    <row r="1682" spans="1:13" x14ac:dyDescent="0.35">
      <c r="A1682" s="11"/>
      <c r="B1682" s="12"/>
      <c r="C1682" s="12"/>
      <c r="D1682" s="12"/>
      <c r="E1682" s="13"/>
      <c r="F1682" s="13"/>
      <c r="G1682" s="13"/>
      <c r="H1682" s="13"/>
      <c r="I1682" s="12"/>
      <c r="J1682" s="13"/>
      <c r="K1682" s="14" t="str">
        <f>IF(C1682="","",IFERROR(N('Fee Settings'!$C$5)*(E1682+N(F1682)-N(J1682))+N('Fee Settings'!$C$6)*(E1682+N(F1682)+N(G1682))+N('Fee Settings'!$C$7)+N('Fee Settings'!$C$10)*D1682+IF(I1682="Yes",MIN(N('Fee Settings'!$C$8)*(E1682+N(F1682)),N('Fee Settings'!$C$9)),0),""))</f>
        <v/>
      </c>
      <c r="L1682" s="14" t="str">
        <f>IF(C1682="","",IFERROR(D1682*N(INDEX(Products!$C$5:$C$29,MATCH(C1682,Lists!$A$2:$A$26,0))),""))</f>
        <v/>
      </c>
      <c r="M1682" s="15" t="str">
        <f t="shared" si="26"/>
        <v/>
      </c>
    </row>
    <row r="1683" spans="1:13" x14ac:dyDescent="0.35">
      <c r="A1683" s="11"/>
      <c r="B1683" s="12"/>
      <c r="C1683" s="12"/>
      <c r="D1683" s="12"/>
      <c r="E1683" s="13"/>
      <c r="F1683" s="13"/>
      <c r="G1683" s="13"/>
      <c r="H1683" s="13"/>
      <c r="I1683" s="12"/>
      <c r="J1683" s="13"/>
      <c r="K1683" s="14" t="str">
        <f>IF(C1683="","",IFERROR(N('Fee Settings'!$C$5)*(E1683+N(F1683)-N(J1683))+N('Fee Settings'!$C$6)*(E1683+N(F1683)+N(G1683))+N('Fee Settings'!$C$7)+N('Fee Settings'!$C$10)*D1683+IF(I1683="Yes",MIN(N('Fee Settings'!$C$8)*(E1683+N(F1683)),N('Fee Settings'!$C$9)),0),""))</f>
        <v/>
      </c>
      <c r="L1683" s="14" t="str">
        <f>IF(C1683="","",IFERROR(D1683*N(INDEX(Products!$C$5:$C$29,MATCH(C1683,Lists!$A$2:$A$26,0))),""))</f>
        <v/>
      </c>
      <c r="M1683" s="15" t="str">
        <f t="shared" si="26"/>
        <v/>
      </c>
    </row>
    <row r="1684" spans="1:13" x14ac:dyDescent="0.35">
      <c r="A1684" s="11"/>
      <c r="B1684" s="12"/>
      <c r="C1684" s="12"/>
      <c r="D1684" s="12"/>
      <c r="E1684" s="13"/>
      <c r="F1684" s="13"/>
      <c r="G1684" s="13"/>
      <c r="H1684" s="13"/>
      <c r="I1684" s="12"/>
      <c r="J1684" s="13"/>
      <c r="K1684" s="14" t="str">
        <f>IF(C1684="","",IFERROR(N('Fee Settings'!$C$5)*(E1684+N(F1684)-N(J1684))+N('Fee Settings'!$C$6)*(E1684+N(F1684)+N(G1684))+N('Fee Settings'!$C$7)+N('Fee Settings'!$C$10)*D1684+IF(I1684="Yes",MIN(N('Fee Settings'!$C$8)*(E1684+N(F1684)),N('Fee Settings'!$C$9)),0),""))</f>
        <v/>
      </c>
      <c r="L1684" s="14" t="str">
        <f>IF(C1684="","",IFERROR(D1684*N(INDEX(Products!$C$5:$C$29,MATCH(C1684,Lists!$A$2:$A$26,0))),""))</f>
        <v/>
      </c>
      <c r="M1684" s="15" t="str">
        <f t="shared" si="26"/>
        <v/>
      </c>
    </row>
    <row r="1685" spans="1:13" x14ac:dyDescent="0.35">
      <c r="A1685" s="11"/>
      <c r="B1685" s="12"/>
      <c r="C1685" s="12"/>
      <c r="D1685" s="12"/>
      <c r="E1685" s="13"/>
      <c r="F1685" s="13"/>
      <c r="G1685" s="13"/>
      <c r="H1685" s="13"/>
      <c r="I1685" s="12"/>
      <c r="J1685" s="13"/>
      <c r="K1685" s="14" t="str">
        <f>IF(C1685="","",IFERROR(N('Fee Settings'!$C$5)*(E1685+N(F1685)-N(J1685))+N('Fee Settings'!$C$6)*(E1685+N(F1685)+N(G1685))+N('Fee Settings'!$C$7)+N('Fee Settings'!$C$10)*D1685+IF(I1685="Yes",MIN(N('Fee Settings'!$C$8)*(E1685+N(F1685)),N('Fee Settings'!$C$9)),0),""))</f>
        <v/>
      </c>
      <c r="L1685" s="14" t="str">
        <f>IF(C1685="","",IFERROR(D1685*N(INDEX(Products!$C$5:$C$29,MATCH(C1685,Lists!$A$2:$A$26,0))),""))</f>
        <v/>
      </c>
      <c r="M1685" s="15" t="str">
        <f t="shared" si="26"/>
        <v/>
      </c>
    </row>
    <row r="1686" spans="1:13" x14ac:dyDescent="0.35">
      <c r="A1686" s="11"/>
      <c r="B1686" s="12"/>
      <c r="C1686" s="12"/>
      <c r="D1686" s="12"/>
      <c r="E1686" s="13"/>
      <c r="F1686" s="13"/>
      <c r="G1686" s="13"/>
      <c r="H1686" s="13"/>
      <c r="I1686" s="12"/>
      <c r="J1686" s="13"/>
      <c r="K1686" s="14" t="str">
        <f>IF(C1686="","",IFERROR(N('Fee Settings'!$C$5)*(E1686+N(F1686)-N(J1686))+N('Fee Settings'!$C$6)*(E1686+N(F1686)+N(G1686))+N('Fee Settings'!$C$7)+N('Fee Settings'!$C$10)*D1686+IF(I1686="Yes",MIN(N('Fee Settings'!$C$8)*(E1686+N(F1686)),N('Fee Settings'!$C$9)),0),""))</f>
        <v/>
      </c>
      <c r="L1686" s="14" t="str">
        <f>IF(C1686="","",IFERROR(D1686*N(INDEX(Products!$C$5:$C$29,MATCH(C1686,Lists!$A$2:$A$26,0))),""))</f>
        <v/>
      </c>
      <c r="M1686" s="15" t="str">
        <f t="shared" si="26"/>
        <v/>
      </c>
    </row>
    <row r="1687" spans="1:13" x14ac:dyDescent="0.35">
      <c r="A1687" s="11"/>
      <c r="B1687" s="12"/>
      <c r="C1687" s="12"/>
      <c r="D1687" s="12"/>
      <c r="E1687" s="13"/>
      <c r="F1687" s="13"/>
      <c r="G1687" s="13"/>
      <c r="H1687" s="13"/>
      <c r="I1687" s="12"/>
      <c r="J1687" s="13"/>
      <c r="K1687" s="14" t="str">
        <f>IF(C1687="","",IFERROR(N('Fee Settings'!$C$5)*(E1687+N(F1687)-N(J1687))+N('Fee Settings'!$C$6)*(E1687+N(F1687)+N(G1687))+N('Fee Settings'!$C$7)+N('Fee Settings'!$C$10)*D1687+IF(I1687="Yes",MIN(N('Fee Settings'!$C$8)*(E1687+N(F1687)),N('Fee Settings'!$C$9)),0),""))</f>
        <v/>
      </c>
      <c r="L1687" s="14" t="str">
        <f>IF(C1687="","",IFERROR(D1687*N(INDEX(Products!$C$5:$C$29,MATCH(C1687,Lists!$A$2:$A$26,0))),""))</f>
        <v/>
      </c>
      <c r="M1687" s="15" t="str">
        <f t="shared" si="26"/>
        <v/>
      </c>
    </row>
    <row r="1688" spans="1:13" x14ac:dyDescent="0.35">
      <c r="A1688" s="11"/>
      <c r="B1688" s="12"/>
      <c r="C1688" s="12"/>
      <c r="D1688" s="12"/>
      <c r="E1688" s="13"/>
      <c r="F1688" s="13"/>
      <c r="G1688" s="13"/>
      <c r="H1688" s="13"/>
      <c r="I1688" s="12"/>
      <c r="J1688" s="13"/>
      <c r="K1688" s="14" t="str">
        <f>IF(C1688="","",IFERROR(N('Fee Settings'!$C$5)*(E1688+N(F1688)-N(J1688))+N('Fee Settings'!$C$6)*(E1688+N(F1688)+N(G1688))+N('Fee Settings'!$C$7)+N('Fee Settings'!$C$10)*D1688+IF(I1688="Yes",MIN(N('Fee Settings'!$C$8)*(E1688+N(F1688)),N('Fee Settings'!$C$9)),0),""))</f>
        <v/>
      </c>
      <c r="L1688" s="14" t="str">
        <f>IF(C1688="","",IFERROR(D1688*N(INDEX(Products!$C$5:$C$29,MATCH(C1688,Lists!$A$2:$A$26,0))),""))</f>
        <v/>
      </c>
      <c r="M1688" s="15" t="str">
        <f t="shared" si="26"/>
        <v/>
      </c>
    </row>
    <row r="1689" spans="1:13" x14ac:dyDescent="0.35">
      <c r="A1689" s="11"/>
      <c r="B1689" s="12"/>
      <c r="C1689" s="12"/>
      <c r="D1689" s="12"/>
      <c r="E1689" s="13"/>
      <c r="F1689" s="13"/>
      <c r="G1689" s="13"/>
      <c r="H1689" s="13"/>
      <c r="I1689" s="12"/>
      <c r="J1689" s="13"/>
      <c r="K1689" s="14" t="str">
        <f>IF(C1689="","",IFERROR(N('Fee Settings'!$C$5)*(E1689+N(F1689)-N(J1689))+N('Fee Settings'!$C$6)*(E1689+N(F1689)+N(G1689))+N('Fee Settings'!$C$7)+N('Fee Settings'!$C$10)*D1689+IF(I1689="Yes",MIN(N('Fee Settings'!$C$8)*(E1689+N(F1689)),N('Fee Settings'!$C$9)),0),""))</f>
        <v/>
      </c>
      <c r="L1689" s="14" t="str">
        <f>IF(C1689="","",IFERROR(D1689*N(INDEX(Products!$C$5:$C$29,MATCH(C1689,Lists!$A$2:$A$26,0))),""))</f>
        <v/>
      </c>
      <c r="M1689" s="15" t="str">
        <f t="shared" si="26"/>
        <v/>
      </c>
    </row>
    <row r="1690" spans="1:13" x14ac:dyDescent="0.35">
      <c r="A1690" s="11"/>
      <c r="B1690" s="12"/>
      <c r="C1690" s="12"/>
      <c r="D1690" s="12"/>
      <c r="E1690" s="13"/>
      <c r="F1690" s="13"/>
      <c r="G1690" s="13"/>
      <c r="H1690" s="13"/>
      <c r="I1690" s="12"/>
      <c r="J1690" s="13"/>
      <c r="K1690" s="14" t="str">
        <f>IF(C1690="","",IFERROR(N('Fee Settings'!$C$5)*(E1690+N(F1690)-N(J1690))+N('Fee Settings'!$C$6)*(E1690+N(F1690)+N(G1690))+N('Fee Settings'!$C$7)+N('Fee Settings'!$C$10)*D1690+IF(I1690="Yes",MIN(N('Fee Settings'!$C$8)*(E1690+N(F1690)),N('Fee Settings'!$C$9)),0),""))</f>
        <v/>
      </c>
      <c r="L1690" s="14" t="str">
        <f>IF(C1690="","",IFERROR(D1690*N(INDEX(Products!$C$5:$C$29,MATCH(C1690,Lists!$A$2:$A$26,0))),""))</f>
        <v/>
      </c>
      <c r="M1690" s="15" t="str">
        <f t="shared" si="26"/>
        <v/>
      </c>
    </row>
    <row r="1691" spans="1:13" x14ac:dyDescent="0.35">
      <c r="A1691" s="11"/>
      <c r="B1691" s="12"/>
      <c r="C1691" s="12"/>
      <c r="D1691" s="12"/>
      <c r="E1691" s="13"/>
      <c r="F1691" s="13"/>
      <c r="G1691" s="13"/>
      <c r="H1691" s="13"/>
      <c r="I1691" s="12"/>
      <c r="J1691" s="13"/>
      <c r="K1691" s="14" t="str">
        <f>IF(C1691="","",IFERROR(N('Fee Settings'!$C$5)*(E1691+N(F1691)-N(J1691))+N('Fee Settings'!$C$6)*(E1691+N(F1691)+N(G1691))+N('Fee Settings'!$C$7)+N('Fee Settings'!$C$10)*D1691+IF(I1691="Yes",MIN(N('Fee Settings'!$C$8)*(E1691+N(F1691)),N('Fee Settings'!$C$9)),0),""))</f>
        <v/>
      </c>
      <c r="L1691" s="14" t="str">
        <f>IF(C1691="","",IFERROR(D1691*N(INDEX(Products!$C$5:$C$29,MATCH(C1691,Lists!$A$2:$A$26,0))),""))</f>
        <v/>
      </c>
      <c r="M1691" s="15" t="str">
        <f t="shared" si="26"/>
        <v/>
      </c>
    </row>
    <row r="1692" spans="1:13" x14ac:dyDescent="0.35">
      <c r="A1692" s="11"/>
      <c r="B1692" s="12"/>
      <c r="C1692" s="12"/>
      <c r="D1692" s="12"/>
      <c r="E1692" s="13"/>
      <c r="F1692" s="13"/>
      <c r="G1692" s="13"/>
      <c r="H1692" s="13"/>
      <c r="I1692" s="12"/>
      <c r="J1692" s="13"/>
      <c r="K1692" s="14" t="str">
        <f>IF(C1692="","",IFERROR(N('Fee Settings'!$C$5)*(E1692+N(F1692)-N(J1692))+N('Fee Settings'!$C$6)*(E1692+N(F1692)+N(G1692))+N('Fee Settings'!$C$7)+N('Fee Settings'!$C$10)*D1692+IF(I1692="Yes",MIN(N('Fee Settings'!$C$8)*(E1692+N(F1692)),N('Fee Settings'!$C$9)),0),""))</f>
        <v/>
      </c>
      <c r="L1692" s="14" t="str">
        <f>IF(C1692="","",IFERROR(D1692*N(INDEX(Products!$C$5:$C$29,MATCH(C1692,Lists!$A$2:$A$26,0))),""))</f>
        <v/>
      </c>
      <c r="M1692" s="15" t="str">
        <f t="shared" si="26"/>
        <v/>
      </c>
    </row>
    <row r="1693" spans="1:13" x14ac:dyDescent="0.35">
      <c r="A1693" s="11"/>
      <c r="B1693" s="12"/>
      <c r="C1693" s="12"/>
      <c r="D1693" s="12"/>
      <c r="E1693" s="13"/>
      <c r="F1693" s="13"/>
      <c r="G1693" s="13"/>
      <c r="H1693" s="13"/>
      <c r="I1693" s="12"/>
      <c r="J1693" s="13"/>
      <c r="K1693" s="14" t="str">
        <f>IF(C1693="","",IFERROR(N('Fee Settings'!$C$5)*(E1693+N(F1693)-N(J1693))+N('Fee Settings'!$C$6)*(E1693+N(F1693)+N(G1693))+N('Fee Settings'!$C$7)+N('Fee Settings'!$C$10)*D1693+IF(I1693="Yes",MIN(N('Fee Settings'!$C$8)*(E1693+N(F1693)),N('Fee Settings'!$C$9)),0),""))</f>
        <v/>
      </c>
      <c r="L1693" s="14" t="str">
        <f>IF(C1693="","",IFERROR(D1693*N(INDEX(Products!$C$5:$C$29,MATCH(C1693,Lists!$A$2:$A$26,0))),""))</f>
        <v/>
      </c>
      <c r="M1693" s="15" t="str">
        <f t="shared" si="26"/>
        <v/>
      </c>
    </row>
    <row r="1694" spans="1:13" x14ac:dyDescent="0.35">
      <c r="A1694" s="11"/>
      <c r="B1694" s="12"/>
      <c r="C1694" s="12"/>
      <c r="D1694" s="12"/>
      <c r="E1694" s="13"/>
      <c r="F1694" s="13"/>
      <c r="G1694" s="13"/>
      <c r="H1694" s="13"/>
      <c r="I1694" s="12"/>
      <c r="J1694" s="13"/>
      <c r="K1694" s="14" t="str">
        <f>IF(C1694="","",IFERROR(N('Fee Settings'!$C$5)*(E1694+N(F1694)-N(J1694))+N('Fee Settings'!$C$6)*(E1694+N(F1694)+N(G1694))+N('Fee Settings'!$C$7)+N('Fee Settings'!$C$10)*D1694+IF(I1694="Yes",MIN(N('Fee Settings'!$C$8)*(E1694+N(F1694)),N('Fee Settings'!$C$9)),0),""))</f>
        <v/>
      </c>
      <c r="L1694" s="14" t="str">
        <f>IF(C1694="","",IFERROR(D1694*N(INDEX(Products!$C$5:$C$29,MATCH(C1694,Lists!$A$2:$A$26,0))),""))</f>
        <v/>
      </c>
      <c r="M1694" s="15" t="str">
        <f t="shared" si="26"/>
        <v/>
      </c>
    </row>
    <row r="1695" spans="1:13" x14ac:dyDescent="0.35">
      <c r="A1695" s="11"/>
      <c r="B1695" s="12"/>
      <c r="C1695" s="12"/>
      <c r="D1695" s="12"/>
      <c r="E1695" s="13"/>
      <c r="F1695" s="13"/>
      <c r="G1695" s="13"/>
      <c r="H1695" s="13"/>
      <c r="I1695" s="12"/>
      <c r="J1695" s="13"/>
      <c r="K1695" s="14" t="str">
        <f>IF(C1695="","",IFERROR(N('Fee Settings'!$C$5)*(E1695+N(F1695)-N(J1695))+N('Fee Settings'!$C$6)*(E1695+N(F1695)+N(G1695))+N('Fee Settings'!$C$7)+N('Fee Settings'!$C$10)*D1695+IF(I1695="Yes",MIN(N('Fee Settings'!$C$8)*(E1695+N(F1695)),N('Fee Settings'!$C$9)),0),""))</f>
        <v/>
      </c>
      <c r="L1695" s="14" t="str">
        <f>IF(C1695="","",IFERROR(D1695*N(INDEX(Products!$C$5:$C$29,MATCH(C1695,Lists!$A$2:$A$26,0))),""))</f>
        <v/>
      </c>
      <c r="M1695" s="15" t="str">
        <f t="shared" si="26"/>
        <v/>
      </c>
    </row>
    <row r="1696" spans="1:13" x14ac:dyDescent="0.35">
      <c r="A1696" s="11"/>
      <c r="B1696" s="12"/>
      <c r="C1696" s="12"/>
      <c r="D1696" s="12"/>
      <c r="E1696" s="13"/>
      <c r="F1696" s="13"/>
      <c r="G1696" s="13"/>
      <c r="H1696" s="13"/>
      <c r="I1696" s="12"/>
      <c r="J1696" s="13"/>
      <c r="K1696" s="14" t="str">
        <f>IF(C1696="","",IFERROR(N('Fee Settings'!$C$5)*(E1696+N(F1696)-N(J1696))+N('Fee Settings'!$C$6)*(E1696+N(F1696)+N(G1696))+N('Fee Settings'!$C$7)+N('Fee Settings'!$C$10)*D1696+IF(I1696="Yes",MIN(N('Fee Settings'!$C$8)*(E1696+N(F1696)),N('Fee Settings'!$C$9)),0),""))</f>
        <v/>
      </c>
      <c r="L1696" s="14" t="str">
        <f>IF(C1696="","",IFERROR(D1696*N(INDEX(Products!$C$5:$C$29,MATCH(C1696,Lists!$A$2:$A$26,0))),""))</f>
        <v/>
      </c>
      <c r="M1696" s="15" t="str">
        <f t="shared" si="26"/>
        <v/>
      </c>
    </row>
    <row r="1697" spans="1:13" x14ac:dyDescent="0.35">
      <c r="A1697" s="11"/>
      <c r="B1697" s="12"/>
      <c r="C1697" s="12"/>
      <c r="D1697" s="12"/>
      <c r="E1697" s="13"/>
      <c r="F1697" s="13"/>
      <c r="G1697" s="13"/>
      <c r="H1697" s="13"/>
      <c r="I1697" s="12"/>
      <c r="J1697" s="13"/>
      <c r="K1697" s="14" t="str">
        <f>IF(C1697="","",IFERROR(N('Fee Settings'!$C$5)*(E1697+N(F1697)-N(J1697))+N('Fee Settings'!$C$6)*(E1697+N(F1697)+N(G1697))+N('Fee Settings'!$C$7)+N('Fee Settings'!$C$10)*D1697+IF(I1697="Yes",MIN(N('Fee Settings'!$C$8)*(E1697+N(F1697)),N('Fee Settings'!$C$9)),0),""))</f>
        <v/>
      </c>
      <c r="L1697" s="14" t="str">
        <f>IF(C1697="","",IFERROR(D1697*N(INDEX(Products!$C$5:$C$29,MATCH(C1697,Lists!$A$2:$A$26,0))),""))</f>
        <v/>
      </c>
      <c r="M1697" s="15" t="str">
        <f t="shared" si="26"/>
        <v/>
      </c>
    </row>
    <row r="1698" spans="1:13" x14ac:dyDescent="0.35">
      <c r="A1698" s="11"/>
      <c r="B1698" s="12"/>
      <c r="C1698" s="12"/>
      <c r="D1698" s="12"/>
      <c r="E1698" s="13"/>
      <c r="F1698" s="13"/>
      <c r="G1698" s="13"/>
      <c r="H1698" s="13"/>
      <c r="I1698" s="12"/>
      <c r="J1698" s="13"/>
      <c r="K1698" s="14" t="str">
        <f>IF(C1698="","",IFERROR(N('Fee Settings'!$C$5)*(E1698+N(F1698)-N(J1698))+N('Fee Settings'!$C$6)*(E1698+N(F1698)+N(G1698))+N('Fee Settings'!$C$7)+N('Fee Settings'!$C$10)*D1698+IF(I1698="Yes",MIN(N('Fee Settings'!$C$8)*(E1698+N(F1698)),N('Fee Settings'!$C$9)),0),""))</f>
        <v/>
      </c>
      <c r="L1698" s="14" t="str">
        <f>IF(C1698="","",IFERROR(D1698*N(INDEX(Products!$C$5:$C$29,MATCH(C1698,Lists!$A$2:$A$26,0))),""))</f>
        <v/>
      </c>
      <c r="M1698" s="15" t="str">
        <f t="shared" si="26"/>
        <v/>
      </c>
    </row>
    <row r="1699" spans="1:13" x14ac:dyDescent="0.35">
      <c r="A1699" s="11"/>
      <c r="B1699" s="12"/>
      <c r="C1699" s="12"/>
      <c r="D1699" s="12"/>
      <c r="E1699" s="13"/>
      <c r="F1699" s="13"/>
      <c r="G1699" s="13"/>
      <c r="H1699" s="13"/>
      <c r="I1699" s="12"/>
      <c r="J1699" s="13"/>
      <c r="K1699" s="14" t="str">
        <f>IF(C1699="","",IFERROR(N('Fee Settings'!$C$5)*(E1699+N(F1699)-N(J1699))+N('Fee Settings'!$C$6)*(E1699+N(F1699)+N(G1699))+N('Fee Settings'!$C$7)+N('Fee Settings'!$C$10)*D1699+IF(I1699="Yes",MIN(N('Fee Settings'!$C$8)*(E1699+N(F1699)),N('Fee Settings'!$C$9)),0),""))</f>
        <v/>
      </c>
      <c r="L1699" s="14" t="str">
        <f>IF(C1699="","",IFERROR(D1699*N(INDEX(Products!$C$5:$C$29,MATCH(C1699,Lists!$A$2:$A$26,0))),""))</f>
        <v/>
      </c>
      <c r="M1699" s="15" t="str">
        <f t="shared" si="26"/>
        <v/>
      </c>
    </row>
    <row r="1700" spans="1:13" x14ac:dyDescent="0.35">
      <c r="A1700" s="11"/>
      <c r="B1700" s="12"/>
      <c r="C1700" s="12"/>
      <c r="D1700" s="12"/>
      <c r="E1700" s="13"/>
      <c r="F1700" s="13"/>
      <c r="G1700" s="13"/>
      <c r="H1700" s="13"/>
      <c r="I1700" s="12"/>
      <c r="J1700" s="13"/>
      <c r="K1700" s="14" t="str">
        <f>IF(C1700="","",IFERROR(N('Fee Settings'!$C$5)*(E1700+N(F1700)-N(J1700))+N('Fee Settings'!$C$6)*(E1700+N(F1700)+N(G1700))+N('Fee Settings'!$C$7)+N('Fee Settings'!$C$10)*D1700+IF(I1700="Yes",MIN(N('Fee Settings'!$C$8)*(E1700+N(F1700)),N('Fee Settings'!$C$9)),0),""))</f>
        <v/>
      </c>
      <c r="L1700" s="14" t="str">
        <f>IF(C1700="","",IFERROR(D1700*N(INDEX(Products!$C$5:$C$29,MATCH(C1700,Lists!$A$2:$A$26,0))),""))</f>
        <v/>
      </c>
      <c r="M1700" s="15" t="str">
        <f t="shared" si="26"/>
        <v/>
      </c>
    </row>
    <row r="1701" spans="1:13" x14ac:dyDescent="0.35">
      <c r="A1701" s="11"/>
      <c r="B1701" s="12"/>
      <c r="C1701" s="12"/>
      <c r="D1701" s="12"/>
      <c r="E1701" s="13"/>
      <c r="F1701" s="13"/>
      <c r="G1701" s="13"/>
      <c r="H1701" s="13"/>
      <c r="I1701" s="12"/>
      <c r="J1701" s="13"/>
      <c r="K1701" s="14" t="str">
        <f>IF(C1701="","",IFERROR(N('Fee Settings'!$C$5)*(E1701+N(F1701)-N(J1701))+N('Fee Settings'!$C$6)*(E1701+N(F1701)+N(G1701))+N('Fee Settings'!$C$7)+N('Fee Settings'!$C$10)*D1701+IF(I1701="Yes",MIN(N('Fee Settings'!$C$8)*(E1701+N(F1701)),N('Fee Settings'!$C$9)),0),""))</f>
        <v/>
      </c>
      <c r="L1701" s="14" t="str">
        <f>IF(C1701="","",IFERROR(D1701*N(INDEX(Products!$C$5:$C$29,MATCH(C1701,Lists!$A$2:$A$26,0))),""))</f>
        <v/>
      </c>
      <c r="M1701" s="15" t="str">
        <f t="shared" si="26"/>
        <v/>
      </c>
    </row>
    <row r="1702" spans="1:13" x14ac:dyDescent="0.35">
      <c r="A1702" s="11"/>
      <c r="B1702" s="12"/>
      <c r="C1702" s="12"/>
      <c r="D1702" s="12"/>
      <c r="E1702" s="13"/>
      <c r="F1702" s="13"/>
      <c r="G1702" s="13"/>
      <c r="H1702" s="13"/>
      <c r="I1702" s="12"/>
      <c r="J1702" s="13"/>
      <c r="K1702" s="14" t="str">
        <f>IF(C1702="","",IFERROR(N('Fee Settings'!$C$5)*(E1702+N(F1702)-N(J1702))+N('Fee Settings'!$C$6)*(E1702+N(F1702)+N(G1702))+N('Fee Settings'!$C$7)+N('Fee Settings'!$C$10)*D1702+IF(I1702="Yes",MIN(N('Fee Settings'!$C$8)*(E1702+N(F1702)),N('Fee Settings'!$C$9)),0),""))</f>
        <v/>
      </c>
      <c r="L1702" s="14" t="str">
        <f>IF(C1702="","",IFERROR(D1702*N(INDEX(Products!$C$5:$C$29,MATCH(C1702,Lists!$A$2:$A$26,0))),""))</f>
        <v/>
      </c>
      <c r="M1702" s="15" t="str">
        <f t="shared" si="26"/>
        <v/>
      </c>
    </row>
    <row r="1703" spans="1:13" x14ac:dyDescent="0.35">
      <c r="A1703" s="11"/>
      <c r="B1703" s="12"/>
      <c r="C1703" s="12"/>
      <c r="D1703" s="12"/>
      <c r="E1703" s="13"/>
      <c r="F1703" s="13"/>
      <c r="G1703" s="13"/>
      <c r="H1703" s="13"/>
      <c r="I1703" s="12"/>
      <c r="J1703" s="13"/>
      <c r="K1703" s="14" t="str">
        <f>IF(C1703="","",IFERROR(N('Fee Settings'!$C$5)*(E1703+N(F1703)-N(J1703))+N('Fee Settings'!$C$6)*(E1703+N(F1703)+N(G1703))+N('Fee Settings'!$C$7)+N('Fee Settings'!$C$10)*D1703+IF(I1703="Yes",MIN(N('Fee Settings'!$C$8)*(E1703+N(F1703)),N('Fee Settings'!$C$9)),0),""))</f>
        <v/>
      </c>
      <c r="L1703" s="14" t="str">
        <f>IF(C1703="","",IFERROR(D1703*N(INDEX(Products!$C$5:$C$29,MATCH(C1703,Lists!$A$2:$A$26,0))),""))</f>
        <v/>
      </c>
      <c r="M1703" s="15" t="str">
        <f t="shared" si="26"/>
        <v/>
      </c>
    </row>
    <row r="1704" spans="1:13" x14ac:dyDescent="0.35">
      <c r="A1704" s="11"/>
      <c r="B1704" s="12"/>
      <c r="C1704" s="12"/>
      <c r="D1704" s="12"/>
      <c r="E1704" s="13"/>
      <c r="F1704" s="13"/>
      <c r="G1704" s="13"/>
      <c r="H1704" s="13"/>
      <c r="I1704" s="12"/>
      <c r="J1704" s="13"/>
      <c r="K1704" s="14" t="str">
        <f>IF(C1704="","",IFERROR(N('Fee Settings'!$C$5)*(E1704+N(F1704)-N(J1704))+N('Fee Settings'!$C$6)*(E1704+N(F1704)+N(G1704))+N('Fee Settings'!$C$7)+N('Fee Settings'!$C$10)*D1704+IF(I1704="Yes",MIN(N('Fee Settings'!$C$8)*(E1704+N(F1704)),N('Fee Settings'!$C$9)),0),""))</f>
        <v/>
      </c>
      <c r="L1704" s="14" t="str">
        <f>IF(C1704="","",IFERROR(D1704*N(INDEX(Products!$C$5:$C$29,MATCH(C1704,Lists!$A$2:$A$26,0))),""))</f>
        <v/>
      </c>
      <c r="M1704" s="15" t="str">
        <f t="shared" si="26"/>
        <v/>
      </c>
    </row>
    <row r="1705" spans="1:13" x14ac:dyDescent="0.35">
      <c r="A1705" s="11"/>
      <c r="B1705" s="12"/>
      <c r="C1705" s="12"/>
      <c r="D1705" s="12"/>
      <c r="E1705" s="13"/>
      <c r="F1705" s="13"/>
      <c r="G1705" s="13"/>
      <c r="H1705" s="13"/>
      <c r="I1705" s="12"/>
      <c r="J1705" s="13"/>
      <c r="K1705" s="14" t="str">
        <f>IF(C1705="","",IFERROR(N('Fee Settings'!$C$5)*(E1705+N(F1705)-N(J1705))+N('Fee Settings'!$C$6)*(E1705+N(F1705)+N(G1705))+N('Fee Settings'!$C$7)+N('Fee Settings'!$C$10)*D1705+IF(I1705="Yes",MIN(N('Fee Settings'!$C$8)*(E1705+N(F1705)),N('Fee Settings'!$C$9)),0),""))</f>
        <v/>
      </c>
      <c r="L1705" s="14" t="str">
        <f>IF(C1705="","",IFERROR(D1705*N(INDEX(Products!$C$5:$C$29,MATCH(C1705,Lists!$A$2:$A$26,0))),""))</f>
        <v/>
      </c>
      <c r="M1705" s="15" t="str">
        <f t="shared" si="26"/>
        <v/>
      </c>
    </row>
    <row r="1706" spans="1:13" x14ac:dyDescent="0.35">
      <c r="A1706" s="11"/>
      <c r="B1706" s="12"/>
      <c r="C1706" s="12"/>
      <c r="D1706" s="12"/>
      <c r="E1706" s="13"/>
      <c r="F1706" s="13"/>
      <c r="G1706" s="13"/>
      <c r="H1706" s="13"/>
      <c r="I1706" s="12"/>
      <c r="J1706" s="13"/>
      <c r="K1706" s="14" t="str">
        <f>IF(C1706="","",IFERROR(N('Fee Settings'!$C$5)*(E1706+N(F1706)-N(J1706))+N('Fee Settings'!$C$6)*(E1706+N(F1706)+N(G1706))+N('Fee Settings'!$C$7)+N('Fee Settings'!$C$10)*D1706+IF(I1706="Yes",MIN(N('Fee Settings'!$C$8)*(E1706+N(F1706)),N('Fee Settings'!$C$9)),0),""))</f>
        <v/>
      </c>
      <c r="L1706" s="14" t="str">
        <f>IF(C1706="","",IFERROR(D1706*N(INDEX(Products!$C$5:$C$29,MATCH(C1706,Lists!$A$2:$A$26,0))),""))</f>
        <v/>
      </c>
      <c r="M1706" s="15" t="str">
        <f t="shared" si="26"/>
        <v/>
      </c>
    </row>
    <row r="1707" spans="1:13" x14ac:dyDescent="0.35">
      <c r="A1707" s="11"/>
      <c r="B1707" s="12"/>
      <c r="C1707" s="12"/>
      <c r="D1707" s="12"/>
      <c r="E1707" s="13"/>
      <c r="F1707" s="13"/>
      <c r="G1707" s="13"/>
      <c r="H1707" s="13"/>
      <c r="I1707" s="12"/>
      <c r="J1707" s="13"/>
      <c r="K1707" s="14" t="str">
        <f>IF(C1707="","",IFERROR(N('Fee Settings'!$C$5)*(E1707+N(F1707)-N(J1707))+N('Fee Settings'!$C$6)*(E1707+N(F1707)+N(G1707))+N('Fee Settings'!$C$7)+N('Fee Settings'!$C$10)*D1707+IF(I1707="Yes",MIN(N('Fee Settings'!$C$8)*(E1707+N(F1707)),N('Fee Settings'!$C$9)),0),""))</f>
        <v/>
      </c>
      <c r="L1707" s="14" t="str">
        <f>IF(C1707="","",IFERROR(D1707*N(INDEX(Products!$C$5:$C$29,MATCH(C1707,Lists!$A$2:$A$26,0))),""))</f>
        <v/>
      </c>
      <c r="M1707" s="15" t="str">
        <f t="shared" si="26"/>
        <v/>
      </c>
    </row>
    <row r="1708" spans="1:13" x14ac:dyDescent="0.35">
      <c r="A1708" s="11"/>
      <c r="B1708" s="12"/>
      <c r="C1708" s="12"/>
      <c r="D1708" s="12"/>
      <c r="E1708" s="13"/>
      <c r="F1708" s="13"/>
      <c r="G1708" s="13"/>
      <c r="H1708" s="13"/>
      <c r="I1708" s="12"/>
      <c r="J1708" s="13"/>
      <c r="K1708" s="14" t="str">
        <f>IF(C1708="","",IFERROR(N('Fee Settings'!$C$5)*(E1708+N(F1708)-N(J1708))+N('Fee Settings'!$C$6)*(E1708+N(F1708)+N(G1708))+N('Fee Settings'!$C$7)+N('Fee Settings'!$C$10)*D1708+IF(I1708="Yes",MIN(N('Fee Settings'!$C$8)*(E1708+N(F1708)),N('Fee Settings'!$C$9)),0),""))</f>
        <v/>
      </c>
      <c r="L1708" s="14" t="str">
        <f>IF(C1708="","",IFERROR(D1708*N(INDEX(Products!$C$5:$C$29,MATCH(C1708,Lists!$A$2:$A$26,0))),""))</f>
        <v/>
      </c>
      <c r="M1708" s="15" t="str">
        <f t="shared" si="26"/>
        <v/>
      </c>
    </row>
    <row r="1709" spans="1:13" x14ac:dyDescent="0.35">
      <c r="A1709" s="11"/>
      <c r="B1709" s="12"/>
      <c r="C1709" s="12"/>
      <c r="D1709" s="12"/>
      <c r="E1709" s="13"/>
      <c r="F1709" s="13"/>
      <c r="G1709" s="13"/>
      <c r="H1709" s="13"/>
      <c r="I1709" s="12"/>
      <c r="J1709" s="13"/>
      <c r="K1709" s="14" t="str">
        <f>IF(C1709="","",IFERROR(N('Fee Settings'!$C$5)*(E1709+N(F1709)-N(J1709))+N('Fee Settings'!$C$6)*(E1709+N(F1709)+N(G1709))+N('Fee Settings'!$C$7)+N('Fee Settings'!$C$10)*D1709+IF(I1709="Yes",MIN(N('Fee Settings'!$C$8)*(E1709+N(F1709)),N('Fee Settings'!$C$9)),0),""))</f>
        <v/>
      </c>
      <c r="L1709" s="14" t="str">
        <f>IF(C1709="","",IFERROR(D1709*N(INDEX(Products!$C$5:$C$29,MATCH(C1709,Lists!$A$2:$A$26,0))),""))</f>
        <v/>
      </c>
      <c r="M1709" s="15" t="str">
        <f t="shared" si="26"/>
        <v/>
      </c>
    </row>
    <row r="1710" spans="1:13" x14ac:dyDescent="0.35">
      <c r="A1710" s="11"/>
      <c r="B1710" s="12"/>
      <c r="C1710" s="12"/>
      <c r="D1710" s="12"/>
      <c r="E1710" s="13"/>
      <c r="F1710" s="13"/>
      <c r="G1710" s="13"/>
      <c r="H1710" s="13"/>
      <c r="I1710" s="12"/>
      <c r="J1710" s="13"/>
      <c r="K1710" s="14" t="str">
        <f>IF(C1710="","",IFERROR(N('Fee Settings'!$C$5)*(E1710+N(F1710)-N(J1710))+N('Fee Settings'!$C$6)*(E1710+N(F1710)+N(G1710))+N('Fee Settings'!$C$7)+N('Fee Settings'!$C$10)*D1710+IF(I1710="Yes",MIN(N('Fee Settings'!$C$8)*(E1710+N(F1710)),N('Fee Settings'!$C$9)),0),""))</f>
        <v/>
      </c>
      <c r="L1710" s="14" t="str">
        <f>IF(C1710="","",IFERROR(D1710*N(INDEX(Products!$C$5:$C$29,MATCH(C1710,Lists!$A$2:$A$26,0))),""))</f>
        <v/>
      </c>
      <c r="M1710" s="15" t="str">
        <f t="shared" si="26"/>
        <v/>
      </c>
    </row>
    <row r="1711" spans="1:13" x14ac:dyDescent="0.35">
      <c r="A1711" s="11"/>
      <c r="B1711" s="12"/>
      <c r="C1711" s="12"/>
      <c r="D1711" s="12"/>
      <c r="E1711" s="13"/>
      <c r="F1711" s="13"/>
      <c r="G1711" s="13"/>
      <c r="H1711" s="13"/>
      <c r="I1711" s="12"/>
      <c r="J1711" s="13"/>
      <c r="K1711" s="14" t="str">
        <f>IF(C1711="","",IFERROR(N('Fee Settings'!$C$5)*(E1711+N(F1711)-N(J1711))+N('Fee Settings'!$C$6)*(E1711+N(F1711)+N(G1711))+N('Fee Settings'!$C$7)+N('Fee Settings'!$C$10)*D1711+IF(I1711="Yes",MIN(N('Fee Settings'!$C$8)*(E1711+N(F1711)),N('Fee Settings'!$C$9)),0),""))</f>
        <v/>
      </c>
      <c r="L1711" s="14" t="str">
        <f>IF(C1711="","",IFERROR(D1711*N(INDEX(Products!$C$5:$C$29,MATCH(C1711,Lists!$A$2:$A$26,0))),""))</f>
        <v/>
      </c>
      <c r="M1711" s="15" t="str">
        <f t="shared" si="26"/>
        <v/>
      </c>
    </row>
    <row r="1712" spans="1:13" x14ac:dyDescent="0.35">
      <c r="A1712" s="11"/>
      <c r="B1712" s="12"/>
      <c r="C1712" s="12"/>
      <c r="D1712" s="12"/>
      <c r="E1712" s="13"/>
      <c r="F1712" s="13"/>
      <c r="G1712" s="13"/>
      <c r="H1712" s="13"/>
      <c r="I1712" s="12"/>
      <c r="J1712" s="13"/>
      <c r="K1712" s="14" t="str">
        <f>IF(C1712="","",IFERROR(N('Fee Settings'!$C$5)*(E1712+N(F1712)-N(J1712))+N('Fee Settings'!$C$6)*(E1712+N(F1712)+N(G1712))+N('Fee Settings'!$C$7)+N('Fee Settings'!$C$10)*D1712+IF(I1712="Yes",MIN(N('Fee Settings'!$C$8)*(E1712+N(F1712)),N('Fee Settings'!$C$9)),0),""))</f>
        <v/>
      </c>
      <c r="L1712" s="14" t="str">
        <f>IF(C1712="","",IFERROR(D1712*N(INDEX(Products!$C$5:$C$29,MATCH(C1712,Lists!$A$2:$A$26,0))),""))</f>
        <v/>
      </c>
      <c r="M1712" s="15" t="str">
        <f t="shared" si="26"/>
        <v/>
      </c>
    </row>
    <row r="1713" spans="1:13" x14ac:dyDescent="0.35">
      <c r="A1713" s="11"/>
      <c r="B1713" s="12"/>
      <c r="C1713" s="12"/>
      <c r="D1713" s="12"/>
      <c r="E1713" s="13"/>
      <c r="F1713" s="13"/>
      <c r="G1713" s="13"/>
      <c r="H1713" s="13"/>
      <c r="I1713" s="12"/>
      <c r="J1713" s="13"/>
      <c r="K1713" s="14" t="str">
        <f>IF(C1713="","",IFERROR(N('Fee Settings'!$C$5)*(E1713+N(F1713)-N(J1713))+N('Fee Settings'!$C$6)*(E1713+N(F1713)+N(G1713))+N('Fee Settings'!$C$7)+N('Fee Settings'!$C$10)*D1713+IF(I1713="Yes",MIN(N('Fee Settings'!$C$8)*(E1713+N(F1713)),N('Fee Settings'!$C$9)),0),""))</f>
        <v/>
      </c>
      <c r="L1713" s="14" t="str">
        <f>IF(C1713="","",IFERROR(D1713*N(INDEX(Products!$C$5:$C$29,MATCH(C1713,Lists!$A$2:$A$26,0))),""))</f>
        <v/>
      </c>
      <c r="M1713" s="15" t="str">
        <f t="shared" si="26"/>
        <v/>
      </c>
    </row>
    <row r="1714" spans="1:13" x14ac:dyDescent="0.35">
      <c r="A1714" s="11"/>
      <c r="B1714" s="12"/>
      <c r="C1714" s="12"/>
      <c r="D1714" s="12"/>
      <c r="E1714" s="13"/>
      <c r="F1714" s="13"/>
      <c r="G1714" s="13"/>
      <c r="H1714" s="13"/>
      <c r="I1714" s="12"/>
      <c r="J1714" s="13"/>
      <c r="K1714" s="14" t="str">
        <f>IF(C1714="","",IFERROR(N('Fee Settings'!$C$5)*(E1714+N(F1714)-N(J1714))+N('Fee Settings'!$C$6)*(E1714+N(F1714)+N(G1714))+N('Fee Settings'!$C$7)+N('Fee Settings'!$C$10)*D1714+IF(I1714="Yes",MIN(N('Fee Settings'!$C$8)*(E1714+N(F1714)),N('Fee Settings'!$C$9)),0),""))</f>
        <v/>
      </c>
      <c r="L1714" s="14" t="str">
        <f>IF(C1714="","",IFERROR(D1714*N(INDEX(Products!$C$5:$C$29,MATCH(C1714,Lists!$A$2:$A$26,0))),""))</f>
        <v/>
      </c>
      <c r="M1714" s="15" t="str">
        <f t="shared" si="26"/>
        <v/>
      </c>
    </row>
    <row r="1715" spans="1:13" x14ac:dyDescent="0.35">
      <c r="A1715" s="11"/>
      <c r="B1715" s="12"/>
      <c r="C1715" s="12"/>
      <c r="D1715" s="12"/>
      <c r="E1715" s="13"/>
      <c r="F1715" s="13"/>
      <c r="G1715" s="13"/>
      <c r="H1715" s="13"/>
      <c r="I1715" s="12"/>
      <c r="J1715" s="13"/>
      <c r="K1715" s="14" t="str">
        <f>IF(C1715="","",IFERROR(N('Fee Settings'!$C$5)*(E1715+N(F1715)-N(J1715))+N('Fee Settings'!$C$6)*(E1715+N(F1715)+N(G1715))+N('Fee Settings'!$C$7)+N('Fee Settings'!$C$10)*D1715+IF(I1715="Yes",MIN(N('Fee Settings'!$C$8)*(E1715+N(F1715)),N('Fee Settings'!$C$9)),0),""))</f>
        <v/>
      </c>
      <c r="L1715" s="14" t="str">
        <f>IF(C1715="","",IFERROR(D1715*N(INDEX(Products!$C$5:$C$29,MATCH(C1715,Lists!$A$2:$A$26,0))),""))</f>
        <v/>
      </c>
      <c r="M1715" s="15" t="str">
        <f t="shared" si="26"/>
        <v/>
      </c>
    </row>
    <row r="1716" spans="1:13" x14ac:dyDescent="0.35">
      <c r="A1716" s="11"/>
      <c r="B1716" s="12"/>
      <c r="C1716" s="12"/>
      <c r="D1716" s="12"/>
      <c r="E1716" s="13"/>
      <c r="F1716" s="13"/>
      <c r="G1716" s="13"/>
      <c r="H1716" s="13"/>
      <c r="I1716" s="12"/>
      <c r="J1716" s="13"/>
      <c r="K1716" s="14" t="str">
        <f>IF(C1716="","",IFERROR(N('Fee Settings'!$C$5)*(E1716+N(F1716)-N(J1716))+N('Fee Settings'!$C$6)*(E1716+N(F1716)+N(G1716))+N('Fee Settings'!$C$7)+N('Fee Settings'!$C$10)*D1716+IF(I1716="Yes",MIN(N('Fee Settings'!$C$8)*(E1716+N(F1716)),N('Fee Settings'!$C$9)),0),""))</f>
        <v/>
      </c>
      <c r="L1716" s="14" t="str">
        <f>IF(C1716="","",IFERROR(D1716*N(INDEX(Products!$C$5:$C$29,MATCH(C1716,Lists!$A$2:$A$26,0))),""))</f>
        <v/>
      </c>
      <c r="M1716" s="15" t="str">
        <f t="shared" si="26"/>
        <v/>
      </c>
    </row>
    <row r="1717" spans="1:13" x14ac:dyDescent="0.35">
      <c r="A1717" s="11"/>
      <c r="B1717" s="12"/>
      <c r="C1717" s="12"/>
      <c r="D1717" s="12"/>
      <c r="E1717" s="13"/>
      <c r="F1717" s="13"/>
      <c r="G1717" s="13"/>
      <c r="H1717" s="13"/>
      <c r="I1717" s="12"/>
      <c r="J1717" s="13"/>
      <c r="K1717" s="14" t="str">
        <f>IF(C1717="","",IFERROR(N('Fee Settings'!$C$5)*(E1717+N(F1717)-N(J1717))+N('Fee Settings'!$C$6)*(E1717+N(F1717)+N(G1717))+N('Fee Settings'!$C$7)+N('Fee Settings'!$C$10)*D1717+IF(I1717="Yes",MIN(N('Fee Settings'!$C$8)*(E1717+N(F1717)),N('Fee Settings'!$C$9)),0),""))</f>
        <v/>
      </c>
      <c r="L1717" s="14" t="str">
        <f>IF(C1717="","",IFERROR(D1717*N(INDEX(Products!$C$5:$C$29,MATCH(C1717,Lists!$A$2:$A$26,0))),""))</f>
        <v/>
      </c>
      <c r="M1717" s="15" t="str">
        <f t="shared" si="26"/>
        <v/>
      </c>
    </row>
    <row r="1718" spans="1:13" x14ac:dyDescent="0.35">
      <c r="A1718" s="11"/>
      <c r="B1718" s="12"/>
      <c r="C1718" s="12"/>
      <c r="D1718" s="12"/>
      <c r="E1718" s="13"/>
      <c r="F1718" s="13"/>
      <c r="G1718" s="13"/>
      <c r="H1718" s="13"/>
      <c r="I1718" s="12"/>
      <c r="J1718" s="13"/>
      <c r="K1718" s="14" t="str">
        <f>IF(C1718="","",IFERROR(N('Fee Settings'!$C$5)*(E1718+N(F1718)-N(J1718))+N('Fee Settings'!$C$6)*(E1718+N(F1718)+N(G1718))+N('Fee Settings'!$C$7)+N('Fee Settings'!$C$10)*D1718+IF(I1718="Yes",MIN(N('Fee Settings'!$C$8)*(E1718+N(F1718)),N('Fee Settings'!$C$9)),0),""))</f>
        <v/>
      </c>
      <c r="L1718" s="14" t="str">
        <f>IF(C1718="","",IFERROR(D1718*N(INDEX(Products!$C$5:$C$29,MATCH(C1718,Lists!$A$2:$A$26,0))),""))</f>
        <v/>
      </c>
      <c r="M1718" s="15" t="str">
        <f t="shared" si="26"/>
        <v/>
      </c>
    </row>
    <row r="1719" spans="1:13" x14ac:dyDescent="0.35">
      <c r="A1719" s="11"/>
      <c r="B1719" s="12"/>
      <c r="C1719" s="12"/>
      <c r="D1719" s="12"/>
      <c r="E1719" s="13"/>
      <c r="F1719" s="13"/>
      <c r="G1719" s="13"/>
      <c r="H1719" s="13"/>
      <c r="I1719" s="12"/>
      <c r="J1719" s="13"/>
      <c r="K1719" s="14" t="str">
        <f>IF(C1719="","",IFERROR(N('Fee Settings'!$C$5)*(E1719+N(F1719)-N(J1719))+N('Fee Settings'!$C$6)*(E1719+N(F1719)+N(G1719))+N('Fee Settings'!$C$7)+N('Fee Settings'!$C$10)*D1719+IF(I1719="Yes",MIN(N('Fee Settings'!$C$8)*(E1719+N(F1719)),N('Fee Settings'!$C$9)),0),""))</f>
        <v/>
      </c>
      <c r="L1719" s="14" t="str">
        <f>IF(C1719="","",IFERROR(D1719*N(INDEX(Products!$C$5:$C$29,MATCH(C1719,Lists!$A$2:$A$26,0))),""))</f>
        <v/>
      </c>
      <c r="M1719" s="15" t="str">
        <f t="shared" si="26"/>
        <v/>
      </c>
    </row>
    <row r="1720" spans="1:13" x14ac:dyDescent="0.35">
      <c r="A1720" s="11"/>
      <c r="B1720" s="12"/>
      <c r="C1720" s="12"/>
      <c r="D1720" s="12"/>
      <c r="E1720" s="13"/>
      <c r="F1720" s="13"/>
      <c r="G1720" s="13"/>
      <c r="H1720" s="13"/>
      <c r="I1720" s="12"/>
      <c r="J1720" s="13"/>
      <c r="K1720" s="14" t="str">
        <f>IF(C1720="","",IFERROR(N('Fee Settings'!$C$5)*(E1720+N(F1720)-N(J1720))+N('Fee Settings'!$C$6)*(E1720+N(F1720)+N(G1720))+N('Fee Settings'!$C$7)+N('Fee Settings'!$C$10)*D1720+IF(I1720="Yes",MIN(N('Fee Settings'!$C$8)*(E1720+N(F1720)),N('Fee Settings'!$C$9)),0),""))</f>
        <v/>
      </c>
      <c r="L1720" s="14" t="str">
        <f>IF(C1720="","",IFERROR(D1720*N(INDEX(Products!$C$5:$C$29,MATCH(C1720,Lists!$A$2:$A$26,0))),""))</f>
        <v/>
      </c>
      <c r="M1720" s="15" t="str">
        <f t="shared" si="26"/>
        <v/>
      </c>
    </row>
    <row r="1721" spans="1:13" x14ac:dyDescent="0.35">
      <c r="A1721" s="11"/>
      <c r="B1721" s="12"/>
      <c r="C1721" s="12"/>
      <c r="D1721" s="12"/>
      <c r="E1721" s="13"/>
      <c r="F1721" s="13"/>
      <c r="G1721" s="13"/>
      <c r="H1721" s="13"/>
      <c r="I1721" s="12"/>
      <c r="J1721" s="13"/>
      <c r="K1721" s="14" t="str">
        <f>IF(C1721="","",IFERROR(N('Fee Settings'!$C$5)*(E1721+N(F1721)-N(J1721))+N('Fee Settings'!$C$6)*(E1721+N(F1721)+N(G1721))+N('Fee Settings'!$C$7)+N('Fee Settings'!$C$10)*D1721+IF(I1721="Yes",MIN(N('Fee Settings'!$C$8)*(E1721+N(F1721)),N('Fee Settings'!$C$9)),0),""))</f>
        <v/>
      </c>
      <c r="L1721" s="14" t="str">
        <f>IF(C1721="","",IFERROR(D1721*N(INDEX(Products!$C$5:$C$29,MATCH(C1721,Lists!$A$2:$A$26,0))),""))</f>
        <v/>
      </c>
      <c r="M1721" s="15" t="str">
        <f t="shared" si="26"/>
        <v/>
      </c>
    </row>
    <row r="1722" spans="1:13" x14ac:dyDescent="0.35">
      <c r="A1722" s="11"/>
      <c r="B1722" s="12"/>
      <c r="C1722" s="12"/>
      <c r="D1722" s="12"/>
      <c r="E1722" s="13"/>
      <c r="F1722" s="13"/>
      <c r="G1722" s="13"/>
      <c r="H1722" s="13"/>
      <c r="I1722" s="12"/>
      <c r="J1722" s="13"/>
      <c r="K1722" s="14" t="str">
        <f>IF(C1722="","",IFERROR(N('Fee Settings'!$C$5)*(E1722+N(F1722)-N(J1722))+N('Fee Settings'!$C$6)*(E1722+N(F1722)+N(G1722))+N('Fee Settings'!$C$7)+N('Fee Settings'!$C$10)*D1722+IF(I1722="Yes",MIN(N('Fee Settings'!$C$8)*(E1722+N(F1722)),N('Fee Settings'!$C$9)),0),""))</f>
        <v/>
      </c>
      <c r="L1722" s="14" t="str">
        <f>IF(C1722="","",IFERROR(D1722*N(INDEX(Products!$C$5:$C$29,MATCH(C1722,Lists!$A$2:$A$26,0))),""))</f>
        <v/>
      </c>
      <c r="M1722" s="15" t="str">
        <f t="shared" si="26"/>
        <v/>
      </c>
    </row>
    <row r="1723" spans="1:13" x14ac:dyDescent="0.35">
      <c r="A1723" s="11"/>
      <c r="B1723" s="12"/>
      <c r="C1723" s="12"/>
      <c r="D1723" s="12"/>
      <c r="E1723" s="13"/>
      <c r="F1723" s="13"/>
      <c r="G1723" s="13"/>
      <c r="H1723" s="13"/>
      <c r="I1723" s="12"/>
      <c r="J1723" s="13"/>
      <c r="K1723" s="14" t="str">
        <f>IF(C1723="","",IFERROR(N('Fee Settings'!$C$5)*(E1723+N(F1723)-N(J1723))+N('Fee Settings'!$C$6)*(E1723+N(F1723)+N(G1723))+N('Fee Settings'!$C$7)+N('Fee Settings'!$C$10)*D1723+IF(I1723="Yes",MIN(N('Fee Settings'!$C$8)*(E1723+N(F1723)),N('Fee Settings'!$C$9)),0),""))</f>
        <v/>
      </c>
      <c r="L1723" s="14" t="str">
        <f>IF(C1723="","",IFERROR(D1723*N(INDEX(Products!$C$5:$C$29,MATCH(C1723,Lists!$A$2:$A$26,0))),""))</f>
        <v/>
      </c>
      <c r="M1723" s="15" t="str">
        <f t="shared" si="26"/>
        <v/>
      </c>
    </row>
    <row r="1724" spans="1:13" x14ac:dyDescent="0.35">
      <c r="A1724" s="11"/>
      <c r="B1724" s="12"/>
      <c r="C1724" s="12"/>
      <c r="D1724" s="12"/>
      <c r="E1724" s="13"/>
      <c r="F1724" s="13"/>
      <c r="G1724" s="13"/>
      <c r="H1724" s="13"/>
      <c r="I1724" s="12"/>
      <c r="J1724" s="13"/>
      <c r="K1724" s="14" t="str">
        <f>IF(C1724="","",IFERROR(N('Fee Settings'!$C$5)*(E1724+N(F1724)-N(J1724))+N('Fee Settings'!$C$6)*(E1724+N(F1724)+N(G1724))+N('Fee Settings'!$C$7)+N('Fee Settings'!$C$10)*D1724+IF(I1724="Yes",MIN(N('Fee Settings'!$C$8)*(E1724+N(F1724)),N('Fee Settings'!$C$9)),0),""))</f>
        <v/>
      </c>
      <c r="L1724" s="14" t="str">
        <f>IF(C1724="","",IFERROR(D1724*N(INDEX(Products!$C$5:$C$29,MATCH(C1724,Lists!$A$2:$A$26,0))),""))</f>
        <v/>
      </c>
      <c r="M1724" s="15" t="str">
        <f t="shared" si="26"/>
        <v/>
      </c>
    </row>
    <row r="1725" spans="1:13" x14ac:dyDescent="0.35">
      <c r="A1725" s="11"/>
      <c r="B1725" s="12"/>
      <c r="C1725" s="12"/>
      <c r="D1725" s="12"/>
      <c r="E1725" s="13"/>
      <c r="F1725" s="13"/>
      <c r="G1725" s="13"/>
      <c r="H1725" s="13"/>
      <c r="I1725" s="12"/>
      <c r="J1725" s="13"/>
      <c r="K1725" s="14" t="str">
        <f>IF(C1725="","",IFERROR(N('Fee Settings'!$C$5)*(E1725+N(F1725)-N(J1725))+N('Fee Settings'!$C$6)*(E1725+N(F1725)+N(G1725))+N('Fee Settings'!$C$7)+N('Fee Settings'!$C$10)*D1725+IF(I1725="Yes",MIN(N('Fee Settings'!$C$8)*(E1725+N(F1725)),N('Fee Settings'!$C$9)),0),""))</f>
        <v/>
      </c>
      <c r="L1725" s="14" t="str">
        <f>IF(C1725="","",IFERROR(D1725*N(INDEX(Products!$C$5:$C$29,MATCH(C1725,Lists!$A$2:$A$26,0))),""))</f>
        <v/>
      </c>
      <c r="M1725" s="15" t="str">
        <f t="shared" si="26"/>
        <v/>
      </c>
    </row>
    <row r="1726" spans="1:13" x14ac:dyDescent="0.35">
      <c r="A1726" s="11"/>
      <c r="B1726" s="12"/>
      <c r="C1726" s="12"/>
      <c r="D1726" s="12"/>
      <c r="E1726" s="13"/>
      <c r="F1726" s="13"/>
      <c r="G1726" s="13"/>
      <c r="H1726" s="13"/>
      <c r="I1726" s="12"/>
      <c r="J1726" s="13"/>
      <c r="K1726" s="14" t="str">
        <f>IF(C1726="","",IFERROR(N('Fee Settings'!$C$5)*(E1726+N(F1726)-N(J1726))+N('Fee Settings'!$C$6)*(E1726+N(F1726)+N(G1726))+N('Fee Settings'!$C$7)+N('Fee Settings'!$C$10)*D1726+IF(I1726="Yes",MIN(N('Fee Settings'!$C$8)*(E1726+N(F1726)),N('Fee Settings'!$C$9)),0),""))</f>
        <v/>
      </c>
      <c r="L1726" s="14" t="str">
        <f>IF(C1726="","",IFERROR(D1726*N(INDEX(Products!$C$5:$C$29,MATCH(C1726,Lists!$A$2:$A$26,0))),""))</f>
        <v/>
      </c>
      <c r="M1726" s="15" t="str">
        <f t="shared" si="26"/>
        <v/>
      </c>
    </row>
    <row r="1727" spans="1:13" x14ac:dyDescent="0.35">
      <c r="A1727" s="11"/>
      <c r="B1727" s="12"/>
      <c r="C1727" s="12"/>
      <c r="D1727" s="12"/>
      <c r="E1727" s="13"/>
      <c r="F1727" s="13"/>
      <c r="G1727" s="13"/>
      <c r="H1727" s="13"/>
      <c r="I1727" s="12"/>
      <c r="J1727" s="13"/>
      <c r="K1727" s="14" t="str">
        <f>IF(C1727="","",IFERROR(N('Fee Settings'!$C$5)*(E1727+N(F1727)-N(J1727))+N('Fee Settings'!$C$6)*(E1727+N(F1727)+N(G1727))+N('Fee Settings'!$C$7)+N('Fee Settings'!$C$10)*D1727+IF(I1727="Yes",MIN(N('Fee Settings'!$C$8)*(E1727+N(F1727)),N('Fee Settings'!$C$9)),0),""))</f>
        <v/>
      </c>
      <c r="L1727" s="14" t="str">
        <f>IF(C1727="","",IFERROR(D1727*N(INDEX(Products!$C$5:$C$29,MATCH(C1727,Lists!$A$2:$A$26,0))),""))</f>
        <v/>
      </c>
      <c r="M1727" s="15" t="str">
        <f t="shared" si="26"/>
        <v/>
      </c>
    </row>
    <row r="1728" spans="1:13" x14ac:dyDescent="0.35">
      <c r="A1728" s="11"/>
      <c r="B1728" s="12"/>
      <c r="C1728" s="12"/>
      <c r="D1728" s="12"/>
      <c r="E1728" s="13"/>
      <c r="F1728" s="13"/>
      <c r="G1728" s="13"/>
      <c r="H1728" s="13"/>
      <c r="I1728" s="12"/>
      <c r="J1728" s="13"/>
      <c r="K1728" s="14" t="str">
        <f>IF(C1728="","",IFERROR(N('Fee Settings'!$C$5)*(E1728+N(F1728)-N(J1728))+N('Fee Settings'!$C$6)*(E1728+N(F1728)+N(G1728))+N('Fee Settings'!$C$7)+N('Fee Settings'!$C$10)*D1728+IF(I1728="Yes",MIN(N('Fee Settings'!$C$8)*(E1728+N(F1728)),N('Fee Settings'!$C$9)),0),""))</f>
        <v/>
      </c>
      <c r="L1728" s="14" t="str">
        <f>IF(C1728="","",IFERROR(D1728*N(INDEX(Products!$C$5:$C$29,MATCH(C1728,Lists!$A$2:$A$26,0))),""))</f>
        <v/>
      </c>
      <c r="M1728" s="15" t="str">
        <f t="shared" si="26"/>
        <v/>
      </c>
    </row>
    <row r="1729" spans="1:13" x14ac:dyDescent="0.35">
      <c r="A1729" s="11"/>
      <c r="B1729" s="12"/>
      <c r="C1729" s="12"/>
      <c r="D1729" s="12"/>
      <c r="E1729" s="13"/>
      <c r="F1729" s="13"/>
      <c r="G1729" s="13"/>
      <c r="H1729" s="13"/>
      <c r="I1729" s="12"/>
      <c r="J1729" s="13"/>
      <c r="K1729" s="14" t="str">
        <f>IF(C1729="","",IFERROR(N('Fee Settings'!$C$5)*(E1729+N(F1729)-N(J1729))+N('Fee Settings'!$C$6)*(E1729+N(F1729)+N(G1729))+N('Fee Settings'!$C$7)+N('Fee Settings'!$C$10)*D1729+IF(I1729="Yes",MIN(N('Fee Settings'!$C$8)*(E1729+N(F1729)),N('Fee Settings'!$C$9)),0),""))</f>
        <v/>
      </c>
      <c r="L1729" s="14" t="str">
        <f>IF(C1729="","",IFERROR(D1729*N(INDEX(Products!$C$5:$C$29,MATCH(C1729,Lists!$A$2:$A$26,0))),""))</f>
        <v/>
      </c>
      <c r="M1729" s="15" t="str">
        <f t="shared" si="26"/>
        <v/>
      </c>
    </row>
    <row r="1730" spans="1:13" x14ac:dyDescent="0.35">
      <c r="A1730" s="11"/>
      <c r="B1730" s="12"/>
      <c r="C1730" s="12"/>
      <c r="D1730" s="12"/>
      <c r="E1730" s="13"/>
      <c r="F1730" s="13"/>
      <c r="G1730" s="13"/>
      <c r="H1730" s="13"/>
      <c r="I1730" s="12"/>
      <c r="J1730" s="13"/>
      <c r="K1730" s="14" t="str">
        <f>IF(C1730="","",IFERROR(N('Fee Settings'!$C$5)*(E1730+N(F1730)-N(J1730))+N('Fee Settings'!$C$6)*(E1730+N(F1730)+N(G1730))+N('Fee Settings'!$C$7)+N('Fee Settings'!$C$10)*D1730+IF(I1730="Yes",MIN(N('Fee Settings'!$C$8)*(E1730+N(F1730)),N('Fee Settings'!$C$9)),0),""))</f>
        <v/>
      </c>
      <c r="L1730" s="14" t="str">
        <f>IF(C1730="","",IFERROR(D1730*N(INDEX(Products!$C$5:$C$29,MATCH(C1730,Lists!$A$2:$A$26,0))),""))</f>
        <v/>
      </c>
      <c r="M1730" s="15" t="str">
        <f t="shared" si="26"/>
        <v/>
      </c>
    </row>
    <row r="1731" spans="1:13" x14ac:dyDescent="0.35">
      <c r="A1731" s="11"/>
      <c r="B1731" s="12"/>
      <c r="C1731" s="12"/>
      <c r="D1731" s="12"/>
      <c r="E1731" s="13"/>
      <c r="F1731" s="13"/>
      <c r="G1731" s="13"/>
      <c r="H1731" s="13"/>
      <c r="I1731" s="12"/>
      <c r="J1731" s="13"/>
      <c r="K1731" s="14" t="str">
        <f>IF(C1731="","",IFERROR(N('Fee Settings'!$C$5)*(E1731+N(F1731)-N(J1731))+N('Fee Settings'!$C$6)*(E1731+N(F1731)+N(G1731))+N('Fee Settings'!$C$7)+N('Fee Settings'!$C$10)*D1731+IF(I1731="Yes",MIN(N('Fee Settings'!$C$8)*(E1731+N(F1731)),N('Fee Settings'!$C$9)),0),""))</f>
        <v/>
      </c>
      <c r="L1731" s="14" t="str">
        <f>IF(C1731="","",IFERROR(D1731*N(INDEX(Products!$C$5:$C$29,MATCH(C1731,Lists!$A$2:$A$26,0))),""))</f>
        <v/>
      </c>
      <c r="M1731" s="15" t="str">
        <f t="shared" si="26"/>
        <v/>
      </c>
    </row>
    <row r="1732" spans="1:13" x14ac:dyDescent="0.35">
      <c r="A1732" s="11"/>
      <c r="B1732" s="12"/>
      <c r="C1732" s="12"/>
      <c r="D1732" s="12"/>
      <c r="E1732" s="13"/>
      <c r="F1732" s="13"/>
      <c r="G1732" s="13"/>
      <c r="H1732" s="13"/>
      <c r="I1732" s="12"/>
      <c r="J1732" s="13"/>
      <c r="K1732" s="14" t="str">
        <f>IF(C1732="","",IFERROR(N('Fee Settings'!$C$5)*(E1732+N(F1732)-N(J1732))+N('Fee Settings'!$C$6)*(E1732+N(F1732)+N(G1732))+N('Fee Settings'!$C$7)+N('Fee Settings'!$C$10)*D1732+IF(I1732="Yes",MIN(N('Fee Settings'!$C$8)*(E1732+N(F1732)),N('Fee Settings'!$C$9)),0),""))</f>
        <v/>
      </c>
      <c r="L1732" s="14" t="str">
        <f>IF(C1732="","",IFERROR(D1732*N(INDEX(Products!$C$5:$C$29,MATCH(C1732,Lists!$A$2:$A$26,0))),""))</f>
        <v/>
      </c>
      <c r="M1732" s="15" t="str">
        <f t="shared" si="26"/>
        <v/>
      </c>
    </row>
    <row r="1733" spans="1:13" x14ac:dyDescent="0.35">
      <c r="A1733" s="11"/>
      <c r="B1733" s="12"/>
      <c r="C1733" s="12"/>
      <c r="D1733" s="12"/>
      <c r="E1733" s="13"/>
      <c r="F1733" s="13"/>
      <c r="G1733" s="13"/>
      <c r="H1733" s="13"/>
      <c r="I1733" s="12"/>
      <c r="J1733" s="13"/>
      <c r="K1733" s="14" t="str">
        <f>IF(C1733="","",IFERROR(N('Fee Settings'!$C$5)*(E1733+N(F1733)-N(J1733))+N('Fee Settings'!$C$6)*(E1733+N(F1733)+N(G1733))+N('Fee Settings'!$C$7)+N('Fee Settings'!$C$10)*D1733+IF(I1733="Yes",MIN(N('Fee Settings'!$C$8)*(E1733+N(F1733)),N('Fee Settings'!$C$9)),0),""))</f>
        <v/>
      </c>
      <c r="L1733" s="14" t="str">
        <f>IF(C1733="","",IFERROR(D1733*N(INDEX(Products!$C$5:$C$29,MATCH(C1733,Lists!$A$2:$A$26,0))),""))</f>
        <v/>
      </c>
      <c r="M1733" s="15" t="str">
        <f t="shared" ref="M1733:M1796" si="27">IF(C1733="","",IFERROR(E1733+N(F1733)-N(J1733)-K1733-L1733-N(H1733),""))</f>
        <v/>
      </c>
    </row>
    <row r="1734" spans="1:13" x14ac:dyDescent="0.35">
      <c r="A1734" s="11"/>
      <c r="B1734" s="12"/>
      <c r="C1734" s="12"/>
      <c r="D1734" s="12"/>
      <c r="E1734" s="13"/>
      <c r="F1734" s="13"/>
      <c r="G1734" s="13"/>
      <c r="H1734" s="13"/>
      <c r="I1734" s="12"/>
      <c r="J1734" s="13"/>
      <c r="K1734" s="14" t="str">
        <f>IF(C1734="","",IFERROR(N('Fee Settings'!$C$5)*(E1734+N(F1734)-N(J1734))+N('Fee Settings'!$C$6)*(E1734+N(F1734)+N(G1734))+N('Fee Settings'!$C$7)+N('Fee Settings'!$C$10)*D1734+IF(I1734="Yes",MIN(N('Fee Settings'!$C$8)*(E1734+N(F1734)),N('Fee Settings'!$C$9)),0),""))</f>
        <v/>
      </c>
      <c r="L1734" s="14" t="str">
        <f>IF(C1734="","",IFERROR(D1734*N(INDEX(Products!$C$5:$C$29,MATCH(C1734,Lists!$A$2:$A$26,0))),""))</f>
        <v/>
      </c>
      <c r="M1734" s="15" t="str">
        <f t="shared" si="27"/>
        <v/>
      </c>
    </row>
    <row r="1735" spans="1:13" x14ac:dyDescent="0.35">
      <c r="A1735" s="11"/>
      <c r="B1735" s="12"/>
      <c r="C1735" s="12"/>
      <c r="D1735" s="12"/>
      <c r="E1735" s="13"/>
      <c r="F1735" s="13"/>
      <c r="G1735" s="13"/>
      <c r="H1735" s="13"/>
      <c r="I1735" s="12"/>
      <c r="J1735" s="13"/>
      <c r="K1735" s="14" t="str">
        <f>IF(C1735="","",IFERROR(N('Fee Settings'!$C$5)*(E1735+N(F1735)-N(J1735))+N('Fee Settings'!$C$6)*(E1735+N(F1735)+N(G1735))+N('Fee Settings'!$C$7)+N('Fee Settings'!$C$10)*D1735+IF(I1735="Yes",MIN(N('Fee Settings'!$C$8)*(E1735+N(F1735)),N('Fee Settings'!$C$9)),0),""))</f>
        <v/>
      </c>
      <c r="L1735" s="14" t="str">
        <f>IF(C1735="","",IFERROR(D1735*N(INDEX(Products!$C$5:$C$29,MATCH(C1735,Lists!$A$2:$A$26,0))),""))</f>
        <v/>
      </c>
      <c r="M1735" s="15" t="str">
        <f t="shared" si="27"/>
        <v/>
      </c>
    </row>
    <row r="1736" spans="1:13" x14ac:dyDescent="0.35">
      <c r="A1736" s="11"/>
      <c r="B1736" s="12"/>
      <c r="C1736" s="12"/>
      <c r="D1736" s="12"/>
      <c r="E1736" s="13"/>
      <c r="F1736" s="13"/>
      <c r="G1736" s="13"/>
      <c r="H1736" s="13"/>
      <c r="I1736" s="12"/>
      <c r="J1736" s="13"/>
      <c r="K1736" s="14" t="str">
        <f>IF(C1736="","",IFERROR(N('Fee Settings'!$C$5)*(E1736+N(F1736)-N(J1736))+N('Fee Settings'!$C$6)*(E1736+N(F1736)+N(G1736))+N('Fee Settings'!$C$7)+N('Fee Settings'!$C$10)*D1736+IF(I1736="Yes",MIN(N('Fee Settings'!$C$8)*(E1736+N(F1736)),N('Fee Settings'!$C$9)),0),""))</f>
        <v/>
      </c>
      <c r="L1736" s="14" t="str">
        <f>IF(C1736="","",IFERROR(D1736*N(INDEX(Products!$C$5:$C$29,MATCH(C1736,Lists!$A$2:$A$26,0))),""))</f>
        <v/>
      </c>
      <c r="M1736" s="15" t="str">
        <f t="shared" si="27"/>
        <v/>
      </c>
    </row>
    <row r="1737" spans="1:13" x14ac:dyDescent="0.35">
      <c r="A1737" s="11"/>
      <c r="B1737" s="12"/>
      <c r="C1737" s="12"/>
      <c r="D1737" s="12"/>
      <c r="E1737" s="13"/>
      <c r="F1737" s="13"/>
      <c r="G1737" s="13"/>
      <c r="H1737" s="13"/>
      <c r="I1737" s="12"/>
      <c r="J1737" s="13"/>
      <c r="K1737" s="14" t="str">
        <f>IF(C1737="","",IFERROR(N('Fee Settings'!$C$5)*(E1737+N(F1737)-N(J1737))+N('Fee Settings'!$C$6)*(E1737+N(F1737)+N(G1737))+N('Fee Settings'!$C$7)+N('Fee Settings'!$C$10)*D1737+IF(I1737="Yes",MIN(N('Fee Settings'!$C$8)*(E1737+N(F1737)),N('Fee Settings'!$C$9)),0),""))</f>
        <v/>
      </c>
      <c r="L1737" s="14" t="str">
        <f>IF(C1737="","",IFERROR(D1737*N(INDEX(Products!$C$5:$C$29,MATCH(C1737,Lists!$A$2:$A$26,0))),""))</f>
        <v/>
      </c>
      <c r="M1737" s="15" t="str">
        <f t="shared" si="27"/>
        <v/>
      </c>
    </row>
    <row r="1738" spans="1:13" x14ac:dyDescent="0.35">
      <c r="A1738" s="11"/>
      <c r="B1738" s="12"/>
      <c r="C1738" s="12"/>
      <c r="D1738" s="12"/>
      <c r="E1738" s="13"/>
      <c r="F1738" s="13"/>
      <c r="G1738" s="13"/>
      <c r="H1738" s="13"/>
      <c r="I1738" s="12"/>
      <c r="J1738" s="13"/>
      <c r="K1738" s="14" t="str">
        <f>IF(C1738="","",IFERROR(N('Fee Settings'!$C$5)*(E1738+N(F1738)-N(J1738))+N('Fee Settings'!$C$6)*(E1738+N(F1738)+N(G1738))+N('Fee Settings'!$C$7)+N('Fee Settings'!$C$10)*D1738+IF(I1738="Yes",MIN(N('Fee Settings'!$C$8)*(E1738+N(F1738)),N('Fee Settings'!$C$9)),0),""))</f>
        <v/>
      </c>
      <c r="L1738" s="14" t="str">
        <f>IF(C1738="","",IFERROR(D1738*N(INDEX(Products!$C$5:$C$29,MATCH(C1738,Lists!$A$2:$A$26,0))),""))</f>
        <v/>
      </c>
      <c r="M1738" s="15" t="str">
        <f t="shared" si="27"/>
        <v/>
      </c>
    </row>
    <row r="1739" spans="1:13" x14ac:dyDescent="0.35">
      <c r="A1739" s="11"/>
      <c r="B1739" s="12"/>
      <c r="C1739" s="12"/>
      <c r="D1739" s="12"/>
      <c r="E1739" s="13"/>
      <c r="F1739" s="13"/>
      <c r="G1739" s="13"/>
      <c r="H1739" s="13"/>
      <c r="I1739" s="12"/>
      <c r="J1739" s="13"/>
      <c r="K1739" s="14" t="str">
        <f>IF(C1739="","",IFERROR(N('Fee Settings'!$C$5)*(E1739+N(F1739)-N(J1739))+N('Fee Settings'!$C$6)*(E1739+N(F1739)+N(G1739))+N('Fee Settings'!$C$7)+N('Fee Settings'!$C$10)*D1739+IF(I1739="Yes",MIN(N('Fee Settings'!$C$8)*(E1739+N(F1739)),N('Fee Settings'!$C$9)),0),""))</f>
        <v/>
      </c>
      <c r="L1739" s="14" t="str">
        <f>IF(C1739="","",IFERROR(D1739*N(INDEX(Products!$C$5:$C$29,MATCH(C1739,Lists!$A$2:$A$26,0))),""))</f>
        <v/>
      </c>
      <c r="M1739" s="15" t="str">
        <f t="shared" si="27"/>
        <v/>
      </c>
    </row>
    <row r="1740" spans="1:13" x14ac:dyDescent="0.35">
      <c r="A1740" s="11"/>
      <c r="B1740" s="12"/>
      <c r="C1740" s="12"/>
      <c r="D1740" s="12"/>
      <c r="E1740" s="13"/>
      <c r="F1740" s="13"/>
      <c r="G1740" s="13"/>
      <c r="H1740" s="13"/>
      <c r="I1740" s="12"/>
      <c r="J1740" s="13"/>
      <c r="K1740" s="14" t="str">
        <f>IF(C1740="","",IFERROR(N('Fee Settings'!$C$5)*(E1740+N(F1740)-N(J1740))+N('Fee Settings'!$C$6)*(E1740+N(F1740)+N(G1740))+N('Fee Settings'!$C$7)+N('Fee Settings'!$C$10)*D1740+IF(I1740="Yes",MIN(N('Fee Settings'!$C$8)*(E1740+N(F1740)),N('Fee Settings'!$C$9)),0),""))</f>
        <v/>
      </c>
      <c r="L1740" s="14" t="str">
        <f>IF(C1740="","",IFERROR(D1740*N(INDEX(Products!$C$5:$C$29,MATCH(C1740,Lists!$A$2:$A$26,0))),""))</f>
        <v/>
      </c>
      <c r="M1740" s="15" t="str">
        <f t="shared" si="27"/>
        <v/>
      </c>
    </row>
    <row r="1741" spans="1:13" x14ac:dyDescent="0.35">
      <c r="A1741" s="11"/>
      <c r="B1741" s="12"/>
      <c r="C1741" s="12"/>
      <c r="D1741" s="12"/>
      <c r="E1741" s="13"/>
      <c r="F1741" s="13"/>
      <c r="G1741" s="13"/>
      <c r="H1741" s="13"/>
      <c r="I1741" s="12"/>
      <c r="J1741" s="13"/>
      <c r="K1741" s="14" t="str">
        <f>IF(C1741="","",IFERROR(N('Fee Settings'!$C$5)*(E1741+N(F1741)-N(J1741))+N('Fee Settings'!$C$6)*(E1741+N(F1741)+N(G1741))+N('Fee Settings'!$C$7)+N('Fee Settings'!$C$10)*D1741+IF(I1741="Yes",MIN(N('Fee Settings'!$C$8)*(E1741+N(F1741)),N('Fee Settings'!$C$9)),0),""))</f>
        <v/>
      </c>
      <c r="L1741" s="14" t="str">
        <f>IF(C1741="","",IFERROR(D1741*N(INDEX(Products!$C$5:$C$29,MATCH(C1741,Lists!$A$2:$A$26,0))),""))</f>
        <v/>
      </c>
      <c r="M1741" s="15" t="str">
        <f t="shared" si="27"/>
        <v/>
      </c>
    </row>
    <row r="1742" spans="1:13" x14ac:dyDescent="0.35">
      <c r="A1742" s="11"/>
      <c r="B1742" s="12"/>
      <c r="C1742" s="12"/>
      <c r="D1742" s="12"/>
      <c r="E1742" s="13"/>
      <c r="F1742" s="13"/>
      <c r="G1742" s="13"/>
      <c r="H1742" s="13"/>
      <c r="I1742" s="12"/>
      <c r="J1742" s="13"/>
      <c r="K1742" s="14" t="str">
        <f>IF(C1742="","",IFERROR(N('Fee Settings'!$C$5)*(E1742+N(F1742)-N(J1742))+N('Fee Settings'!$C$6)*(E1742+N(F1742)+N(G1742))+N('Fee Settings'!$C$7)+N('Fee Settings'!$C$10)*D1742+IF(I1742="Yes",MIN(N('Fee Settings'!$C$8)*(E1742+N(F1742)),N('Fee Settings'!$C$9)),0),""))</f>
        <v/>
      </c>
      <c r="L1742" s="14" t="str">
        <f>IF(C1742="","",IFERROR(D1742*N(INDEX(Products!$C$5:$C$29,MATCH(C1742,Lists!$A$2:$A$26,0))),""))</f>
        <v/>
      </c>
      <c r="M1742" s="15" t="str">
        <f t="shared" si="27"/>
        <v/>
      </c>
    </row>
    <row r="1743" spans="1:13" x14ac:dyDescent="0.35">
      <c r="A1743" s="11"/>
      <c r="B1743" s="12"/>
      <c r="C1743" s="12"/>
      <c r="D1743" s="12"/>
      <c r="E1743" s="13"/>
      <c r="F1743" s="13"/>
      <c r="G1743" s="13"/>
      <c r="H1743" s="13"/>
      <c r="I1743" s="12"/>
      <c r="J1743" s="13"/>
      <c r="K1743" s="14" t="str">
        <f>IF(C1743="","",IFERROR(N('Fee Settings'!$C$5)*(E1743+N(F1743)-N(J1743))+N('Fee Settings'!$C$6)*(E1743+N(F1743)+N(G1743))+N('Fee Settings'!$C$7)+N('Fee Settings'!$C$10)*D1743+IF(I1743="Yes",MIN(N('Fee Settings'!$C$8)*(E1743+N(F1743)),N('Fee Settings'!$C$9)),0),""))</f>
        <v/>
      </c>
      <c r="L1743" s="14" t="str">
        <f>IF(C1743="","",IFERROR(D1743*N(INDEX(Products!$C$5:$C$29,MATCH(C1743,Lists!$A$2:$A$26,0))),""))</f>
        <v/>
      </c>
      <c r="M1743" s="15" t="str">
        <f t="shared" si="27"/>
        <v/>
      </c>
    </row>
    <row r="1744" spans="1:13" x14ac:dyDescent="0.35">
      <c r="A1744" s="11"/>
      <c r="B1744" s="12"/>
      <c r="C1744" s="12"/>
      <c r="D1744" s="12"/>
      <c r="E1744" s="13"/>
      <c r="F1744" s="13"/>
      <c r="G1744" s="13"/>
      <c r="H1744" s="13"/>
      <c r="I1744" s="12"/>
      <c r="J1744" s="13"/>
      <c r="K1744" s="14" t="str">
        <f>IF(C1744="","",IFERROR(N('Fee Settings'!$C$5)*(E1744+N(F1744)-N(J1744))+N('Fee Settings'!$C$6)*(E1744+N(F1744)+N(G1744))+N('Fee Settings'!$C$7)+N('Fee Settings'!$C$10)*D1744+IF(I1744="Yes",MIN(N('Fee Settings'!$C$8)*(E1744+N(F1744)),N('Fee Settings'!$C$9)),0),""))</f>
        <v/>
      </c>
      <c r="L1744" s="14" t="str">
        <f>IF(C1744="","",IFERROR(D1744*N(INDEX(Products!$C$5:$C$29,MATCH(C1744,Lists!$A$2:$A$26,0))),""))</f>
        <v/>
      </c>
      <c r="M1744" s="15" t="str">
        <f t="shared" si="27"/>
        <v/>
      </c>
    </row>
    <row r="1745" spans="1:13" x14ac:dyDescent="0.35">
      <c r="A1745" s="11"/>
      <c r="B1745" s="12"/>
      <c r="C1745" s="12"/>
      <c r="D1745" s="12"/>
      <c r="E1745" s="13"/>
      <c r="F1745" s="13"/>
      <c r="G1745" s="13"/>
      <c r="H1745" s="13"/>
      <c r="I1745" s="12"/>
      <c r="J1745" s="13"/>
      <c r="K1745" s="14" t="str">
        <f>IF(C1745="","",IFERROR(N('Fee Settings'!$C$5)*(E1745+N(F1745)-N(J1745))+N('Fee Settings'!$C$6)*(E1745+N(F1745)+N(G1745))+N('Fee Settings'!$C$7)+N('Fee Settings'!$C$10)*D1745+IF(I1745="Yes",MIN(N('Fee Settings'!$C$8)*(E1745+N(F1745)),N('Fee Settings'!$C$9)),0),""))</f>
        <v/>
      </c>
      <c r="L1745" s="14" t="str">
        <f>IF(C1745="","",IFERROR(D1745*N(INDEX(Products!$C$5:$C$29,MATCH(C1745,Lists!$A$2:$A$26,0))),""))</f>
        <v/>
      </c>
      <c r="M1745" s="15" t="str">
        <f t="shared" si="27"/>
        <v/>
      </c>
    </row>
    <row r="1746" spans="1:13" x14ac:dyDescent="0.35">
      <c r="A1746" s="11"/>
      <c r="B1746" s="12"/>
      <c r="C1746" s="12"/>
      <c r="D1746" s="12"/>
      <c r="E1746" s="13"/>
      <c r="F1746" s="13"/>
      <c r="G1746" s="13"/>
      <c r="H1746" s="13"/>
      <c r="I1746" s="12"/>
      <c r="J1746" s="13"/>
      <c r="K1746" s="14" t="str">
        <f>IF(C1746="","",IFERROR(N('Fee Settings'!$C$5)*(E1746+N(F1746)-N(J1746))+N('Fee Settings'!$C$6)*(E1746+N(F1746)+N(G1746))+N('Fee Settings'!$C$7)+N('Fee Settings'!$C$10)*D1746+IF(I1746="Yes",MIN(N('Fee Settings'!$C$8)*(E1746+N(F1746)),N('Fee Settings'!$C$9)),0),""))</f>
        <v/>
      </c>
      <c r="L1746" s="14" t="str">
        <f>IF(C1746="","",IFERROR(D1746*N(INDEX(Products!$C$5:$C$29,MATCH(C1746,Lists!$A$2:$A$26,0))),""))</f>
        <v/>
      </c>
      <c r="M1746" s="15" t="str">
        <f t="shared" si="27"/>
        <v/>
      </c>
    </row>
    <row r="1747" spans="1:13" x14ac:dyDescent="0.35">
      <c r="A1747" s="11"/>
      <c r="B1747" s="12"/>
      <c r="C1747" s="12"/>
      <c r="D1747" s="12"/>
      <c r="E1747" s="13"/>
      <c r="F1747" s="13"/>
      <c r="G1747" s="13"/>
      <c r="H1747" s="13"/>
      <c r="I1747" s="12"/>
      <c r="J1747" s="13"/>
      <c r="K1747" s="14" t="str">
        <f>IF(C1747="","",IFERROR(N('Fee Settings'!$C$5)*(E1747+N(F1747)-N(J1747))+N('Fee Settings'!$C$6)*(E1747+N(F1747)+N(G1747))+N('Fee Settings'!$C$7)+N('Fee Settings'!$C$10)*D1747+IF(I1747="Yes",MIN(N('Fee Settings'!$C$8)*(E1747+N(F1747)),N('Fee Settings'!$C$9)),0),""))</f>
        <v/>
      </c>
      <c r="L1747" s="14" t="str">
        <f>IF(C1747="","",IFERROR(D1747*N(INDEX(Products!$C$5:$C$29,MATCH(C1747,Lists!$A$2:$A$26,0))),""))</f>
        <v/>
      </c>
      <c r="M1747" s="15" t="str">
        <f t="shared" si="27"/>
        <v/>
      </c>
    </row>
    <row r="1748" spans="1:13" x14ac:dyDescent="0.35">
      <c r="A1748" s="11"/>
      <c r="B1748" s="12"/>
      <c r="C1748" s="12"/>
      <c r="D1748" s="12"/>
      <c r="E1748" s="13"/>
      <c r="F1748" s="13"/>
      <c r="G1748" s="13"/>
      <c r="H1748" s="13"/>
      <c r="I1748" s="12"/>
      <c r="J1748" s="13"/>
      <c r="K1748" s="14" t="str">
        <f>IF(C1748="","",IFERROR(N('Fee Settings'!$C$5)*(E1748+N(F1748)-N(J1748))+N('Fee Settings'!$C$6)*(E1748+N(F1748)+N(G1748))+N('Fee Settings'!$C$7)+N('Fee Settings'!$C$10)*D1748+IF(I1748="Yes",MIN(N('Fee Settings'!$C$8)*(E1748+N(F1748)),N('Fee Settings'!$C$9)),0),""))</f>
        <v/>
      </c>
      <c r="L1748" s="14" t="str">
        <f>IF(C1748="","",IFERROR(D1748*N(INDEX(Products!$C$5:$C$29,MATCH(C1748,Lists!$A$2:$A$26,0))),""))</f>
        <v/>
      </c>
      <c r="M1748" s="15" t="str">
        <f t="shared" si="27"/>
        <v/>
      </c>
    </row>
    <row r="1749" spans="1:13" x14ac:dyDescent="0.35">
      <c r="A1749" s="11"/>
      <c r="B1749" s="12"/>
      <c r="C1749" s="12"/>
      <c r="D1749" s="12"/>
      <c r="E1749" s="13"/>
      <c r="F1749" s="13"/>
      <c r="G1749" s="13"/>
      <c r="H1749" s="13"/>
      <c r="I1749" s="12"/>
      <c r="J1749" s="13"/>
      <c r="K1749" s="14" t="str">
        <f>IF(C1749="","",IFERROR(N('Fee Settings'!$C$5)*(E1749+N(F1749)-N(J1749))+N('Fee Settings'!$C$6)*(E1749+N(F1749)+N(G1749))+N('Fee Settings'!$C$7)+N('Fee Settings'!$C$10)*D1749+IF(I1749="Yes",MIN(N('Fee Settings'!$C$8)*(E1749+N(F1749)),N('Fee Settings'!$C$9)),0),""))</f>
        <v/>
      </c>
      <c r="L1749" s="14" t="str">
        <f>IF(C1749="","",IFERROR(D1749*N(INDEX(Products!$C$5:$C$29,MATCH(C1749,Lists!$A$2:$A$26,0))),""))</f>
        <v/>
      </c>
      <c r="M1749" s="15" t="str">
        <f t="shared" si="27"/>
        <v/>
      </c>
    </row>
    <row r="1750" spans="1:13" x14ac:dyDescent="0.35">
      <c r="A1750" s="11"/>
      <c r="B1750" s="12"/>
      <c r="C1750" s="12"/>
      <c r="D1750" s="12"/>
      <c r="E1750" s="13"/>
      <c r="F1750" s="13"/>
      <c r="G1750" s="13"/>
      <c r="H1750" s="13"/>
      <c r="I1750" s="12"/>
      <c r="J1750" s="13"/>
      <c r="K1750" s="14" t="str">
        <f>IF(C1750="","",IFERROR(N('Fee Settings'!$C$5)*(E1750+N(F1750)-N(J1750))+N('Fee Settings'!$C$6)*(E1750+N(F1750)+N(G1750))+N('Fee Settings'!$C$7)+N('Fee Settings'!$C$10)*D1750+IF(I1750="Yes",MIN(N('Fee Settings'!$C$8)*(E1750+N(F1750)),N('Fee Settings'!$C$9)),0),""))</f>
        <v/>
      </c>
      <c r="L1750" s="14" t="str">
        <f>IF(C1750="","",IFERROR(D1750*N(INDEX(Products!$C$5:$C$29,MATCH(C1750,Lists!$A$2:$A$26,0))),""))</f>
        <v/>
      </c>
      <c r="M1750" s="15" t="str">
        <f t="shared" si="27"/>
        <v/>
      </c>
    </row>
    <row r="1751" spans="1:13" x14ac:dyDescent="0.35">
      <c r="A1751" s="11"/>
      <c r="B1751" s="12"/>
      <c r="C1751" s="12"/>
      <c r="D1751" s="12"/>
      <c r="E1751" s="13"/>
      <c r="F1751" s="13"/>
      <c r="G1751" s="13"/>
      <c r="H1751" s="13"/>
      <c r="I1751" s="12"/>
      <c r="J1751" s="13"/>
      <c r="K1751" s="14" t="str">
        <f>IF(C1751="","",IFERROR(N('Fee Settings'!$C$5)*(E1751+N(F1751)-N(J1751))+N('Fee Settings'!$C$6)*(E1751+N(F1751)+N(G1751))+N('Fee Settings'!$C$7)+N('Fee Settings'!$C$10)*D1751+IF(I1751="Yes",MIN(N('Fee Settings'!$C$8)*(E1751+N(F1751)),N('Fee Settings'!$C$9)),0),""))</f>
        <v/>
      </c>
      <c r="L1751" s="14" t="str">
        <f>IF(C1751="","",IFERROR(D1751*N(INDEX(Products!$C$5:$C$29,MATCH(C1751,Lists!$A$2:$A$26,0))),""))</f>
        <v/>
      </c>
      <c r="M1751" s="15" t="str">
        <f t="shared" si="27"/>
        <v/>
      </c>
    </row>
    <row r="1752" spans="1:13" x14ac:dyDescent="0.35">
      <c r="A1752" s="11"/>
      <c r="B1752" s="12"/>
      <c r="C1752" s="12"/>
      <c r="D1752" s="12"/>
      <c r="E1752" s="13"/>
      <c r="F1752" s="13"/>
      <c r="G1752" s="13"/>
      <c r="H1752" s="13"/>
      <c r="I1752" s="12"/>
      <c r="J1752" s="13"/>
      <c r="K1752" s="14" t="str">
        <f>IF(C1752="","",IFERROR(N('Fee Settings'!$C$5)*(E1752+N(F1752)-N(J1752))+N('Fee Settings'!$C$6)*(E1752+N(F1752)+N(G1752))+N('Fee Settings'!$C$7)+N('Fee Settings'!$C$10)*D1752+IF(I1752="Yes",MIN(N('Fee Settings'!$C$8)*(E1752+N(F1752)),N('Fee Settings'!$C$9)),0),""))</f>
        <v/>
      </c>
      <c r="L1752" s="14" t="str">
        <f>IF(C1752="","",IFERROR(D1752*N(INDEX(Products!$C$5:$C$29,MATCH(C1752,Lists!$A$2:$A$26,0))),""))</f>
        <v/>
      </c>
      <c r="M1752" s="15" t="str">
        <f t="shared" si="27"/>
        <v/>
      </c>
    </row>
    <row r="1753" spans="1:13" x14ac:dyDescent="0.35">
      <c r="A1753" s="11"/>
      <c r="B1753" s="12"/>
      <c r="C1753" s="12"/>
      <c r="D1753" s="12"/>
      <c r="E1753" s="13"/>
      <c r="F1753" s="13"/>
      <c r="G1753" s="13"/>
      <c r="H1753" s="13"/>
      <c r="I1753" s="12"/>
      <c r="J1753" s="13"/>
      <c r="K1753" s="14" t="str">
        <f>IF(C1753="","",IFERROR(N('Fee Settings'!$C$5)*(E1753+N(F1753)-N(J1753))+N('Fee Settings'!$C$6)*(E1753+N(F1753)+N(G1753))+N('Fee Settings'!$C$7)+N('Fee Settings'!$C$10)*D1753+IF(I1753="Yes",MIN(N('Fee Settings'!$C$8)*(E1753+N(F1753)),N('Fee Settings'!$C$9)),0),""))</f>
        <v/>
      </c>
      <c r="L1753" s="14" t="str">
        <f>IF(C1753="","",IFERROR(D1753*N(INDEX(Products!$C$5:$C$29,MATCH(C1753,Lists!$A$2:$A$26,0))),""))</f>
        <v/>
      </c>
      <c r="M1753" s="15" t="str">
        <f t="shared" si="27"/>
        <v/>
      </c>
    </row>
    <row r="1754" spans="1:13" x14ac:dyDescent="0.35">
      <c r="A1754" s="11"/>
      <c r="B1754" s="12"/>
      <c r="C1754" s="12"/>
      <c r="D1754" s="12"/>
      <c r="E1754" s="13"/>
      <c r="F1754" s="13"/>
      <c r="G1754" s="13"/>
      <c r="H1754" s="13"/>
      <c r="I1754" s="12"/>
      <c r="J1754" s="13"/>
      <c r="K1754" s="14" t="str">
        <f>IF(C1754="","",IFERROR(N('Fee Settings'!$C$5)*(E1754+N(F1754)-N(J1754))+N('Fee Settings'!$C$6)*(E1754+N(F1754)+N(G1754))+N('Fee Settings'!$C$7)+N('Fee Settings'!$C$10)*D1754+IF(I1754="Yes",MIN(N('Fee Settings'!$C$8)*(E1754+N(F1754)),N('Fee Settings'!$C$9)),0),""))</f>
        <v/>
      </c>
      <c r="L1754" s="14" t="str">
        <f>IF(C1754="","",IFERROR(D1754*N(INDEX(Products!$C$5:$C$29,MATCH(C1754,Lists!$A$2:$A$26,0))),""))</f>
        <v/>
      </c>
      <c r="M1754" s="15" t="str">
        <f t="shared" si="27"/>
        <v/>
      </c>
    </row>
    <row r="1755" spans="1:13" x14ac:dyDescent="0.35">
      <c r="A1755" s="11"/>
      <c r="B1755" s="12"/>
      <c r="C1755" s="12"/>
      <c r="D1755" s="12"/>
      <c r="E1755" s="13"/>
      <c r="F1755" s="13"/>
      <c r="G1755" s="13"/>
      <c r="H1755" s="13"/>
      <c r="I1755" s="12"/>
      <c r="J1755" s="13"/>
      <c r="K1755" s="14" t="str">
        <f>IF(C1755="","",IFERROR(N('Fee Settings'!$C$5)*(E1755+N(F1755)-N(J1755))+N('Fee Settings'!$C$6)*(E1755+N(F1755)+N(G1755))+N('Fee Settings'!$C$7)+N('Fee Settings'!$C$10)*D1755+IF(I1755="Yes",MIN(N('Fee Settings'!$C$8)*(E1755+N(F1755)),N('Fee Settings'!$C$9)),0),""))</f>
        <v/>
      </c>
      <c r="L1755" s="14" t="str">
        <f>IF(C1755="","",IFERROR(D1755*N(INDEX(Products!$C$5:$C$29,MATCH(C1755,Lists!$A$2:$A$26,0))),""))</f>
        <v/>
      </c>
      <c r="M1755" s="15" t="str">
        <f t="shared" si="27"/>
        <v/>
      </c>
    </row>
    <row r="1756" spans="1:13" x14ac:dyDescent="0.35">
      <c r="A1756" s="11"/>
      <c r="B1756" s="12"/>
      <c r="C1756" s="12"/>
      <c r="D1756" s="12"/>
      <c r="E1756" s="13"/>
      <c r="F1756" s="13"/>
      <c r="G1756" s="13"/>
      <c r="H1756" s="13"/>
      <c r="I1756" s="12"/>
      <c r="J1756" s="13"/>
      <c r="K1756" s="14" t="str">
        <f>IF(C1756="","",IFERROR(N('Fee Settings'!$C$5)*(E1756+N(F1756)-N(J1756))+N('Fee Settings'!$C$6)*(E1756+N(F1756)+N(G1756))+N('Fee Settings'!$C$7)+N('Fee Settings'!$C$10)*D1756+IF(I1756="Yes",MIN(N('Fee Settings'!$C$8)*(E1756+N(F1756)),N('Fee Settings'!$C$9)),0),""))</f>
        <v/>
      </c>
      <c r="L1756" s="14" t="str">
        <f>IF(C1756="","",IFERROR(D1756*N(INDEX(Products!$C$5:$C$29,MATCH(C1756,Lists!$A$2:$A$26,0))),""))</f>
        <v/>
      </c>
      <c r="M1756" s="15" t="str">
        <f t="shared" si="27"/>
        <v/>
      </c>
    </row>
    <row r="1757" spans="1:13" x14ac:dyDescent="0.35">
      <c r="A1757" s="11"/>
      <c r="B1757" s="12"/>
      <c r="C1757" s="12"/>
      <c r="D1757" s="12"/>
      <c r="E1757" s="13"/>
      <c r="F1757" s="13"/>
      <c r="G1757" s="13"/>
      <c r="H1757" s="13"/>
      <c r="I1757" s="12"/>
      <c r="J1757" s="13"/>
      <c r="K1757" s="14" t="str">
        <f>IF(C1757="","",IFERROR(N('Fee Settings'!$C$5)*(E1757+N(F1757)-N(J1757))+N('Fee Settings'!$C$6)*(E1757+N(F1757)+N(G1757))+N('Fee Settings'!$C$7)+N('Fee Settings'!$C$10)*D1757+IF(I1757="Yes",MIN(N('Fee Settings'!$C$8)*(E1757+N(F1757)),N('Fee Settings'!$C$9)),0),""))</f>
        <v/>
      </c>
      <c r="L1757" s="14" t="str">
        <f>IF(C1757="","",IFERROR(D1757*N(INDEX(Products!$C$5:$C$29,MATCH(C1757,Lists!$A$2:$A$26,0))),""))</f>
        <v/>
      </c>
      <c r="M1757" s="15" t="str">
        <f t="shared" si="27"/>
        <v/>
      </c>
    </row>
    <row r="1758" spans="1:13" x14ac:dyDescent="0.35">
      <c r="A1758" s="11"/>
      <c r="B1758" s="12"/>
      <c r="C1758" s="12"/>
      <c r="D1758" s="12"/>
      <c r="E1758" s="13"/>
      <c r="F1758" s="13"/>
      <c r="G1758" s="13"/>
      <c r="H1758" s="13"/>
      <c r="I1758" s="12"/>
      <c r="J1758" s="13"/>
      <c r="K1758" s="14" t="str">
        <f>IF(C1758="","",IFERROR(N('Fee Settings'!$C$5)*(E1758+N(F1758)-N(J1758))+N('Fee Settings'!$C$6)*(E1758+N(F1758)+N(G1758))+N('Fee Settings'!$C$7)+N('Fee Settings'!$C$10)*D1758+IF(I1758="Yes",MIN(N('Fee Settings'!$C$8)*(E1758+N(F1758)),N('Fee Settings'!$C$9)),0),""))</f>
        <v/>
      </c>
      <c r="L1758" s="14" t="str">
        <f>IF(C1758="","",IFERROR(D1758*N(INDEX(Products!$C$5:$C$29,MATCH(C1758,Lists!$A$2:$A$26,0))),""))</f>
        <v/>
      </c>
      <c r="M1758" s="15" t="str">
        <f t="shared" si="27"/>
        <v/>
      </c>
    </row>
    <row r="1759" spans="1:13" x14ac:dyDescent="0.35">
      <c r="A1759" s="11"/>
      <c r="B1759" s="12"/>
      <c r="C1759" s="12"/>
      <c r="D1759" s="12"/>
      <c r="E1759" s="13"/>
      <c r="F1759" s="13"/>
      <c r="G1759" s="13"/>
      <c r="H1759" s="13"/>
      <c r="I1759" s="12"/>
      <c r="J1759" s="13"/>
      <c r="K1759" s="14" t="str">
        <f>IF(C1759="","",IFERROR(N('Fee Settings'!$C$5)*(E1759+N(F1759)-N(J1759))+N('Fee Settings'!$C$6)*(E1759+N(F1759)+N(G1759))+N('Fee Settings'!$C$7)+N('Fee Settings'!$C$10)*D1759+IF(I1759="Yes",MIN(N('Fee Settings'!$C$8)*(E1759+N(F1759)),N('Fee Settings'!$C$9)),0),""))</f>
        <v/>
      </c>
      <c r="L1759" s="14" t="str">
        <f>IF(C1759="","",IFERROR(D1759*N(INDEX(Products!$C$5:$C$29,MATCH(C1759,Lists!$A$2:$A$26,0))),""))</f>
        <v/>
      </c>
      <c r="M1759" s="15" t="str">
        <f t="shared" si="27"/>
        <v/>
      </c>
    </row>
    <row r="1760" spans="1:13" x14ac:dyDescent="0.35">
      <c r="A1760" s="11"/>
      <c r="B1760" s="12"/>
      <c r="C1760" s="12"/>
      <c r="D1760" s="12"/>
      <c r="E1760" s="13"/>
      <c r="F1760" s="13"/>
      <c r="G1760" s="13"/>
      <c r="H1760" s="13"/>
      <c r="I1760" s="12"/>
      <c r="J1760" s="13"/>
      <c r="K1760" s="14" t="str">
        <f>IF(C1760="","",IFERROR(N('Fee Settings'!$C$5)*(E1760+N(F1760)-N(J1760))+N('Fee Settings'!$C$6)*(E1760+N(F1760)+N(G1760))+N('Fee Settings'!$C$7)+N('Fee Settings'!$C$10)*D1760+IF(I1760="Yes",MIN(N('Fee Settings'!$C$8)*(E1760+N(F1760)),N('Fee Settings'!$C$9)),0),""))</f>
        <v/>
      </c>
      <c r="L1760" s="14" t="str">
        <f>IF(C1760="","",IFERROR(D1760*N(INDEX(Products!$C$5:$C$29,MATCH(C1760,Lists!$A$2:$A$26,0))),""))</f>
        <v/>
      </c>
      <c r="M1760" s="15" t="str">
        <f t="shared" si="27"/>
        <v/>
      </c>
    </row>
    <row r="1761" spans="1:13" x14ac:dyDescent="0.35">
      <c r="A1761" s="11"/>
      <c r="B1761" s="12"/>
      <c r="C1761" s="12"/>
      <c r="D1761" s="12"/>
      <c r="E1761" s="13"/>
      <c r="F1761" s="13"/>
      <c r="G1761" s="13"/>
      <c r="H1761" s="13"/>
      <c r="I1761" s="12"/>
      <c r="J1761" s="13"/>
      <c r="K1761" s="14" t="str">
        <f>IF(C1761="","",IFERROR(N('Fee Settings'!$C$5)*(E1761+N(F1761)-N(J1761))+N('Fee Settings'!$C$6)*(E1761+N(F1761)+N(G1761))+N('Fee Settings'!$C$7)+N('Fee Settings'!$C$10)*D1761+IF(I1761="Yes",MIN(N('Fee Settings'!$C$8)*(E1761+N(F1761)),N('Fee Settings'!$C$9)),0),""))</f>
        <v/>
      </c>
      <c r="L1761" s="14" t="str">
        <f>IF(C1761="","",IFERROR(D1761*N(INDEX(Products!$C$5:$C$29,MATCH(C1761,Lists!$A$2:$A$26,0))),""))</f>
        <v/>
      </c>
      <c r="M1761" s="15" t="str">
        <f t="shared" si="27"/>
        <v/>
      </c>
    </row>
    <row r="1762" spans="1:13" x14ac:dyDescent="0.35">
      <c r="A1762" s="11"/>
      <c r="B1762" s="12"/>
      <c r="C1762" s="12"/>
      <c r="D1762" s="12"/>
      <c r="E1762" s="13"/>
      <c r="F1762" s="13"/>
      <c r="G1762" s="13"/>
      <c r="H1762" s="13"/>
      <c r="I1762" s="12"/>
      <c r="J1762" s="13"/>
      <c r="K1762" s="14" t="str">
        <f>IF(C1762="","",IFERROR(N('Fee Settings'!$C$5)*(E1762+N(F1762)-N(J1762))+N('Fee Settings'!$C$6)*(E1762+N(F1762)+N(G1762))+N('Fee Settings'!$C$7)+N('Fee Settings'!$C$10)*D1762+IF(I1762="Yes",MIN(N('Fee Settings'!$C$8)*(E1762+N(F1762)),N('Fee Settings'!$C$9)),0),""))</f>
        <v/>
      </c>
      <c r="L1762" s="14" t="str">
        <f>IF(C1762="","",IFERROR(D1762*N(INDEX(Products!$C$5:$C$29,MATCH(C1762,Lists!$A$2:$A$26,0))),""))</f>
        <v/>
      </c>
      <c r="M1762" s="15" t="str">
        <f t="shared" si="27"/>
        <v/>
      </c>
    </row>
    <row r="1763" spans="1:13" x14ac:dyDescent="0.35">
      <c r="A1763" s="11"/>
      <c r="B1763" s="12"/>
      <c r="C1763" s="12"/>
      <c r="D1763" s="12"/>
      <c r="E1763" s="13"/>
      <c r="F1763" s="13"/>
      <c r="G1763" s="13"/>
      <c r="H1763" s="13"/>
      <c r="I1763" s="12"/>
      <c r="J1763" s="13"/>
      <c r="K1763" s="14" t="str">
        <f>IF(C1763="","",IFERROR(N('Fee Settings'!$C$5)*(E1763+N(F1763)-N(J1763))+N('Fee Settings'!$C$6)*(E1763+N(F1763)+N(G1763))+N('Fee Settings'!$C$7)+N('Fee Settings'!$C$10)*D1763+IF(I1763="Yes",MIN(N('Fee Settings'!$C$8)*(E1763+N(F1763)),N('Fee Settings'!$C$9)),0),""))</f>
        <v/>
      </c>
      <c r="L1763" s="14" t="str">
        <f>IF(C1763="","",IFERROR(D1763*N(INDEX(Products!$C$5:$C$29,MATCH(C1763,Lists!$A$2:$A$26,0))),""))</f>
        <v/>
      </c>
      <c r="M1763" s="15" t="str">
        <f t="shared" si="27"/>
        <v/>
      </c>
    </row>
    <row r="1764" spans="1:13" x14ac:dyDescent="0.35">
      <c r="A1764" s="11"/>
      <c r="B1764" s="12"/>
      <c r="C1764" s="12"/>
      <c r="D1764" s="12"/>
      <c r="E1764" s="13"/>
      <c r="F1764" s="13"/>
      <c r="G1764" s="13"/>
      <c r="H1764" s="13"/>
      <c r="I1764" s="12"/>
      <c r="J1764" s="13"/>
      <c r="K1764" s="14" t="str">
        <f>IF(C1764="","",IFERROR(N('Fee Settings'!$C$5)*(E1764+N(F1764)-N(J1764))+N('Fee Settings'!$C$6)*(E1764+N(F1764)+N(G1764))+N('Fee Settings'!$C$7)+N('Fee Settings'!$C$10)*D1764+IF(I1764="Yes",MIN(N('Fee Settings'!$C$8)*(E1764+N(F1764)),N('Fee Settings'!$C$9)),0),""))</f>
        <v/>
      </c>
      <c r="L1764" s="14" t="str">
        <f>IF(C1764="","",IFERROR(D1764*N(INDEX(Products!$C$5:$C$29,MATCH(C1764,Lists!$A$2:$A$26,0))),""))</f>
        <v/>
      </c>
      <c r="M1764" s="15" t="str">
        <f t="shared" si="27"/>
        <v/>
      </c>
    </row>
    <row r="1765" spans="1:13" x14ac:dyDescent="0.35">
      <c r="A1765" s="11"/>
      <c r="B1765" s="12"/>
      <c r="C1765" s="12"/>
      <c r="D1765" s="12"/>
      <c r="E1765" s="13"/>
      <c r="F1765" s="13"/>
      <c r="G1765" s="13"/>
      <c r="H1765" s="13"/>
      <c r="I1765" s="12"/>
      <c r="J1765" s="13"/>
      <c r="K1765" s="14" t="str">
        <f>IF(C1765="","",IFERROR(N('Fee Settings'!$C$5)*(E1765+N(F1765)-N(J1765))+N('Fee Settings'!$C$6)*(E1765+N(F1765)+N(G1765))+N('Fee Settings'!$C$7)+N('Fee Settings'!$C$10)*D1765+IF(I1765="Yes",MIN(N('Fee Settings'!$C$8)*(E1765+N(F1765)),N('Fee Settings'!$C$9)),0),""))</f>
        <v/>
      </c>
      <c r="L1765" s="14" t="str">
        <f>IF(C1765="","",IFERROR(D1765*N(INDEX(Products!$C$5:$C$29,MATCH(C1765,Lists!$A$2:$A$26,0))),""))</f>
        <v/>
      </c>
      <c r="M1765" s="15" t="str">
        <f t="shared" si="27"/>
        <v/>
      </c>
    </row>
    <row r="1766" spans="1:13" x14ac:dyDescent="0.35">
      <c r="A1766" s="11"/>
      <c r="B1766" s="12"/>
      <c r="C1766" s="12"/>
      <c r="D1766" s="12"/>
      <c r="E1766" s="13"/>
      <c r="F1766" s="13"/>
      <c r="G1766" s="13"/>
      <c r="H1766" s="13"/>
      <c r="I1766" s="12"/>
      <c r="J1766" s="13"/>
      <c r="K1766" s="14" t="str">
        <f>IF(C1766="","",IFERROR(N('Fee Settings'!$C$5)*(E1766+N(F1766)-N(J1766))+N('Fee Settings'!$C$6)*(E1766+N(F1766)+N(G1766))+N('Fee Settings'!$C$7)+N('Fee Settings'!$C$10)*D1766+IF(I1766="Yes",MIN(N('Fee Settings'!$C$8)*(E1766+N(F1766)),N('Fee Settings'!$C$9)),0),""))</f>
        <v/>
      </c>
      <c r="L1766" s="14" t="str">
        <f>IF(C1766="","",IFERROR(D1766*N(INDEX(Products!$C$5:$C$29,MATCH(C1766,Lists!$A$2:$A$26,0))),""))</f>
        <v/>
      </c>
      <c r="M1766" s="15" t="str">
        <f t="shared" si="27"/>
        <v/>
      </c>
    </row>
    <row r="1767" spans="1:13" x14ac:dyDescent="0.35">
      <c r="A1767" s="11"/>
      <c r="B1767" s="12"/>
      <c r="C1767" s="12"/>
      <c r="D1767" s="12"/>
      <c r="E1767" s="13"/>
      <c r="F1767" s="13"/>
      <c r="G1767" s="13"/>
      <c r="H1767" s="13"/>
      <c r="I1767" s="12"/>
      <c r="J1767" s="13"/>
      <c r="K1767" s="14" t="str">
        <f>IF(C1767="","",IFERROR(N('Fee Settings'!$C$5)*(E1767+N(F1767)-N(J1767))+N('Fee Settings'!$C$6)*(E1767+N(F1767)+N(G1767))+N('Fee Settings'!$C$7)+N('Fee Settings'!$C$10)*D1767+IF(I1767="Yes",MIN(N('Fee Settings'!$C$8)*(E1767+N(F1767)),N('Fee Settings'!$C$9)),0),""))</f>
        <v/>
      </c>
      <c r="L1767" s="14" t="str">
        <f>IF(C1767="","",IFERROR(D1767*N(INDEX(Products!$C$5:$C$29,MATCH(C1767,Lists!$A$2:$A$26,0))),""))</f>
        <v/>
      </c>
      <c r="M1767" s="15" t="str">
        <f t="shared" si="27"/>
        <v/>
      </c>
    </row>
    <row r="1768" spans="1:13" x14ac:dyDescent="0.35">
      <c r="A1768" s="11"/>
      <c r="B1768" s="12"/>
      <c r="C1768" s="12"/>
      <c r="D1768" s="12"/>
      <c r="E1768" s="13"/>
      <c r="F1768" s="13"/>
      <c r="G1768" s="13"/>
      <c r="H1768" s="13"/>
      <c r="I1768" s="12"/>
      <c r="J1768" s="13"/>
      <c r="K1768" s="14" t="str">
        <f>IF(C1768="","",IFERROR(N('Fee Settings'!$C$5)*(E1768+N(F1768)-N(J1768))+N('Fee Settings'!$C$6)*(E1768+N(F1768)+N(G1768))+N('Fee Settings'!$C$7)+N('Fee Settings'!$C$10)*D1768+IF(I1768="Yes",MIN(N('Fee Settings'!$C$8)*(E1768+N(F1768)),N('Fee Settings'!$C$9)),0),""))</f>
        <v/>
      </c>
      <c r="L1768" s="14" t="str">
        <f>IF(C1768="","",IFERROR(D1768*N(INDEX(Products!$C$5:$C$29,MATCH(C1768,Lists!$A$2:$A$26,0))),""))</f>
        <v/>
      </c>
      <c r="M1768" s="15" t="str">
        <f t="shared" si="27"/>
        <v/>
      </c>
    </row>
    <row r="1769" spans="1:13" x14ac:dyDescent="0.35">
      <c r="A1769" s="11"/>
      <c r="B1769" s="12"/>
      <c r="C1769" s="12"/>
      <c r="D1769" s="12"/>
      <c r="E1769" s="13"/>
      <c r="F1769" s="13"/>
      <c r="G1769" s="13"/>
      <c r="H1769" s="13"/>
      <c r="I1769" s="12"/>
      <c r="J1769" s="13"/>
      <c r="K1769" s="14" t="str">
        <f>IF(C1769="","",IFERROR(N('Fee Settings'!$C$5)*(E1769+N(F1769)-N(J1769))+N('Fee Settings'!$C$6)*(E1769+N(F1769)+N(G1769))+N('Fee Settings'!$C$7)+N('Fee Settings'!$C$10)*D1769+IF(I1769="Yes",MIN(N('Fee Settings'!$C$8)*(E1769+N(F1769)),N('Fee Settings'!$C$9)),0),""))</f>
        <v/>
      </c>
      <c r="L1769" s="14" t="str">
        <f>IF(C1769="","",IFERROR(D1769*N(INDEX(Products!$C$5:$C$29,MATCH(C1769,Lists!$A$2:$A$26,0))),""))</f>
        <v/>
      </c>
      <c r="M1769" s="15" t="str">
        <f t="shared" si="27"/>
        <v/>
      </c>
    </row>
    <row r="1770" spans="1:13" x14ac:dyDescent="0.35">
      <c r="A1770" s="11"/>
      <c r="B1770" s="12"/>
      <c r="C1770" s="12"/>
      <c r="D1770" s="12"/>
      <c r="E1770" s="13"/>
      <c r="F1770" s="13"/>
      <c r="G1770" s="13"/>
      <c r="H1770" s="13"/>
      <c r="I1770" s="12"/>
      <c r="J1770" s="13"/>
      <c r="K1770" s="14" t="str">
        <f>IF(C1770="","",IFERROR(N('Fee Settings'!$C$5)*(E1770+N(F1770)-N(J1770))+N('Fee Settings'!$C$6)*(E1770+N(F1770)+N(G1770))+N('Fee Settings'!$C$7)+N('Fee Settings'!$C$10)*D1770+IF(I1770="Yes",MIN(N('Fee Settings'!$C$8)*(E1770+N(F1770)),N('Fee Settings'!$C$9)),0),""))</f>
        <v/>
      </c>
      <c r="L1770" s="14" t="str">
        <f>IF(C1770="","",IFERROR(D1770*N(INDEX(Products!$C$5:$C$29,MATCH(C1770,Lists!$A$2:$A$26,0))),""))</f>
        <v/>
      </c>
      <c r="M1770" s="15" t="str">
        <f t="shared" si="27"/>
        <v/>
      </c>
    </row>
    <row r="1771" spans="1:13" x14ac:dyDescent="0.35">
      <c r="A1771" s="11"/>
      <c r="B1771" s="12"/>
      <c r="C1771" s="12"/>
      <c r="D1771" s="12"/>
      <c r="E1771" s="13"/>
      <c r="F1771" s="13"/>
      <c r="G1771" s="13"/>
      <c r="H1771" s="13"/>
      <c r="I1771" s="12"/>
      <c r="J1771" s="13"/>
      <c r="K1771" s="14" t="str">
        <f>IF(C1771="","",IFERROR(N('Fee Settings'!$C$5)*(E1771+N(F1771)-N(J1771))+N('Fee Settings'!$C$6)*(E1771+N(F1771)+N(G1771))+N('Fee Settings'!$C$7)+N('Fee Settings'!$C$10)*D1771+IF(I1771="Yes",MIN(N('Fee Settings'!$C$8)*(E1771+N(F1771)),N('Fee Settings'!$C$9)),0),""))</f>
        <v/>
      </c>
      <c r="L1771" s="14" t="str">
        <f>IF(C1771="","",IFERROR(D1771*N(INDEX(Products!$C$5:$C$29,MATCH(C1771,Lists!$A$2:$A$26,0))),""))</f>
        <v/>
      </c>
      <c r="M1771" s="15" t="str">
        <f t="shared" si="27"/>
        <v/>
      </c>
    </row>
    <row r="1772" spans="1:13" x14ac:dyDescent="0.35">
      <c r="A1772" s="11"/>
      <c r="B1772" s="12"/>
      <c r="C1772" s="12"/>
      <c r="D1772" s="12"/>
      <c r="E1772" s="13"/>
      <c r="F1772" s="13"/>
      <c r="G1772" s="13"/>
      <c r="H1772" s="13"/>
      <c r="I1772" s="12"/>
      <c r="J1772" s="13"/>
      <c r="K1772" s="14" t="str">
        <f>IF(C1772="","",IFERROR(N('Fee Settings'!$C$5)*(E1772+N(F1772)-N(J1772))+N('Fee Settings'!$C$6)*(E1772+N(F1772)+N(G1772))+N('Fee Settings'!$C$7)+N('Fee Settings'!$C$10)*D1772+IF(I1772="Yes",MIN(N('Fee Settings'!$C$8)*(E1772+N(F1772)),N('Fee Settings'!$C$9)),0),""))</f>
        <v/>
      </c>
      <c r="L1772" s="14" t="str">
        <f>IF(C1772="","",IFERROR(D1772*N(INDEX(Products!$C$5:$C$29,MATCH(C1772,Lists!$A$2:$A$26,0))),""))</f>
        <v/>
      </c>
      <c r="M1772" s="15" t="str">
        <f t="shared" si="27"/>
        <v/>
      </c>
    </row>
    <row r="1773" spans="1:13" x14ac:dyDescent="0.35">
      <c r="A1773" s="11"/>
      <c r="B1773" s="12"/>
      <c r="C1773" s="12"/>
      <c r="D1773" s="12"/>
      <c r="E1773" s="13"/>
      <c r="F1773" s="13"/>
      <c r="G1773" s="13"/>
      <c r="H1773" s="13"/>
      <c r="I1773" s="12"/>
      <c r="J1773" s="13"/>
      <c r="K1773" s="14" t="str">
        <f>IF(C1773="","",IFERROR(N('Fee Settings'!$C$5)*(E1773+N(F1773)-N(J1773))+N('Fee Settings'!$C$6)*(E1773+N(F1773)+N(G1773))+N('Fee Settings'!$C$7)+N('Fee Settings'!$C$10)*D1773+IF(I1773="Yes",MIN(N('Fee Settings'!$C$8)*(E1773+N(F1773)),N('Fee Settings'!$C$9)),0),""))</f>
        <v/>
      </c>
      <c r="L1773" s="14" t="str">
        <f>IF(C1773="","",IFERROR(D1773*N(INDEX(Products!$C$5:$C$29,MATCH(C1773,Lists!$A$2:$A$26,0))),""))</f>
        <v/>
      </c>
      <c r="M1773" s="15" t="str">
        <f t="shared" si="27"/>
        <v/>
      </c>
    </row>
    <row r="1774" spans="1:13" x14ac:dyDescent="0.35">
      <c r="A1774" s="11"/>
      <c r="B1774" s="12"/>
      <c r="C1774" s="12"/>
      <c r="D1774" s="12"/>
      <c r="E1774" s="13"/>
      <c r="F1774" s="13"/>
      <c r="G1774" s="13"/>
      <c r="H1774" s="13"/>
      <c r="I1774" s="12"/>
      <c r="J1774" s="13"/>
      <c r="K1774" s="14" t="str">
        <f>IF(C1774="","",IFERROR(N('Fee Settings'!$C$5)*(E1774+N(F1774)-N(J1774))+N('Fee Settings'!$C$6)*(E1774+N(F1774)+N(G1774))+N('Fee Settings'!$C$7)+N('Fee Settings'!$C$10)*D1774+IF(I1774="Yes",MIN(N('Fee Settings'!$C$8)*(E1774+N(F1774)),N('Fee Settings'!$C$9)),0),""))</f>
        <v/>
      </c>
      <c r="L1774" s="14" t="str">
        <f>IF(C1774="","",IFERROR(D1774*N(INDEX(Products!$C$5:$C$29,MATCH(C1774,Lists!$A$2:$A$26,0))),""))</f>
        <v/>
      </c>
      <c r="M1774" s="15" t="str">
        <f t="shared" si="27"/>
        <v/>
      </c>
    </row>
    <row r="1775" spans="1:13" x14ac:dyDescent="0.35">
      <c r="A1775" s="11"/>
      <c r="B1775" s="12"/>
      <c r="C1775" s="12"/>
      <c r="D1775" s="12"/>
      <c r="E1775" s="13"/>
      <c r="F1775" s="13"/>
      <c r="G1775" s="13"/>
      <c r="H1775" s="13"/>
      <c r="I1775" s="12"/>
      <c r="J1775" s="13"/>
      <c r="K1775" s="14" t="str">
        <f>IF(C1775="","",IFERROR(N('Fee Settings'!$C$5)*(E1775+N(F1775)-N(J1775))+N('Fee Settings'!$C$6)*(E1775+N(F1775)+N(G1775))+N('Fee Settings'!$C$7)+N('Fee Settings'!$C$10)*D1775+IF(I1775="Yes",MIN(N('Fee Settings'!$C$8)*(E1775+N(F1775)),N('Fee Settings'!$C$9)),0),""))</f>
        <v/>
      </c>
      <c r="L1775" s="14" t="str">
        <f>IF(C1775="","",IFERROR(D1775*N(INDEX(Products!$C$5:$C$29,MATCH(C1775,Lists!$A$2:$A$26,0))),""))</f>
        <v/>
      </c>
      <c r="M1775" s="15" t="str">
        <f t="shared" si="27"/>
        <v/>
      </c>
    </row>
    <row r="1776" spans="1:13" x14ac:dyDescent="0.35">
      <c r="A1776" s="11"/>
      <c r="B1776" s="12"/>
      <c r="C1776" s="12"/>
      <c r="D1776" s="12"/>
      <c r="E1776" s="13"/>
      <c r="F1776" s="13"/>
      <c r="G1776" s="13"/>
      <c r="H1776" s="13"/>
      <c r="I1776" s="12"/>
      <c r="J1776" s="13"/>
      <c r="K1776" s="14" t="str">
        <f>IF(C1776="","",IFERROR(N('Fee Settings'!$C$5)*(E1776+N(F1776)-N(J1776))+N('Fee Settings'!$C$6)*(E1776+N(F1776)+N(G1776))+N('Fee Settings'!$C$7)+N('Fee Settings'!$C$10)*D1776+IF(I1776="Yes",MIN(N('Fee Settings'!$C$8)*(E1776+N(F1776)),N('Fee Settings'!$C$9)),0),""))</f>
        <v/>
      </c>
      <c r="L1776" s="14" t="str">
        <f>IF(C1776="","",IFERROR(D1776*N(INDEX(Products!$C$5:$C$29,MATCH(C1776,Lists!$A$2:$A$26,0))),""))</f>
        <v/>
      </c>
      <c r="M1776" s="15" t="str">
        <f t="shared" si="27"/>
        <v/>
      </c>
    </row>
    <row r="1777" spans="1:13" x14ac:dyDescent="0.35">
      <c r="A1777" s="11"/>
      <c r="B1777" s="12"/>
      <c r="C1777" s="12"/>
      <c r="D1777" s="12"/>
      <c r="E1777" s="13"/>
      <c r="F1777" s="13"/>
      <c r="G1777" s="13"/>
      <c r="H1777" s="13"/>
      <c r="I1777" s="12"/>
      <c r="J1777" s="13"/>
      <c r="K1777" s="14" t="str">
        <f>IF(C1777="","",IFERROR(N('Fee Settings'!$C$5)*(E1777+N(F1777)-N(J1777))+N('Fee Settings'!$C$6)*(E1777+N(F1777)+N(G1777))+N('Fee Settings'!$C$7)+N('Fee Settings'!$C$10)*D1777+IF(I1777="Yes",MIN(N('Fee Settings'!$C$8)*(E1777+N(F1777)),N('Fee Settings'!$C$9)),0),""))</f>
        <v/>
      </c>
      <c r="L1777" s="14" t="str">
        <f>IF(C1777="","",IFERROR(D1777*N(INDEX(Products!$C$5:$C$29,MATCH(C1777,Lists!$A$2:$A$26,0))),""))</f>
        <v/>
      </c>
      <c r="M1777" s="15" t="str">
        <f t="shared" si="27"/>
        <v/>
      </c>
    </row>
    <row r="1778" spans="1:13" x14ac:dyDescent="0.35">
      <c r="A1778" s="11"/>
      <c r="B1778" s="12"/>
      <c r="C1778" s="12"/>
      <c r="D1778" s="12"/>
      <c r="E1778" s="13"/>
      <c r="F1778" s="13"/>
      <c r="G1778" s="13"/>
      <c r="H1778" s="13"/>
      <c r="I1778" s="12"/>
      <c r="J1778" s="13"/>
      <c r="K1778" s="14" t="str">
        <f>IF(C1778="","",IFERROR(N('Fee Settings'!$C$5)*(E1778+N(F1778)-N(J1778))+N('Fee Settings'!$C$6)*(E1778+N(F1778)+N(G1778))+N('Fee Settings'!$C$7)+N('Fee Settings'!$C$10)*D1778+IF(I1778="Yes",MIN(N('Fee Settings'!$C$8)*(E1778+N(F1778)),N('Fee Settings'!$C$9)),0),""))</f>
        <v/>
      </c>
      <c r="L1778" s="14" t="str">
        <f>IF(C1778="","",IFERROR(D1778*N(INDEX(Products!$C$5:$C$29,MATCH(C1778,Lists!$A$2:$A$26,0))),""))</f>
        <v/>
      </c>
      <c r="M1778" s="15" t="str">
        <f t="shared" si="27"/>
        <v/>
      </c>
    </row>
    <row r="1779" spans="1:13" x14ac:dyDescent="0.35">
      <c r="A1779" s="11"/>
      <c r="B1779" s="12"/>
      <c r="C1779" s="12"/>
      <c r="D1779" s="12"/>
      <c r="E1779" s="13"/>
      <c r="F1779" s="13"/>
      <c r="G1779" s="13"/>
      <c r="H1779" s="13"/>
      <c r="I1779" s="12"/>
      <c r="J1779" s="13"/>
      <c r="K1779" s="14" t="str">
        <f>IF(C1779="","",IFERROR(N('Fee Settings'!$C$5)*(E1779+N(F1779)-N(J1779))+N('Fee Settings'!$C$6)*(E1779+N(F1779)+N(G1779))+N('Fee Settings'!$C$7)+N('Fee Settings'!$C$10)*D1779+IF(I1779="Yes",MIN(N('Fee Settings'!$C$8)*(E1779+N(F1779)),N('Fee Settings'!$C$9)),0),""))</f>
        <v/>
      </c>
      <c r="L1779" s="14" t="str">
        <f>IF(C1779="","",IFERROR(D1779*N(INDEX(Products!$C$5:$C$29,MATCH(C1779,Lists!$A$2:$A$26,0))),""))</f>
        <v/>
      </c>
      <c r="M1779" s="15" t="str">
        <f t="shared" si="27"/>
        <v/>
      </c>
    </row>
    <row r="1780" spans="1:13" x14ac:dyDescent="0.35">
      <c r="A1780" s="11"/>
      <c r="B1780" s="12"/>
      <c r="C1780" s="12"/>
      <c r="D1780" s="12"/>
      <c r="E1780" s="13"/>
      <c r="F1780" s="13"/>
      <c r="G1780" s="13"/>
      <c r="H1780" s="13"/>
      <c r="I1780" s="12"/>
      <c r="J1780" s="13"/>
      <c r="K1780" s="14" t="str">
        <f>IF(C1780="","",IFERROR(N('Fee Settings'!$C$5)*(E1780+N(F1780)-N(J1780))+N('Fee Settings'!$C$6)*(E1780+N(F1780)+N(G1780))+N('Fee Settings'!$C$7)+N('Fee Settings'!$C$10)*D1780+IF(I1780="Yes",MIN(N('Fee Settings'!$C$8)*(E1780+N(F1780)),N('Fee Settings'!$C$9)),0),""))</f>
        <v/>
      </c>
      <c r="L1780" s="14" t="str">
        <f>IF(C1780="","",IFERROR(D1780*N(INDEX(Products!$C$5:$C$29,MATCH(C1780,Lists!$A$2:$A$26,0))),""))</f>
        <v/>
      </c>
      <c r="M1780" s="15" t="str">
        <f t="shared" si="27"/>
        <v/>
      </c>
    </row>
    <row r="1781" spans="1:13" x14ac:dyDescent="0.35">
      <c r="A1781" s="11"/>
      <c r="B1781" s="12"/>
      <c r="C1781" s="12"/>
      <c r="D1781" s="12"/>
      <c r="E1781" s="13"/>
      <c r="F1781" s="13"/>
      <c r="G1781" s="13"/>
      <c r="H1781" s="13"/>
      <c r="I1781" s="12"/>
      <c r="J1781" s="13"/>
      <c r="K1781" s="14" t="str">
        <f>IF(C1781="","",IFERROR(N('Fee Settings'!$C$5)*(E1781+N(F1781)-N(J1781))+N('Fee Settings'!$C$6)*(E1781+N(F1781)+N(G1781))+N('Fee Settings'!$C$7)+N('Fee Settings'!$C$10)*D1781+IF(I1781="Yes",MIN(N('Fee Settings'!$C$8)*(E1781+N(F1781)),N('Fee Settings'!$C$9)),0),""))</f>
        <v/>
      </c>
      <c r="L1781" s="14" t="str">
        <f>IF(C1781="","",IFERROR(D1781*N(INDEX(Products!$C$5:$C$29,MATCH(C1781,Lists!$A$2:$A$26,0))),""))</f>
        <v/>
      </c>
      <c r="M1781" s="15" t="str">
        <f t="shared" si="27"/>
        <v/>
      </c>
    </row>
    <row r="1782" spans="1:13" x14ac:dyDescent="0.35">
      <c r="A1782" s="11"/>
      <c r="B1782" s="12"/>
      <c r="C1782" s="12"/>
      <c r="D1782" s="12"/>
      <c r="E1782" s="13"/>
      <c r="F1782" s="13"/>
      <c r="G1782" s="13"/>
      <c r="H1782" s="13"/>
      <c r="I1782" s="12"/>
      <c r="J1782" s="13"/>
      <c r="K1782" s="14" t="str">
        <f>IF(C1782="","",IFERROR(N('Fee Settings'!$C$5)*(E1782+N(F1782)-N(J1782))+N('Fee Settings'!$C$6)*(E1782+N(F1782)+N(G1782))+N('Fee Settings'!$C$7)+N('Fee Settings'!$C$10)*D1782+IF(I1782="Yes",MIN(N('Fee Settings'!$C$8)*(E1782+N(F1782)),N('Fee Settings'!$C$9)),0),""))</f>
        <v/>
      </c>
      <c r="L1782" s="14" t="str">
        <f>IF(C1782="","",IFERROR(D1782*N(INDEX(Products!$C$5:$C$29,MATCH(C1782,Lists!$A$2:$A$26,0))),""))</f>
        <v/>
      </c>
      <c r="M1782" s="15" t="str">
        <f t="shared" si="27"/>
        <v/>
      </c>
    </row>
    <row r="1783" spans="1:13" x14ac:dyDescent="0.35">
      <c r="A1783" s="11"/>
      <c r="B1783" s="12"/>
      <c r="C1783" s="12"/>
      <c r="D1783" s="12"/>
      <c r="E1783" s="13"/>
      <c r="F1783" s="13"/>
      <c r="G1783" s="13"/>
      <c r="H1783" s="13"/>
      <c r="I1783" s="12"/>
      <c r="J1783" s="13"/>
      <c r="K1783" s="14" t="str">
        <f>IF(C1783="","",IFERROR(N('Fee Settings'!$C$5)*(E1783+N(F1783)-N(J1783))+N('Fee Settings'!$C$6)*(E1783+N(F1783)+N(G1783))+N('Fee Settings'!$C$7)+N('Fee Settings'!$C$10)*D1783+IF(I1783="Yes",MIN(N('Fee Settings'!$C$8)*(E1783+N(F1783)),N('Fee Settings'!$C$9)),0),""))</f>
        <v/>
      </c>
      <c r="L1783" s="14" t="str">
        <f>IF(C1783="","",IFERROR(D1783*N(INDEX(Products!$C$5:$C$29,MATCH(C1783,Lists!$A$2:$A$26,0))),""))</f>
        <v/>
      </c>
      <c r="M1783" s="15" t="str">
        <f t="shared" si="27"/>
        <v/>
      </c>
    </row>
    <row r="1784" spans="1:13" x14ac:dyDescent="0.35">
      <c r="A1784" s="11"/>
      <c r="B1784" s="12"/>
      <c r="C1784" s="12"/>
      <c r="D1784" s="12"/>
      <c r="E1784" s="13"/>
      <c r="F1784" s="13"/>
      <c r="G1784" s="13"/>
      <c r="H1784" s="13"/>
      <c r="I1784" s="12"/>
      <c r="J1784" s="13"/>
      <c r="K1784" s="14" t="str">
        <f>IF(C1784="","",IFERROR(N('Fee Settings'!$C$5)*(E1784+N(F1784)-N(J1784))+N('Fee Settings'!$C$6)*(E1784+N(F1784)+N(G1784))+N('Fee Settings'!$C$7)+N('Fee Settings'!$C$10)*D1784+IF(I1784="Yes",MIN(N('Fee Settings'!$C$8)*(E1784+N(F1784)),N('Fee Settings'!$C$9)),0),""))</f>
        <v/>
      </c>
      <c r="L1784" s="14" t="str">
        <f>IF(C1784="","",IFERROR(D1784*N(INDEX(Products!$C$5:$C$29,MATCH(C1784,Lists!$A$2:$A$26,0))),""))</f>
        <v/>
      </c>
      <c r="M1784" s="15" t="str">
        <f t="shared" si="27"/>
        <v/>
      </c>
    </row>
    <row r="1785" spans="1:13" x14ac:dyDescent="0.35">
      <c r="A1785" s="11"/>
      <c r="B1785" s="12"/>
      <c r="C1785" s="12"/>
      <c r="D1785" s="12"/>
      <c r="E1785" s="13"/>
      <c r="F1785" s="13"/>
      <c r="G1785" s="13"/>
      <c r="H1785" s="13"/>
      <c r="I1785" s="12"/>
      <c r="J1785" s="13"/>
      <c r="K1785" s="14" t="str">
        <f>IF(C1785="","",IFERROR(N('Fee Settings'!$C$5)*(E1785+N(F1785)-N(J1785))+N('Fee Settings'!$C$6)*(E1785+N(F1785)+N(G1785))+N('Fee Settings'!$C$7)+N('Fee Settings'!$C$10)*D1785+IF(I1785="Yes",MIN(N('Fee Settings'!$C$8)*(E1785+N(F1785)),N('Fee Settings'!$C$9)),0),""))</f>
        <v/>
      </c>
      <c r="L1785" s="14" t="str">
        <f>IF(C1785="","",IFERROR(D1785*N(INDEX(Products!$C$5:$C$29,MATCH(C1785,Lists!$A$2:$A$26,0))),""))</f>
        <v/>
      </c>
      <c r="M1785" s="15" t="str">
        <f t="shared" si="27"/>
        <v/>
      </c>
    </row>
    <row r="1786" spans="1:13" x14ac:dyDescent="0.35">
      <c r="A1786" s="11"/>
      <c r="B1786" s="12"/>
      <c r="C1786" s="12"/>
      <c r="D1786" s="12"/>
      <c r="E1786" s="13"/>
      <c r="F1786" s="13"/>
      <c r="G1786" s="13"/>
      <c r="H1786" s="13"/>
      <c r="I1786" s="12"/>
      <c r="J1786" s="13"/>
      <c r="K1786" s="14" t="str">
        <f>IF(C1786="","",IFERROR(N('Fee Settings'!$C$5)*(E1786+N(F1786)-N(J1786))+N('Fee Settings'!$C$6)*(E1786+N(F1786)+N(G1786))+N('Fee Settings'!$C$7)+N('Fee Settings'!$C$10)*D1786+IF(I1786="Yes",MIN(N('Fee Settings'!$C$8)*(E1786+N(F1786)),N('Fee Settings'!$C$9)),0),""))</f>
        <v/>
      </c>
      <c r="L1786" s="14" t="str">
        <f>IF(C1786="","",IFERROR(D1786*N(INDEX(Products!$C$5:$C$29,MATCH(C1786,Lists!$A$2:$A$26,0))),""))</f>
        <v/>
      </c>
      <c r="M1786" s="15" t="str">
        <f t="shared" si="27"/>
        <v/>
      </c>
    </row>
    <row r="1787" spans="1:13" x14ac:dyDescent="0.35">
      <c r="A1787" s="11"/>
      <c r="B1787" s="12"/>
      <c r="C1787" s="12"/>
      <c r="D1787" s="12"/>
      <c r="E1787" s="13"/>
      <c r="F1787" s="13"/>
      <c r="G1787" s="13"/>
      <c r="H1787" s="13"/>
      <c r="I1787" s="12"/>
      <c r="J1787" s="13"/>
      <c r="K1787" s="14" t="str">
        <f>IF(C1787="","",IFERROR(N('Fee Settings'!$C$5)*(E1787+N(F1787)-N(J1787))+N('Fee Settings'!$C$6)*(E1787+N(F1787)+N(G1787))+N('Fee Settings'!$C$7)+N('Fee Settings'!$C$10)*D1787+IF(I1787="Yes",MIN(N('Fee Settings'!$C$8)*(E1787+N(F1787)),N('Fee Settings'!$C$9)),0),""))</f>
        <v/>
      </c>
      <c r="L1787" s="14" t="str">
        <f>IF(C1787="","",IFERROR(D1787*N(INDEX(Products!$C$5:$C$29,MATCH(C1787,Lists!$A$2:$A$26,0))),""))</f>
        <v/>
      </c>
      <c r="M1787" s="15" t="str">
        <f t="shared" si="27"/>
        <v/>
      </c>
    </row>
    <row r="1788" spans="1:13" x14ac:dyDescent="0.35">
      <c r="A1788" s="11"/>
      <c r="B1788" s="12"/>
      <c r="C1788" s="12"/>
      <c r="D1788" s="12"/>
      <c r="E1788" s="13"/>
      <c r="F1788" s="13"/>
      <c r="G1788" s="13"/>
      <c r="H1788" s="13"/>
      <c r="I1788" s="12"/>
      <c r="J1788" s="13"/>
      <c r="K1788" s="14" t="str">
        <f>IF(C1788="","",IFERROR(N('Fee Settings'!$C$5)*(E1788+N(F1788)-N(J1788))+N('Fee Settings'!$C$6)*(E1788+N(F1788)+N(G1788))+N('Fee Settings'!$C$7)+N('Fee Settings'!$C$10)*D1788+IF(I1788="Yes",MIN(N('Fee Settings'!$C$8)*(E1788+N(F1788)),N('Fee Settings'!$C$9)),0),""))</f>
        <v/>
      </c>
      <c r="L1788" s="14" t="str">
        <f>IF(C1788="","",IFERROR(D1788*N(INDEX(Products!$C$5:$C$29,MATCH(C1788,Lists!$A$2:$A$26,0))),""))</f>
        <v/>
      </c>
      <c r="M1788" s="15" t="str">
        <f t="shared" si="27"/>
        <v/>
      </c>
    </row>
    <row r="1789" spans="1:13" x14ac:dyDescent="0.35">
      <c r="A1789" s="11"/>
      <c r="B1789" s="12"/>
      <c r="C1789" s="12"/>
      <c r="D1789" s="12"/>
      <c r="E1789" s="13"/>
      <c r="F1789" s="13"/>
      <c r="G1789" s="13"/>
      <c r="H1789" s="13"/>
      <c r="I1789" s="12"/>
      <c r="J1789" s="13"/>
      <c r="K1789" s="14" t="str">
        <f>IF(C1789="","",IFERROR(N('Fee Settings'!$C$5)*(E1789+N(F1789)-N(J1789))+N('Fee Settings'!$C$6)*(E1789+N(F1789)+N(G1789))+N('Fee Settings'!$C$7)+N('Fee Settings'!$C$10)*D1789+IF(I1789="Yes",MIN(N('Fee Settings'!$C$8)*(E1789+N(F1789)),N('Fee Settings'!$C$9)),0),""))</f>
        <v/>
      </c>
      <c r="L1789" s="14" t="str">
        <f>IF(C1789="","",IFERROR(D1789*N(INDEX(Products!$C$5:$C$29,MATCH(C1789,Lists!$A$2:$A$26,0))),""))</f>
        <v/>
      </c>
      <c r="M1789" s="15" t="str">
        <f t="shared" si="27"/>
        <v/>
      </c>
    </row>
    <row r="1790" spans="1:13" x14ac:dyDescent="0.35">
      <c r="A1790" s="11"/>
      <c r="B1790" s="12"/>
      <c r="C1790" s="12"/>
      <c r="D1790" s="12"/>
      <c r="E1790" s="13"/>
      <c r="F1790" s="13"/>
      <c r="G1790" s="13"/>
      <c r="H1790" s="13"/>
      <c r="I1790" s="12"/>
      <c r="J1790" s="13"/>
      <c r="K1790" s="14" t="str">
        <f>IF(C1790="","",IFERROR(N('Fee Settings'!$C$5)*(E1790+N(F1790)-N(J1790))+N('Fee Settings'!$C$6)*(E1790+N(F1790)+N(G1790))+N('Fee Settings'!$C$7)+N('Fee Settings'!$C$10)*D1790+IF(I1790="Yes",MIN(N('Fee Settings'!$C$8)*(E1790+N(F1790)),N('Fee Settings'!$C$9)),0),""))</f>
        <v/>
      </c>
      <c r="L1790" s="14" t="str">
        <f>IF(C1790="","",IFERROR(D1790*N(INDEX(Products!$C$5:$C$29,MATCH(C1790,Lists!$A$2:$A$26,0))),""))</f>
        <v/>
      </c>
      <c r="M1790" s="15" t="str">
        <f t="shared" si="27"/>
        <v/>
      </c>
    </row>
    <row r="1791" spans="1:13" x14ac:dyDescent="0.35">
      <c r="A1791" s="11"/>
      <c r="B1791" s="12"/>
      <c r="C1791" s="12"/>
      <c r="D1791" s="12"/>
      <c r="E1791" s="13"/>
      <c r="F1791" s="13"/>
      <c r="G1791" s="13"/>
      <c r="H1791" s="13"/>
      <c r="I1791" s="12"/>
      <c r="J1791" s="13"/>
      <c r="K1791" s="14" t="str">
        <f>IF(C1791="","",IFERROR(N('Fee Settings'!$C$5)*(E1791+N(F1791)-N(J1791))+N('Fee Settings'!$C$6)*(E1791+N(F1791)+N(G1791))+N('Fee Settings'!$C$7)+N('Fee Settings'!$C$10)*D1791+IF(I1791="Yes",MIN(N('Fee Settings'!$C$8)*(E1791+N(F1791)),N('Fee Settings'!$C$9)),0),""))</f>
        <v/>
      </c>
      <c r="L1791" s="14" t="str">
        <f>IF(C1791="","",IFERROR(D1791*N(INDEX(Products!$C$5:$C$29,MATCH(C1791,Lists!$A$2:$A$26,0))),""))</f>
        <v/>
      </c>
      <c r="M1791" s="15" t="str">
        <f t="shared" si="27"/>
        <v/>
      </c>
    </row>
    <row r="1792" spans="1:13" x14ac:dyDescent="0.35">
      <c r="A1792" s="11"/>
      <c r="B1792" s="12"/>
      <c r="C1792" s="12"/>
      <c r="D1792" s="12"/>
      <c r="E1792" s="13"/>
      <c r="F1792" s="13"/>
      <c r="G1792" s="13"/>
      <c r="H1792" s="13"/>
      <c r="I1792" s="12"/>
      <c r="J1792" s="13"/>
      <c r="K1792" s="14" t="str">
        <f>IF(C1792="","",IFERROR(N('Fee Settings'!$C$5)*(E1792+N(F1792)-N(J1792))+N('Fee Settings'!$C$6)*(E1792+N(F1792)+N(G1792))+N('Fee Settings'!$C$7)+N('Fee Settings'!$C$10)*D1792+IF(I1792="Yes",MIN(N('Fee Settings'!$C$8)*(E1792+N(F1792)),N('Fee Settings'!$C$9)),0),""))</f>
        <v/>
      </c>
      <c r="L1792" s="14" t="str">
        <f>IF(C1792="","",IFERROR(D1792*N(INDEX(Products!$C$5:$C$29,MATCH(C1792,Lists!$A$2:$A$26,0))),""))</f>
        <v/>
      </c>
      <c r="M1792" s="15" t="str">
        <f t="shared" si="27"/>
        <v/>
      </c>
    </row>
    <row r="1793" spans="1:13" x14ac:dyDescent="0.35">
      <c r="A1793" s="11"/>
      <c r="B1793" s="12"/>
      <c r="C1793" s="12"/>
      <c r="D1793" s="12"/>
      <c r="E1793" s="13"/>
      <c r="F1793" s="13"/>
      <c r="G1793" s="13"/>
      <c r="H1793" s="13"/>
      <c r="I1793" s="12"/>
      <c r="J1793" s="13"/>
      <c r="K1793" s="14" t="str">
        <f>IF(C1793="","",IFERROR(N('Fee Settings'!$C$5)*(E1793+N(F1793)-N(J1793))+N('Fee Settings'!$C$6)*(E1793+N(F1793)+N(G1793))+N('Fee Settings'!$C$7)+N('Fee Settings'!$C$10)*D1793+IF(I1793="Yes",MIN(N('Fee Settings'!$C$8)*(E1793+N(F1793)),N('Fee Settings'!$C$9)),0),""))</f>
        <v/>
      </c>
      <c r="L1793" s="14" t="str">
        <f>IF(C1793="","",IFERROR(D1793*N(INDEX(Products!$C$5:$C$29,MATCH(C1793,Lists!$A$2:$A$26,0))),""))</f>
        <v/>
      </c>
      <c r="M1793" s="15" t="str">
        <f t="shared" si="27"/>
        <v/>
      </c>
    </row>
    <row r="1794" spans="1:13" x14ac:dyDescent="0.35">
      <c r="A1794" s="11"/>
      <c r="B1794" s="12"/>
      <c r="C1794" s="12"/>
      <c r="D1794" s="12"/>
      <c r="E1794" s="13"/>
      <c r="F1794" s="13"/>
      <c r="G1794" s="13"/>
      <c r="H1794" s="13"/>
      <c r="I1794" s="12"/>
      <c r="J1794" s="13"/>
      <c r="K1794" s="14" t="str">
        <f>IF(C1794="","",IFERROR(N('Fee Settings'!$C$5)*(E1794+N(F1794)-N(J1794))+N('Fee Settings'!$C$6)*(E1794+N(F1794)+N(G1794))+N('Fee Settings'!$C$7)+N('Fee Settings'!$C$10)*D1794+IF(I1794="Yes",MIN(N('Fee Settings'!$C$8)*(E1794+N(F1794)),N('Fee Settings'!$C$9)),0),""))</f>
        <v/>
      </c>
      <c r="L1794" s="14" t="str">
        <f>IF(C1794="","",IFERROR(D1794*N(INDEX(Products!$C$5:$C$29,MATCH(C1794,Lists!$A$2:$A$26,0))),""))</f>
        <v/>
      </c>
      <c r="M1794" s="15" t="str">
        <f t="shared" si="27"/>
        <v/>
      </c>
    </row>
    <row r="1795" spans="1:13" x14ac:dyDescent="0.35">
      <c r="A1795" s="11"/>
      <c r="B1795" s="12"/>
      <c r="C1795" s="12"/>
      <c r="D1795" s="12"/>
      <c r="E1795" s="13"/>
      <c r="F1795" s="13"/>
      <c r="G1795" s="13"/>
      <c r="H1795" s="13"/>
      <c r="I1795" s="12"/>
      <c r="J1795" s="13"/>
      <c r="K1795" s="14" t="str">
        <f>IF(C1795="","",IFERROR(N('Fee Settings'!$C$5)*(E1795+N(F1795)-N(J1795))+N('Fee Settings'!$C$6)*(E1795+N(F1795)+N(G1795))+N('Fee Settings'!$C$7)+N('Fee Settings'!$C$10)*D1795+IF(I1795="Yes",MIN(N('Fee Settings'!$C$8)*(E1795+N(F1795)),N('Fee Settings'!$C$9)),0),""))</f>
        <v/>
      </c>
      <c r="L1795" s="14" t="str">
        <f>IF(C1795="","",IFERROR(D1795*N(INDEX(Products!$C$5:$C$29,MATCH(C1795,Lists!$A$2:$A$26,0))),""))</f>
        <v/>
      </c>
      <c r="M1795" s="15" t="str">
        <f t="shared" si="27"/>
        <v/>
      </c>
    </row>
    <row r="1796" spans="1:13" x14ac:dyDescent="0.35">
      <c r="A1796" s="11"/>
      <c r="B1796" s="12"/>
      <c r="C1796" s="12"/>
      <c r="D1796" s="12"/>
      <c r="E1796" s="13"/>
      <c r="F1796" s="13"/>
      <c r="G1796" s="13"/>
      <c r="H1796" s="13"/>
      <c r="I1796" s="12"/>
      <c r="J1796" s="13"/>
      <c r="K1796" s="14" t="str">
        <f>IF(C1796="","",IFERROR(N('Fee Settings'!$C$5)*(E1796+N(F1796)-N(J1796))+N('Fee Settings'!$C$6)*(E1796+N(F1796)+N(G1796))+N('Fee Settings'!$C$7)+N('Fee Settings'!$C$10)*D1796+IF(I1796="Yes",MIN(N('Fee Settings'!$C$8)*(E1796+N(F1796)),N('Fee Settings'!$C$9)),0),""))</f>
        <v/>
      </c>
      <c r="L1796" s="14" t="str">
        <f>IF(C1796="","",IFERROR(D1796*N(INDEX(Products!$C$5:$C$29,MATCH(C1796,Lists!$A$2:$A$26,0))),""))</f>
        <v/>
      </c>
      <c r="M1796" s="15" t="str">
        <f t="shared" si="27"/>
        <v/>
      </c>
    </row>
    <row r="1797" spans="1:13" x14ac:dyDescent="0.35">
      <c r="A1797" s="11"/>
      <c r="B1797" s="12"/>
      <c r="C1797" s="12"/>
      <c r="D1797" s="12"/>
      <c r="E1797" s="13"/>
      <c r="F1797" s="13"/>
      <c r="G1797" s="13"/>
      <c r="H1797" s="13"/>
      <c r="I1797" s="12"/>
      <c r="J1797" s="13"/>
      <c r="K1797" s="14" t="str">
        <f>IF(C1797="","",IFERROR(N('Fee Settings'!$C$5)*(E1797+N(F1797)-N(J1797))+N('Fee Settings'!$C$6)*(E1797+N(F1797)+N(G1797))+N('Fee Settings'!$C$7)+N('Fee Settings'!$C$10)*D1797+IF(I1797="Yes",MIN(N('Fee Settings'!$C$8)*(E1797+N(F1797)),N('Fee Settings'!$C$9)),0),""))</f>
        <v/>
      </c>
      <c r="L1797" s="14" t="str">
        <f>IF(C1797="","",IFERROR(D1797*N(INDEX(Products!$C$5:$C$29,MATCH(C1797,Lists!$A$2:$A$26,0))),""))</f>
        <v/>
      </c>
      <c r="M1797" s="15" t="str">
        <f t="shared" ref="M1797:M1860" si="28">IF(C1797="","",IFERROR(E1797+N(F1797)-N(J1797)-K1797-L1797-N(H1797),""))</f>
        <v/>
      </c>
    </row>
    <row r="1798" spans="1:13" x14ac:dyDescent="0.35">
      <c r="A1798" s="11"/>
      <c r="B1798" s="12"/>
      <c r="C1798" s="12"/>
      <c r="D1798" s="12"/>
      <c r="E1798" s="13"/>
      <c r="F1798" s="13"/>
      <c r="G1798" s="13"/>
      <c r="H1798" s="13"/>
      <c r="I1798" s="12"/>
      <c r="J1798" s="13"/>
      <c r="K1798" s="14" t="str">
        <f>IF(C1798="","",IFERROR(N('Fee Settings'!$C$5)*(E1798+N(F1798)-N(J1798))+N('Fee Settings'!$C$6)*(E1798+N(F1798)+N(G1798))+N('Fee Settings'!$C$7)+N('Fee Settings'!$C$10)*D1798+IF(I1798="Yes",MIN(N('Fee Settings'!$C$8)*(E1798+N(F1798)),N('Fee Settings'!$C$9)),0),""))</f>
        <v/>
      </c>
      <c r="L1798" s="14" t="str">
        <f>IF(C1798="","",IFERROR(D1798*N(INDEX(Products!$C$5:$C$29,MATCH(C1798,Lists!$A$2:$A$26,0))),""))</f>
        <v/>
      </c>
      <c r="M1798" s="15" t="str">
        <f t="shared" si="28"/>
        <v/>
      </c>
    </row>
    <row r="1799" spans="1:13" x14ac:dyDescent="0.35">
      <c r="A1799" s="11"/>
      <c r="B1799" s="12"/>
      <c r="C1799" s="12"/>
      <c r="D1799" s="12"/>
      <c r="E1799" s="13"/>
      <c r="F1799" s="13"/>
      <c r="G1799" s="13"/>
      <c r="H1799" s="13"/>
      <c r="I1799" s="12"/>
      <c r="J1799" s="13"/>
      <c r="K1799" s="14" t="str">
        <f>IF(C1799="","",IFERROR(N('Fee Settings'!$C$5)*(E1799+N(F1799)-N(J1799))+N('Fee Settings'!$C$6)*(E1799+N(F1799)+N(G1799))+N('Fee Settings'!$C$7)+N('Fee Settings'!$C$10)*D1799+IF(I1799="Yes",MIN(N('Fee Settings'!$C$8)*(E1799+N(F1799)),N('Fee Settings'!$C$9)),0),""))</f>
        <v/>
      </c>
      <c r="L1799" s="14" t="str">
        <f>IF(C1799="","",IFERROR(D1799*N(INDEX(Products!$C$5:$C$29,MATCH(C1799,Lists!$A$2:$A$26,0))),""))</f>
        <v/>
      </c>
      <c r="M1799" s="15" t="str">
        <f t="shared" si="28"/>
        <v/>
      </c>
    </row>
    <row r="1800" spans="1:13" x14ac:dyDescent="0.35">
      <c r="A1800" s="11"/>
      <c r="B1800" s="12"/>
      <c r="C1800" s="12"/>
      <c r="D1800" s="12"/>
      <c r="E1800" s="13"/>
      <c r="F1800" s="13"/>
      <c r="G1800" s="13"/>
      <c r="H1800" s="13"/>
      <c r="I1800" s="12"/>
      <c r="J1800" s="13"/>
      <c r="K1800" s="14" t="str">
        <f>IF(C1800="","",IFERROR(N('Fee Settings'!$C$5)*(E1800+N(F1800)-N(J1800))+N('Fee Settings'!$C$6)*(E1800+N(F1800)+N(G1800))+N('Fee Settings'!$C$7)+N('Fee Settings'!$C$10)*D1800+IF(I1800="Yes",MIN(N('Fee Settings'!$C$8)*(E1800+N(F1800)),N('Fee Settings'!$C$9)),0),""))</f>
        <v/>
      </c>
      <c r="L1800" s="14" t="str">
        <f>IF(C1800="","",IFERROR(D1800*N(INDEX(Products!$C$5:$C$29,MATCH(C1800,Lists!$A$2:$A$26,0))),""))</f>
        <v/>
      </c>
      <c r="M1800" s="15" t="str">
        <f t="shared" si="28"/>
        <v/>
      </c>
    </row>
    <row r="1801" spans="1:13" x14ac:dyDescent="0.35">
      <c r="A1801" s="11"/>
      <c r="B1801" s="12"/>
      <c r="C1801" s="12"/>
      <c r="D1801" s="12"/>
      <c r="E1801" s="13"/>
      <c r="F1801" s="13"/>
      <c r="G1801" s="13"/>
      <c r="H1801" s="13"/>
      <c r="I1801" s="12"/>
      <c r="J1801" s="13"/>
      <c r="K1801" s="14" t="str">
        <f>IF(C1801="","",IFERROR(N('Fee Settings'!$C$5)*(E1801+N(F1801)-N(J1801))+N('Fee Settings'!$C$6)*(E1801+N(F1801)+N(G1801))+N('Fee Settings'!$C$7)+N('Fee Settings'!$C$10)*D1801+IF(I1801="Yes",MIN(N('Fee Settings'!$C$8)*(E1801+N(F1801)),N('Fee Settings'!$C$9)),0),""))</f>
        <v/>
      </c>
      <c r="L1801" s="14" t="str">
        <f>IF(C1801="","",IFERROR(D1801*N(INDEX(Products!$C$5:$C$29,MATCH(C1801,Lists!$A$2:$A$26,0))),""))</f>
        <v/>
      </c>
      <c r="M1801" s="15" t="str">
        <f t="shared" si="28"/>
        <v/>
      </c>
    </row>
    <row r="1802" spans="1:13" x14ac:dyDescent="0.35">
      <c r="A1802" s="11"/>
      <c r="B1802" s="12"/>
      <c r="C1802" s="12"/>
      <c r="D1802" s="12"/>
      <c r="E1802" s="13"/>
      <c r="F1802" s="13"/>
      <c r="G1802" s="13"/>
      <c r="H1802" s="13"/>
      <c r="I1802" s="12"/>
      <c r="J1802" s="13"/>
      <c r="K1802" s="14" t="str">
        <f>IF(C1802="","",IFERROR(N('Fee Settings'!$C$5)*(E1802+N(F1802)-N(J1802))+N('Fee Settings'!$C$6)*(E1802+N(F1802)+N(G1802))+N('Fee Settings'!$C$7)+N('Fee Settings'!$C$10)*D1802+IF(I1802="Yes",MIN(N('Fee Settings'!$C$8)*(E1802+N(F1802)),N('Fee Settings'!$C$9)),0),""))</f>
        <v/>
      </c>
      <c r="L1802" s="14" t="str">
        <f>IF(C1802="","",IFERROR(D1802*N(INDEX(Products!$C$5:$C$29,MATCH(C1802,Lists!$A$2:$A$26,0))),""))</f>
        <v/>
      </c>
      <c r="M1802" s="15" t="str">
        <f t="shared" si="28"/>
        <v/>
      </c>
    </row>
    <row r="1803" spans="1:13" x14ac:dyDescent="0.35">
      <c r="A1803" s="11"/>
      <c r="B1803" s="12"/>
      <c r="C1803" s="12"/>
      <c r="D1803" s="12"/>
      <c r="E1803" s="13"/>
      <c r="F1803" s="13"/>
      <c r="G1803" s="13"/>
      <c r="H1803" s="13"/>
      <c r="I1803" s="12"/>
      <c r="J1803" s="13"/>
      <c r="K1803" s="14" t="str">
        <f>IF(C1803="","",IFERROR(N('Fee Settings'!$C$5)*(E1803+N(F1803)-N(J1803))+N('Fee Settings'!$C$6)*(E1803+N(F1803)+N(G1803))+N('Fee Settings'!$C$7)+N('Fee Settings'!$C$10)*D1803+IF(I1803="Yes",MIN(N('Fee Settings'!$C$8)*(E1803+N(F1803)),N('Fee Settings'!$C$9)),0),""))</f>
        <v/>
      </c>
      <c r="L1803" s="14" t="str">
        <f>IF(C1803="","",IFERROR(D1803*N(INDEX(Products!$C$5:$C$29,MATCH(C1803,Lists!$A$2:$A$26,0))),""))</f>
        <v/>
      </c>
      <c r="M1803" s="15" t="str">
        <f t="shared" si="28"/>
        <v/>
      </c>
    </row>
    <row r="1804" spans="1:13" x14ac:dyDescent="0.35">
      <c r="A1804" s="11"/>
      <c r="B1804" s="12"/>
      <c r="C1804" s="12"/>
      <c r="D1804" s="12"/>
      <c r="E1804" s="13"/>
      <c r="F1804" s="13"/>
      <c r="G1804" s="13"/>
      <c r="H1804" s="13"/>
      <c r="I1804" s="12"/>
      <c r="J1804" s="13"/>
      <c r="K1804" s="14" t="str">
        <f>IF(C1804="","",IFERROR(N('Fee Settings'!$C$5)*(E1804+N(F1804)-N(J1804))+N('Fee Settings'!$C$6)*(E1804+N(F1804)+N(G1804))+N('Fee Settings'!$C$7)+N('Fee Settings'!$C$10)*D1804+IF(I1804="Yes",MIN(N('Fee Settings'!$C$8)*(E1804+N(F1804)),N('Fee Settings'!$C$9)),0),""))</f>
        <v/>
      </c>
      <c r="L1804" s="14" t="str">
        <f>IF(C1804="","",IFERROR(D1804*N(INDEX(Products!$C$5:$C$29,MATCH(C1804,Lists!$A$2:$A$26,0))),""))</f>
        <v/>
      </c>
      <c r="M1804" s="15" t="str">
        <f t="shared" si="28"/>
        <v/>
      </c>
    </row>
    <row r="1805" spans="1:13" x14ac:dyDescent="0.35">
      <c r="A1805" s="11"/>
      <c r="B1805" s="12"/>
      <c r="C1805" s="12"/>
      <c r="D1805" s="12"/>
      <c r="E1805" s="13"/>
      <c r="F1805" s="13"/>
      <c r="G1805" s="13"/>
      <c r="H1805" s="13"/>
      <c r="I1805" s="12"/>
      <c r="J1805" s="13"/>
      <c r="K1805" s="14" t="str">
        <f>IF(C1805="","",IFERROR(N('Fee Settings'!$C$5)*(E1805+N(F1805)-N(J1805))+N('Fee Settings'!$C$6)*(E1805+N(F1805)+N(G1805))+N('Fee Settings'!$C$7)+N('Fee Settings'!$C$10)*D1805+IF(I1805="Yes",MIN(N('Fee Settings'!$C$8)*(E1805+N(F1805)),N('Fee Settings'!$C$9)),0),""))</f>
        <v/>
      </c>
      <c r="L1805" s="14" t="str">
        <f>IF(C1805="","",IFERROR(D1805*N(INDEX(Products!$C$5:$C$29,MATCH(C1805,Lists!$A$2:$A$26,0))),""))</f>
        <v/>
      </c>
      <c r="M1805" s="15" t="str">
        <f t="shared" si="28"/>
        <v/>
      </c>
    </row>
    <row r="1806" spans="1:13" x14ac:dyDescent="0.35">
      <c r="A1806" s="11"/>
      <c r="B1806" s="12"/>
      <c r="C1806" s="12"/>
      <c r="D1806" s="12"/>
      <c r="E1806" s="13"/>
      <c r="F1806" s="13"/>
      <c r="G1806" s="13"/>
      <c r="H1806" s="13"/>
      <c r="I1806" s="12"/>
      <c r="J1806" s="13"/>
      <c r="K1806" s="14" t="str">
        <f>IF(C1806="","",IFERROR(N('Fee Settings'!$C$5)*(E1806+N(F1806)-N(J1806))+N('Fee Settings'!$C$6)*(E1806+N(F1806)+N(G1806))+N('Fee Settings'!$C$7)+N('Fee Settings'!$C$10)*D1806+IF(I1806="Yes",MIN(N('Fee Settings'!$C$8)*(E1806+N(F1806)),N('Fee Settings'!$C$9)),0),""))</f>
        <v/>
      </c>
      <c r="L1806" s="14" t="str">
        <f>IF(C1806="","",IFERROR(D1806*N(INDEX(Products!$C$5:$C$29,MATCH(C1806,Lists!$A$2:$A$26,0))),""))</f>
        <v/>
      </c>
      <c r="M1806" s="15" t="str">
        <f t="shared" si="28"/>
        <v/>
      </c>
    </row>
    <row r="1807" spans="1:13" x14ac:dyDescent="0.35">
      <c r="A1807" s="11"/>
      <c r="B1807" s="12"/>
      <c r="C1807" s="12"/>
      <c r="D1807" s="12"/>
      <c r="E1807" s="13"/>
      <c r="F1807" s="13"/>
      <c r="G1807" s="13"/>
      <c r="H1807" s="13"/>
      <c r="I1807" s="12"/>
      <c r="J1807" s="13"/>
      <c r="K1807" s="14" t="str">
        <f>IF(C1807="","",IFERROR(N('Fee Settings'!$C$5)*(E1807+N(F1807)-N(J1807))+N('Fee Settings'!$C$6)*(E1807+N(F1807)+N(G1807))+N('Fee Settings'!$C$7)+N('Fee Settings'!$C$10)*D1807+IF(I1807="Yes",MIN(N('Fee Settings'!$C$8)*(E1807+N(F1807)),N('Fee Settings'!$C$9)),0),""))</f>
        <v/>
      </c>
      <c r="L1807" s="14" t="str">
        <f>IF(C1807="","",IFERROR(D1807*N(INDEX(Products!$C$5:$C$29,MATCH(C1807,Lists!$A$2:$A$26,0))),""))</f>
        <v/>
      </c>
      <c r="M1807" s="15" t="str">
        <f t="shared" si="28"/>
        <v/>
      </c>
    </row>
    <row r="1808" spans="1:13" x14ac:dyDescent="0.35">
      <c r="A1808" s="11"/>
      <c r="B1808" s="12"/>
      <c r="C1808" s="12"/>
      <c r="D1808" s="12"/>
      <c r="E1808" s="13"/>
      <c r="F1808" s="13"/>
      <c r="G1808" s="13"/>
      <c r="H1808" s="13"/>
      <c r="I1808" s="12"/>
      <c r="J1808" s="13"/>
      <c r="K1808" s="14" t="str">
        <f>IF(C1808="","",IFERROR(N('Fee Settings'!$C$5)*(E1808+N(F1808)-N(J1808))+N('Fee Settings'!$C$6)*(E1808+N(F1808)+N(G1808))+N('Fee Settings'!$C$7)+N('Fee Settings'!$C$10)*D1808+IF(I1808="Yes",MIN(N('Fee Settings'!$C$8)*(E1808+N(F1808)),N('Fee Settings'!$C$9)),0),""))</f>
        <v/>
      </c>
      <c r="L1808" s="14" t="str">
        <f>IF(C1808="","",IFERROR(D1808*N(INDEX(Products!$C$5:$C$29,MATCH(C1808,Lists!$A$2:$A$26,0))),""))</f>
        <v/>
      </c>
      <c r="M1808" s="15" t="str">
        <f t="shared" si="28"/>
        <v/>
      </c>
    </row>
    <row r="1809" spans="1:13" x14ac:dyDescent="0.35">
      <c r="A1809" s="11"/>
      <c r="B1809" s="12"/>
      <c r="C1809" s="12"/>
      <c r="D1809" s="12"/>
      <c r="E1809" s="13"/>
      <c r="F1809" s="13"/>
      <c r="G1809" s="13"/>
      <c r="H1809" s="13"/>
      <c r="I1809" s="12"/>
      <c r="J1809" s="13"/>
      <c r="K1809" s="14" t="str">
        <f>IF(C1809="","",IFERROR(N('Fee Settings'!$C$5)*(E1809+N(F1809)-N(J1809))+N('Fee Settings'!$C$6)*(E1809+N(F1809)+N(G1809))+N('Fee Settings'!$C$7)+N('Fee Settings'!$C$10)*D1809+IF(I1809="Yes",MIN(N('Fee Settings'!$C$8)*(E1809+N(F1809)),N('Fee Settings'!$C$9)),0),""))</f>
        <v/>
      </c>
      <c r="L1809" s="14" t="str">
        <f>IF(C1809="","",IFERROR(D1809*N(INDEX(Products!$C$5:$C$29,MATCH(C1809,Lists!$A$2:$A$26,0))),""))</f>
        <v/>
      </c>
      <c r="M1809" s="15" t="str">
        <f t="shared" si="28"/>
        <v/>
      </c>
    </row>
    <row r="1810" spans="1:13" x14ac:dyDescent="0.35">
      <c r="A1810" s="11"/>
      <c r="B1810" s="12"/>
      <c r="C1810" s="12"/>
      <c r="D1810" s="12"/>
      <c r="E1810" s="13"/>
      <c r="F1810" s="13"/>
      <c r="G1810" s="13"/>
      <c r="H1810" s="13"/>
      <c r="I1810" s="12"/>
      <c r="J1810" s="13"/>
      <c r="K1810" s="14" t="str">
        <f>IF(C1810="","",IFERROR(N('Fee Settings'!$C$5)*(E1810+N(F1810)-N(J1810))+N('Fee Settings'!$C$6)*(E1810+N(F1810)+N(G1810))+N('Fee Settings'!$C$7)+N('Fee Settings'!$C$10)*D1810+IF(I1810="Yes",MIN(N('Fee Settings'!$C$8)*(E1810+N(F1810)),N('Fee Settings'!$C$9)),0),""))</f>
        <v/>
      </c>
      <c r="L1810" s="14" t="str">
        <f>IF(C1810="","",IFERROR(D1810*N(INDEX(Products!$C$5:$C$29,MATCH(C1810,Lists!$A$2:$A$26,0))),""))</f>
        <v/>
      </c>
      <c r="M1810" s="15" t="str">
        <f t="shared" si="28"/>
        <v/>
      </c>
    </row>
    <row r="1811" spans="1:13" x14ac:dyDescent="0.35">
      <c r="A1811" s="11"/>
      <c r="B1811" s="12"/>
      <c r="C1811" s="12"/>
      <c r="D1811" s="12"/>
      <c r="E1811" s="13"/>
      <c r="F1811" s="13"/>
      <c r="G1811" s="13"/>
      <c r="H1811" s="13"/>
      <c r="I1811" s="12"/>
      <c r="J1811" s="13"/>
      <c r="K1811" s="14" t="str">
        <f>IF(C1811="","",IFERROR(N('Fee Settings'!$C$5)*(E1811+N(F1811)-N(J1811))+N('Fee Settings'!$C$6)*(E1811+N(F1811)+N(G1811))+N('Fee Settings'!$C$7)+N('Fee Settings'!$C$10)*D1811+IF(I1811="Yes",MIN(N('Fee Settings'!$C$8)*(E1811+N(F1811)),N('Fee Settings'!$C$9)),0),""))</f>
        <v/>
      </c>
      <c r="L1811" s="14" t="str">
        <f>IF(C1811="","",IFERROR(D1811*N(INDEX(Products!$C$5:$C$29,MATCH(C1811,Lists!$A$2:$A$26,0))),""))</f>
        <v/>
      </c>
      <c r="M1811" s="15" t="str">
        <f t="shared" si="28"/>
        <v/>
      </c>
    </row>
    <row r="1812" spans="1:13" x14ac:dyDescent="0.35">
      <c r="A1812" s="11"/>
      <c r="B1812" s="12"/>
      <c r="C1812" s="12"/>
      <c r="D1812" s="12"/>
      <c r="E1812" s="13"/>
      <c r="F1812" s="13"/>
      <c r="G1812" s="13"/>
      <c r="H1812" s="13"/>
      <c r="I1812" s="12"/>
      <c r="J1812" s="13"/>
      <c r="K1812" s="14" t="str">
        <f>IF(C1812="","",IFERROR(N('Fee Settings'!$C$5)*(E1812+N(F1812)-N(J1812))+N('Fee Settings'!$C$6)*(E1812+N(F1812)+N(G1812))+N('Fee Settings'!$C$7)+N('Fee Settings'!$C$10)*D1812+IF(I1812="Yes",MIN(N('Fee Settings'!$C$8)*(E1812+N(F1812)),N('Fee Settings'!$C$9)),0),""))</f>
        <v/>
      </c>
      <c r="L1812" s="14" t="str">
        <f>IF(C1812="","",IFERROR(D1812*N(INDEX(Products!$C$5:$C$29,MATCH(C1812,Lists!$A$2:$A$26,0))),""))</f>
        <v/>
      </c>
      <c r="M1812" s="15" t="str">
        <f t="shared" si="28"/>
        <v/>
      </c>
    </row>
    <row r="1813" spans="1:13" x14ac:dyDescent="0.35">
      <c r="A1813" s="11"/>
      <c r="B1813" s="12"/>
      <c r="C1813" s="12"/>
      <c r="D1813" s="12"/>
      <c r="E1813" s="13"/>
      <c r="F1813" s="13"/>
      <c r="G1813" s="13"/>
      <c r="H1813" s="13"/>
      <c r="I1813" s="12"/>
      <c r="J1813" s="13"/>
      <c r="K1813" s="14" t="str">
        <f>IF(C1813="","",IFERROR(N('Fee Settings'!$C$5)*(E1813+N(F1813)-N(J1813))+N('Fee Settings'!$C$6)*(E1813+N(F1813)+N(G1813))+N('Fee Settings'!$C$7)+N('Fee Settings'!$C$10)*D1813+IF(I1813="Yes",MIN(N('Fee Settings'!$C$8)*(E1813+N(F1813)),N('Fee Settings'!$C$9)),0),""))</f>
        <v/>
      </c>
      <c r="L1813" s="14" t="str">
        <f>IF(C1813="","",IFERROR(D1813*N(INDEX(Products!$C$5:$C$29,MATCH(C1813,Lists!$A$2:$A$26,0))),""))</f>
        <v/>
      </c>
      <c r="M1813" s="15" t="str">
        <f t="shared" si="28"/>
        <v/>
      </c>
    </row>
    <row r="1814" spans="1:13" x14ac:dyDescent="0.35">
      <c r="A1814" s="11"/>
      <c r="B1814" s="12"/>
      <c r="C1814" s="12"/>
      <c r="D1814" s="12"/>
      <c r="E1814" s="13"/>
      <c r="F1814" s="13"/>
      <c r="G1814" s="13"/>
      <c r="H1814" s="13"/>
      <c r="I1814" s="12"/>
      <c r="J1814" s="13"/>
      <c r="K1814" s="14" t="str">
        <f>IF(C1814="","",IFERROR(N('Fee Settings'!$C$5)*(E1814+N(F1814)-N(J1814))+N('Fee Settings'!$C$6)*(E1814+N(F1814)+N(G1814))+N('Fee Settings'!$C$7)+N('Fee Settings'!$C$10)*D1814+IF(I1814="Yes",MIN(N('Fee Settings'!$C$8)*(E1814+N(F1814)),N('Fee Settings'!$C$9)),0),""))</f>
        <v/>
      </c>
      <c r="L1814" s="14" t="str">
        <f>IF(C1814="","",IFERROR(D1814*N(INDEX(Products!$C$5:$C$29,MATCH(C1814,Lists!$A$2:$A$26,0))),""))</f>
        <v/>
      </c>
      <c r="M1814" s="15" t="str">
        <f t="shared" si="28"/>
        <v/>
      </c>
    </row>
    <row r="1815" spans="1:13" x14ac:dyDescent="0.35">
      <c r="A1815" s="11"/>
      <c r="B1815" s="12"/>
      <c r="C1815" s="12"/>
      <c r="D1815" s="12"/>
      <c r="E1815" s="13"/>
      <c r="F1815" s="13"/>
      <c r="G1815" s="13"/>
      <c r="H1815" s="13"/>
      <c r="I1815" s="12"/>
      <c r="J1815" s="13"/>
      <c r="K1815" s="14" t="str">
        <f>IF(C1815="","",IFERROR(N('Fee Settings'!$C$5)*(E1815+N(F1815)-N(J1815))+N('Fee Settings'!$C$6)*(E1815+N(F1815)+N(G1815))+N('Fee Settings'!$C$7)+N('Fee Settings'!$C$10)*D1815+IF(I1815="Yes",MIN(N('Fee Settings'!$C$8)*(E1815+N(F1815)),N('Fee Settings'!$C$9)),0),""))</f>
        <v/>
      </c>
      <c r="L1815" s="14" t="str">
        <f>IF(C1815="","",IFERROR(D1815*N(INDEX(Products!$C$5:$C$29,MATCH(C1815,Lists!$A$2:$A$26,0))),""))</f>
        <v/>
      </c>
      <c r="M1815" s="15" t="str">
        <f t="shared" si="28"/>
        <v/>
      </c>
    </row>
    <row r="1816" spans="1:13" x14ac:dyDescent="0.35">
      <c r="A1816" s="11"/>
      <c r="B1816" s="12"/>
      <c r="C1816" s="12"/>
      <c r="D1816" s="12"/>
      <c r="E1816" s="13"/>
      <c r="F1816" s="13"/>
      <c r="G1816" s="13"/>
      <c r="H1816" s="13"/>
      <c r="I1816" s="12"/>
      <c r="J1816" s="13"/>
      <c r="K1816" s="14" t="str">
        <f>IF(C1816="","",IFERROR(N('Fee Settings'!$C$5)*(E1816+N(F1816)-N(J1816))+N('Fee Settings'!$C$6)*(E1816+N(F1816)+N(G1816))+N('Fee Settings'!$C$7)+N('Fee Settings'!$C$10)*D1816+IF(I1816="Yes",MIN(N('Fee Settings'!$C$8)*(E1816+N(F1816)),N('Fee Settings'!$C$9)),0),""))</f>
        <v/>
      </c>
      <c r="L1816" s="14" t="str">
        <f>IF(C1816="","",IFERROR(D1816*N(INDEX(Products!$C$5:$C$29,MATCH(C1816,Lists!$A$2:$A$26,0))),""))</f>
        <v/>
      </c>
      <c r="M1816" s="15" t="str">
        <f t="shared" si="28"/>
        <v/>
      </c>
    </row>
    <row r="1817" spans="1:13" x14ac:dyDescent="0.35">
      <c r="A1817" s="11"/>
      <c r="B1817" s="12"/>
      <c r="C1817" s="12"/>
      <c r="D1817" s="12"/>
      <c r="E1817" s="13"/>
      <c r="F1817" s="13"/>
      <c r="G1817" s="13"/>
      <c r="H1817" s="13"/>
      <c r="I1817" s="12"/>
      <c r="J1817" s="13"/>
      <c r="K1817" s="14" t="str">
        <f>IF(C1817="","",IFERROR(N('Fee Settings'!$C$5)*(E1817+N(F1817)-N(J1817))+N('Fee Settings'!$C$6)*(E1817+N(F1817)+N(G1817))+N('Fee Settings'!$C$7)+N('Fee Settings'!$C$10)*D1817+IF(I1817="Yes",MIN(N('Fee Settings'!$C$8)*(E1817+N(F1817)),N('Fee Settings'!$C$9)),0),""))</f>
        <v/>
      </c>
      <c r="L1817" s="14" t="str">
        <f>IF(C1817="","",IFERROR(D1817*N(INDEX(Products!$C$5:$C$29,MATCH(C1817,Lists!$A$2:$A$26,0))),""))</f>
        <v/>
      </c>
      <c r="M1817" s="15" t="str">
        <f t="shared" si="28"/>
        <v/>
      </c>
    </row>
    <row r="1818" spans="1:13" x14ac:dyDescent="0.35">
      <c r="A1818" s="11"/>
      <c r="B1818" s="12"/>
      <c r="C1818" s="12"/>
      <c r="D1818" s="12"/>
      <c r="E1818" s="13"/>
      <c r="F1818" s="13"/>
      <c r="G1818" s="13"/>
      <c r="H1818" s="13"/>
      <c r="I1818" s="12"/>
      <c r="J1818" s="13"/>
      <c r="K1818" s="14" t="str">
        <f>IF(C1818="","",IFERROR(N('Fee Settings'!$C$5)*(E1818+N(F1818)-N(J1818))+N('Fee Settings'!$C$6)*(E1818+N(F1818)+N(G1818))+N('Fee Settings'!$C$7)+N('Fee Settings'!$C$10)*D1818+IF(I1818="Yes",MIN(N('Fee Settings'!$C$8)*(E1818+N(F1818)),N('Fee Settings'!$C$9)),0),""))</f>
        <v/>
      </c>
      <c r="L1818" s="14" t="str">
        <f>IF(C1818="","",IFERROR(D1818*N(INDEX(Products!$C$5:$C$29,MATCH(C1818,Lists!$A$2:$A$26,0))),""))</f>
        <v/>
      </c>
      <c r="M1818" s="15" t="str">
        <f t="shared" si="28"/>
        <v/>
      </c>
    </row>
    <row r="1819" spans="1:13" x14ac:dyDescent="0.35">
      <c r="A1819" s="11"/>
      <c r="B1819" s="12"/>
      <c r="C1819" s="12"/>
      <c r="D1819" s="12"/>
      <c r="E1819" s="13"/>
      <c r="F1819" s="13"/>
      <c r="G1819" s="13"/>
      <c r="H1819" s="13"/>
      <c r="I1819" s="12"/>
      <c r="J1819" s="13"/>
      <c r="K1819" s="14" t="str">
        <f>IF(C1819="","",IFERROR(N('Fee Settings'!$C$5)*(E1819+N(F1819)-N(J1819))+N('Fee Settings'!$C$6)*(E1819+N(F1819)+N(G1819))+N('Fee Settings'!$C$7)+N('Fee Settings'!$C$10)*D1819+IF(I1819="Yes",MIN(N('Fee Settings'!$C$8)*(E1819+N(F1819)),N('Fee Settings'!$C$9)),0),""))</f>
        <v/>
      </c>
      <c r="L1819" s="14" t="str">
        <f>IF(C1819="","",IFERROR(D1819*N(INDEX(Products!$C$5:$C$29,MATCH(C1819,Lists!$A$2:$A$26,0))),""))</f>
        <v/>
      </c>
      <c r="M1819" s="15" t="str">
        <f t="shared" si="28"/>
        <v/>
      </c>
    </row>
    <row r="1820" spans="1:13" x14ac:dyDescent="0.35">
      <c r="A1820" s="11"/>
      <c r="B1820" s="12"/>
      <c r="C1820" s="12"/>
      <c r="D1820" s="12"/>
      <c r="E1820" s="13"/>
      <c r="F1820" s="13"/>
      <c r="G1820" s="13"/>
      <c r="H1820" s="13"/>
      <c r="I1820" s="12"/>
      <c r="J1820" s="13"/>
      <c r="K1820" s="14" t="str">
        <f>IF(C1820="","",IFERROR(N('Fee Settings'!$C$5)*(E1820+N(F1820)-N(J1820))+N('Fee Settings'!$C$6)*(E1820+N(F1820)+N(G1820))+N('Fee Settings'!$C$7)+N('Fee Settings'!$C$10)*D1820+IF(I1820="Yes",MIN(N('Fee Settings'!$C$8)*(E1820+N(F1820)),N('Fee Settings'!$C$9)),0),""))</f>
        <v/>
      </c>
      <c r="L1820" s="14" t="str">
        <f>IF(C1820="","",IFERROR(D1820*N(INDEX(Products!$C$5:$C$29,MATCH(C1820,Lists!$A$2:$A$26,0))),""))</f>
        <v/>
      </c>
      <c r="M1820" s="15" t="str">
        <f t="shared" si="28"/>
        <v/>
      </c>
    </row>
    <row r="1821" spans="1:13" x14ac:dyDescent="0.35">
      <c r="A1821" s="11"/>
      <c r="B1821" s="12"/>
      <c r="C1821" s="12"/>
      <c r="D1821" s="12"/>
      <c r="E1821" s="13"/>
      <c r="F1821" s="13"/>
      <c r="G1821" s="13"/>
      <c r="H1821" s="13"/>
      <c r="I1821" s="12"/>
      <c r="J1821" s="13"/>
      <c r="K1821" s="14" t="str">
        <f>IF(C1821="","",IFERROR(N('Fee Settings'!$C$5)*(E1821+N(F1821)-N(J1821))+N('Fee Settings'!$C$6)*(E1821+N(F1821)+N(G1821))+N('Fee Settings'!$C$7)+N('Fee Settings'!$C$10)*D1821+IF(I1821="Yes",MIN(N('Fee Settings'!$C$8)*(E1821+N(F1821)),N('Fee Settings'!$C$9)),0),""))</f>
        <v/>
      </c>
      <c r="L1821" s="14" t="str">
        <f>IF(C1821="","",IFERROR(D1821*N(INDEX(Products!$C$5:$C$29,MATCH(C1821,Lists!$A$2:$A$26,0))),""))</f>
        <v/>
      </c>
      <c r="M1821" s="15" t="str">
        <f t="shared" si="28"/>
        <v/>
      </c>
    </row>
    <row r="1822" spans="1:13" x14ac:dyDescent="0.35">
      <c r="A1822" s="11"/>
      <c r="B1822" s="12"/>
      <c r="C1822" s="12"/>
      <c r="D1822" s="12"/>
      <c r="E1822" s="13"/>
      <c r="F1822" s="13"/>
      <c r="G1822" s="13"/>
      <c r="H1822" s="13"/>
      <c r="I1822" s="12"/>
      <c r="J1822" s="13"/>
      <c r="K1822" s="14" t="str">
        <f>IF(C1822="","",IFERROR(N('Fee Settings'!$C$5)*(E1822+N(F1822)-N(J1822))+N('Fee Settings'!$C$6)*(E1822+N(F1822)+N(G1822))+N('Fee Settings'!$C$7)+N('Fee Settings'!$C$10)*D1822+IF(I1822="Yes",MIN(N('Fee Settings'!$C$8)*(E1822+N(F1822)),N('Fee Settings'!$C$9)),0),""))</f>
        <v/>
      </c>
      <c r="L1822" s="14" t="str">
        <f>IF(C1822="","",IFERROR(D1822*N(INDEX(Products!$C$5:$C$29,MATCH(C1822,Lists!$A$2:$A$26,0))),""))</f>
        <v/>
      </c>
      <c r="M1822" s="15" t="str">
        <f t="shared" si="28"/>
        <v/>
      </c>
    </row>
    <row r="1823" spans="1:13" x14ac:dyDescent="0.35">
      <c r="A1823" s="11"/>
      <c r="B1823" s="12"/>
      <c r="C1823" s="12"/>
      <c r="D1823" s="12"/>
      <c r="E1823" s="13"/>
      <c r="F1823" s="13"/>
      <c r="G1823" s="13"/>
      <c r="H1823" s="13"/>
      <c r="I1823" s="12"/>
      <c r="J1823" s="13"/>
      <c r="K1823" s="14" t="str">
        <f>IF(C1823="","",IFERROR(N('Fee Settings'!$C$5)*(E1823+N(F1823)-N(J1823))+N('Fee Settings'!$C$6)*(E1823+N(F1823)+N(G1823))+N('Fee Settings'!$C$7)+N('Fee Settings'!$C$10)*D1823+IF(I1823="Yes",MIN(N('Fee Settings'!$C$8)*(E1823+N(F1823)),N('Fee Settings'!$C$9)),0),""))</f>
        <v/>
      </c>
      <c r="L1823" s="14" t="str">
        <f>IF(C1823="","",IFERROR(D1823*N(INDEX(Products!$C$5:$C$29,MATCH(C1823,Lists!$A$2:$A$26,0))),""))</f>
        <v/>
      </c>
      <c r="M1823" s="15" t="str">
        <f t="shared" si="28"/>
        <v/>
      </c>
    </row>
    <row r="1824" spans="1:13" x14ac:dyDescent="0.35">
      <c r="A1824" s="11"/>
      <c r="B1824" s="12"/>
      <c r="C1824" s="12"/>
      <c r="D1824" s="12"/>
      <c r="E1824" s="13"/>
      <c r="F1824" s="13"/>
      <c r="G1824" s="13"/>
      <c r="H1824" s="13"/>
      <c r="I1824" s="12"/>
      <c r="J1824" s="13"/>
      <c r="K1824" s="14" t="str">
        <f>IF(C1824="","",IFERROR(N('Fee Settings'!$C$5)*(E1824+N(F1824)-N(J1824))+N('Fee Settings'!$C$6)*(E1824+N(F1824)+N(G1824))+N('Fee Settings'!$C$7)+N('Fee Settings'!$C$10)*D1824+IF(I1824="Yes",MIN(N('Fee Settings'!$C$8)*(E1824+N(F1824)),N('Fee Settings'!$C$9)),0),""))</f>
        <v/>
      </c>
      <c r="L1824" s="14" t="str">
        <f>IF(C1824="","",IFERROR(D1824*N(INDEX(Products!$C$5:$C$29,MATCH(C1824,Lists!$A$2:$A$26,0))),""))</f>
        <v/>
      </c>
      <c r="M1824" s="15" t="str">
        <f t="shared" si="28"/>
        <v/>
      </c>
    </row>
    <row r="1825" spans="1:13" x14ac:dyDescent="0.35">
      <c r="A1825" s="11"/>
      <c r="B1825" s="12"/>
      <c r="C1825" s="12"/>
      <c r="D1825" s="12"/>
      <c r="E1825" s="13"/>
      <c r="F1825" s="13"/>
      <c r="G1825" s="13"/>
      <c r="H1825" s="13"/>
      <c r="I1825" s="12"/>
      <c r="J1825" s="13"/>
      <c r="K1825" s="14" t="str">
        <f>IF(C1825="","",IFERROR(N('Fee Settings'!$C$5)*(E1825+N(F1825)-N(J1825))+N('Fee Settings'!$C$6)*(E1825+N(F1825)+N(G1825))+N('Fee Settings'!$C$7)+N('Fee Settings'!$C$10)*D1825+IF(I1825="Yes",MIN(N('Fee Settings'!$C$8)*(E1825+N(F1825)),N('Fee Settings'!$C$9)),0),""))</f>
        <v/>
      </c>
      <c r="L1825" s="14" t="str">
        <f>IF(C1825="","",IFERROR(D1825*N(INDEX(Products!$C$5:$C$29,MATCH(C1825,Lists!$A$2:$A$26,0))),""))</f>
        <v/>
      </c>
      <c r="M1825" s="15" t="str">
        <f t="shared" si="28"/>
        <v/>
      </c>
    </row>
    <row r="1826" spans="1:13" x14ac:dyDescent="0.35">
      <c r="A1826" s="11"/>
      <c r="B1826" s="12"/>
      <c r="C1826" s="12"/>
      <c r="D1826" s="12"/>
      <c r="E1826" s="13"/>
      <c r="F1826" s="13"/>
      <c r="G1826" s="13"/>
      <c r="H1826" s="13"/>
      <c r="I1826" s="12"/>
      <c r="J1826" s="13"/>
      <c r="K1826" s="14" t="str">
        <f>IF(C1826="","",IFERROR(N('Fee Settings'!$C$5)*(E1826+N(F1826)-N(J1826))+N('Fee Settings'!$C$6)*(E1826+N(F1826)+N(G1826))+N('Fee Settings'!$C$7)+N('Fee Settings'!$C$10)*D1826+IF(I1826="Yes",MIN(N('Fee Settings'!$C$8)*(E1826+N(F1826)),N('Fee Settings'!$C$9)),0),""))</f>
        <v/>
      </c>
      <c r="L1826" s="14" t="str">
        <f>IF(C1826="","",IFERROR(D1826*N(INDEX(Products!$C$5:$C$29,MATCH(C1826,Lists!$A$2:$A$26,0))),""))</f>
        <v/>
      </c>
      <c r="M1826" s="15" t="str">
        <f t="shared" si="28"/>
        <v/>
      </c>
    </row>
    <row r="1827" spans="1:13" x14ac:dyDescent="0.35">
      <c r="A1827" s="11"/>
      <c r="B1827" s="12"/>
      <c r="C1827" s="12"/>
      <c r="D1827" s="12"/>
      <c r="E1827" s="13"/>
      <c r="F1827" s="13"/>
      <c r="G1827" s="13"/>
      <c r="H1827" s="13"/>
      <c r="I1827" s="12"/>
      <c r="J1827" s="13"/>
      <c r="K1827" s="14" t="str">
        <f>IF(C1827="","",IFERROR(N('Fee Settings'!$C$5)*(E1827+N(F1827)-N(J1827))+N('Fee Settings'!$C$6)*(E1827+N(F1827)+N(G1827))+N('Fee Settings'!$C$7)+N('Fee Settings'!$C$10)*D1827+IF(I1827="Yes",MIN(N('Fee Settings'!$C$8)*(E1827+N(F1827)),N('Fee Settings'!$C$9)),0),""))</f>
        <v/>
      </c>
      <c r="L1827" s="14" t="str">
        <f>IF(C1827="","",IFERROR(D1827*N(INDEX(Products!$C$5:$C$29,MATCH(C1827,Lists!$A$2:$A$26,0))),""))</f>
        <v/>
      </c>
      <c r="M1827" s="15" t="str">
        <f t="shared" si="28"/>
        <v/>
      </c>
    </row>
    <row r="1828" spans="1:13" x14ac:dyDescent="0.35">
      <c r="A1828" s="11"/>
      <c r="B1828" s="12"/>
      <c r="C1828" s="12"/>
      <c r="D1828" s="12"/>
      <c r="E1828" s="13"/>
      <c r="F1828" s="13"/>
      <c r="G1828" s="13"/>
      <c r="H1828" s="13"/>
      <c r="I1828" s="12"/>
      <c r="J1828" s="13"/>
      <c r="K1828" s="14" t="str">
        <f>IF(C1828="","",IFERROR(N('Fee Settings'!$C$5)*(E1828+N(F1828)-N(J1828))+N('Fee Settings'!$C$6)*(E1828+N(F1828)+N(G1828))+N('Fee Settings'!$C$7)+N('Fee Settings'!$C$10)*D1828+IF(I1828="Yes",MIN(N('Fee Settings'!$C$8)*(E1828+N(F1828)),N('Fee Settings'!$C$9)),0),""))</f>
        <v/>
      </c>
      <c r="L1828" s="14" t="str">
        <f>IF(C1828="","",IFERROR(D1828*N(INDEX(Products!$C$5:$C$29,MATCH(C1828,Lists!$A$2:$A$26,0))),""))</f>
        <v/>
      </c>
      <c r="M1828" s="15" t="str">
        <f t="shared" si="28"/>
        <v/>
      </c>
    </row>
    <row r="1829" spans="1:13" x14ac:dyDescent="0.35">
      <c r="A1829" s="11"/>
      <c r="B1829" s="12"/>
      <c r="C1829" s="12"/>
      <c r="D1829" s="12"/>
      <c r="E1829" s="13"/>
      <c r="F1829" s="13"/>
      <c r="G1829" s="13"/>
      <c r="H1829" s="13"/>
      <c r="I1829" s="12"/>
      <c r="J1829" s="13"/>
      <c r="K1829" s="14" t="str">
        <f>IF(C1829="","",IFERROR(N('Fee Settings'!$C$5)*(E1829+N(F1829)-N(J1829))+N('Fee Settings'!$C$6)*(E1829+N(F1829)+N(G1829))+N('Fee Settings'!$C$7)+N('Fee Settings'!$C$10)*D1829+IF(I1829="Yes",MIN(N('Fee Settings'!$C$8)*(E1829+N(F1829)),N('Fee Settings'!$C$9)),0),""))</f>
        <v/>
      </c>
      <c r="L1829" s="14" t="str">
        <f>IF(C1829="","",IFERROR(D1829*N(INDEX(Products!$C$5:$C$29,MATCH(C1829,Lists!$A$2:$A$26,0))),""))</f>
        <v/>
      </c>
      <c r="M1829" s="15" t="str">
        <f t="shared" si="28"/>
        <v/>
      </c>
    </row>
    <row r="1830" spans="1:13" x14ac:dyDescent="0.35">
      <c r="A1830" s="11"/>
      <c r="B1830" s="12"/>
      <c r="C1830" s="12"/>
      <c r="D1830" s="12"/>
      <c r="E1830" s="13"/>
      <c r="F1830" s="13"/>
      <c r="G1830" s="13"/>
      <c r="H1830" s="13"/>
      <c r="I1830" s="12"/>
      <c r="J1830" s="13"/>
      <c r="K1830" s="14" t="str">
        <f>IF(C1830="","",IFERROR(N('Fee Settings'!$C$5)*(E1830+N(F1830)-N(J1830))+N('Fee Settings'!$C$6)*(E1830+N(F1830)+N(G1830))+N('Fee Settings'!$C$7)+N('Fee Settings'!$C$10)*D1830+IF(I1830="Yes",MIN(N('Fee Settings'!$C$8)*(E1830+N(F1830)),N('Fee Settings'!$C$9)),0),""))</f>
        <v/>
      </c>
      <c r="L1830" s="14" t="str">
        <f>IF(C1830="","",IFERROR(D1830*N(INDEX(Products!$C$5:$C$29,MATCH(C1830,Lists!$A$2:$A$26,0))),""))</f>
        <v/>
      </c>
      <c r="M1830" s="15" t="str">
        <f t="shared" si="28"/>
        <v/>
      </c>
    </row>
    <row r="1831" spans="1:13" x14ac:dyDescent="0.35">
      <c r="A1831" s="11"/>
      <c r="B1831" s="12"/>
      <c r="C1831" s="12"/>
      <c r="D1831" s="12"/>
      <c r="E1831" s="13"/>
      <c r="F1831" s="13"/>
      <c r="G1831" s="13"/>
      <c r="H1831" s="13"/>
      <c r="I1831" s="12"/>
      <c r="J1831" s="13"/>
      <c r="K1831" s="14" t="str">
        <f>IF(C1831="","",IFERROR(N('Fee Settings'!$C$5)*(E1831+N(F1831)-N(J1831))+N('Fee Settings'!$C$6)*(E1831+N(F1831)+N(G1831))+N('Fee Settings'!$C$7)+N('Fee Settings'!$C$10)*D1831+IF(I1831="Yes",MIN(N('Fee Settings'!$C$8)*(E1831+N(F1831)),N('Fee Settings'!$C$9)),0),""))</f>
        <v/>
      </c>
      <c r="L1831" s="14" t="str">
        <f>IF(C1831="","",IFERROR(D1831*N(INDEX(Products!$C$5:$C$29,MATCH(C1831,Lists!$A$2:$A$26,0))),""))</f>
        <v/>
      </c>
      <c r="M1831" s="15" t="str">
        <f t="shared" si="28"/>
        <v/>
      </c>
    </row>
    <row r="1832" spans="1:13" x14ac:dyDescent="0.35">
      <c r="A1832" s="11"/>
      <c r="B1832" s="12"/>
      <c r="C1832" s="12"/>
      <c r="D1832" s="12"/>
      <c r="E1832" s="13"/>
      <c r="F1832" s="13"/>
      <c r="G1832" s="13"/>
      <c r="H1832" s="13"/>
      <c r="I1832" s="12"/>
      <c r="J1832" s="13"/>
      <c r="K1832" s="14" t="str">
        <f>IF(C1832="","",IFERROR(N('Fee Settings'!$C$5)*(E1832+N(F1832)-N(J1832))+N('Fee Settings'!$C$6)*(E1832+N(F1832)+N(G1832))+N('Fee Settings'!$C$7)+N('Fee Settings'!$C$10)*D1832+IF(I1832="Yes",MIN(N('Fee Settings'!$C$8)*(E1832+N(F1832)),N('Fee Settings'!$C$9)),0),""))</f>
        <v/>
      </c>
      <c r="L1832" s="14" t="str">
        <f>IF(C1832="","",IFERROR(D1832*N(INDEX(Products!$C$5:$C$29,MATCH(C1832,Lists!$A$2:$A$26,0))),""))</f>
        <v/>
      </c>
      <c r="M1832" s="15" t="str">
        <f t="shared" si="28"/>
        <v/>
      </c>
    </row>
    <row r="1833" spans="1:13" x14ac:dyDescent="0.35">
      <c r="A1833" s="11"/>
      <c r="B1833" s="12"/>
      <c r="C1833" s="12"/>
      <c r="D1833" s="12"/>
      <c r="E1833" s="13"/>
      <c r="F1833" s="13"/>
      <c r="G1833" s="13"/>
      <c r="H1833" s="13"/>
      <c r="I1833" s="12"/>
      <c r="J1833" s="13"/>
      <c r="K1833" s="14" t="str">
        <f>IF(C1833="","",IFERROR(N('Fee Settings'!$C$5)*(E1833+N(F1833)-N(J1833))+N('Fee Settings'!$C$6)*(E1833+N(F1833)+N(G1833))+N('Fee Settings'!$C$7)+N('Fee Settings'!$C$10)*D1833+IF(I1833="Yes",MIN(N('Fee Settings'!$C$8)*(E1833+N(F1833)),N('Fee Settings'!$C$9)),0),""))</f>
        <v/>
      </c>
      <c r="L1833" s="14" t="str">
        <f>IF(C1833="","",IFERROR(D1833*N(INDEX(Products!$C$5:$C$29,MATCH(C1833,Lists!$A$2:$A$26,0))),""))</f>
        <v/>
      </c>
      <c r="M1833" s="15" t="str">
        <f t="shared" si="28"/>
        <v/>
      </c>
    </row>
    <row r="1834" spans="1:13" x14ac:dyDescent="0.35">
      <c r="A1834" s="11"/>
      <c r="B1834" s="12"/>
      <c r="C1834" s="12"/>
      <c r="D1834" s="12"/>
      <c r="E1834" s="13"/>
      <c r="F1834" s="13"/>
      <c r="G1834" s="13"/>
      <c r="H1834" s="13"/>
      <c r="I1834" s="12"/>
      <c r="J1834" s="13"/>
      <c r="K1834" s="14" t="str">
        <f>IF(C1834="","",IFERROR(N('Fee Settings'!$C$5)*(E1834+N(F1834)-N(J1834))+N('Fee Settings'!$C$6)*(E1834+N(F1834)+N(G1834))+N('Fee Settings'!$C$7)+N('Fee Settings'!$C$10)*D1834+IF(I1834="Yes",MIN(N('Fee Settings'!$C$8)*(E1834+N(F1834)),N('Fee Settings'!$C$9)),0),""))</f>
        <v/>
      </c>
      <c r="L1834" s="14" t="str">
        <f>IF(C1834="","",IFERROR(D1834*N(INDEX(Products!$C$5:$C$29,MATCH(C1834,Lists!$A$2:$A$26,0))),""))</f>
        <v/>
      </c>
      <c r="M1834" s="15" t="str">
        <f t="shared" si="28"/>
        <v/>
      </c>
    </row>
    <row r="1835" spans="1:13" x14ac:dyDescent="0.35">
      <c r="A1835" s="11"/>
      <c r="B1835" s="12"/>
      <c r="C1835" s="12"/>
      <c r="D1835" s="12"/>
      <c r="E1835" s="13"/>
      <c r="F1835" s="13"/>
      <c r="G1835" s="13"/>
      <c r="H1835" s="13"/>
      <c r="I1835" s="12"/>
      <c r="J1835" s="13"/>
      <c r="K1835" s="14" t="str">
        <f>IF(C1835="","",IFERROR(N('Fee Settings'!$C$5)*(E1835+N(F1835)-N(J1835))+N('Fee Settings'!$C$6)*(E1835+N(F1835)+N(G1835))+N('Fee Settings'!$C$7)+N('Fee Settings'!$C$10)*D1835+IF(I1835="Yes",MIN(N('Fee Settings'!$C$8)*(E1835+N(F1835)),N('Fee Settings'!$C$9)),0),""))</f>
        <v/>
      </c>
      <c r="L1835" s="14" t="str">
        <f>IF(C1835="","",IFERROR(D1835*N(INDEX(Products!$C$5:$C$29,MATCH(C1835,Lists!$A$2:$A$26,0))),""))</f>
        <v/>
      </c>
      <c r="M1835" s="15" t="str">
        <f t="shared" si="28"/>
        <v/>
      </c>
    </row>
    <row r="1836" spans="1:13" x14ac:dyDescent="0.35">
      <c r="A1836" s="11"/>
      <c r="B1836" s="12"/>
      <c r="C1836" s="12"/>
      <c r="D1836" s="12"/>
      <c r="E1836" s="13"/>
      <c r="F1836" s="13"/>
      <c r="G1836" s="13"/>
      <c r="H1836" s="13"/>
      <c r="I1836" s="12"/>
      <c r="J1836" s="13"/>
      <c r="K1836" s="14" t="str">
        <f>IF(C1836="","",IFERROR(N('Fee Settings'!$C$5)*(E1836+N(F1836)-N(J1836))+N('Fee Settings'!$C$6)*(E1836+N(F1836)+N(G1836))+N('Fee Settings'!$C$7)+N('Fee Settings'!$C$10)*D1836+IF(I1836="Yes",MIN(N('Fee Settings'!$C$8)*(E1836+N(F1836)),N('Fee Settings'!$C$9)),0),""))</f>
        <v/>
      </c>
      <c r="L1836" s="14" t="str">
        <f>IF(C1836="","",IFERROR(D1836*N(INDEX(Products!$C$5:$C$29,MATCH(C1836,Lists!$A$2:$A$26,0))),""))</f>
        <v/>
      </c>
      <c r="M1836" s="15" t="str">
        <f t="shared" si="28"/>
        <v/>
      </c>
    </row>
    <row r="1837" spans="1:13" x14ac:dyDescent="0.35">
      <c r="A1837" s="11"/>
      <c r="B1837" s="12"/>
      <c r="C1837" s="12"/>
      <c r="D1837" s="12"/>
      <c r="E1837" s="13"/>
      <c r="F1837" s="13"/>
      <c r="G1837" s="13"/>
      <c r="H1837" s="13"/>
      <c r="I1837" s="12"/>
      <c r="J1837" s="13"/>
      <c r="K1837" s="14" t="str">
        <f>IF(C1837="","",IFERROR(N('Fee Settings'!$C$5)*(E1837+N(F1837)-N(J1837))+N('Fee Settings'!$C$6)*(E1837+N(F1837)+N(G1837))+N('Fee Settings'!$C$7)+N('Fee Settings'!$C$10)*D1837+IF(I1837="Yes",MIN(N('Fee Settings'!$C$8)*(E1837+N(F1837)),N('Fee Settings'!$C$9)),0),""))</f>
        <v/>
      </c>
      <c r="L1837" s="14" t="str">
        <f>IF(C1837="","",IFERROR(D1837*N(INDEX(Products!$C$5:$C$29,MATCH(C1837,Lists!$A$2:$A$26,0))),""))</f>
        <v/>
      </c>
      <c r="M1837" s="15" t="str">
        <f t="shared" si="28"/>
        <v/>
      </c>
    </row>
    <row r="1838" spans="1:13" x14ac:dyDescent="0.35">
      <c r="A1838" s="11"/>
      <c r="B1838" s="12"/>
      <c r="C1838" s="12"/>
      <c r="D1838" s="12"/>
      <c r="E1838" s="13"/>
      <c r="F1838" s="13"/>
      <c r="G1838" s="13"/>
      <c r="H1838" s="13"/>
      <c r="I1838" s="12"/>
      <c r="J1838" s="13"/>
      <c r="K1838" s="14" t="str">
        <f>IF(C1838="","",IFERROR(N('Fee Settings'!$C$5)*(E1838+N(F1838)-N(J1838))+N('Fee Settings'!$C$6)*(E1838+N(F1838)+N(G1838))+N('Fee Settings'!$C$7)+N('Fee Settings'!$C$10)*D1838+IF(I1838="Yes",MIN(N('Fee Settings'!$C$8)*(E1838+N(F1838)),N('Fee Settings'!$C$9)),0),""))</f>
        <v/>
      </c>
      <c r="L1838" s="14" t="str">
        <f>IF(C1838="","",IFERROR(D1838*N(INDEX(Products!$C$5:$C$29,MATCH(C1838,Lists!$A$2:$A$26,0))),""))</f>
        <v/>
      </c>
      <c r="M1838" s="15" t="str">
        <f t="shared" si="28"/>
        <v/>
      </c>
    </row>
    <row r="1839" spans="1:13" x14ac:dyDescent="0.35">
      <c r="A1839" s="11"/>
      <c r="B1839" s="12"/>
      <c r="C1839" s="12"/>
      <c r="D1839" s="12"/>
      <c r="E1839" s="13"/>
      <c r="F1839" s="13"/>
      <c r="G1839" s="13"/>
      <c r="H1839" s="13"/>
      <c r="I1839" s="12"/>
      <c r="J1839" s="13"/>
      <c r="K1839" s="14" t="str">
        <f>IF(C1839="","",IFERROR(N('Fee Settings'!$C$5)*(E1839+N(F1839)-N(J1839))+N('Fee Settings'!$C$6)*(E1839+N(F1839)+N(G1839))+N('Fee Settings'!$C$7)+N('Fee Settings'!$C$10)*D1839+IF(I1839="Yes",MIN(N('Fee Settings'!$C$8)*(E1839+N(F1839)),N('Fee Settings'!$C$9)),0),""))</f>
        <v/>
      </c>
      <c r="L1839" s="14" t="str">
        <f>IF(C1839="","",IFERROR(D1839*N(INDEX(Products!$C$5:$C$29,MATCH(C1839,Lists!$A$2:$A$26,0))),""))</f>
        <v/>
      </c>
      <c r="M1839" s="15" t="str">
        <f t="shared" si="28"/>
        <v/>
      </c>
    </row>
    <row r="1840" spans="1:13" x14ac:dyDescent="0.35">
      <c r="A1840" s="11"/>
      <c r="B1840" s="12"/>
      <c r="C1840" s="12"/>
      <c r="D1840" s="12"/>
      <c r="E1840" s="13"/>
      <c r="F1840" s="13"/>
      <c r="G1840" s="13"/>
      <c r="H1840" s="13"/>
      <c r="I1840" s="12"/>
      <c r="J1840" s="13"/>
      <c r="K1840" s="14" t="str">
        <f>IF(C1840="","",IFERROR(N('Fee Settings'!$C$5)*(E1840+N(F1840)-N(J1840))+N('Fee Settings'!$C$6)*(E1840+N(F1840)+N(G1840))+N('Fee Settings'!$C$7)+N('Fee Settings'!$C$10)*D1840+IF(I1840="Yes",MIN(N('Fee Settings'!$C$8)*(E1840+N(F1840)),N('Fee Settings'!$C$9)),0),""))</f>
        <v/>
      </c>
      <c r="L1840" s="14" t="str">
        <f>IF(C1840="","",IFERROR(D1840*N(INDEX(Products!$C$5:$C$29,MATCH(C1840,Lists!$A$2:$A$26,0))),""))</f>
        <v/>
      </c>
      <c r="M1840" s="15" t="str">
        <f t="shared" si="28"/>
        <v/>
      </c>
    </row>
    <row r="1841" spans="1:13" x14ac:dyDescent="0.35">
      <c r="A1841" s="11"/>
      <c r="B1841" s="12"/>
      <c r="C1841" s="12"/>
      <c r="D1841" s="12"/>
      <c r="E1841" s="13"/>
      <c r="F1841" s="13"/>
      <c r="G1841" s="13"/>
      <c r="H1841" s="13"/>
      <c r="I1841" s="12"/>
      <c r="J1841" s="13"/>
      <c r="K1841" s="14" t="str">
        <f>IF(C1841="","",IFERROR(N('Fee Settings'!$C$5)*(E1841+N(F1841)-N(J1841))+N('Fee Settings'!$C$6)*(E1841+N(F1841)+N(G1841))+N('Fee Settings'!$C$7)+N('Fee Settings'!$C$10)*D1841+IF(I1841="Yes",MIN(N('Fee Settings'!$C$8)*(E1841+N(F1841)),N('Fee Settings'!$C$9)),0),""))</f>
        <v/>
      </c>
      <c r="L1841" s="14" t="str">
        <f>IF(C1841="","",IFERROR(D1841*N(INDEX(Products!$C$5:$C$29,MATCH(C1841,Lists!$A$2:$A$26,0))),""))</f>
        <v/>
      </c>
      <c r="M1841" s="15" t="str">
        <f t="shared" si="28"/>
        <v/>
      </c>
    </row>
    <row r="1842" spans="1:13" x14ac:dyDescent="0.35">
      <c r="A1842" s="11"/>
      <c r="B1842" s="12"/>
      <c r="C1842" s="12"/>
      <c r="D1842" s="12"/>
      <c r="E1842" s="13"/>
      <c r="F1842" s="13"/>
      <c r="G1842" s="13"/>
      <c r="H1842" s="13"/>
      <c r="I1842" s="12"/>
      <c r="J1842" s="13"/>
      <c r="K1842" s="14" t="str">
        <f>IF(C1842="","",IFERROR(N('Fee Settings'!$C$5)*(E1842+N(F1842)-N(J1842))+N('Fee Settings'!$C$6)*(E1842+N(F1842)+N(G1842))+N('Fee Settings'!$C$7)+N('Fee Settings'!$C$10)*D1842+IF(I1842="Yes",MIN(N('Fee Settings'!$C$8)*(E1842+N(F1842)),N('Fee Settings'!$C$9)),0),""))</f>
        <v/>
      </c>
      <c r="L1842" s="14" t="str">
        <f>IF(C1842="","",IFERROR(D1842*N(INDEX(Products!$C$5:$C$29,MATCH(C1842,Lists!$A$2:$A$26,0))),""))</f>
        <v/>
      </c>
      <c r="M1842" s="15" t="str">
        <f t="shared" si="28"/>
        <v/>
      </c>
    </row>
    <row r="1843" spans="1:13" x14ac:dyDescent="0.35">
      <c r="A1843" s="11"/>
      <c r="B1843" s="12"/>
      <c r="C1843" s="12"/>
      <c r="D1843" s="12"/>
      <c r="E1843" s="13"/>
      <c r="F1843" s="13"/>
      <c r="G1843" s="13"/>
      <c r="H1843" s="13"/>
      <c r="I1843" s="12"/>
      <c r="J1843" s="13"/>
      <c r="K1843" s="14" t="str">
        <f>IF(C1843="","",IFERROR(N('Fee Settings'!$C$5)*(E1843+N(F1843)-N(J1843))+N('Fee Settings'!$C$6)*(E1843+N(F1843)+N(G1843))+N('Fee Settings'!$C$7)+N('Fee Settings'!$C$10)*D1843+IF(I1843="Yes",MIN(N('Fee Settings'!$C$8)*(E1843+N(F1843)),N('Fee Settings'!$C$9)),0),""))</f>
        <v/>
      </c>
      <c r="L1843" s="14" t="str">
        <f>IF(C1843="","",IFERROR(D1843*N(INDEX(Products!$C$5:$C$29,MATCH(C1843,Lists!$A$2:$A$26,0))),""))</f>
        <v/>
      </c>
      <c r="M1843" s="15" t="str">
        <f t="shared" si="28"/>
        <v/>
      </c>
    </row>
    <row r="1844" spans="1:13" x14ac:dyDescent="0.35">
      <c r="A1844" s="11"/>
      <c r="B1844" s="12"/>
      <c r="C1844" s="12"/>
      <c r="D1844" s="12"/>
      <c r="E1844" s="13"/>
      <c r="F1844" s="13"/>
      <c r="G1844" s="13"/>
      <c r="H1844" s="13"/>
      <c r="I1844" s="12"/>
      <c r="J1844" s="13"/>
      <c r="K1844" s="14" t="str">
        <f>IF(C1844="","",IFERROR(N('Fee Settings'!$C$5)*(E1844+N(F1844)-N(J1844))+N('Fee Settings'!$C$6)*(E1844+N(F1844)+N(G1844))+N('Fee Settings'!$C$7)+N('Fee Settings'!$C$10)*D1844+IF(I1844="Yes",MIN(N('Fee Settings'!$C$8)*(E1844+N(F1844)),N('Fee Settings'!$C$9)),0),""))</f>
        <v/>
      </c>
      <c r="L1844" s="14" t="str">
        <f>IF(C1844="","",IFERROR(D1844*N(INDEX(Products!$C$5:$C$29,MATCH(C1844,Lists!$A$2:$A$26,0))),""))</f>
        <v/>
      </c>
      <c r="M1844" s="15" t="str">
        <f t="shared" si="28"/>
        <v/>
      </c>
    </row>
    <row r="1845" spans="1:13" x14ac:dyDescent="0.35">
      <c r="A1845" s="11"/>
      <c r="B1845" s="12"/>
      <c r="C1845" s="12"/>
      <c r="D1845" s="12"/>
      <c r="E1845" s="13"/>
      <c r="F1845" s="13"/>
      <c r="G1845" s="13"/>
      <c r="H1845" s="13"/>
      <c r="I1845" s="12"/>
      <c r="J1845" s="13"/>
      <c r="K1845" s="14" t="str">
        <f>IF(C1845="","",IFERROR(N('Fee Settings'!$C$5)*(E1845+N(F1845)-N(J1845))+N('Fee Settings'!$C$6)*(E1845+N(F1845)+N(G1845))+N('Fee Settings'!$C$7)+N('Fee Settings'!$C$10)*D1845+IF(I1845="Yes",MIN(N('Fee Settings'!$C$8)*(E1845+N(F1845)),N('Fee Settings'!$C$9)),0),""))</f>
        <v/>
      </c>
      <c r="L1845" s="14" t="str">
        <f>IF(C1845="","",IFERROR(D1845*N(INDEX(Products!$C$5:$C$29,MATCH(C1845,Lists!$A$2:$A$26,0))),""))</f>
        <v/>
      </c>
      <c r="M1845" s="15" t="str">
        <f t="shared" si="28"/>
        <v/>
      </c>
    </row>
    <row r="1846" spans="1:13" x14ac:dyDescent="0.35">
      <c r="A1846" s="11"/>
      <c r="B1846" s="12"/>
      <c r="C1846" s="12"/>
      <c r="D1846" s="12"/>
      <c r="E1846" s="13"/>
      <c r="F1846" s="13"/>
      <c r="G1846" s="13"/>
      <c r="H1846" s="13"/>
      <c r="I1846" s="12"/>
      <c r="J1846" s="13"/>
      <c r="K1846" s="14" t="str">
        <f>IF(C1846="","",IFERROR(N('Fee Settings'!$C$5)*(E1846+N(F1846)-N(J1846))+N('Fee Settings'!$C$6)*(E1846+N(F1846)+N(G1846))+N('Fee Settings'!$C$7)+N('Fee Settings'!$C$10)*D1846+IF(I1846="Yes",MIN(N('Fee Settings'!$C$8)*(E1846+N(F1846)),N('Fee Settings'!$C$9)),0),""))</f>
        <v/>
      </c>
      <c r="L1846" s="14" t="str">
        <f>IF(C1846="","",IFERROR(D1846*N(INDEX(Products!$C$5:$C$29,MATCH(C1846,Lists!$A$2:$A$26,0))),""))</f>
        <v/>
      </c>
      <c r="M1846" s="15" t="str">
        <f t="shared" si="28"/>
        <v/>
      </c>
    </row>
    <row r="1847" spans="1:13" x14ac:dyDescent="0.35">
      <c r="A1847" s="11"/>
      <c r="B1847" s="12"/>
      <c r="C1847" s="12"/>
      <c r="D1847" s="12"/>
      <c r="E1847" s="13"/>
      <c r="F1847" s="13"/>
      <c r="G1847" s="13"/>
      <c r="H1847" s="13"/>
      <c r="I1847" s="12"/>
      <c r="J1847" s="13"/>
      <c r="K1847" s="14" t="str">
        <f>IF(C1847="","",IFERROR(N('Fee Settings'!$C$5)*(E1847+N(F1847)-N(J1847))+N('Fee Settings'!$C$6)*(E1847+N(F1847)+N(G1847))+N('Fee Settings'!$C$7)+N('Fee Settings'!$C$10)*D1847+IF(I1847="Yes",MIN(N('Fee Settings'!$C$8)*(E1847+N(F1847)),N('Fee Settings'!$C$9)),0),""))</f>
        <v/>
      </c>
      <c r="L1847" s="14" t="str">
        <f>IF(C1847="","",IFERROR(D1847*N(INDEX(Products!$C$5:$C$29,MATCH(C1847,Lists!$A$2:$A$26,0))),""))</f>
        <v/>
      </c>
      <c r="M1847" s="15" t="str">
        <f t="shared" si="28"/>
        <v/>
      </c>
    </row>
    <row r="1848" spans="1:13" x14ac:dyDescent="0.35">
      <c r="A1848" s="11"/>
      <c r="B1848" s="12"/>
      <c r="C1848" s="12"/>
      <c r="D1848" s="12"/>
      <c r="E1848" s="13"/>
      <c r="F1848" s="13"/>
      <c r="G1848" s="13"/>
      <c r="H1848" s="13"/>
      <c r="I1848" s="12"/>
      <c r="J1848" s="13"/>
      <c r="K1848" s="14" t="str">
        <f>IF(C1848="","",IFERROR(N('Fee Settings'!$C$5)*(E1848+N(F1848)-N(J1848))+N('Fee Settings'!$C$6)*(E1848+N(F1848)+N(G1848))+N('Fee Settings'!$C$7)+N('Fee Settings'!$C$10)*D1848+IF(I1848="Yes",MIN(N('Fee Settings'!$C$8)*(E1848+N(F1848)),N('Fee Settings'!$C$9)),0),""))</f>
        <v/>
      </c>
      <c r="L1848" s="14" t="str">
        <f>IF(C1848="","",IFERROR(D1848*N(INDEX(Products!$C$5:$C$29,MATCH(C1848,Lists!$A$2:$A$26,0))),""))</f>
        <v/>
      </c>
      <c r="M1848" s="15" t="str">
        <f t="shared" si="28"/>
        <v/>
      </c>
    </row>
    <row r="1849" spans="1:13" x14ac:dyDescent="0.35">
      <c r="A1849" s="11"/>
      <c r="B1849" s="12"/>
      <c r="C1849" s="12"/>
      <c r="D1849" s="12"/>
      <c r="E1849" s="13"/>
      <c r="F1849" s="13"/>
      <c r="G1849" s="13"/>
      <c r="H1849" s="13"/>
      <c r="I1849" s="12"/>
      <c r="J1849" s="13"/>
      <c r="K1849" s="14" t="str">
        <f>IF(C1849="","",IFERROR(N('Fee Settings'!$C$5)*(E1849+N(F1849)-N(J1849))+N('Fee Settings'!$C$6)*(E1849+N(F1849)+N(G1849))+N('Fee Settings'!$C$7)+N('Fee Settings'!$C$10)*D1849+IF(I1849="Yes",MIN(N('Fee Settings'!$C$8)*(E1849+N(F1849)),N('Fee Settings'!$C$9)),0),""))</f>
        <v/>
      </c>
      <c r="L1849" s="14" t="str">
        <f>IF(C1849="","",IFERROR(D1849*N(INDEX(Products!$C$5:$C$29,MATCH(C1849,Lists!$A$2:$A$26,0))),""))</f>
        <v/>
      </c>
      <c r="M1849" s="15" t="str">
        <f t="shared" si="28"/>
        <v/>
      </c>
    </row>
    <row r="1850" spans="1:13" x14ac:dyDescent="0.35">
      <c r="A1850" s="11"/>
      <c r="B1850" s="12"/>
      <c r="C1850" s="12"/>
      <c r="D1850" s="12"/>
      <c r="E1850" s="13"/>
      <c r="F1850" s="13"/>
      <c r="G1850" s="13"/>
      <c r="H1850" s="13"/>
      <c r="I1850" s="12"/>
      <c r="J1850" s="13"/>
      <c r="K1850" s="14" t="str">
        <f>IF(C1850="","",IFERROR(N('Fee Settings'!$C$5)*(E1850+N(F1850)-N(J1850))+N('Fee Settings'!$C$6)*(E1850+N(F1850)+N(G1850))+N('Fee Settings'!$C$7)+N('Fee Settings'!$C$10)*D1850+IF(I1850="Yes",MIN(N('Fee Settings'!$C$8)*(E1850+N(F1850)),N('Fee Settings'!$C$9)),0),""))</f>
        <v/>
      </c>
      <c r="L1850" s="14" t="str">
        <f>IF(C1850="","",IFERROR(D1850*N(INDEX(Products!$C$5:$C$29,MATCH(C1850,Lists!$A$2:$A$26,0))),""))</f>
        <v/>
      </c>
      <c r="M1850" s="15" t="str">
        <f t="shared" si="28"/>
        <v/>
      </c>
    </row>
    <row r="1851" spans="1:13" x14ac:dyDescent="0.35">
      <c r="A1851" s="11"/>
      <c r="B1851" s="12"/>
      <c r="C1851" s="12"/>
      <c r="D1851" s="12"/>
      <c r="E1851" s="13"/>
      <c r="F1851" s="13"/>
      <c r="G1851" s="13"/>
      <c r="H1851" s="13"/>
      <c r="I1851" s="12"/>
      <c r="J1851" s="13"/>
      <c r="K1851" s="14" t="str">
        <f>IF(C1851="","",IFERROR(N('Fee Settings'!$C$5)*(E1851+N(F1851)-N(J1851))+N('Fee Settings'!$C$6)*(E1851+N(F1851)+N(G1851))+N('Fee Settings'!$C$7)+N('Fee Settings'!$C$10)*D1851+IF(I1851="Yes",MIN(N('Fee Settings'!$C$8)*(E1851+N(F1851)),N('Fee Settings'!$C$9)),0),""))</f>
        <v/>
      </c>
      <c r="L1851" s="14" t="str">
        <f>IF(C1851="","",IFERROR(D1851*N(INDEX(Products!$C$5:$C$29,MATCH(C1851,Lists!$A$2:$A$26,0))),""))</f>
        <v/>
      </c>
      <c r="M1851" s="15" t="str">
        <f t="shared" si="28"/>
        <v/>
      </c>
    </row>
    <row r="1852" spans="1:13" x14ac:dyDescent="0.35">
      <c r="A1852" s="11"/>
      <c r="B1852" s="12"/>
      <c r="C1852" s="12"/>
      <c r="D1852" s="12"/>
      <c r="E1852" s="13"/>
      <c r="F1852" s="13"/>
      <c r="G1852" s="13"/>
      <c r="H1852" s="13"/>
      <c r="I1852" s="12"/>
      <c r="J1852" s="13"/>
      <c r="K1852" s="14" t="str">
        <f>IF(C1852="","",IFERROR(N('Fee Settings'!$C$5)*(E1852+N(F1852)-N(J1852))+N('Fee Settings'!$C$6)*(E1852+N(F1852)+N(G1852))+N('Fee Settings'!$C$7)+N('Fee Settings'!$C$10)*D1852+IF(I1852="Yes",MIN(N('Fee Settings'!$C$8)*(E1852+N(F1852)),N('Fee Settings'!$C$9)),0),""))</f>
        <v/>
      </c>
      <c r="L1852" s="14" t="str">
        <f>IF(C1852="","",IFERROR(D1852*N(INDEX(Products!$C$5:$C$29,MATCH(C1852,Lists!$A$2:$A$26,0))),""))</f>
        <v/>
      </c>
      <c r="M1852" s="15" t="str">
        <f t="shared" si="28"/>
        <v/>
      </c>
    </row>
    <row r="1853" spans="1:13" x14ac:dyDescent="0.35">
      <c r="A1853" s="11"/>
      <c r="B1853" s="12"/>
      <c r="C1853" s="12"/>
      <c r="D1853" s="12"/>
      <c r="E1853" s="13"/>
      <c r="F1853" s="13"/>
      <c r="G1853" s="13"/>
      <c r="H1853" s="13"/>
      <c r="I1853" s="12"/>
      <c r="J1853" s="13"/>
      <c r="K1853" s="14" t="str">
        <f>IF(C1853="","",IFERROR(N('Fee Settings'!$C$5)*(E1853+N(F1853)-N(J1853))+N('Fee Settings'!$C$6)*(E1853+N(F1853)+N(G1853))+N('Fee Settings'!$C$7)+N('Fee Settings'!$C$10)*D1853+IF(I1853="Yes",MIN(N('Fee Settings'!$C$8)*(E1853+N(F1853)),N('Fee Settings'!$C$9)),0),""))</f>
        <v/>
      </c>
      <c r="L1853" s="14" t="str">
        <f>IF(C1853="","",IFERROR(D1853*N(INDEX(Products!$C$5:$C$29,MATCH(C1853,Lists!$A$2:$A$26,0))),""))</f>
        <v/>
      </c>
      <c r="M1853" s="15" t="str">
        <f t="shared" si="28"/>
        <v/>
      </c>
    </row>
    <row r="1854" spans="1:13" x14ac:dyDescent="0.35">
      <c r="A1854" s="11"/>
      <c r="B1854" s="12"/>
      <c r="C1854" s="12"/>
      <c r="D1854" s="12"/>
      <c r="E1854" s="13"/>
      <c r="F1854" s="13"/>
      <c r="G1854" s="13"/>
      <c r="H1854" s="13"/>
      <c r="I1854" s="12"/>
      <c r="J1854" s="13"/>
      <c r="K1854" s="14" t="str">
        <f>IF(C1854="","",IFERROR(N('Fee Settings'!$C$5)*(E1854+N(F1854)-N(J1854))+N('Fee Settings'!$C$6)*(E1854+N(F1854)+N(G1854))+N('Fee Settings'!$C$7)+N('Fee Settings'!$C$10)*D1854+IF(I1854="Yes",MIN(N('Fee Settings'!$C$8)*(E1854+N(F1854)),N('Fee Settings'!$C$9)),0),""))</f>
        <v/>
      </c>
      <c r="L1854" s="14" t="str">
        <f>IF(C1854="","",IFERROR(D1854*N(INDEX(Products!$C$5:$C$29,MATCH(C1854,Lists!$A$2:$A$26,0))),""))</f>
        <v/>
      </c>
      <c r="M1854" s="15" t="str">
        <f t="shared" si="28"/>
        <v/>
      </c>
    </row>
    <row r="1855" spans="1:13" x14ac:dyDescent="0.35">
      <c r="A1855" s="11"/>
      <c r="B1855" s="12"/>
      <c r="C1855" s="12"/>
      <c r="D1855" s="12"/>
      <c r="E1855" s="13"/>
      <c r="F1855" s="13"/>
      <c r="G1855" s="13"/>
      <c r="H1855" s="13"/>
      <c r="I1855" s="12"/>
      <c r="J1855" s="13"/>
      <c r="K1855" s="14" t="str">
        <f>IF(C1855="","",IFERROR(N('Fee Settings'!$C$5)*(E1855+N(F1855)-N(J1855))+N('Fee Settings'!$C$6)*(E1855+N(F1855)+N(G1855))+N('Fee Settings'!$C$7)+N('Fee Settings'!$C$10)*D1855+IF(I1855="Yes",MIN(N('Fee Settings'!$C$8)*(E1855+N(F1855)),N('Fee Settings'!$C$9)),0),""))</f>
        <v/>
      </c>
      <c r="L1855" s="14" t="str">
        <f>IF(C1855="","",IFERROR(D1855*N(INDEX(Products!$C$5:$C$29,MATCH(C1855,Lists!$A$2:$A$26,0))),""))</f>
        <v/>
      </c>
      <c r="M1855" s="15" t="str">
        <f t="shared" si="28"/>
        <v/>
      </c>
    </row>
    <row r="1856" spans="1:13" x14ac:dyDescent="0.35">
      <c r="A1856" s="11"/>
      <c r="B1856" s="12"/>
      <c r="C1856" s="12"/>
      <c r="D1856" s="12"/>
      <c r="E1856" s="13"/>
      <c r="F1856" s="13"/>
      <c r="G1856" s="13"/>
      <c r="H1856" s="13"/>
      <c r="I1856" s="12"/>
      <c r="J1856" s="13"/>
      <c r="K1856" s="14" t="str">
        <f>IF(C1856="","",IFERROR(N('Fee Settings'!$C$5)*(E1856+N(F1856)-N(J1856))+N('Fee Settings'!$C$6)*(E1856+N(F1856)+N(G1856))+N('Fee Settings'!$C$7)+N('Fee Settings'!$C$10)*D1856+IF(I1856="Yes",MIN(N('Fee Settings'!$C$8)*(E1856+N(F1856)),N('Fee Settings'!$C$9)),0),""))</f>
        <v/>
      </c>
      <c r="L1856" s="14" t="str">
        <f>IF(C1856="","",IFERROR(D1856*N(INDEX(Products!$C$5:$C$29,MATCH(C1856,Lists!$A$2:$A$26,0))),""))</f>
        <v/>
      </c>
      <c r="M1856" s="15" t="str">
        <f t="shared" si="28"/>
        <v/>
      </c>
    </row>
    <row r="1857" spans="1:13" x14ac:dyDescent="0.35">
      <c r="A1857" s="11"/>
      <c r="B1857" s="12"/>
      <c r="C1857" s="12"/>
      <c r="D1857" s="12"/>
      <c r="E1857" s="13"/>
      <c r="F1857" s="13"/>
      <c r="G1857" s="13"/>
      <c r="H1857" s="13"/>
      <c r="I1857" s="12"/>
      <c r="J1857" s="13"/>
      <c r="K1857" s="14" t="str">
        <f>IF(C1857="","",IFERROR(N('Fee Settings'!$C$5)*(E1857+N(F1857)-N(J1857))+N('Fee Settings'!$C$6)*(E1857+N(F1857)+N(G1857))+N('Fee Settings'!$C$7)+N('Fee Settings'!$C$10)*D1857+IF(I1857="Yes",MIN(N('Fee Settings'!$C$8)*(E1857+N(F1857)),N('Fee Settings'!$C$9)),0),""))</f>
        <v/>
      </c>
      <c r="L1857" s="14" t="str">
        <f>IF(C1857="","",IFERROR(D1857*N(INDEX(Products!$C$5:$C$29,MATCH(C1857,Lists!$A$2:$A$26,0))),""))</f>
        <v/>
      </c>
      <c r="M1857" s="15" t="str">
        <f t="shared" si="28"/>
        <v/>
      </c>
    </row>
    <row r="1858" spans="1:13" x14ac:dyDescent="0.35">
      <c r="A1858" s="11"/>
      <c r="B1858" s="12"/>
      <c r="C1858" s="12"/>
      <c r="D1858" s="12"/>
      <c r="E1858" s="13"/>
      <c r="F1858" s="13"/>
      <c r="G1858" s="13"/>
      <c r="H1858" s="13"/>
      <c r="I1858" s="12"/>
      <c r="J1858" s="13"/>
      <c r="K1858" s="14" t="str">
        <f>IF(C1858="","",IFERROR(N('Fee Settings'!$C$5)*(E1858+N(F1858)-N(J1858))+N('Fee Settings'!$C$6)*(E1858+N(F1858)+N(G1858))+N('Fee Settings'!$C$7)+N('Fee Settings'!$C$10)*D1858+IF(I1858="Yes",MIN(N('Fee Settings'!$C$8)*(E1858+N(F1858)),N('Fee Settings'!$C$9)),0),""))</f>
        <v/>
      </c>
      <c r="L1858" s="14" t="str">
        <f>IF(C1858="","",IFERROR(D1858*N(INDEX(Products!$C$5:$C$29,MATCH(C1858,Lists!$A$2:$A$26,0))),""))</f>
        <v/>
      </c>
      <c r="M1858" s="15" t="str">
        <f t="shared" si="28"/>
        <v/>
      </c>
    </row>
    <row r="1859" spans="1:13" x14ac:dyDescent="0.35">
      <c r="A1859" s="11"/>
      <c r="B1859" s="12"/>
      <c r="C1859" s="12"/>
      <c r="D1859" s="12"/>
      <c r="E1859" s="13"/>
      <c r="F1859" s="13"/>
      <c r="G1859" s="13"/>
      <c r="H1859" s="13"/>
      <c r="I1859" s="12"/>
      <c r="J1859" s="13"/>
      <c r="K1859" s="14" t="str">
        <f>IF(C1859="","",IFERROR(N('Fee Settings'!$C$5)*(E1859+N(F1859)-N(J1859))+N('Fee Settings'!$C$6)*(E1859+N(F1859)+N(G1859))+N('Fee Settings'!$C$7)+N('Fee Settings'!$C$10)*D1859+IF(I1859="Yes",MIN(N('Fee Settings'!$C$8)*(E1859+N(F1859)),N('Fee Settings'!$C$9)),0),""))</f>
        <v/>
      </c>
      <c r="L1859" s="14" t="str">
        <f>IF(C1859="","",IFERROR(D1859*N(INDEX(Products!$C$5:$C$29,MATCH(C1859,Lists!$A$2:$A$26,0))),""))</f>
        <v/>
      </c>
      <c r="M1859" s="15" t="str">
        <f t="shared" si="28"/>
        <v/>
      </c>
    </row>
    <row r="1860" spans="1:13" x14ac:dyDescent="0.35">
      <c r="A1860" s="11"/>
      <c r="B1860" s="12"/>
      <c r="C1860" s="12"/>
      <c r="D1860" s="12"/>
      <c r="E1860" s="13"/>
      <c r="F1860" s="13"/>
      <c r="G1860" s="13"/>
      <c r="H1860" s="13"/>
      <c r="I1860" s="12"/>
      <c r="J1860" s="13"/>
      <c r="K1860" s="14" t="str">
        <f>IF(C1860="","",IFERROR(N('Fee Settings'!$C$5)*(E1860+N(F1860)-N(J1860))+N('Fee Settings'!$C$6)*(E1860+N(F1860)+N(G1860))+N('Fee Settings'!$C$7)+N('Fee Settings'!$C$10)*D1860+IF(I1860="Yes",MIN(N('Fee Settings'!$C$8)*(E1860+N(F1860)),N('Fee Settings'!$C$9)),0),""))</f>
        <v/>
      </c>
      <c r="L1860" s="14" t="str">
        <f>IF(C1860="","",IFERROR(D1860*N(INDEX(Products!$C$5:$C$29,MATCH(C1860,Lists!$A$2:$A$26,0))),""))</f>
        <v/>
      </c>
      <c r="M1860" s="15" t="str">
        <f t="shared" si="28"/>
        <v/>
      </c>
    </row>
    <row r="1861" spans="1:13" x14ac:dyDescent="0.35">
      <c r="A1861" s="11"/>
      <c r="B1861" s="12"/>
      <c r="C1861" s="12"/>
      <c r="D1861" s="12"/>
      <c r="E1861" s="13"/>
      <c r="F1861" s="13"/>
      <c r="G1861" s="13"/>
      <c r="H1861" s="13"/>
      <c r="I1861" s="12"/>
      <c r="J1861" s="13"/>
      <c r="K1861" s="14" t="str">
        <f>IF(C1861="","",IFERROR(N('Fee Settings'!$C$5)*(E1861+N(F1861)-N(J1861))+N('Fee Settings'!$C$6)*(E1861+N(F1861)+N(G1861))+N('Fee Settings'!$C$7)+N('Fee Settings'!$C$10)*D1861+IF(I1861="Yes",MIN(N('Fee Settings'!$C$8)*(E1861+N(F1861)),N('Fee Settings'!$C$9)),0),""))</f>
        <v/>
      </c>
      <c r="L1861" s="14" t="str">
        <f>IF(C1861="","",IFERROR(D1861*N(INDEX(Products!$C$5:$C$29,MATCH(C1861,Lists!$A$2:$A$26,0))),""))</f>
        <v/>
      </c>
      <c r="M1861" s="15" t="str">
        <f t="shared" ref="M1861:M1924" si="29">IF(C1861="","",IFERROR(E1861+N(F1861)-N(J1861)-K1861-L1861-N(H1861),""))</f>
        <v/>
      </c>
    </row>
    <row r="1862" spans="1:13" x14ac:dyDescent="0.35">
      <c r="A1862" s="11"/>
      <c r="B1862" s="12"/>
      <c r="C1862" s="12"/>
      <c r="D1862" s="12"/>
      <c r="E1862" s="13"/>
      <c r="F1862" s="13"/>
      <c r="G1862" s="13"/>
      <c r="H1862" s="13"/>
      <c r="I1862" s="12"/>
      <c r="J1862" s="13"/>
      <c r="K1862" s="14" t="str">
        <f>IF(C1862="","",IFERROR(N('Fee Settings'!$C$5)*(E1862+N(F1862)-N(J1862))+N('Fee Settings'!$C$6)*(E1862+N(F1862)+N(G1862))+N('Fee Settings'!$C$7)+N('Fee Settings'!$C$10)*D1862+IF(I1862="Yes",MIN(N('Fee Settings'!$C$8)*(E1862+N(F1862)),N('Fee Settings'!$C$9)),0),""))</f>
        <v/>
      </c>
      <c r="L1862" s="14" t="str">
        <f>IF(C1862="","",IFERROR(D1862*N(INDEX(Products!$C$5:$C$29,MATCH(C1862,Lists!$A$2:$A$26,0))),""))</f>
        <v/>
      </c>
      <c r="M1862" s="15" t="str">
        <f t="shared" si="29"/>
        <v/>
      </c>
    </row>
    <row r="1863" spans="1:13" x14ac:dyDescent="0.35">
      <c r="A1863" s="11"/>
      <c r="B1863" s="12"/>
      <c r="C1863" s="12"/>
      <c r="D1863" s="12"/>
      <c r="E1863" s="13"/>
      <c r="F1863" s="13"/>
      <c r="G1863" s="13"/>
      <c r="H1863" s="13"/>
      <c r="I1863" s="12"/>
      <c r="J1863" s="13"/>
      <c r="K1863" s="14" t="str">
        <f>IF(C1863="","",IFERROR(N('Fee Settings'!$C$5)*(E1863+N(F1863)-N(J1863))+N('Fee Settings'!$C$6)*(E1863+N(F1863)+N(G1863))+N('Fee Settings'!$C$7)+N('Fee Settings'!$C$10)*D1863+IF(I1863="Yes",MIN(N('Fee Settings'!$C$8)*(E1863+N(F1863)),N('Fee Settings'!$C$9)),0),""))</f>
        <v/>
      </c>
      <c r="L1863" s="14" t="str">
        <f>IF(C1863="","",IFERROR(D1863*N(INDEX(Products!$C$5:$C$29,MATCH(C1863,Lists!$A$2:$A$26,0))),""))</f>
        <v/>
      </c>
      <c r="M1863" s="15" t="str">
        <f t="shared" si="29"/>
        <v/>
      </c>
    </row>
    <row r="1864" spans="1:13" x14ac:dyDescent="0.35">
      <c r="A1864" s="11"/>
      <c r="B1864" s="12"/>
      <c r="C1864" s="12"/>
      <c r="D1864" s="12"/>
      <c r="E1864" s="13"/>
      <c r="F1864" s="13"/>
      <c r="G1864" s="13"/>
      <c r="H1864" s="13"/>
      <c r="I1864" s="12"/>
      <c r="J1864" s="13"/>
      <c r="K1864" s="14" t="str">
        <f>IF(C1864="","",IFERROR(N('Fee Settings'!$C$5)*(E1864+N(F1864)-N(J1864))+N('Fee Settings'!$C$6)*(E1864+N(F1864)+N(G1864))+N('Fee Settings'!$C$7)+N('Fee Settings'!$C$10)*D1864+IF(I1864="Yes",MIN(N('Fee Settings'!$C$8)*(E1864+N(F1864)),N('Fee Settings'!$C$9)),0),""))</f>
        <v/>
      </c>
      <c r="L1864" s="14" t="str">
        <f>IF(C1864="","",IFERROR(D1864*N(INDEX(Products!$C$5:$C$29,MATCH(C1864,Lists!$A$2:$A$26,0))),""))</f>
        <v/>
      </c>
      <c r="M1864" s="15" t="str">
        <f t="shared" si="29"/>
        <v/>
      </c>
    </row>
    <row r="1865" spans="1:13" x14ac:dyDescent="0.35">
      <c r="A1865" s="11"/>
      <c r="B1865" s="12"/>
      <c r="C1865" s="12"/>
      <c r="D1865" s="12"/>
      <c r="E1865" s="13"/>
      <c r="F1865" s="13"/>
      <c r="G1865" s="13"/>
      <c r="H1865" s="13"/>
      <c r="I1865" s="12"/>
      <c r="J1865" s="13"/>
      <c r="K1865" s="14" t="str">
        <f>IF(C1865="","",IFERROR(N('Fee Settings'!$C$5)*(E1865+N(F1865)-N(J1865))+N('Fee Settings'!$C$6)*(E1865+N(F1865)+N(G1865))+N('Fee Settings'!$C$7)+N('Fee Settings'!$C$10)*D1865+IF(I1865="Yes",MIN(N('Fee Settings'!$C$8)*(E1865+N(F1865)),N('Fee Settings'!$C$9)),0),""))</f>
        <v/>
      </c>
      <c r="L1865" s="14" t="str">
        <f>IF(C1865="","",IFERROR(D1865*N(INDEX(Products!$C$5:$C$29,MATCH(C1865,Lists!$A$2:$A$26,0))),""))</f>
        <v/>
      </c>
      <c r="M1865" s="15" t="str">
        <f t="shared" si="29"/>
        <v/>
      </c>
    </row>
    <row r="1866" spans="1:13" x14ac:dyDescent="0.35">
      <c r="A1866" s="11"/>
      <c r="B1866" s="12"/>
      <c r="C1866" s="12"/>
      <c r="D1866" s="12"/>
      <c r="E1866" s="13"/>
      <c r="F1866" s="13"/>
      <c r="G1866" s="13"/>
      <c r="H1866" s="13"/>
      <c r="I1866" s="12"/>
      <c r="J1866" s="13"/>
      <c r="K1866" s="14" t="str">
        <f>IF(C1866="","",IFERROR(N('Fee Settings'!$C$5)*(E1866+N(F1866)-N(J1866))+N('Fee Settings'!$C$6)*(E1866+N(F1866)+N(G1866))+N('Fee Settings'!$C$7)+N('Fee Settings'!$C$10)*D1866+IF(I1866="Yes",MIN(N('Fee Settings'!$C$8)*(E1866+N(F1866)),N('Fee Settings'!$C$9)),0),""))</f>
        <v/>
      </c>
      <c r="L1866" s="14" t="str">
        <f>IF(C1866="","",IFERROR(D1866*N(INDEX(Products!$C$5:$C$29,MATCH(C1866,Lists!$A$2:$A$26,0))),""))</f>
        <v/>
      </c>
      <c r="M1866" s="15" t="str">
        <f t="shared" si="29"/>
        <v/>
      </c>
    </row>
    <row r="1867" spans="1:13" x14ac:dyDescent="0.35">
      <c r="A1867" s="11"/>
      <c r="B1867" s="12"/>
      <c r="C1867" s="12"/>
      <c r="D1867" s="12"/>
      <c r="E1867" s="13"/>
      <c r="F1867" s="13"/>
      <c r="G1867" s="13"/>
      <c r="H1867" s="13"/>
      <c r="I1867" s="12"/>
      <c r="J1867" s="13"/>
      <c r="K1867" s="14" t="str">
        <f>IF(C1867="","",IFERROR(N('Fee Settings'!$C$5)*(E1867+N(F1867)-N(J1867))+N('Fee Settings'!$C$6)*(E1867+N(F1867)+N(G1867))+N('Fee Settings'!$C$7)+N('Fee Settings'!$C$10)*D1867+IF(I1867="Yes",MIN(N('Fee Settings'!$C$8)*(E1867+N(F1867)),N('Fee Settings'!$C$9)),0),""))</f>
        <v/>
      </c>
      <c r="L1867" s="14" t="str">
        <f>IF(C1867="","",IFERROR(D1867*N(INDEX(Products!$C$5:$C$29,MATCH(C1867,Lists!$A$2:$A$26,0))),""))</f>
        <v/>
      </c>
      <c r="M1867" s="15" t="str">
        <f t="shared" si="29"/>
        <v/>
      </c>
    </row>
    <row r="1868" spans="1:13" x14ac:dyDescent="0.35">
      <c r="A1868" s="11"/>
      <c r="B1868" s="12"/>
      <c r="C1868" s="12"/>
      <c r="D1868" s="12"/>
      <c r="E1868" s="13"/>
      <c r="F1868" s="13"/>
      <c r="G1868" s="13"/>
      <c r="H1868" s="13"/>
      <c r="I1868" s="12"/>
      <c r="J1868" s="13"/>
      <c r="K1868" s="14" t="str">
        <f>IF(C1868="","",IFERROR(N('Fee Settings'!$C$5)*(E1868+N(F1868)-N(J1868))+N('Fee Settings'!$C$6)*(E1868+N(F1868)+N(G1868))+N('Fee Settings'!$C$7)+N('Fee Settings'!$C$10)*D1868+IF(I1868="Yes",MIN(N('Fee Settings'!$C$8)*(E1868+N(F1868)),N('Fee Settings'!$C$9)),0),""))</f>
        <v/>
      </c>
      <c r="L1868" s="14" t="str">
        <f>IF(C1868="","",IFERROR(D1868*N(INDEX(Products!$C$5:$C$29,MATCH(C1868,Lists!$A$2:$A$26,0))),""))</f>
        <v/>
      </c>
      <c r="M1868" s="15" t="str">
        <f t="shared" si="29"/>
        <v/>
      </c>
    </row>
    <row r="1869" spans="1:13" x14ac:dyDescent="0.35">
      <c r="A1869" s="11"/>
      <c r="B1869" s="12"/>
      <c r="C1869" s="12"/>
      <c r="D1869" s="12"/>
      <c r="E1869" s="13"/>
      <c r="F1869" s="13"/>
      <c r="G1869" s="13"/>
      <c r="H1869" s="13"/>
      <c r="I1869" s="12"/>
      <c r="J1869" s="13"/>
      <c r="K1869" s="14" t="str">
        <f>IF(C1869="","",IFERROR(N('Fee Settings'!$C$5)*(E1869+N(F1869)-N(J1869))+N('Fee Settings'!$C$6)*(E1869+N(F1869)+N(G1869))+N('Fee Settings'!$C$7)+N('Fee Settings'!$C$10)*D1869+IF(I1869="Yes",MIN(N('Fee Settings'!$C$8)*(E1869+N(F1869)),N('Fee Settings'!$C$9)),0),""))</f>
        <v/>
      </c>
      <c r="L1869" s="14" t="str">
        <f>IF(C1869="","",IFERROR(D1869*N(INDEX(Products!$C$5:$C$29,MATCH(C1869,Lists!$A$2:$A$26,0))),""))</f>
        <v/>
      </c>
      <c r="M1869" s="15" t="str">
        <f t="shared" si="29"/>
        <v/>
      </c>
    </row>
    <row r="1870" spans="1:13" x14ac:dyDescent="0.35">
      <c r="A1870" s="11"/>
      <c r="B1870" s="12"/>
      <c r="C1870" s="12"/>
      <c r="D1870" s="12"/>
      <c r="E1870" s="13"/>
      <c r="F1870" s="13"/>
      <c r="G1870" s="13"/>
      <c r="H1870" s="13"/>
      <c r="I1870" s="12"/>
      <c r="J1870" s="13"/>
      <c r="K1870" s="14" t="str">
        <f>IF(C1870="","",IFERROR(N('Fee Settings'!$C$5)*(E1870+N(F1870)-N(J1870))+N('Fee Settings'!$C$6)*(E1870+N(F1870)+N(G1870))+N('Fee Settings'!$C$7)+N('Fee Settings'!$C$10)*D1870+IF(I1870="Yes",MIN(N('Fee Settings'!$C$8)*(E1870+N(F1870)),N('Fee Settings'!$C$9)),0),""))</f>
        <v/>
      </c>
      <c r="L1870" s="14" t="str">
        <f>IF(C1870="","",IFERROR(D1870*N(INDEX(Products!$C$5:$C$29,MATCH(C1870,Lists!$A$2:$A$26,0))),""))</f>
        <v/>
      </c>
      <c r="M1870" s="15" t="str">
        <f t="shared" si="29"/>
        <v/>
      </c>
    </row>
    <row r="1871" spans="1:13" x14ac:dyDescent="0.35">
      <c r="A1871" s="11"/>
      <c r="B1871" s="12"/>
      <c r="C1871" s="12"/>
      <c r="D1871" s="12"/>
      <c r="E1871" s="13"/>
      <c r="F1871" s="13"/>
      <c r="G1871" s="13"/>
      <c r="H1871" s="13"/>
      <c r="I1871" s="12"/>
      <c r="J1871" s="13"/>
      <c r="K1871" s="14" t="str">
        <f>IF(C1871="","",IFERROR(N('Fee Settings'!$C$5)*(E1871+N(F1871)-N(J1871))+N('Fee Settings'!$C$6)*(E1871+N(F1871)+N(G1871))+N('Fee Settings'!$C$7)+N('Fee Settings'!$C$10)*D1871+IF(I1871="Yes",MIN(N('Fee Settings'!$C$8)*(E1871+N(F1871)),N('Fee Settings'!$C$9)),0),""))</f>
        <v/>
      </c>
      <c r="L1871" s="14" t="str">
        <f>IF(C1871="","",IFERROR(D1871*N(INDEX(Products!$C$5:$C$29,MATCH(C1871,Lists!$A$2:$A$26,0))),""))</f>
        <v/>
      </c>
      <c r="M1871" s="15" t="str">
        <f t="shared" si="29"/>
        <v/>
      </c>
    </row>
    <row r="1872" spans="1:13" x14ac:dyDescent="0.35">
      <c r="A1872" s="11"/>
      <c r="B1872" s="12"/>
      <c r="C1872" s="12"/>
      <c r="D1872" s="12"/>
      <c r="E1872" s="13"/>
      <c r="F1872" s="13"/>
      <c r="G1872" s="13"/>
      <c r="H1872" s="13"/>
      <c r="I1872" s="12"/>
      <c r="J1872" s="13"/>
      <c r="K1872" s="14" t="str">
        <f>IF(C1872="","",IFERROR(N('Fee Settings'!$C$5)*(E1872+N(F1872)-N(J1872))+N('Fee Settings'!$C$6)*(E1872+N(F1872)+N(G1872))+N('Fee Settings'!$C$7)+N('Fee Settings'!$C$10)*D1872+IF(I1872="Yes",MIN(N('Fee Settings'!$C$8)*(E1872+N(F1872)),N('Fee Settings'!$C$9)),0),""))</f>
        <v/>
      </c>
      <c r="L1872" s="14" t="str">
        <f>IF(C1872="","",IFERROR(D1872*N(INDEX(Products!$C$5:$C$29,MATCH(C1872,Lists!$A$2:$A$26,0))),""))</f>
        <v/>
      </c>
      <c r="M1872" s="15" t="str">
        <f t="shared" si="29"/>
        <v/>
      </c>
    </row>
    <row r="1873" spans="1:13" x14ac:dyDescent="0.35">
      <c r="A1873" s="11"/>
      <c r="B1873" s="12"/>
      <c r="C1873" s="12"/>
      <c r="D1873" s="12"/>
      <c r="E1873" s="13"/>
      <c r="F1873" s="13"/>
      <c r="G1873" s="13"/>
      <c r="H1873" s="13"/>
      <c r="I1873" s="12"/>
      <c r="J1873" s="13"/>
      <c r="K1873" s="14" t="str">
        <f>IF(C1873="","",IFERROR(N('Fee Settings'!$C$5)*(E1873+N(F1873)-N(J1873))+N('Fee Settings'!$C$6)*(E1873+N(F1873)+N(G1873))+N('Fee Settings'!$C$7)+N('Fee Settings'!$C$10)*D1873+IF(I1873="Yes",MIN(N('Fee Settings'!$C$8)*(E1873+N(F1873)),N('Fee Settings'!$C$9)),0),""))</f>
        <v/>
      </c>
      <c r="L1873" s="14" t="str">
        <f>IF(C1873="","",IFERROR(D1873*N(INDEX(Products!$C$5:$C$29,MATCH(C1873,Lists!$A$2:$A$26,0))),""))</f>
        <v/>
      </c>
      <c r="M1873" s="15" t="str">
        <f t="shared" si="29"/>
        <v/>
      </c>
    </row>
    <row r="1874" spans="1:13" x14ac:dyDescent="0.35">
      <c r="A1874" s="11"/>
      <c r="B1874" s="12"/>
      <c r="C1874" s="12"/>
      <c r="D1874" s="12"/>
      <c r="E1874" s="13"/>
      <c r="F1874" s="13"/>
      <c r="G1874" s="13"/>
      <c r="H1874" s="13"/>
      <c r="I1874" s="12"/>
      <c r="J1874" s="13"/>
      <c r="K1874" s="14" t="str">
        <f>IF(C1874="","",IFERROR(N('Fee Settings'!$C$5)*(E1874+N(F1874)-N(J1874))+N('Fee Settings'!$C$6)*(E1874+N(F1874)+N(G1874))+N('Fee Settings'!$C$7)+N('Fee Settings'!$C$10)*D1874+IF(I1874="Yes",MIN(N('Fee Settings'!$C$8)*(E1874+N(F1874)),N('Fee Settings'!$C$9)),0),""))</f>
        <v/>
      </c>
      <c r="L1874" s="14" t="str">
        <f>IF(C1874="","",IFERROR(D1874*N(INDEX(Products!$C$5:$C$29,MATCH(C1874,Lists!$A$2:$A$26,0))),""))</f>
        <v/>
      </c>
      <c r="M1874" s="15" t="str">
        <f t="shared" si="29"/>
        <v/>
      </c>
    </row>
    <row r="1875" spans="1:13" x14ac:dyDescent="0.35">
      <c r="A1875" s="11"/>
      <c r="B1875" s="12"/>
      <c r="C1875" s="12"/>
      <c r="D1875" s="12"/>
      <c r="E1875" s="13"/>
      <c r="F1875" s="13"/>
      <c r="G1875" s="13"/>
      <c r="H1875" s="13"/>
      <c r="I1875" s="12"/>
      <c r="J1875" s="13"/>
      <c r="K1875" s="14" t="str">
        <f>IF(C1875="","",IFERROR(N('Fee Settings'!$C$5)*(E1875+N(F1875)-N(J1875))+N('Fee Settings'!$C$6)*(E1875+N(F1875)+N(G1875))+N('Fee Settings'!$C$7)+N('Fee Settings'!$C$10)*D1875+IF(I1875="Yes",MIN(N('Fee Settings'!$C$8)*(E1875+N(F1875)),N('Fee Settings'!$C$9)),0),""))</f>
        <v/>
      </c>
      <c r="L1875" s="14" t="str">
        <f>IF(C1875="","",IFERROR(D1875*N(INDEX(Products!$C$5:$C$29,MATCH(C1875,Lists!$A$2:$A$26,0))),""))</f>
        <v/>
      </c>
      <c r="M1875" s="15" t="str">
        <f t="shared" si="29"/>
        <v/>
      </c>
    </row>
    <row r="1876" spans="1:13" x14ac:dyDescent="0.35">
      <c r="A1876" s="11"/>
      <c r="B1876" s="12"/>
      <c r="C1876" s="12"/>
      <c r="D1876" s="12"/>
      <c r="E1876" s="13"/>
      <c r="F1876" s="13"/>
      <c r="G1876" s="13"/>
      <c r="H1876" s="13"/>
      <c r="I1876" s="12"/>
      <c r="J1876" s="13"/>
      <c r="K1876" s="14" t="str">
        <f>IF(C1876="","",IFERROR(N('Fee Settings'!$C$5)*(E1876+N(F1876)-N(J1876))+N('Fee Settings'!$C$6)*(E1876+N(F1876)+N(G1876))+N('Fee Settings'!$C$7)+N('Fee Settings'!$C$10)*D1876+IF(I1876="Yes",MIN(N('Fee Settings'!$C$8)*(E1876+N(F1876)),N('Fee Settings'!$C$9)),0),""))</f>
        <v/>
      </c>
      <c r="L1876" s="14" t="str">
        <f>IF(C1876="","",IFERROR(D1876*N(INDEX(Products!$C$5:$C$29,MATCH(C1876,Lists!$A$2:$A$26,0))),""))</f>
        <v/>
      </c>
      <c r="M1876" s="15" t="str">
        <f t="shared" si="29"/>
        <v/>
      </c>
    </row>
    <row r="1877" spans="1:13" x14ac:dyDescent="0.35">
      <c r="A1877" s="11"/>
      <c r="B1877" s="12"/>
      <c r="C1877" s="12"/>
      <c r="D1877" s="12"/>
      <c r="E1877" s="13"/>
      <c r="F1877" s="13"/>
      <c r="G1877" s="13"/>
      <c r="H1877" s="13"/>
      <c r="I1877" s="12"/>
      <c r="J1877" s="13"/>
      <c r="K1877" s="14" t="str">
        <f>IF(C1877="","",IFERROR(N('Fee Settings'!$C$5)*(E1877+N(F1877)-N(J1877))+N('Fee Settings'!$C$6)*(E1877+N(F1877)+N(G1877))+N('Fee Settings'!$C$7)+N('Fee Settings'!$C$10)*D1877+IF(I1877="Yes",MIN(N('Fee Settings'!$C$8)*(E1877+N(F1877)),N('Fee Settings'!$C$9)),0),""))</f>
        <v/>
      </c>
      <c r="L1877" s="14" t="str">
        <f>IF(C1877="","",IFERROR(D1877*N(INDEX(Products!$C$5:$C$29,MATCH(C1877,Lists!$A$2:$A$26,0))),""))</f>
        <v/>
      </c>
      <c r="M1877" s="15" t="str">
        <f t="shared" si="29"/>
        <v/>
      </c>
    </row>
    <row r="1878" spans="1:13" x14ac:dyDescent="0.35">
      <c r="A1878" s="11"/>
      <c r="B1878" s="12"/>
      <c r="C1878" s="12"/>
      <c r="D1878" s="12"/>
      <c r="E1878" s="13"/>
      <c r="F1878" s="13"/>
      <c r="G1878" s="13"/>
      <c r="H1878" s="13"/>
      <c r="I1878" s="12"/>
      <c r="J1878" s="13"/>
      <c r="K1878" s="14" t="str">
        <f>IF(C1878="","",IFERROR(N('Fee Settings'!$C$5)*(E1878+N(F1878)-N(J1878))+N('Fee Settings'!$C$6)*(E1878+N(F1878)+N(G1878))+N('Fee Settings'!$C$7)+N('Fee Settings'!$C$10)*D1878+IF(I1878="Yes",MIN(N('Fee Settings'!$C$8)*(E1878+N(F1878)),N('Fee Settings'!$C$9)),0),""))</f>
        <v/>
      </c>
      <c r="L1878" s="14" t="str">
        <f>IF(C1878="","",IFERROR(D1878*N(INDEX(Products!$C$5:$C$29,MATCH(C1878,Lists!$A$2:$A$26,0))),""))</f>
        <v/>
      </c>
      <c r="M1878" s="15" t="str">
        <f t="shared" si="29"/>
        <v/>
      </c>
    </row>
    <row r="1879" spans="1:13" x14ac:dyDescent="0.35">
      <c r="A1879" s="11"/>
      <c r="B1879" s="12"/>
      <c r="C1879" s="12"/>
      <c r="D1879" s="12"/>
      <c r="E1879" s="13"/>
      <c r="F1879" s="13"/>
      <c r="G1879" s="13"/>
      <c r="H1879" s="13"/>
      <c r="I1879" s="12"/>
      <c r="J1879" s="13"/>
      <c r="K1879" s="14" t="str">
        <f>IF(C1879="","",IFERROR(N('Fee Settings'!$C$5)*(E1879+N(F1879)-N(J1879))+N('Fee Settings'!$C$6)*(E1879+N(F1879)+N(G1879))+N('Fee Settings'!$C$7)+N('Fee Settings'!$C$10)*D1879+IF(I1879="Yes",MIN(N('Fee Settings'!$C$8)*(E1879+N(F1879)),N('Fee Settings'!$C$9)),0),""))</f>
        <v/>
      </c>
      <c r="L1879" s="14" t="str">
        <f>IF(C1879="","",IFERROR(D1879*N(INDEX(Products!$C$5:$C$29,MATCH(C1879,Lists!$A$2:$A$26,0))),""))</f>
        <v/>
      </c>
      <c r="M1879" s="15" t="str">
        <f t="shared" si="29"/>
        <v/>
      </c>
    </row>
    <row r="1880" spans="1:13" x14ac:dyDescent="0.35">
      <c r="A1880" s="11"/>
      <c r="B1880" s="12"/>
      <c r="C1880" s="12"/>
      <c r="D1880" s="12"/>
      <c r="E1880" s="13"/>
      <c r="F1880" s="13"/>
      <c r="G1880" s="13"/>
      <c r="H1880" s="13"/>
      <c r="I1880" s="12"/>
      <c r="J1880" s="13"/>
      <c r="K1880" s="14" t="str">
        <f>IF(C1880="","",IFERROR(N('Fee Settings'!$C$5)*(E1880+N(F1880)-N(J1880))+N('Fee Settings'!$C$6)*(E1880+N(F1880)+N(G1880))+N('Fee Settings'!$C$7)+N('Fee Settings'!$C$10)*D1880+IF(I1880="Yes",MIN(N('Fee Settings'!$C$8)*(E1880+N(F1880)),N('Fee Settings'!$C$9)),0),""))</f>
        <v/>
      </c>
      <c r="L1880" s="14" t="str">
        <f>IF(C1880="","",IFERROR(D1880*N(INDEX(Products!$C$5:$C$29,MATCH(C1880,Lists!$A$2:$A$26,0))),""))</f>
        <v/>
      </c>
      <c r="M1880" s="15" t="str">
        <f t="shared" si="29"/>
        <v/>
      </c>
    </row>
    <row r="1881" spans="1:13" x14ac:dyDescent="0.35">
      <c r="A1881" s="11"/>
      <c r="B1881" s="12"/>
      <c r="C1881" s="12"/>
      <c r="D1881" s="12"/>
      <c r="E1881" s="13"/>
      <c r="F1881" s="13"/>
      <c r="G1881" s="13"/>
      <c r="H1881" s="13"/>
      <c r="I1881" s="12"/>
      <c r="J1881" s="13"/>
      <c r="K1881" s="14" t="str">
        <f>IF(C1881="","",IFERROR(N('Fee Settings'!$C$5)*(E1881+N(F1881)-N(J1881))+N('Fee Settings'!$C$6)*(E1881+N(F1881)+N(G1881))+N('Fee Settings'!$C$7)+N('Fee Settings'!$C$10)*D1881+IF(I1881="Yes",MIN(N('Fee Settings'!$C$8)*(E1881+N(F1881)),N('Fee Settings'!$C$9)),0),""))</f>
        <v/>
      </c>
      <c r="L1881" s="14" t="str">
        <f>IF(C1881="","",IFERROR(D1881*N(INDEX(Products!$C$5:$C$29,MATCH(C1881,Lists!$A$2:$A$26,0))),""))</f>
        <v/>
      </c>
      <c r="M1881" s="15" t="str">
        <f t="shared" si="29"/>
        <v/>
      </c>
    </row>
    <row r="1882" spans="1:13" x14ac:dyDescent="0.35">
      <c r="A1882" s="11"/>
      <c r="B1882" s="12"/>
      <c r="C1882" s="12"/>
      <c r="D1882" s="12"/>
      <c r="E1882" s="13"/>
      <c r="F1882" s="13"/>
      <c r="G1882" s="13"/>
      <c r="H1882" s="13"/>
      <c r="I1882" s="12"/>
      <c r="J1882" s="13"/>
      <c r="K1882" s="14" t="str">
        <f>IF(C1882="","",IFERROR(N('Fee Settings'!$C$5)*(E1882+N(F1882)-N(J1882))+N('Fee Settings'!$C$6)*(E1882+N(F1882)+N(G1882))+N('Fee Settings'!$C$7)+N('Fee Settings'!$C$10)*D1882+IF(I1882="Yes",MIN(N('Fee Settings'!$C$8)*(E1882+N(F1882)),N('Fee Settings'!$C$9)),0),""))</f>
        <v/>
      </c>
      <c r="L1882" s="14" t="str">
        <f>IF(C1882="","",IFERROR(D1882*N(INDEX(Products!$C$5:$C$29,MATCH(C1882,Lists!$A$2:$A$26,0))),""))</f>
        <v/>
      </c>
      <c r="M1882" s="15" t="str">
        <f t="shared" si="29"/>
        <v/>
      </c>
    </row>
    <row r="1883" spans="1:13" x14ac:dyDescent="0.35">
      <c r="A1883" s="11"/>
      <c r="B1883" s="12"/>
      <c r="C1883" s="12"/>
      <c r="D1883" s="12"/>
      <c r="E1883" s="13"/>
      <c r="F1883" s="13"/>
      <c r="G1883" s="13"/>
      <c r="H1883" s="13"/>
      <c r="I1883" s="12"/>
      <c r="J1883" s="13"/>
      <c r="K1883" s="14" t="str">
        <f>IF(C1883="","",IFERROR(N('Fee Settings'!$C$5)*(E1883+N(F1883)-N(J1883))+N('Fee Settings'!$C$6)*(E1883+N(F1883)+N(G1883))+N('Fee Settings'!$C$7)+N('Fee Settings'!$C$10)*D1883+IF(I1883="Yes",MIN(N('Fee Settings'!$C$8)*(E1883+N(F1883)),N('Fee Settings'!$C$9)),0),""))</f>
        <v/>
      </c>
      <c r="L1883" s="14" t="str">
        <f>IF(C1883="","",IFERROR(D1883*N(INDEX(Products!$C$5:$C$29,MATCH(C1883,Lists!$A$2:$A$26,0))),""))</f>
        <v/>
      </c>
      <c r="M1883" s="15" t="str">
        <f t="shared" si="29"/>
        <v/>
      </c>
    </row>
    <row r="1884" spans="1:13" x14ac:dyDescent="0.35">
      <c r="A1884" s="11"/>
      <c r="B1884" s="12"/>
      <c r="C1884" s="12"/>
      <c r="D1884" s="12"/>
      <c r="E1884" s="13"/>
      <c r="F1884" s="13"/>
      <c r="G1884" s="13"/>
      <c r="H1884" s="13"/>
      <c r="I1884" s="12"/>
      <c r="J1884" s="13"/>
      <c r="K1884" s="14" t="str">
        <f>IF(C1884="","",IFERROR(N('Fee Settings'!$C$5)*(E1884+N(F1884)-N(J1884))+N('Fee Settings'!$C$6)*(E1884+N(F1884)+N(G1884))+N('Fee Settings'!$C$7)+N('Fee Settings'!$C$10)*D1884+IF(I1884="Yes",MIN(N('Fee Settings'!$C$8)*(E1884+N(F1884)),N('Fee Settings'!$C$9)),0),""))</f>
        <v/>
      </c>
      <c r="L1884" s="14" t="str">
        <f>IF(C1884="","",IFERROR(D1884*N(INDEX(Products!$C$5:$C$29,MATCH(C1884,Lists!$A$2:$A$26,0))),""))</f>
        <v/>
      </c>
      <c r="M1884" s="15" t="str">
        <f t="shared" si="29"/>
        <v/>
      </c>
    </row>
    <row r="1885" spans="1:13" x14ac:dyDescent="0.35">
      <c r="A1885" s="11"/>
      <c r="B1885" s="12"/>
      <c r="C1885" s="12"/>
      <c r="D1885" s="12"/>
      <c r="E1885" s="13"/>
      <c r="F1885" s="13"/>
      <c r="G1885" s="13"/>
      <c r="H1885" s="13"/>
      <c r="I1885" s="12"/>
      <c r="J1885" s="13"/>
      <c r="K1885" s="14" t="str">
        <f>IF(C1885="","",IFERROR(N('Fee Settings'!$C$5)*(E1885+N(F1885)-N(J1885))+N('Fee Settings'!$C$6)*(E1885+N(F1885)+N(G1885))+N('Fee Settings'!$C$7)+N('Fee Settings'!$C$10)*D1885+IF(I1885="Yes",MIN(N('Fee Settings'!$C$8)*(E1885+N(F1885)),N('Fee Settings'!$C$9)),0),""))</f>
        <v/>
      </c>
      <c r="L1885" s="14" t="str">
        <f>IF(C1885="","",IFERROR(D1885*N(INDEX(Products!$C$5:$C$29,MATCH(C1885,Lists!$A$2:$A$26,0))),""))</f>
        <v/>
      </c>
      <c r="M1885" s="15" t="str">
        <f t="shared" si="29"/>
        <v/>
      </c>
    </row>
    <row r="1886" spans="1:13" x14ac:dyDescent="0.35">
      <c r="A1886" s="11"/>
      <c r="B1886" s="12"/>
      <c r="C1886" s="12"/>
      <c r="D1886" s="12"/>
      <c r="E1886" s="13"/>
      <c r="F1886" s="13"/>
      <c r="G1886" s="13"/>
      <c r="H1886" s="13"/>
      <c r="I1886" s="12"/>
      <c r="J1886" s="13"/>
      <c r="K1886" s="14" t="str">
        <f>IF(C1886="","",IFERROR(N('Fee Settings'!$C$5)*(E1886+N(F1886)-N(J1886))+N('Fee Settings'!$C$6)*(E1886+N(F1886)+N(G1886))+N('Fee Settings'!$C$7)+N('Fee Settings'!$C$10)*D1886+IF(I1886="Yes",MIN(N('Fee Settings'!$C$8)*(E1886+N(F1886)),N('Fee Settings'!$C$9)),0),""))</f>
        <v/>
      </c>
      <c r="L1886" s="14" t="str">
        <f>IF(C1886="","",IFERROR(D1886*N(INDEX(Products!$C$5:$C$29,MATCH(C1886,Lists!$A$2:$A$26,0))),""))</f>
        <v/>
      </c>
      <c r="M1886" s="15" t="str">
        <f t="shared" si="29"/>
        <v/>
      </c>
    </row>
    <row r="1887" spans="1:13" x14ac:dyDescent="0.35">
      <c r="A1887" s="11"/>
      <c r="B1887" s="12"/>
      <c r="C1887" s="12"/>
      <c r="D1887" s="12"/>
      <c r="E1887" s="13"/>
      <c r="F1887" s="13"/>
      <c r="G1887" s="13"/>
      <c r="H1887" s="13"/>
      <c r="I1887" s="12"/>
      <c r="J1887" s="13"/>
      <c r="K1887" s="14" t="str">
        <f>IF(C1887="","",IFERROR(N('Fee Settings'!$C$5)*(E1887+N(F1887)-N(J1887))+N('Fee Settings'!$C$6)*(E1887+N(F1887)+N(G1887))+N('Fee Settings'!$C$7)+N('Fee Settings'!$C$10)*D1887+IF(I1887="Yes",MIN(N('Fee Settings'!$C$8)*(E1887+N(F1887)),N('Fee Settings'!$C$9)),0),""))</f>
        <v/>
      </c>
      <c r="L1887" s="14" t="str">
        <f>IF(C1887="","",IFERROR(D1887*N(INDEX(Products!$C$5:$C$29,MATCH(C1887,Lists!$A$2:$A$26,0))),""))</f>
        <v/>
      </c>
      <c r="M1887" s="15" t="str">
        <f t="shared" si="29"/>
        <v/>
      </c>
    </row>
    <row r="1888" spans="1:13" x14ac:dyDescent="0.35">
      <c r="A1888" s="11"/>
      <c r="B1888" s="12"/>
      <c r="C1888" s="12"/>
      <c r="D1888" s="12"/>
      <c r="E1888" s="13"/>
      <c r="F1888" s="13"/>
      <c r="G1888" s="13"/>
      <c r="H1888" s="13"/>
      <c r="I1888" s="12"/>
      <c r="J1888" s="13"/>
      <c r="K1888" s="14" t="str">
        <f>IF(C1888="","",IFERROR(N('Fee Settings'!$C$5)*(E1888+N(F1888)-N(J1888))+N('Fee Settings'!$C$6)*(E1888+N(F1888)+N(G1888))+N('Fee Settings'!$C$7)+N('Fee Settings'!$C$10)*D1888+IF(I1888="Yes",MIN(N('Fee Settings'!$C$8)*(E1888+N(F1888)),N('Fee Settings'!$C$9)),0),""))</f>
        <v/>
      </c>
      <c r="L1888" s="14" t="str">
        <f>IF(C1888="","",IFERROR(D1888*N(INDEX(Products!$C$5:$C$29,MATCH(C1888,Lists!$A$2:$A$26,0))),""))</f>
        <v/>
      </c>
      <c r="M1888" s="15" t="str">
        <f t="shared" si="29"/>
        <v/>
      </c>
    </row>
    <row r="1889" spans="1:13" x14ac:dyDescent="0.35">
      <c r="A1889" s="11"/>
      <c r="B1889" s="12"/>
      <c r="C1889" s="12"/>
      <c r="D1889" s="12"/>
      <c r="E1889" s="13"/>
      <c r="F1889" s="13"/>
      <c r="G1889" s="13"/>
      <c r="H1889" s="13"/>
      <c r="I1889" s="12"/>
      <c r="J1889" s="13"/>
      <c r="K1889" s="14" t="str">
        <f>IF(C1889="","",IFERROR(N('Fee Settings'!$C$5)*(E1889+N(F1889)-N(J1889))+N('Fee Settings'!$C$6)*(E1889+N(F1889)+N(G1889))+N('Fee Settings'!$C$7)+N('Fee Settings'!$C$10)*D1889+IF(I1889="Yes",MIN(N('Fee Settings'!$C$8)*(E1889+N(F1889)),N('Fee Settings'!$C$9)),0),""))</f>
        <v/>
      </c>
      <c r="L1889" s="14" t="str">
        <f>IF(C1889="","",IFERROR(D1889*N(INDEX(Products!$C$5:$C$29,MATCH(C1889,Lists!$A$2:$A$26,0))),""))</f>
        <v/>
      </c>
      <c r="M1889" s="15" t="str">
        <f t="shared" si="29"/>
        <v/>
      </c>
    </row>
    <row r="1890" spans="1:13" x14ac:dyDescent="0.35">
      <c r="A1890" s="11"/>
      <c r="B1890" s="12"/>
      <c r="C1890" s="12"/>
      <c r="D1890" s="12"/>
      <c r="E1890" s="13"/>
      <c r="F1890" s="13"/>
      <c r="G1890" s="13"/>
      <c r="H1890" s="13"/>
      <c r="I1890" s="12"/>
      <c r="J1890" s="13"/>
      <c r="K1890" s="14" t="str">
        <f>IF(C1890="","",IFERROR(N('Fee Settings'!$C$5)*(E1890+N(F1890)-N(J1890))+N('Fee Settings'!$C$6)*(E1890+N(F1890)+N(G1890))+N('Fee Settings'!$C$7)+N('Fee Settings'!$C$10)*D1890+IF(I1890="Yes",MIN(N('Fee Settings'!$C$8)*(E1890+N(F1890)),N('Fee Settings'!$C$9)),0),""))</f>
        <v/>
      </c>
      <c r="L1890" s="14" t="str">
        <f>IF(C1890="","",IFERROR(D1890*N(INDEX(Products!$C$5:$C$29,MATCH(C1890,Lists!$A$2:$A$26,0))),""))</f>
        <v/>
      </c>
      <c r="M1890" s="15" t="str">
        <f t="shared" si="29"/>
        <v/>
      </c>
    </row>
    <row r="1891" spans="1:13" x14ac:dyDescent="0.35">
      <c r="A1891" s="11"/>
      <c r="B1891" s="12"/>
      <c r="C1891" s="12"/>
      <c r="D1891" s="12"/>
      <c r="E1891" s="13"/>
      <c r="F1891" s="13"/>
      <c r="G1891" s="13"/>
      <c r="H1891" s="13"/>
      <c r="I1891" s="12"/>
      <c r="J1891" s="13"/>
      <c r="K1891" s="14" t="str">
        <f>IF(C1891="","",IFERROR(N('Fee Settings'!$C$5)*(E1891+N(F1891)-N(J1891))+N('Fee Settings'!$C$6)*(E1891+N(F1891)+N(G1891))+N('Fee Settings'!$C$7)+N('Fee Settings'!$C$10)*D1891+IF(I1891="Yes",MIN(N('Fee Settings'!$C$8)*(E1891+N(F1891)),N('Fee Settings'!$C$9)),0),""))</f>
        <v/>
      </c>
      <c r="L1891" s="14" t="str">
        <f>IF(C1891="","",IFERROR(D1891*N(INDEX(Products!$C$5:$C$29,MATCH(C1891,Lists!$A$2:$A$26,0))),""))</f>
        <v/>
      </c>
      <c r="M1891" s="15" t="str">
        <f t="shared" si="29"/>
        <v/>
      </c>
    </row>
    <row r="1892" spans="1:13" x14ac:dyDescent="0.35">
      <c r="A1892" s="11"/>
      <c r="B1892" s="12"/>
      <c r="C1892" s="12"/>
      <c r="D1892" s="12"/>
      <c r="E1892" s="13"/>
      <c r="F1892" s="13"/>
      <c r="G1892" s="13"/>
      <c r="H1892" s="13"/>
      <c r="I1892" s="12"/>
      <c r="J1892" s="13"/>
      <c r="K1892" s="14" t="str">
        <f>IF(C1892="","",IFERROR(N('Fee Settings'!$C$5)*(E1892+N(F1892)-N(J1892))+N('Fee Settings'!$C$6)*(E1892+N(F1892)+N(G1892))+N('Fee Settings'!$C$7)+N('Fee Settings'!$C$10)*D1892+IF(I1892="Yes",MIN(N('Fee Settings'!$C$8)*(E1892+N(F1892)),N('Fee Settings'!$C$9)),0),""))</f>
        <v/>
      </c>
      <c r="L1892" s="14" t="str">
        <f>IF(C1892="","",IFERROR(D1892*N(INDEX(Products!$C$5:$C$29,MATCH(C1892,Lists!$A$2:$A$26,0))),""))</f>
        <v/>
      </c>
      <c r="M1892" s="15" t="str">
        <f t="shared" si="29"/>
        <v/>
      </c>
    </row>
    <row r="1893" spans="1:13" x14ac:dyDescent="0.35">
      <c r="A1893" s="11"/>
      <c r="B1893" s="12"/>
      <c r="C1893" s="12"/>
      <c r="D1893" s="12"/>
      <c r="E1893" s="13"/>
      <c r="F1893" s="13"/>
      <c r="G1893" s="13"/>
      <c r="H1893" s="13"/>
      <c r="I1893" s="12"/>
      <c r="J1893" s="13"/>
      <c r="K1893" s="14" t="str">
        <f>IF(C1893="","",IFERROR(N('Fee Settings'!$C$5)*(E1893+N(F1893)-N(J1893))+N('Fee Settings'!$C$6)*(E1893+N(F1893)+N(G1893))+N('Fee Settings'!$C$7)+N('Fee Settings'!$C$10)*D1893+IF(I1893="Yes",MIN(N('Fee Settings'!$C$8)*(E1893+N(F1893)),N('Fee Settings'!$C$9)),0),""))</f>
        <v/>
      </c>
      <c r="L1893" s="14" t="str">
        <f>IF(C1893="","",IFERROR(D1893*N(INDEX(Products!$C$5:$C$29,MATCH(C1893,Lists!$A$2:$A$26,0))),""))</f>
        <v/>
      </c>
      <c r="M1893" s="15" t="str">
        <f t="shared" si="29"/>
        <v/>
      </c>
    </row>
    <row r="1894" spans="1:13" x14ac:dyDescent="0.35">
      <c r="A1894" s="11"/>
      <c r="B1894" s="12"/>
      <c r="C1894" s="12"/>
      <c r="D1894" s="12"/>
      <c r="E1894" s="13"/>
      <c r="F1894" s="13"/>
      <c r="G1894" s="13"/>
      <c r="H1894" s="13"/>
      <c r="I1894" s="12"/>
      <c r="J1894" s="13"/>
      <c r="K1894" s="14" t="str">
        <f>IF(C1894="","",IFERROR(N('Fee Settings'!$C$5)*(E1894+N(F1894)-N(J1894))+N('Fee Settings'!$C$6)*(E1894+N(F1894)+N(G1894))+N('Fee Settings'!$C$7)+N('Fee Settings'!$C$10)*D1894+IF(I1894="Yes",MIN(N('Fee Settings'!$C$8)*(E1894+N(F1894)),N('Fee Settings'!$C$9)),0),""))</f>
        <v/>
      </c>
      <c r="L1894" s="14" t="str">
        <f>IF(C1894="","",IFERROR(D1894*N(INDEX(Products!$C$5:$C$29,MATCH(C1894,Lists!$A$2:$A$26,0))),""))</f>
        <v/>
      </c>
      <c r="M1894" s="15" t="str">
        <f t="shared" si="29"/>
        <v/>
      </c>
    </row>
    <row r="1895" spans="1:13" x14ac:dyDescent="0.35">
      <c r="A1895" s="11"/>
      <c r="B1895" s="12"/>
      <c r="C1895" s="12"/>
      <c r="D1895" s="12"/>
      <c r="E1895" s="13"/>
      <c r="F1895" s="13"/>
      <c r="G1895" s="13"/>
      <c r="H1895" s="13"/>
      <c r="I1895" s="12"/>
      <c r="J1895" s="13"/>
      <c r="K1895" s="14" t="str">
        <f>IF(C1895="","",IFERROR(N('Fee Settings'!$C$5)*(E1895+N(F1895)-N(J1895))+N('Fee Settings'!$C$6)*(E1895+N(F1895)+N(G1895))+N('Fee Settings'!$C$7)+N('Fee Settings'!$C$10)*D1895+IF(I1895="Yes",MIN(N('Fee Settings'!$C$8)*(E1895+N(F1895)),N('Fee Settings'!$C$9)),0),""))</f>
        <v/>
      </c>
      <c r="L1895" s="14" t="str">
        <f>IF(C1895="","",IFERROR(D1895*N(INDEX(Products!$C$5:$C$29,MATCH(C1895,Lists!$A$2:$A$26,0))),""))</f>
        <v/>
      </c>
      <c r="M1895" s="15" t="str">
        <f t="shared" si="29"/>
        <v/>
      </c>
    </row>
    <row r="1896" spans="1:13" x14ac:dyDescent="0.35">
      <c r="A1896" s="11"/>
      <c r="B1896" s="12"/>
      <c r="C1896" s="12"/>
      <c r="D1896" s="12"/>
      <c r="E1896" s="13"/>
      <c r="F1896" s="13"/>
      <c r="G1896" s="13"/>
      <c r="H1896" s="13"/>
      <c r="I1896" s="12"/>
      <c r="J1896" s="13"/>
      <c r="K1896" s="14" t="str">
        <f>IF(C1896="","",IFERROR(N('Fee Settings'!$C$5)*(E1896+N(F1896)-N(J1896))+N('Fee Settings'!$C$6)*(E1896+N(F1896)+N(G1896))+N('Fee Settings'!$C$7)+N('Fee Settings'!$C$10)*D1896+IF(I1896="Yes",MIN(N('Fee Settings'!$C$8)*(E1896+N(F1896)),N('Fee Settings'!$C$9)),0),""))</f>
        <v/>
      </c>
      <c r="L1896" s="14" t="str">
        <f>IF(C1896="","",IFERROR(D1896*N(INDEX(Products!$C$5:$C$29,MATCH(C1896,Lists!$A$2:$A$26,0))),""))</f>
        <v/>
      </c>
      <c r="M1896" s="15" t="str">
        <f t="shared" si="29"/>
        <v/>
      </c>
    </row>
    <row r="1897" spans="1:13" x14ac:dyDescent="0.35">
      <c r="A1897" s="11"/>
      <c r="B1897" s="12"/>
      <c r="C1897" s="12"/>
      <c r="D1897" s="12"/>
      <c r="E1897" s="13"/>
      <c r="F1897" s="13"/>
      <c r="G1897" s="13"/>
      <c r="H1897" s="13"/>
      <c r="I1897" s="12"/>
      <c r="J1897" s="13"/>
      <c r="K1897" s="14" t="str">
        <f>IF(C1897="","",IFERROR(N('Fee Settings'!$C$5)*(E1897+N(F1897)-N(J1897))+N('Fee Settings'!$C$6)*(E1897+N(F1897)+N(G1897))+N('Fee Settings'!$C$7)+N('Fee Settings'!$C$10)*D1897+IF(I1897="Yes",MIN(N('Fee Settings'!$C$8)*(E1897+N(F1897)),N('Fee Settings'!$C$9)),0),""))</f>
        <v/>
      </c>
      <c r="L1897" s="14" t="str">
        <f>IF(C1897="","",IFERROR(D1897*N(INDEX(Products!$C$5:$C$29,MATCH(C1897,Lists!$A$2:$A$26,0))),""))</f>
        <v/>
      </c>
      <c r="M1897" s="15" t="str">
        <f t="shared" si="29"/>
        <v/>
      </c>
    </row>
    <row r="1898" spans="1:13" x14ac:dyDescent="0.35">
      <c r="A1898" s="11"/>
      <c r="B1898" s="12"/>
      <c r="C1898" s="12"/>
      <c r="D1898" s="12"/>
      <c r="E1898" s="13"/>
      <c r="F1898" s="13"/>
      <c r="G1898" s="13"/>
      <c r="H1898" s="13"/>
      <c r="I1898" s="12"/>
      <c r="J1898" s="13"/>
      <c r="K1898" s="14" t="str">
        <f>IF(C1898="","",IFERROR(N('Fee Settings'!$C$5)*(E1898+N(F1898)-N(J1898))+N('Fee Settings'!$C$6)*(E1898+N(F1898)+N(G1898))+N('Fee Settings'!$C$7)+N('Fee Settings'!$C$10)*D1898+IF(I1898="Yes",MIN(N('Fee Settings'!$C$8)*(E1898+N(F1898)),N('Fee Settings'!$C$9)),0),""))</f>
        <v/>
      </c>
      <c r="L1898" s="14" t="str">
        <f>IF(C1898="","",IFERROR(D1898*N(INDEX(Products!$C$5:$C$29,MATCH(C1898,Lists!$A$2:$A$26,0))),""))</f>
        <v/>
      </c>
      <c r="M1898" s="15" t="str">
        <f t="shared" si="29"/>
        <v/>
      </c>
    </row>
    <row r="1899" spans="1:13" x14ac:dyDescent="0.35">
      <c r="A1899" s="11"/>
      <c r="B1899" s="12"/>
      <c r="C1899" s="12"/>
      <c r="D1899" s="12"/>
      <c r="E1899" s="13"/>
      <c r="F1899" s="13"/>
      <c r="G1899" s="13"/>
      <c r="H1899" s="13"/>
      <c r="I1899" s="12"/>
      <c r="J1899" s="13"/>
      <c r="K1899" s="14" t="str">
        <f>IF(C1899="","",IFERROR(N('Fee Settings'!$C$5)*(E1899+N(F1899)-N(J1899))+N('Fee Settings'!$C$6)*(E1899+N(F1899)+N(G1899))+N('Fee Settings'!$C$7)+N('Fee Settings'!$C$10)*D1899+IF(I1899="Yes",MIN(N('Fee Settings'!$C$8)*(E1899+N(F1899)),N('Fee Settings'!$C$9)),0),""))</f>
        <v/>
      </c>
      <c r="L1899" s="14" t="str">
        <f>IF(C1899="","",IFERROR(D1899*N(INDEX(Products!$C$5:$C$29,MATCH(C1899,Lists!$A$2:$A$26,0))),""))</f>
        <v/>
      </c>
      <c r="M1899" s="15" t="str">
        <f t="shared" si="29"/>
        <v/>
      </c>
    </row>
    <row r="1900" spans="1:13" x14ac:dyDescent="0.35">
      <c r="A1900" s="11"/>
      <c r="B1900" s="12"/>
      <c r="C1900" s="12"/>
      <c r="D1900" s="12"/>
      <c r="E1900" s="13"/>
      <c r="F1900" s="13"/>
      <c r="G1900" s="13"/>
      <c r="H1900" s="13"/>
      <c r="I1900" s="12"/>
      <c r="J1900" s="13"/>
      <c r="K1900" s="14" t="str">
        <f>IF(C1900="","",IFERROR(N('Fee Settings'!$C$5)*(E1900+N(F1900)-N(J1900))+N('Fee Settings'!$C$6)*(E1900+N(F1900)+N(G1900))+N('Fee Settings'!$C$7)+N('Fee Settings'!$C$10)*D1900+IF(I1900="Yes",MIN(N('Fee Settings'!$C$8)*(E1900+N(F1900)),N('Fee Settings'!$C$9)),0),""))</f>
        <v/>
      </c>
      <c r="L1900" s="14" t="str">
        <f>IF(C1900="","",IFERROR(D1900*N(INDEX(Products!$C$5:$C$29,MATCH(C1900,Lists!$A$2:$A$26,0))),""))</f>
        <v/>
      </c>
      <c r="M1900" s="15" t="str">
        <f t="shared" si="29"/>
        <v/>
      </c>
    </row>
    <row r="1901" spans="1:13" x14ac:dyDescent="0.35">
      <c r="A1901" s="11"/>
      <c r="B1901" s="12"/>
      <c r="C1901" s="12"/>
      <c r="D1901" s="12"/>
      <c r="E1901" s="13"/>
      <c r="F1901" s="13"/>
      <c r="G1901" s="13"/>
      <c r="H1901" s="13"/>
      <c r="I1901" s="12"/>
      <c r="J1901" s="13"/>
      <c r="K1901" s="14" t="str">
        <f>IF(C1901="","",IFERROR(N('Fee Settings'!$C$5)*(E1901+N(F1901)-N(J1901))+N('Fee Settings'!$C$6)*(E1901+N(F1901)+N(G1901))+N('Fee Settings'!$C$7)+N('Fee Settings'!$C$10)*D1901+IF(I1901="Yes",MIN(N('Fee Settings'!$C$8)*(E1901+N(F1901)),N('Fee Settings'!$C$9)),0),""))</f>
        <v/>
      </c>
      <c r="L1901" s="14" t="str">
        <f>IF(C1901="","",IFERROR(D1901*N(INDEX(Products!$C$5:$C$29,MATCH(C1901,Lists!$A$2:$A$26,0))),""))</f>
        <v/>
      </c>
      <c r="M1901" s="15" t="str">
        <f t="shared" si="29"/>
        <v/>
      </c>
    </row>
    <row r="1902" spans="1:13" x14ac:dyDescent="0.35">
      <c r="A1902" s="11"/>
      <c r="B1902" s="12"/>
      <c r="C1902" s="12"/>
      <c r="D1902" s="12"/>
      <c r="E1902" s="13"/>
      <c r="F1902" s="13"/>
      <c r="G1902" s="13"/>
      <c r="H1902" s="13"/>
      <c r="I1902" s="12"/>
      <c r="J1902" s="13"/>
      <c r="K1902" s="14" t="str">
        <f>IF(C1902="","",IFERROR(N('Fee Settings'!$C$5)*(E1902+N(F1902)-N(J1902))+N('Fee Settings'!$C$6)*(E1902+N(F1902)+N(G1902))+N('Fee Settings'!$C$7)+N('Fee Settings'!$C$10)*D1902+IF(I1902="Yes",MIN(N('Fee Settings'!$C$8)*(E1902+N(F1902)),N('Fee Settings'!$C$9)),0),""))</f>
        <v/>
      </c>
      <c r="L1902" s="14" t="str">
        <f>IF(C1902="","",IFERROR(D1902*N(INDEX(Products!$C$5:$C$29,MATCH(C1902,Lists!$A$2:$A$26,0))),""))</f>
        <v/>
      </c>
      <c r="M1902" s="15" t="str">
        <f t="shared" si="29"/>
        <v/>
      </c>
    </row>
    <row r="1903" spans="1:13" x14ac:dyDescent="0.35">
      <c r="A1903" s="11"/>
      <c r="B1903" s="12"/>
      <c r="C1903" s="12"/>
      <c r="D1903" s="12"/>
      <c r="E1903" s="13"/>
      <c r="F1903" s="13"/>
      <c r="G1903" s="13"/>
      <c r="H1903" s="13"/>
      <c r="I1903" s="12"/>
      <c r="J1903" s="13"/>
      <c r="K1903" s="14" t="str">
        <f>IF(C1903="","",IFERROR(N('Fee Settings'!$C$5)*(E1903+N(F1903)-N(J1903))+N('Fee Settings'!$C$6)*(E1903+N(F1903)+N(G1903))+N('Fee Settings'!$C$7)+N('Fee Settings'!$C$10)*D1903+IF(I1903="Yes",MIN(N('Fee Settings'!$C$8)*(E1903+N(F1903)),N('Fee Settings'!$C$9)),0),""))</f>
        <v/>
      </c>
      <c r="L1903" s="14" t="str">
        <f>IF(C1903="","",IFERROR(D1903*N(INDEX(Products!$C$5:$C$29,MATCH(C1903,Lists!$A$2:$A$26,0))),""))</f>
        <v/>
      </c>
      <c r="M1903" s="15" t="str">
        <f t="shared" si="29"/>
        <v/>
      </c>
    </row>
    <row r="1904" spans="1:13" x14ac:dyDescent="0.35">
      <c r="A1904" s="11"/>
      <c r="B1904" s="12"/>
      <c r="C1904" s="12"/>
      <c r="D1904" s="12"/>
      <c r="E1904" s="13"/>
      <c r="F1904" s="13"/>
      <c r="G1904" s="13"/>
      <c r="H1904" s="13"/>
      <c r="I1904" s="12"/>
      <c r="J1904" s="13"/>
      <c r="K1904" s="14" t="str">
        <f>IF(C1904="","",IFERROR(N('Fee Settings'!$C$5)*(E1904+N(F1904)-N(J1904))+N('Fee Settings'!$C$6)*(E1904+N(F1904)+N(G1904))+N('Fee Settings'!$C$7)+N('Fee Settings'!$C$10)*D1904+IF(I1904="Yes",MIN(N('Fee Settings'!$C$8)*(E1904+N(F1904)),N('Fee Settings'!$C$9)),0),""))</f>
        <v/>
      </c>
      <c r="L1904" s="14" t="str">
        <f>IF(C1904="","",IFERROR(D1904*N(INDEX(Products!$C$5:$C$29,MATCH(C1904,Lists!$A$2:$A$26,0))),""))</f>
        <v/>
      </c>
      <c r="M1904" s="15" t="str">
        <f t="shared" si="29"/>
        <v/>
      </c>
    </row>
    <row r="1905" spans="1:13" x14ac:dyDescent="0.35">
      <c r="A1905" s="11"/>
      <c r="B1905" s="12"/>
      <c r="C1905" s="12"/>
      <c r="D1905" s="12"/>
      <c r="E1905" s="13"/>
      <c r="F1905" s="13"/>
      <c r="G1905" s="13"/>
      <c r="H1905" s="13"/>
      <c r="I1905" s="12"/>
      <c r="J1905" s="13"/>
      <c r="K1905" s="14" t="str">
        <f>IF(C1905="","",IFERROR(N('Fee Settings'!$C$5)*(E1905+N(F1905)-N(J1905))+N('Fee Settings'!$C$6)*(E1905+N(F1905)+N(G1905))+N('Fee Settings'!$C$7)+N('Fee Settings'!$C$10)*D1905+IF(I1905="Yes",MIN(N('Fee Settings'!$C$8)*(E1905+N(F1905)),N('Fee Settings'!$C$9)),0),""))</f>
        <v/>
      </c>
      <c r="L1905" s="14" t="str">
        <f>IF(C1905="","",IFERROR(D1905*N(INDEX(Products!$C$5:$C$29,MATCH(C1905,Lists!$A$2:$A$26,0))),""))</f>
        <v/>
      </c>
      <c r="M1905" s="15" t="str">
        <f t="shared" si="29"/>
        <v/>
      </c>
    </row>
    <row r="1906" spans="1:13" x14ac:dyDescent="0.35">
      <c r="A1906" s="11"/>
      <c r="B1906" s="12"/>
      <c r="C1906" s="12"/>
      <c r="D1906" s="12"/>
      <c r="E1906" s="13"/>
      <c r="F1906" s="13"/>
      <c r="G1906" s="13"/>
      <c r="H1906" s="13"/>
      <c r="I1906" s="12"/>
      <c r="J1906" s="13"/>
      <c r="K1906" s="14" t="str">
        <f>IF(C1906="","",IFERROR(N('Fee Settings'!$C$5)*(E1906+N(F1906)-N(J1906))+N('Fee Settings'!$C$6)*(E1906+N(F1906)+N(G1906))+N('Fee Settings'!$C$7)+N('Fee Settings'!$C$10)*D1906+IF(I1906="Yes",MIN(N('Fee Settings'!$C$8)*(E1906+N(F1906)),N('Fee Settings'!$C$9)),0),""))</f>
        <v/>
      </c>
      <c r="L1906" s="14" t="str">
        <f>IF(C1906="","",IFERROR(D1906*N(INDEX(Products!$C$5:$C$29,MATCH(C1906,Lists!$A$2:$A$26,0))),""))</f>
        <v/>
      </c>
      <c r="M1906" s="15" t="str">
        <f t="shared" si="29"/>
        <v/>
      </c>
    </row>
    <row r="1907" spans="1:13" x14ac:dyDescent="0.35">
      <c r="A1907" s="11"/>
      <c r="B1907" s="12"/>
      <c r="C1907" s="12"/>
      <c r="D1907" s="12"/>
      <c r="E1907" s="13"/>
      <c r="F1907" s="13"/>
      <c r="G1907" s="13"/>
      <c r="H1907" s="13"/>
      <c r="I1907" s="12"/>
      <c r="J1907" s="13"/>
      <c r="K1907" s="14" t="str">
        <f>IF(C1907="","",IFERROR(N('Fee Settings'!$C$5)*(E1907+N(F1907)-N(J1907))+N('Fee Settings'!$C$6)*(E1907+N(F1907)+N(G1907))+N('Fee Settings'!$C$7)+N('Fee Settings'!$C$10)*D1907+IF(I1907="Yes",MIN(N('Fee Settings'!$C$8)*(E1907+N(F1907)),N('Fee Settings'!$C$9)),0),""))</f>
        <v/>
      </c>
      <c r="L1907" s="14" t="str">
        <f>IF(C1907="","",IFERROR(D1907*N(INDEX(Products!$C$5:$C$29,MATCH(C1907,Lists!$A$2:$A$26,0))),""))</f>
        <v/>
      </c>
      <c r="M1907" s="15" t="str">
        <f t="shared" si="29"/>
        <v/>
      </c>
    </row>
    <row r="1908" spans="1:13" x14ac:dyDescent="0.35">
      <c r="A1908" s="11"/>
      <c r="B1908" s="12"/>
      <c r="C1908" s="12"/>
      <c r="D1908" s="12"/>
      <c r="E1908" s="13"/>
      <c r="F1908" s="13"/>
      <c r="G1908" s="13"/>
      <c r="H1908" s="13"/>
      <c r="I1908" s="12"/>
      <c r="J1908" s="13"/>
      <c r="K1908" s="14" t="str">
        <f>IF(C1908="","",IFERROR(N('Fee Settings'!$C$5)*(E1908+N(F1908)-N(J1908))+N('Fee Settings'!$C$6)*(E1908+N(F1908)+N(G1908))+N('Fee Settings'!$C$7)+N('Fee Settings'!$C$10)*D1908+IF(I1908="Yes",MIN(N('Fee Settings'!$C$8)*(E1908+N(F1908)),N('Fee Settings'!$C$9)),0),""))</f>
        <v/>
      </c>
      <c r="L1908" s="14" t="str">
        <f>IF(C1908="","",IFERROR(D1908*N(INDEX(Products!$C$5:$C$29,MATCH(C1908,Lists!$A$2:$A$26,0))),""))</f>
        <v/>
      </c>
      <c r="M1908" s="15" t="str">
        <f t="shared" si="29"/>
        <v/>
      </c>
    </row>
    <row r="1909" spans="1:13" x14ac:dyDescent="0.35">
      <c r="A1909" s="11"/>
      <c r="B1909" s="12"/>
      <c r="C1909" s="12"/>
      <c r="D1909" s="12"/>
      <c r="E1909" s="13"/>
      <c r="F1909" s="13"/>
      <c r="G1909" s="13"/>
      <c r="H1909" s="13"/>
      <c r="I1909" s="12"/>
      <c r="J1909" s="13"/>
      <c r="K1909" s="14" t="str">
        <f>IF(C1909="","",IFERROR(N('Fee Settings'!$C$5)*(E1909+N(F1909)-N(J1909))+N('Fee Settings'!$C$6)*(E1909+N(F1909)+N(G1909))+N('Fee Settings'!$C$7)+N('Fee Settings'!$C$10)*D1909+IF(I1909="Yes",MIN(N('Fee Settings'!$C$8)*(E1909+N(F1909)),N('Fee Settings'!$C$9)),0),""))</f>
        <v/>
      </c>
      <c r="L1909" s="14" t="str">
        <f>IF(C1909="","",IFERROR(D1909*N(INDEX(Products!$C$5:$C$29,MATCH(C1909,Lists!$A$2:$A$26,0))),""))</f>
        <v/>
      </c>
      <c r="M1909" s="15" t="str">
        <f t="shared" si="29"/>
        <v/>
      </c>
    </row>
    <row r="1910" spans="1:13" x14ac:dyDescent="0.35">
      <c r="A1910" s="11"/>
      <c r="B1910" s="12"/>
      <c r="C1910" s="12"/>
      <c r="D1910" s="12"/>
      <c r="E1910" s="13"/>
      <c r="F1910" s="13"/>
      <c r="G1910" s="13"/>
      <c r="H1910" s="13"/>
      <c r="I1910" s="12"/>
      <c r="J1910" s="13"/>
      <c r="K1910" s="14" t="str">
        <f>IF(C1910="","",IFERROR(N('Fee Settings'!$C$5)*(E1910+N(F1910)-N(J1910))+N('Fee Settings'!$C$6)*(E1910+N(F1910)+N(G1910))+N('Fee Settings'!$C$7)+N('Fee Settings'!$C$10)*D1910+IF(I1910="Yes",MIN(N('Fee Settings'!$C$8)*(E1910+N(F1910)),N('Fee Settings'!$C$9)),0),""))</f>
        <v/>
      </c>
      <c r="L1910" s="14" t="str">
        <f>IF(C1910="","",IFERROR(D1910*N(INDEX(Products!$C$5:$C$29,MATCH(C1910,Lists!$A$2:$A$26,0))),""))</f>
        <v/>
      </c>
      <c r="M1910" s="15" t="str">
        <f t="shared" si="29"/>
        <v/>
      </c>
    </row>
    <row r="1911" spans="1:13" x14ac:dyDescent="0.35">
      <c r="A1911" s="11"/>
      <c r="B1911" s="12"/>
      <c r="C1911" s="12"/>
      <c r="D1911" s="12"/>
      <c r="E1911" s="13"/>
      <c r="F1911" s="13"/>
      <c r="G1911" s="13"/>
      <c r="H1911" s="13"/>
      <c r="I1911" s="12"/>
      <c r="J1911" s="13"/>
      <c r="K1911" s="14" t="str">
        <f>IF(C1911="","",IFERROR(N('Fee Settings'!$C$5)*(E1911+N(F1911)-N(J1911))+N('Fee Settings'!$C$6)*(E1911+N(F1911)+N(G1911))+N('Fee Settings'!$C$7)+N('Fee Settings'!$C$10)*D1911+IF(I1911="Yes",MIN(N('Fee Settings'!$C$8)*(E1911+N(F1911)),N('Fee Settings'!$C$9)),0),""))</f>
        <v/>
      </c>
      <c r="L1911" s="14" t="str">
        <f>IF(C1911="","",IFERROR(D1911*N(INDEX(Products!$C$5:$C$29,MATCH(C1911,Lists!$A$2:$A$26,0))),""))</f>
        <v/>
      </c>
      <c r="M1911" s="15" t="str">
        <f t="shared" si="29"/>
        <v/>
      </c>
    </row>
    <row r="1912" spans="1:13" x14ac:dyDescent="0.35">
      <c r="A1912" s="11"/>
      <c r="B1912" s="12"/>
      <c r="C1912" s="12"/>
      <c r="D1912" s="12"/>
      <c r="E1912" s="13"/>
      <c r="F1912" s="13"/>
      <c r="G1912" s="13"/>
      <c r="H1912" s="13"/>
      <c r="I1912" s="12"/>
      <c r="J1912" s="13"/>
      <c r="K1912" s="14" t="str">
        <f>IF(C1912="","",IFERROR(N('Fee Settings'!$C$5)*(E1912+N(F1912)-N(J1912))+N('Fee Settings'!$C$6)*(E1912+N(F1912)+N(G1912))+N('Fee Settings'!$C$7)+N('Fee Settings'!$C$10)*D1912+IF(I1912="Yes",MIN(N('Fee Settings'!$C$8)*(E1912+N(F1912)),N('Fee Settings'!$C$9)),0),""))</f>
        <v/>
      </c>
      <c r="L1912" s="14" t="str">
        <f>IF(C1912="","",IFERROR(D1912*N(INDEX(Products!$C$5:$C$29,MATCH(C1912,Lists!$A$2:$A$26,0))),""))</f>
        <v/>
      </c>
      <c r="M1912" s="15" t="str">
        <f t="shared" si="29"/>
        <v/>
      </c>
    </row>
    <row r="1913" spans="1:13" x14ac:dyDescent="0.35">
      <c r="A1913" s="11"/>
      <c r="B1913" s="12"/>
      <c r="C1913" s="12"/>
      <c r="D1913" s="12"/>
      <c r="E1913" s="13"/>
      <c r="F1913" s="13"/>
      <c r="G1913" s="13"/>
      <c r="H1913" s="13"/>
      <c r="I1913" s="12"/>
      <c r="J1913" s="13"/>
      <c r="K1913" s="14" t="str">
        <f>IF(C1913="","",IFERROR(N('Fee Settings'!$C$5)*(E1913+N(F1913)-N(J1913))+N('Fee Settings'!$C$6)*(E1913+N(F1913)+N(G1913))+N('Fee Settings'!$C$7)+N('Fee Settings'!$C$10)*D1913+IF(I1913="Yes",MIN(N('Fee Settings'!$C$8)*(E1913+N(F1913)),N('Fee Settings'!$C$9)),0),""))</f>
        <v/>
      </c>
      <c r="L1913" s="14" t="str">
        <f>IF(C1913="","",IFERROR(D1913*N(INDEX(Products!$C$5:$C$29,MATCH(C1913,Lists!$A$2:$A$26,0))),""))</f>
        <v/>
      </c>
      <c r="M1913" s="15" t="str">
        <f t="shared" si="29"/>
        <v/>
      </c>
    </row>
    <row r="1914" spans="1:13" x14ac:dyDescent="0.35">
      <c r="A1914" s="11"/>
      <c r="B1914" s="12"/>
      <c r="C1914" s="12"/>
      <c r="D1914" s="12"/>
      <c r="E1914" s="13"/>
      <c r="F1914" s="13"/>
      <c r="G1914" s="13"/>
      <c r="H1914" s="13"/>
      <c r="I1914" s="12"/>
      <c r="J1914" s="13"/>
      <c r="K1914" s="14" t="str">
        <f>IF(C1914="","",IFERROR(N('Fee Settings'!$C$5)*(E1914+N(F1914)-N(J1914))+N('Fee Settings'!$C$6)*(E1914+N(F1914)+N(G1914))+N('Fee Settings'!$C$7)+N('Fee Settings'!$C$10)*D1914+IF(I1914="Yes",MIN(N('Fee Settings'!$C$8)*(E1914+N(F1914)),N('Fee Settings'!$C$9)),0),""))</f>
        <v/>
      </c>
      <c r="L1914" s="14" t="str">
        <f>IF(C1914="","",IFERROR(D1914*N(INDEX(Products!$C$5:$C$29,MATCH(C1914,Lists!$A$2:$A$26,0))),""))</f>
        <v/>
      </c>
      <c r="M1914" s="15" t="str">
        <f t="shared" si="29"/>
        <v/>
      </c>
    </row>
    <row r="1915" spans="1:13" x14ac:dyDescent="0.35">
      <c r="A1915" s="11"/>
      <c r="B1915" s="12"/>
      <c r="C1915" s="12"/>
      <c r="D1915" s="12"/>
      <c r="E1915" s="13"/>
      <c r="F1915" s="13"/>
      <c r="G1915" s="13"/>
      <c r="H1915" s="13"/>
      <c r="I1915" s="12"/>
      <c r="J1915" s="13"/>
      <c r="K1915" s="14" t="str">
        <f>IF(C1915="","",IFERROR(N('Fee Settings'!$C$5)*(E1915+N(F1915)-N(J1915))+N('Fee Settings'!$C$6)*(E1915+N(F1915)+N(G1915))+N('Fee Settings'!$C$7)+N('Fee Settings'!$C$10)*D1915+IF(I1915="Yes",MIN(N('Fee Settings'!$C$8)*(E1915+N(F1915)),N('Fee Settings'!$C$9)),0),""))</f>
        <v/>
      </c>
      <c r="L1915" s="14" t="str">
        <f>IF(C1915="","",IFERROR(D1915*N(INDEX(Products!$C$5:$C$29,MATCH(C1915,Lists!$A$2:$A$26,0))),""))</f>
        <v/>
      </c>
      <c r="M1915" s="15" t="str">
        <f t="shared" si="29"/>
        <v/>
      </c>
    </row>
    <row r="1916" spans="1:13" x14ac:dyDescent="0.35">
      <c r="A1916" s="11"/>
      <c r="B1916" s="12"/>
      <c r="C1916" s="12"/>
      <c r="D1916" s="12"/>
      <c r="E1916" s="13"/>
      <c r="F1916" s="13"/>
      <c r="G1916" s="13"/>
      <c r="H1916" s="13"/>
      <c r="I1916" s="12"/>
      <c r="J1916" s="13"/>
      <c r="K1916" s="14" t="str">
        <f>IF(C1916="","",IFERROR(N('Fee Settings'!$C$5)*(E1916+N(F1916)-N(J1916))+N('Fee Settings'!$C$6)*(E1916+N(F1916)+N(G1916))+N('Fee Settings'!$C$7)+N('Fee Settings'!$C$10)*D1916+IF(I1916="Yes",MIN(N('Fee Settings'!$C$8)*(E1916+N(F1916)),N('Fee Settings'!$C$9)),0),""))</f>
        <v/>
      </c>
      <c r="L1916" s="14" t="str">
        <f>IF(C1916="","",IFERROR(D1916*N(INDEX(Products!$C$5:$C$29,MATCH(C1916,Lists!$A$2:$A$26,0))),""))</f>
        <v/>
      </c>
      <c r="M1916" s="15" t="str">
        <f t="shared" si="29"/>
        <v/>
      </c>
    </row>
    <row r="1917" spans="1:13" x14ac:dyDescent="0.35">
      <c r="A1917" s="11"/>
      <c r="B1917" s="12"/>
      <c r="C1917" s="12"/>
      <c r="D1917" s="12"/>
      <c r="E1917" s="13"/>
      <c r="F1917" s="13"/>
      <c r="G1917" s="13"/>
      <c r="H1917" s="13"/>
      <c r="I1917" s="12"/>
      <c r="J1917" s="13"/>
      <c r="K1917" s="14" t="str">
        <f>IF(C1917="","",IFERROR(N('Fee Settings'!$C$5)*(E1917+N(F1917)-N(J1917))+N('Fee Settings'!$C$6)*(E1917+N(F1917)+N(G1917))+N('Fee Settings'!$C$7)+N('Fee Settings'!$C$10)*D1917+IF(I1917="Yes",MIN(N('Fee Settings'!$C$8)*(E1917+N(F1917)),N('Fee Settings'!$C$9)),0),""))</f>
        <v/>
      </c>
      <c r="L1917" s="14" t="str">
        <f>IF(C1917="","",IFERROR(D1917*N(INDEX(Products!$C$5:$C$29,MATCH(C1917,Lists!$A$2:$A$26,0))),""))</f>
        <v/>
      </c>
      <c r="M1917" s="15" t="str">
        <f t="shared" si="29"/>
        <v/>
      </c>
    </row>
    <row r="1918" spans="1:13" x14ac:dyDescent="0.35">
      <c r="A1918" s="11"/>
      <c r="B1918" s="12"/>
      <c r="C1918" s="12"/>
      <c r="D1918" s="12"/>
      <c r="E1918" s="13"/>
      <c r="F1918" s="13"/>
      <c r="G1918" s="13"/>
      <c r="H1918" s="13"/>
      <c r="I1918" s="12"/>
      <c r="J1918" s="13"/>
      <c r="K1918" s="14" t="str">
        <f>IF(C1918="","",IFERROR(N('Fee Settings'!$C$5)*(E1918+N(F1918)-N(J1918))+N('Fee Settings'!$C$6)*(E1918+N(F1918)+N(G1918))+N('Fee Settings'!$C$7)+N('Fee Settings'!$C$10)*D1918+IF(I1918="Yes",MIN(N('Fee Settings'!$C$8)*(E1918+N(F1918)),N('Fee Settings'!$C$9)),0),""))</f>
        <v/>
      </c>
      <c r="L1918" s="14" t="str">
        <f>IF(C1918="","",IFERROR(D1918*N(INDEX(Products!$C$5:$C$29,MATCH(C1918,Lists!$A$2:$A$26,0))),""))</f>
        <v/>
      </c>
      <c r="M1918" s="15" t="str">
        <f t="shared" si="29"/>
        <v/>
      </c>
    </row>
    <row r="1919" spans="1:13" x14ac:dyDescent="0.35">
      <c r="A1919" s="11"/>
      <c r="B1919" s="12"/>
      <c r="C1919" s="12"/>
      <c r="D1919" s="12"/>
      <c r="E1919" s="13"/>
      <c r="F1919" s="13"/>
      <c r="G1919" s="13"/>
      <c r="H1919" s="13"/>
      <c r="I1919" s="12"/>
      <c r="J1919" s="13"/>
      <c r="K1919" s="14" t="str">
        <f>IF(C1919="","",IFERROR(N('Fee Settings'!$C$5)*(E1919+N(F1919)-N(J1919))+N('Fee Settings'!$C$6)*(E1919+N(F1919)+N(G1919))+N('Fee Settings'!$C$7)+N('Fee Settings'!$C$10)*D1919+IF(I1919="Yes",MIN(N('Fee Settings'!$C$8)*(E1919+N(F1919)),N('Fee Settings'!$C$9)),0),""))</f>
        <v/>
      </c>
      <c r="L1919" s="14" t="str">
        <f>IF(C1919="","",IFERROR(D1919*N(INDEX(Products!$C$5:$C$29,MATCH(C1919,Lists!$A$2:$A$26,0))),""))</f>
        <v/>
      </c>
      <c r="M1919" s="15" t="str">
        <f t="shared" si="29"/>
        <v/>
      </c>
    </row>
    <row r="1920" spans="1:13" x14ac:dyDescent="0.35">
      <c r="A1920" s="11"/>
      <c r="B1920" s="12"/>
      <c r="C1920" s="12"/>
      <c r="D1920" s="12"/>
      <c r="E1920" s="13"/>
      <c r="F1920" s="13"/>
      <c r="G1920" s="13"/>
      <c r="H1920" s="13"/>
      <c r="I1920" s="12"/>
      <c r="J1920" s="13"/>
      <c r="K1920" s="14" t="str">
        <f>IF(C1920="","",IFERROR(N('Fee Settings'!$C$5)*(E1920+N(F1920)-N(J1920))+N('Fee Settings'!$C$6)*(E1920+N(F1920)+N(G1920))+N('Fee Settings'!$C$7)+N('Fee Settings'!$C$10)*D1920+IF(I1920="Yes",MIN(N('Fee Settings'!$C$8)*(E1920+N(F1920)),N('Fee Settings'!$C$9)),0),""))</f>
        <v/>
      </c>
      <c r="L1920" s="14" t="str">
        <f>IF(C1920="","",IFERROR(D1920*N(INDEX(Products!$C$5:$C$29,MATCH(C1920,Lists!$A$2:$A$26,0))),""))</f>
        <v/>
      </c>
      <c r="M1920" s="15" t="str">
        <f t="shared" si="29"/>
        <v/>
      </c>
    </row>
    <row r="1921" spans="1:13" x14ac:dyDescent="0.35">
      <c r="A1921" s="11"/>
      <c r="B1921" s="12"/>
      <c r="C1921" s="12"/>
      <c r="D1921" s="12"/>
      <c r="E1921" s="13"/>
      <c r="F1921" s="13"/>
      <c r="G1921" s="13"/>
      <c r="H1921" s="13"/>
      <c r="I1921" s="12"/>
      <c r="J1921" s="13"/>
      <c r="K1921" s="14" t="str">
        <f>IF(C1921="","",IFERROR(N('Fee Settings'!$C$5)*(E1921+N(F1921)-N(J1921))+N('Fee Settings'!$C$6)*(E1921+N(F1921)+N(G1921))+N('Fee Settings'!$C$7)+N('Fee Settings'!$C$10)*D1921+IF(I1921="Yes",MIN(N('Fee Settings'!$C$8)*(E1921+N(F1921)),N('Fee Settings'!$C$9)),0),""))</f>
        <v/>
      </c>
      <c r="L1921" s="14" t="str">
        <f>IF(C1921="","",IFERROR(D1921*N(INDEX(Products!$C$5:$C$29,MATCH(C1921,Lists!$A$2:$A$26,0))),""))</f>
        <v/>
      </c>
      <c r="M1921" s="15" t="str">
        <f t="shared" si="29"/>
        <v/>
      </c>
    </row>
    <row r="1922" spans="1:13" x14ac:dyDescent="0.35">
      <c r="A1922" s="11"/>
      <c r="B1922" s="12"/>
      <c r="C1922" s="12"/>
      <c r="D1922" s="12"/>
      <c r="E1922" s="13"/>
      <c r="F1922" s="13"/>
      <c r="G1922" s="13"/>
      <c r="H1922" s="13"/>
      <c r="I1922" s="12"/>
      <c r="J1922" s="13"/>
      <c r="K1922" s="14" t="str">
        <f>IF(C1922="","",IFERROR(N('Fee Settings'!$C$5)*(E1922+N(F1922)-N(J1922))+N('Fee Settings'!$C$6)*(E1922+N(F1922)+N(G1922))+N('Fee Settings'!$C$7)+N('Fee Settings'!$C$10)*D1922+IF(I1922="Yes",MIN(N('Fee Settings'!$C$8)*(E1922+N(F1922)),N('Fee Settings'!$C$9)),0),""))</f>
        <v/>
      </c>
      <c r="L1922" s="14" t="str">
        <f>IF(C1922="","",IFERROR(D1922*N(INDEX(Products!$C$5:$C$29,MATCH(C1922,Lists!$A$2:$A$26,0))),""))</f>
        <v/>
      </c>
      <c r="M1922" s="15" t="str">
        <f t="shared" si="29"/>
        <v/>
      </c>
    </row>
    <row r="1923" spans="1:13" x14ac:dyDescent="0.35">
      <c r="A1923" s="11"/>
      <c r="B1923" s="12"/>
      <c r="C1923" s="12"/>
      <c r="D1923" s="12"/>
      <c r="E1923" s="13"/>
      <c r="F1923" s="13"/>
      <c r="G1923" s="13"/>
      <c r="H1923" s="13"/>
      <c r="I1923" s="12"/>
      <c r="J1923" s="13"/>
      <c r="K1923" s="14" t="str">
        <f>IF(C1923="","",IFERROR(N('Fee Settings'!$C$5)*(E1923+N(F1923)-N(J1923))+N('Fee Settings'!$C$6)*(E1923+N(F1923)+N(G1923))+N('Fee Settings'!$C$7)+N('Fee Settings'!$C$10)*D1923+IF(I1923="Yes",MIN(N('Fee Settings'!$C$8)*(E1923+N(F1923)),N('Fee Settings'!$C$9)),0),""))</f>
        <v/>
      </c>
      <c r="L1923" s="14" t="str">
        <f>IF(C1923="","",IFERROR(D1923*N(INDEX(Products!$C$5:$C$29,MATCH(C1923,Lists!$A$2:$A$26,0))),""))</f>
        <v/>
      </c>
      <c r="M1923" s="15" t="str">
        <f t="shared" si="29"/>
        <v/>
      </c>
    </row>
    <row r="1924" spans="1:13" x14ac:dyDescent="0.35">
      <c r="A1924" s="11"/>
      <c r="B1924" s="12"/>
      <c r="C1924" s="12"/>
      <c r="D1924" s="12"/>
      <c r="E1924" s="13"/>
      <c r="F1924" s="13"/>
      <c r="G1924" s="13"/>
      <c r="H1924" s="13"/>
      <c r="I1924" s="12"/>
      <c r="J1924" s="13"/>
      <c r="K1924" s="14" t="str">
        <f>IF(C1924="","",IFERROR(N('Fee Settings'!$C$5)*(E1924+N(F1924)-N(J1924))+N('Fee Settings'!$C$6)*(E1924+N(F1924)+N(G1924))+N('Fee Settings'!$C$7)+N('Fee Settings'!$C$10)*D1924+IF(I1924="Yes",MIN(N('Fee Settings'!$C$8)*(E1924+N(F1924)),N('Fee Settings'!$C$9)),0),""))</f>
        <v/>
      </c>
      <c r="L1924" s="14" t="str">
        <f>IF(C1924="","",IFERROR(D1924*N(INDEX(Products!$C$5:$C$29,MATCH(C1924,Lists!$A$2:$A$26,0))),""))</f>
        <v/>
      </c>
      <c r="M1924" s="15" t="str">
        <f t="shared" si="29"/>
        <v/>
      </c>
    </row>
    <row r="1925" spans="1:13" x14ac:dyDescent="0.35">
      <c r="A1925" s="11"/>
      <c r="B1925" s="12"/>
      <c r="C1925" s="12"/>
      <c r="D1925" s="12"/>
      <c r="E1925" s="13"/>
      <c r="F1925" s="13"/>
      <c r="G1925" s="13"/>
      <c r="H1925" s="13"/>
      <c r="I1925" s="12"/>
      <c r="J1925" s="13"/>
      <c r="K1925" s="14" t="str">
        <f>IF(C1925="","",IFERROR(N('Fee Settings'!$C$5)*(E1925+N(F1925)-N(J1925))+N('Fee Settings'!$C$6)*(E1925+N(F1925)+N(G1925))+N('Fee Settings'!$C$7)+N('Fee Settings'!$C$10)*D1925+IF(I1925="Yes",MIN(N('Fee Settings'!$C$8)*(E1925+N(F1925)),N('Fee Settings'!$C$9)),0),""))</f>
        <v/>
      </c>
      <c r="L1925" s="14" t="str">
        <f>IF(C1925="","",IFERROR(D1925*N(INDEX(Products!$C$5:$C$29,MATCH(C1925,Lists!$A$2:$A$26,0))),""))</f>
        <v/>
      </c>
      <c r="M1925" s="15" t="str">
        <f t="shared" ref="M1925:M1988" si="30">IF(C1925="","",IFERROR(E1925+N(F1925)-N(J1925)-K1925-L1925-N(H1925),""))</f>
        <v/>
      </c>
    </row>
    <row r="1926" spans="1:13" x14ac:dyDescent="0.35">
      <c r="A1926" s="11"/>
      <c r="B1926" s="12"/>
      <c r="C1926" s="12"/>
      <c r="D1926" s="12"/>
      <c r="E1926" s="13"/>
      <c r="F1926" s="13"/>
      <c r="G1926" s="13"/>
      <c r="H1926" s="13"/>
      <c r="I1926" s="12"/>
      <c r="J1926" s="13"/>
      <c r="K1926" s="14" t="str">
        <f>IF(C1926="","",IFERROR(N('Fee Settings'!$C$5)*(E1926+N(F1926)-N(J1926))+N('Fee Settings'!$C$6)*(E1926+N(F1926)+N(G1926))+N('Fee Settings'!$C$7)+N('Fee Settings'!$C$10)*D1926+IF(I1926="Yes",MIN(N('Fee Settings'!$C$8)*(E1926+N(F1926)),N('Fee Settings'!$C$9)),0),""))</f>
        <v/>
      </c>
      <c r="L1926" s="14" t="str">
        <f>IF(C1926="","",IFERROR(D1926*N(INDEX(Products!$C$5:$C$29,MATCH(C1926,Lists!$A$2:$A$26,0))),""))</f>
        <v/>
      </c>
      <c r="M1926" s="15" t="str">
        <f t="shared" si="30"/>
        <v/>
      </c>
    </row>
    <row r="1927" spans="1:13" x14ac:dyDescent="0.35">
      <c r="A1927" s="11"/>
      <c r="B1927" s="12"/>
      <c r="C1927" s="12"/>
      <c r="D1927" s="12"/>
      <c r="E1927" s="13"/>
      <c r="F1927" s="13"/>
      <c r="G1927" s="13"/>
      <c r="H1927" s="13"/>
      <c r="I1927" s="12"/>
      <c r="J1927" s="13"/>
      <c r="K1927" s="14" t="str">
        <f>IF(C1927="","",IFERROR(N('Fee Settings'!$C$5)*(E1927+N(F1927)-N(J1927))+N('Fee Settings'!$C$6)*(E1927+N(F1927)+N(G1927))+N('Fee Settings'!$C$7)+N('Fee Settings'!$C$10)*D1927+IF(I1927="Yes",MIN(N('Fee Settings'!$C$8)*(E1927+N(F1927)),N('Fee Settings'!$C$9)),0),""))</f>
        <v/>
      </c>
      <c r="L1927" s="14" t="str">
        <f>IF(C1927="","",IFERROR(D1927*N(INDEX(Products!$C$5:$C$29,MATCH(C1927,Lists!$A$2:$A$26,0))),""))</f>
        <v/>
      </c>
      <c r="M1927" s="15" t="str">
        <f t="shared" si="30"/>
        <v/>
      </c>
    </row>
    <row r="1928" spans="1:13" x14ac:dyDescent="0.35">
      <c r="A1928" s="11"/>
      <c r="B1928" s="12"/>
      <c r="C1928" s="12"/>
      <c r="D1928" s="12"/>
      <c r="E1928" s="13"/>
      <c r="F1928" s="13"/>
      <c r="G1928" s="13"/>
      <c r="H1928" s="13"/>
      <c r="I1928" s="12"/>
      <c r="J1928" s="13"/>
      <c r="K1928" s="14" t="str">
        <f>IF(C1928="","",IFERROR(N('Fee Settings'!$C$5)*(E1928+N(F1928)-N(J1928))+N('Fee Settings'!$C$6)*(E1928+N(F1928)+N(G1928))+N('Fee Settings'!$C$7)+N('Fee Settings'!$C$10)*D1928+IF(I1928="Yes",MIN(N('Fee Settings'!$C$8)*(E1928+N(F1928)),N('Fee Settings'!$C$9)),0),""))</f>
        <v/>
      </c>
      <c r="L1928" s="14" t="str">
        <f>IF(C1928="","",IFERROR(D1928*N(INDEX(Products!$C$5:$C$29,MATCH(C1928,Lists!$A$2:$A$26,0))),""))</f>
        <v/>
      </c>
      <c r="M1928" s="15" t="str">
        <f t="shared" si="30"/>
        <v/>
      </c>
    </row>
    <row r="1929" spans="1:13" x14ac:dyDescent="0.35">
      <c r="A1929" s="11"/>
      <c r="B1929" s="12"/>
      <c r="C1929" s="12"/>
      <c r="D1929" s="12"/>
      <c r="E1929" s="13"/>
      <c r="F1929" s="13"/>
      <c r="G1929" s="13"/>
      <c r="H1929" s="13"/>
      <c r="I1929" s="12"/>
      <c r="J1929" s="13"/>
      <c r="K1929" s="14" t="str">
        <f>IF(C1929="","",IFERROR(N('Fee Settings'!$C$5)*(E1929+N(F1929)-N(J1929))+N('Fee Settings'!$C$6)*(E1929+N(F1929)+N(G1929))+N('Fee Settings'!$C$7)+N('Fee Settings'!$C$10)*D1929+IF(I1929="Yes",MIN(N('Fee Settings'!$C$8)*(E1929+N(F1929)),N('Fee Settings'!$C$9)),0),""))</f>
        <v/>
      </c>
      <c r="L1929" s="14" t="str">
        <f>IF(C1929="","",IFERROR(D1929*N(INDEX(Products!$C$5:$C$29,MATCH(C1929,Lists!$A$2:$A$26,0))),""))</f>
        <v/>
      </c>
      <c r="M1929" s="15" t="str">
        <f t="shared" si="30"/>
        <v/>
      </c>
    </row>
    <row r="1930" spans="1:13" x14ac:dyDescent="0.35">
      <c r="A1930" s="11"/>
      <c r="B1930" s="12"/>
      <c r="C1930" s="12"/>
      <c r="D1930" s="12"/>
      <c r="E1930" s="13"/>
      <c r="F1930" s="13"/>
      <c r="G1930" s="13"/>
      <c r="H1930" s="13"/>
      <c r="I1930" s="12"/>
      <c r="J1930" s="13"/>
      <c r="K1930" s="14" t="str">
        <f>IF(C1930="","",IFERROR(N('Fee Settings'!$C$5)*(E1930+N(F1930)-N(J1930))+N('Fee Settings'!$C$6)*(E1930+N(F1930)+N(G1930))+N('Fee Settings'!$C$7)+N('Fee Settings'!$C$10)*D1930+IF(I1930="Yes",MIN(N('Fee Settings'!$C$8)*(E1930+N(F1930)),N('Fee Settings'!$C$9)),0),""))</f>
        <v/>
      </c>
      <c r="L1930" s="14" t="str">
        <f>IF(C1930="","",IFERROR(D1930*N(INDEX(Products!$C$5:$C$29,MATCH(C1930,Lists!$A$2:$A$26,0))),""))</f>
        <v/>
      </c>
      <c r="M1930" s="15" t="str">
        <f t="shared" si="30"/>
        <v/>
      </c>
    </row>
    <row r="1931" spans="1:13" x14ac:dyDescent="0.35">
      <c r="A1931" s="11"/>
      <c r="B1931" s="12"/>
      <c r="C1931" s="12"/>
      <c r="D1931" s="12"/>
      <c r="E1931" s="13"/>
      <c r="F1931" s="13"/>
      <c r="G1931" s="13"/>
      <c r="H1931" s="13"/>
      <c r="I1931" s="12"/>
      <c r="J1931" s="13"/>
      <c r="K1931" s="14" t="str">
        <f>IF(C1931="","",IFERROR(N('Fee Settings'!$C$5)*(E1931+N(F1931)-N(J1931))+N('Fee Settings'!$C$6)*(E1931+N(F1931)+N(G1931))+N('Fee Settings'!$C$7)+N('Fee Settings'!$C$10)*D1931+IF(I1931="Yes",MIN(N('Fee Settings'!$C$8)*(E1931+N(F1931)),N('Fee Settings'!$C$9)),0),""))</f>
        <v/>
      </c>
      <c r="L1931" s="14" t="str">
        <f>IF(C1931="","",IFERROR(D1931*N(INDEX(Products!$C$5:$C$29,MATCH(C1931,Lists!$A$2:$A$26,0))),""))</f>
        <v/>
      </c>
      <c r="M1931" s="15" t="str">
        <f t="shared" si="30"/>
        <v/>
      </c>
    </row>
    <row r="1932" spans="1:13" x14ac:dyDescent="0.35">
      <c r="A1932" s="11"/>
      <c r="B1932" s="12"/>
      <c r="C1932" s="12"/>
      <c r="D1932" s="12"/>
      <c r="E1932" s="13"/>
      <c r="F1932" s="13"/>
      <c r="G1932" s="13"/>
      <c r="H1932" s="13"/>
      <c r="I1932" s="12"/>
      <c r="J1932" s="13"/>
      <c r="K1932" s="14" t="str">
        <f>IF(C1932="","",IFERROR(N('Fee Settings'!$C$5)*(E1932+N(F1932)-N(J1932))+N('Fee Settings'!$C$6)*(E1932+N(F1932)+N(G1932))+N('Fee Settings'!$C$7)+N('Fee Settings'!$C$10)*D1932+IF(I1932="Yes",MIN(N('Fee Settings'!$C$8)*(E1932+N(F1932)),N('Fee Settings'!$C$9)),0),""))</f>
        <v/>
      </c>
      <c r="L1932" s="14" t="str">
        <f>IF(C1932="","",IFERROR(D1932*N(INDEX(Products!$C$5:$C$29,MATCH(C1932,Lists!$A$2:$A$26,0))),""))</f>
        <v/>
      </c>
      <c r="M1932" s="15" t="str">
        <f t="shared" si="30"/>
        <v/>
      </c>
    </row>
    <row r="1933" spans="1:13" x14ac:dyDescent="0.35">
      <c r="A1933" s="11"/>
      <c r="B1933" s="12"/>
      <c r="C1933" s="12"/>
      <c r="D1933" s="12"/>
      <c r="E1933" s="13"/>
      <c r="F1933" s="13"/>
      <c r="G1933" s="13"/>
      <c r="H1933" s="13"/>
      <c r="I1933" s="12"/>
      <c r="J1933" s="13"/>
      <c r="K1933" s="14" t="str">
        <f>IF(C1933="","",IFERROR(N('Fee Settings'!$C$5)*(E1933+N(F1933)-N(J1933))+N('Fee Settings'!$C$6)*(E1933+N(F1933)+N(G1933))+N('Fee Settings'!$C$7)+N('Fee Settings'!$C$10)*D1933+IF(I1933="Yes",MIN(N('Fee Settings'!$C$8)*(E1933+N(F1933)),N('Fee Settings'!$C$9)),0),""))</f>
        <v/>
      </c>
      <c r="L1933" s="14" t="str">
        <f>IF(C1933="","",IFERROR(D1933*N(INDEX(Products!$C$5:$C$29,MATCH(C1933,Lists!$A$2:$A$26,0))),""))</f>
        <v/>
      </c>
      <c r="M1933" s="15" t="str">
        <f t="shared" si="30"/>
        <v/>
      </c>
    </row>
    <row r="1934" spans="1:13" x14ac:dyDescent="0.35">
      <c r="A1934" s="11"/>
      <c r="B1934" s="12"/>
      <c r="C1934" s="12"/>
      <c r="D1934" s="12"/>
      <c r="E1934" s="13"/>
      <c r="F1934" s="13"/>
      <c r="G1934" s="13"/>
      <c r="H1934" s="13"/>
      <c r="I1934" s="12"/>
      <c r="J1934" s="13"/>
      <c r="K1934" s="14" t="str">
        <f>IF(C1934="","",IFERROR(N('Fee Settings'!$C$5)*(E1934+N(F1934)-N(J1934))+N('Fee Settings'!$C$6)*(E1934+N(F1934)+N(G1934))+N('Fee Settings'!$C$7)+N('Fee Settings'!$C$10)*D1934+IF(I1934="Yes",MIN(N('Fee Settings'!$C$8)*(E1934+N(F1934)),N('Fee Settings'!$C$9)),0),""))</f>
        <v/>
      </c>
      <c r="L1934" s="14" t="str">
        <f>IF(C1934="","",IFERROR(D1934*N(INDEX(Products!$C$5:$C$29,MATCH(C1934,Lists!$A$2:$A$26,0))),""))</f>
        <v/>
      </c>
      <c r="M1934" s="15" t="str">
        <f t="shared" si="30"/>
        <v/>
      </c>
    </row>
    <row r="1935" spans="1:13" x14ac:dyDescent="0.35">
      <c r="A1935" s="11"/>
      <c r="B1935" s="12"/>
      <c r="C1935" s="12"/>
      <c r="D1935" s="12"/>
      <c r="E1935" s="13"/>
      <c r="F1935" s="13"/>
      <c r="G1935" s="13"/>
      <c r="H1935" s="13"/>
      <c r="I1935" s="12"/>
      <c r="J1935" s="13"/>
      <c r="K1935" s="14" t="str">
        <f>IF(C1935="","",IFERROR(N('Fee Settings'!$C$5)*(E1935+N(F1935)-N(J1935))+N('Fee Settings'!$C$6)*(E1935+N(F1935)+N(G1935))+N('Fee Settings'!$C$7)+N('Fee Settings'!$C$10)*D1935+IF(I1935="Yes",MIN(N('Fee Settings'!$C$8)*(E1935+N(F1935)),N('Fee Settings'!$C$9)),0),""))</f>
        <v/>
      </c>
      <c r="L1935" s="14" t="str">
        <f>IF(C1935="","",IFERROR(D1935*N(INDEX(Products!$C$5:$C$29,MATCH(C1935,Lists!$A$2:$A$26,0))),""))</f>
        <v/>
      </c>
      <c r="M1935" s="15" t="str">
        <f t="shared" si="30"/>
        <v/>
      </c>
    </row>
    <row r="1936" spans="1:13" x14ac:dyDescent="0.35">
      <c r="A1936" s="11"/>
      <c r="B1936" s="12"/>
      <c r="C1936" s="12"/>
      <c r="D1936" s="12"/>
      <c r="E1936" s="13"/>
      <c r="F1936" s="13"/>
      <c r="G1936" s="13"/>
      <c r="H1936" s="13"/>
      <c r="I1936" s="12"/>
      <c r="J1936" s="13"/>
      <c r="K1936" s="14" t="str">
        <f>IF(C1936="","",IFERROR(N('Fee Settings'!$C$5)*(E1936+N(F1936)-N(J1936))+N('Fee Settings'!$C$6)*(E1936+N(F1936)+N(G1936))+N('Fee Settings'!$C$7)+N('Fee Settings'!$C$10)*D1936+IF(I1936="Yes",MIN(N('Fee Settings'!$C$8)*(E1936+N(F1936)),N('Fee Settings'!$C$9)),0),""))</f>
        <v/>
      </c>
      <c r="L1936" s="14" t="str">
        <f>IF(C1936="","",IFERROR(D1936*N(INDEX(Products!$C$5:$C$29,MATCH(C1936,Lists!$A$2:$A$26,0))),""))</f>
        <v/>
      </c>
      <c r="M1936" s="15" t="str">
        <f t="shared" si="30"/>
        <v/>
      </c>
    </row>
    <row r="1937" spans="1:13" x14ac:dyDescent="0.35">
      <c r="A1937" s="11"/>
      <c r="B1937" s="12"/>
      <c r="C1937" s="12"/>
      <c r="D1937" s="12"/>
      <c r="E1937" s="13"/>
      <c r="F1937" s="13"/>
      <c r="G1937" s="13"/>
      <c r="H1937" s="13"/>
      <c r="I1937" s="12"/>
      <c r="J1937" s="13"/>
      <c r="K1937" s="14" t="str">
        <f>IF(C1937="","",IFERROR(N('Fee Settings'!$C$5)*(E1937+N(F1937)-N(J1937))+N('Fee Settings'!$C$6)*(E1937+N(F1937)+N(G1937))+N('Fee Settings'!$C$7)+N('Fee Settings'!$C$10)*D1937+IF(I1937="Yes",MIN(N('Fee Settings'!$C$8)*(E1937+N(F1937)),N('Fee Settings'!$C$9)),0),""))</f>
        <v/>
      </c>
      <c r="L1937" s="14" t="str">
        <f>IF(C1937="","",IFERROR(D1937*N(INDEX(Products!$C$5:$C$29,MATCH(C1937,Lists!$A$2:$A$26,0))),""))</f>
        <v/>
      </c>
      <c r="M1937" s="15" t="str">
        <f t="shared" si="30"/>
        <v/>
      </c>
    </row>
    <row r="1938" spans="1:13" x14ac:dyDescent="0.35">
      <c r="A1938" s="11"/>
      <c r="B1938" s="12"/>
      <c r="C1938" s="12"/>
      <c r="D1938" s="12"/>
      <c r="E1938" s="13"/>
      <c r="F1938" s="13"/>
      <c r="G1938" s="13"/>
      <c r="H1938" s="13"/>
      <c r="I1938" s="12"/>
      <c r="J1938" s="13"/>
      <c r="K1938" s="14" t="str">
        <f>IF(C1938="","",IFERROR(N('Fee Settings'!$C$5)*(E1938+N(F1938)-N(J1938))+N('Fee Settings'!$C$6)*(E1938+N(F1938)+N(G1938))+N('Fee Settings'!$C$7)+N('Fee Settings'!$C$10)*D1938+IF(I1938="Yes",MIN(N('Fee Settings'!$C$8)*(E1938+N(F1938)),N('Fee Settings'!$C$9)),0),""))</f>
        <v/>
      </c>
      <c r="L1938" s="14" t="str">
        <f>IF(C1938="","",IFERROR(D1938*N(INDEX(Products!$C$5:$C$29,MATCH(C1938,Lists!$A$2:$A$26,0))),""))</f>
        <v/>
      </c>
      <c r="M1938" s="15" t="str">
        <f t="shared" si="30"/>
        <v/>
      </c>
    </row>
    <row r="1939" spans="1:13" x14ac:dyDescent="0.35">
      <c r="A1939" s="11"/>
      <c r="B1939" s="12"/>
      <c r="C1939" s="12"/>
      <c r="D1939" s="12"/>
      <c r="E1939" s="13"/>
      <c r="F1939" s="13"/>
      <c r="G1939" s="13"/>
      <c r="H1939" s="13"/>
      <c r="I1939" s="12"/>
      <c r="J1939" s="13"/>
      <c r="K1939" s="14" t="str">
        <f>IF(C1939="","",IFERROR(N('Fee Settings'!$C$5)*(E1939+N(F1939)-N(J1939))+N('Fee Settings'!$C$6)*(E1939+N(F1939)+N(G1939))+N('Fee Settings'!$C$7)+N('Fee Settings'!$C$10)*D1939+IF(I1939="Yes",MIN(N('Fee Settings'!$C$8)*(E1939+N(F1939)),N('Fee Settings'!$C$9)),0),""))</f>
        <v/>
      </c>
      <c r="L1939" s="14" t="str">
        <f>IF(C1939="","",IFERROR(D1939*N(INDEX(Products!$C$5:$C$29,MATCH(C1939,Lists!$A$2:$A$26,0))),""))</f>
        <v/>
      </c>
      <c r="M1939" s="15" t="str">
        <f t="shared" si="30"/>
        <v/>
      </c>
    </row>
    <row r="1940" spans="1:13" x14ac:dyDescent="0.35">
      <c r="A1940" s="11"/>
      <c r="B1940" s="12"/>
      <c r="C1940" s="12"/>
      <c r="D1940" s="12"/>
      <c r="E1940" s="13"/>
      <c r="F1940" s="13"/>
      <c r="G1940" s="13"/>
      <c r="H1940" s="13"/>
      <c r="I1940" s="12"/>
      <c r="J1940" s="13"/>
      <c r="K1940" s="14" t="str">
        <f>IF(C1940="","",IFERROR(N('Fee Settings'!$C$5)*(E1940+N(F1940)-N(J1940))+N('Fee Settings'!$C$6)*(E1940+N(F1940)+N(G1940))+N('Fee Settings'!$C$7)+N('Fee Settings'!$C$10)*D1940+IF(I1940="Yes",MIN(N('Fee Settings'!$C$8)*(E1940+N(F1940)),N('Fee Settings'!$C$9)),0),""))</f>
        <v/>
      </c>
      <c r="L1940" s="14" t="str">
        <f>IF(C1940="","",IFERROR(D1940*N(INDEX(Products!$C$5:$C$29,MATCH(C1940,Lists!$A$2:$A$26,0))),""))</f>
        <v/>
      </c>
      <c r="M1940" s="15" t="str">
        <f t="shared" si="30"/>
        <v/>
      </c>
    </row>
    <row r="1941" spans="1:13" x14ac:dyDescent="0.35">
      <c r="A1941" s="11"/>
      <c r="B1941" s="12"/>
      <c r="C1941" s="12"/>
      <c r="D1941" s="12"/>
      <c r="E1941" s="13"/>
      <c r="F1941" s="13"/>
      <c r="G1941" s="13"/>
      <c r="H1941" s="13"/>
      <c r="I1941" s="12"/>
      <c r="J1941" s="13"/>
      <c r="K1941" s="14" t="str">
        <f>IF(C1941="","",IFERROR(N('Fee Settings'!$C$5)*(E1941+N(F1941)-N(J1941))+N('Fee Settings'!$C$6)*(E1941+N(F1941)+N(G1941))+N('Fee Settings'!$C$7)+N('Fee Settings'!$C$10)*D1941+IF(I1941="Yes",MIN(N('Fee Settings'!$C$8)*(E1941+N(F1941)),N('Fee Settings'!$C$9)),0),""))</f>
        <v/>
      </c>
      <c r="L1941" s="14" t="str">
        <f>IF(C1941="","",IFERROR(D1941*N(INDEX(Products!$C$5:$C$29,MATCH(C1941,Lists!$A$2:$A$26,0))),""))</f>
        <v/>
      </c>
      <c r="M1941" s="15" t="str">
        <f t="shared" si="30"/>
        <v/>
      </c>
    </row>
    <row r="1942" spans="1:13" x14ac:dyDescent="0.35">
      <c r="A1942" s="11"/>
      <c r="B1942" s="12"/>
      <c r="C1942" s="12"/>
      <c r="D1942" s="12"/>
      <c r="E1942" s="13"/>
      <c r="F1942" s="13"/>
      <c r="G1942" s="13"/>
      <c r="H1942" s="13"/>
      <c r="I1942" s="12"/>
      <c r="J1942" s="13"/>
      <c r="K1942" s="14" t="str">
        <f>IF(C1942="","",IFERROR(N('Fee Settings'!$C$5)*(E1942+N(F1942)-N(J1942))+N('Fee Settings'!$C$6)*(E1942+N(F1942)+N(G1942))+N('Fee Settings'!$C$7)+N('Fee Settings'!$C$10)*D1942+IF(I1942="Yes",MIN(N('Fee Settings'!$C$8)*(E1942+N(F1942)),N('Fee Settings'!$C$9)),0),""))</f>
        <v/>
      </c>
      <c r="L1942" s="14" t="str">
        <f>IF(C1942="","",IFERROR(D1942*N(INDEX(Products!$C$5:$C$29,MATCH(C1942,Lists!$A$2:$A$26,0))),""))</f>
        <v/>
      </c>
      <c r="M1942" s="15" t="str">
        <f t="shared" si="30"/>
        <v/>
      </c>
    </row>
    <row r="1943" spans="1:13" x14ac:dyDescent="0.35">
      <c r="A1943" s="11"/>
      <c r="B1943" s="12"/>
      <c r="C1943" s="12"/>
      <c r="D1943" s="12"/>
      <c r="E1943" s="13"/>
      <c r="F1943" s="13"/>
      <c r="G1943" s="13"/>
      <c r="H1943" s="13"/>
      <c r="I1943" s="12"/>
      <c r="J1943" s="13"/>
      <c r="K1943" s="14" t="str">
        <f>IF(C1943="","",IFERROR(N('Fee Settings'!$C$5)*(E1943+N(F1943)-N(J1943))+N('Fee Settings'!$C$6)*(E1943+N(F1943)+N(G1943))+N('Fee Settings'!$C$7)+N('Fee Settings'!$C$10)*D1943+IF(I1943="Yes",MIN(N('Fee Settings'!$C$8)*(E1943+N(F1943)),N('Fee Settings'!$C$9)),0),""))</f>
        <v/>
      </c>
      <c r="L1943" s="14" t="str">
        <f>IF(C1943="","",IFERROR(D1943*N(INDEX(Products!$C$5:$C$29,MATCH(C1943,Lists!$A$2:$A$26,0))),""))</f>
        <v/>
      </c>
      <c r="M1943" s="15" t="str">
        <f t="shared" si="30"/>
        <v/>
      </c>
    </row>
    <row r="1944" spans="1:13" x14ac:dyDescent="0.35">
      <c r="A1944" s="11"/>
      <c r="B1944" s="12"/>
      <c r="C1944" s="12"/>
      <c r="D1944" s="12"/>
      <c r="E1944" s="13"/>
      <c r="F1944" s="13"/>
      <c r="G1944" s="13"/>
      <c r="H1944" s="13"/>
      <c r="I1944" s="12"/>
      <c r="J1944" s="13"/>
      <c r="K1944" s="14" t="str">
        <f>IF(C1944="","",IFERROR(N('Fee Settings'!$C$5)*(E1944+N(F1944)-N(J1944))+N('Fee Settings'!$C$6)*(E1944+N(F1944)+N(G1944))+N('Fee Settings'!$C$7)+N('Fee Settings'!$C$10)*D1944+IF(I1944="Yes",MIN(N('Fee Settings'!$C$8)*(E1944+N(F1944)),N('Fee Settings'!$C$9)),0),""))</f>
        <v/>
      </c>
      <c r="L1944" s="14" t="str">
        <f>IF(C1944="","",IFERROR(D1944*N(INDEX(Products!$C$5:$C$29,MATCH(C1944,Lists!$A$2:$A$26,0))),""))</f>
        <v/>
      </c>
      <c r="M1944" s="15" t="str">
        <f t="shared" si="30"/>
        <v/>
      </c>
    </row>
    <row r="1945" spans="1:13" x14ac:dyDescent="0.35">
      <c r="A1945" s="11"/>
      <c r="B1945" s="12"/>
      <c r="C1945" s="12"/>
      <c r="D1945" s="12"/>
      <c r="E1945" s="13"/>
      <c r="F1945" s="13"/>
      <c r="G1945" s="13"/>
      <c r="H1945" s="13"/>
      <c r="I1945" s="12"/>
      <c r="J1945" s="13"/>
      <c r="K1945" s="14" t="str">
        <f>IF(C1945="","",IFERROR(N('Fee Settings'!$C$5)*(E1945+N(F1945)-N(J1945))+N('Fee Settings'!$C$6)*(E1945+N(F1945)+N(G1945))+N('Fee Settings'!$C$7)+N('Fee Settings'!$C$10)*D1945+IF(I1945="Yes",MIN(N('Fee Settings'!$C$8)*(E1945+N(F1945)),N('Fee Settings'!$C$9)),0),""))</f>
        <v/>
      </c>
      <c r="L1945" s="14" t="str">
        <f>IF(C1945="","",IFERROR(D1945*N(INDEX(Products!$C$5:$C$29,MATCH(C1945,Lists!$A$2:$A$26,0))),""))</f>
        <v/>
      </c>
      <c r="M1945" s="15" t="str">
        <f t="shared" si="30"/>
        <v/>
      </c>
    </row>
    <row r="1946" spans="1:13" x14ac:dyDescent="0.35">
      <c r="A1946" s="11"/>
      <c r="B1946" s="12"/>
      <c r="C1946" s="12"/>
      <c r="D1946" s="12"/>
      <c r="E1946" s="13"/>
      <c r="F1946" s="13"/>
      <c r="G1946" s="13"/>
      <c r="H1946" s="13"/>
      <c r="I1946" s="12"/>
      <c r="J1946" s="13"/>
      <c r="K1946" s="14" t="str">
        <f>IF(C1946="","",IFERROR(N('Fee Settings'!$C$5)*(E1946+N(F1946)-N(J1946))+N('Fee Settings'!$C$6)*(E1946+N(F1946)+N(G1946))+N('Fee Settings'!$C$7)+N('Fee Settings'!$C$10)*D1946+IF(I1946="Yes",MIN(N('Fee Settings'!$C$8)*(E1946+N(F1946)),N('Fee Settings'!$C$9)),0),""))</f>
        <v/>
      </c>
      <c r="L1946" s="14" t="str">
        <f>IF(C1946="","",IFERROR(D1946*N(INDEX(Products!$C$5:$C$29,MATCH(C1946,Lists!$A$2:$A$26,0))),""))</f>
        <v/>
      </c>
      <c r="M1946" s="15" t="str">
        <f t="shared" si="30"/>
        <v/>
      </c>
    </row>
    <row r="1947" spans="1:13" x14ac:dyDescent="0.35">
      <c r="A1947" s="11"/>
      <c r="B1947" s="12"/>
      <c r="C1947" s="12"/>
      <c r="D1947" s="12"/>
      <c r="E1947" s="13"/>
      <c r="F1947" s="13"/>
      <c r="G1947" s="13"/>
      <c r="H1947" s="13"/>
      <c r="I1947" s="12"/>
      <c r="J1947" s="13"/>
      <c r="K1947" s="14" t="str">
        <f>IF(C1947="","",IFERROR(N('Fee Settings'!$C$5)*(E1947+N(F1947)-N(J1947))+N('Fee Settings'!$C$6)*(E1947+N(F1947)+N(G1947))+N('Fee Settings'!$C$7)+N('Fee Settings'!$C$10)*D1947+IF(I1947="Yes",MIN(N('Fee Settings'!$C$8)*(E1947+N(F1947)),N('Fee Settings'!$C$9)),0),""))</f>
        <v/>
      </c>
      <c r="L1947" s="14" t="str">
        <f>IF(C1947="","",IFERROR(D1947*N(INDEX(Products!$C$5:$C$29,MATCH(C1947,Lists!$A$2:$A$26,0))),""))</f>
        <v/>
      </c>
      <c r="M1947" s="15" t="str">
        <f t="shared" si="30"/>
        <v/>
      </c>
    </row>
    <row r="1948" spans="1:13" x14ac:dyDescent="0.35">
      <c r="A1948" s="11"/>
      <c r="B1948" s="12"/>
      <c r="C1948" s="12"/>
      <c r="D1948" s="12"/>
      <c r="E1948" s="13"/>
      <c r="F1948" s="13"/>
      <c r="G1948" s="13"/>
      <c r="H1948" s="13"/>
      <c r="I1948" s="12"/>
      <c r="J1948" s="13"/>
      <c r="K1948" s="14" t="str">
        <f>IF(C1948="","",IFERROR(N('Fee Settings'!$C$5)*(E1948+N(F1948)-N(J1948))+N('Fee Settings'!$C$6)*(E1948+N(F1948)+N(G1948))+N('Fee Settings'!$C$7)+N('Fee Settings'!$C$10)*D1948+IF(I1948="Yes",MIN(N('Fee Settings'!$C$8)*(E1948+N(F1948)),N('Fee Settings'!$C$9)),0),""))</f>
        <v/>
      </c>
      <c r="L1948" s="14" t="str">
        <f>IF(C1948="","",IFERROR(D1948*N(INDEX(Products!$C$5:$C$29,MATCH(C1948,Lists!$A$2:$A$26,0))),""))</f>
        <v/>
      </c>
      <c r="M1948" s="15" t="str">
        <f t="shared" si="30"/>
        <v/>
      </c>
    </row>
    <row r="1949" spans="1:13" x14ac:dyDescent="0.35">
      <c r="A1949" s="11"/>
      <c r="B1949" s="12"/>
      <c r="C1949" s="12"/>
      <c r="D1949" s="12"/>
      <c r="E1949" s="13"/>
      <c r="F1949" s="13"/>
      <c r="G1949" s="13"/>
      <c r="H1949" s="13"/>
      <c r="I1949" s="12"/>
      <c r="J1949" s="13"/>
      <c r="K1949" s="14" t="str">
        <f>IF(C1949="","",IFERROR(N('Fee Settings'!$C$5)*(E1949+N(F1949)-N(J1949))+N('Fee Settings'!$C$6)*(E1949+N(F1949)+N(G1949))+N('Fee Settings'!$C$7)+N('Fee Settings'!$C$10)*D1949+IF(I1949="Yes",MIN(N('Fee Settings'!$C$8)*(E1949+N(F1949)),N('Fee Settings'!$C$9)),0),""))</f>
        <v/>
      </c>
      <c r="L1949" s="14" t="str">
        <f>IF(C1949="","",IFERROR(D1949*N(INDEX(Products!$C$5:$C$29,MATCH(C1949,Lists!$A$2:$A$26,0))),""))</f>
        <v/>
      </c>
      <c r="M1949" s="15" t="str">
        <f t="shared" si="30"/>
        <v/>
      </c>
    </row>
    <row r="1950" spans="1:13" x14ac:dyDescent="0.35">
      <c r="A1950" s="11"/>
      <c r="B1950" s="12"/>
      <c r="C1950" s="12"/>
      <c r="D1950" s="12"/>
      <c r="E1950" s="13"/>
      <c r="F1950" s="13"/>
      <c r="G1950" s="13"/>
      <c r="H1950" s="13"/>
      <c r="I1950" s="12"/>
      <c r="J1950" s="13"/>
      <c r="K1950" s="14" t="str">
        <f>IF(C1950="","",IFERROR(N('Fee Settings'!$C$5)*(E1950+N(F1950)-N(J1950))+N('Fee Settings'!$C$6)*(E1950+N(F1950)+N(G1950))+N('Fee Settings'!$C$7)+N('Fee Settings'!$C$10)*D1950+IF(I1950="Yes",MIN(N('Fee Settings'!$C$8)*(E1950+N(F1950)),N('Fee Settings'!$C$9)),0),""))</f>
        <v/>
      </c>
      <c r="L1950" s="14" t="str">
        <f>IF(C1950="","",IFERROR(D1950*N(INDEX(Products!$C$5:$C$29,MATCH(C1950,Lists!$A$2:$A$26,0))),""))</f>
        <v/>
      </c>
      <c r="M1950" s="15" t="str">
        <f t="shared" si="30"/>
        <v/>
      </c>
    </row>
    <row r="1951" spans="1:13" x14ac:dyDescent="0.35">
      <c r="A1951" s="11"/>
      <c r="B1951" s="12"/>
      <c r="C1951" s="12"/>
      <c r="D1951" s="12"/>
      <c r="E1951" s="13"/>
      <c r="F1951" s="13"/>
      <c r="G1951" s="13"/>
      <c r="H1951" s="13"/>
      <c r="I1951" s="12"/>
      <c r="J1951" s="13"/>
      <c r="K1951" s="14" t="str">
        <f>IF(C1951="","",IFERROR(N('Fee Settings'!$C$5)*(E1951+N(F1951)-N(J1951))+N('Fee Settings'!$C$6)*(E1951+N(F1951)+N(G1951))+N('Fee Settings'!$C$7)+N('Fee Settings'!$C$10)*D1951+IF(I1951="Yes",MIN(N('Fee Settings'!$C$8)*(E1951+N(F1951)),N('Fee Settings'!$C$9)),0),""))</f>
        <v/>
      </c>
      <c r="L1951" s="14" t="str">
        <f>IF(C1951="","",IFERROR(D1951*N(INDEX(Products!$C$5:$C$29,MATCH(C1951,Lists!$A$2:$A$26,0))),""))</f>
        <v/>
      </c>
      <c r="M1951" s="15" t="str">
        <f t="shared" si="30"/>
        <v/>
      </c>
    </row>
    <row r="1952" spans="1:13" x14ac:dyDescent="0.35">
      <c r="A1952" s="11"/>
      <c r="B1952" s="12"/>
      <c r="C1952" s="12"/>
      <c r="D1952" s="12"/>
      <c r="E1952" s="13"/>
      <c r="F1952" s="13"/>
      <c r="G1952" s="13"/>
      <c r="H1952" s="13"/>
      <c r="I1952" s="12"/>
      <c r="J1952" s="13"/>
      <c r="K1952" s="14" t="str">
        <f>IF(C1952="","",IFERROR(N('Fee Settings'!$C$5)*(E1952+N(F1952)-N(J1952))+N('Fee Settings'!$C$6)*(E1952+N(F1952)+N(G1952))+N('Fee Settings'!$C$7)+N('Fee Settings'!$C$10)*D1952+IF(I1952="Yes",MIN(N('Fee Settings'!$C$8)*(E1952+N(F1952)),N('Fee Settings'!$C$9)),0),""))</f>
        <v/>
      </c>
      <c r="L1952" s="14" t="str">
        <f>IF(C1952="","",IFERROR(D1952*N(INDEX(Products!$C$5:$C$29,MATCH(C1952,Lists!$A$2:$A$26,0))),""))</f>
        <v/>
      </c>
      <c r="M1952" s="15" t="str">
        <f t="shared" si="30"/>
        <v/>
      </c>
    </row>
    <row r="1953" spans="1:13" x14ac:dyDescent="0.35">
      <c r="A1953" s="11"/>
      <c r="B1953" s="12"/>
      <c r="C1953" s="12"/>
      <c r="D1953" s="12"/>
      <c r="E1953" s="13"/>
      <c r="F1953" s="13"/>
      <c r="G1953" s="13"/>
      <c r="H1953" s="13"/>
      <c r="I1953" s="12"/>
      <c r="J1953" s="13"/>
      <c r="K1953" s="14" t="str">
        <f>IF(C1953="","",IFERROR(N('Fee Settings'!$C$5)*(E1953+N(F1953)-N(J1953))+N('Fee Settings'!$C$6)*(E1953+N(F1953)+N(G1953))+N('Fee Settings'!$C$7)+N('Fee Settings'!$C$10)*D1953+IF(I1953="Yes",MIN(N('Fee Settings'!$C$8)*(E1953+N(F1953)),N('Fee Settings'!$C$9)),0),""))</f>
        <v/>
      </c>
      <c r="L1953" s="14" t="str">
        <f>IF(C1953="","",IFERROR(D1953*N(INDEX(Products!$C$5:$C$29,MATCH(C1953,Lists!$A$2:$A$26,0))),""))</f>
        <v/>
      </c>
      <c r="M1953" s="15" t="str">
        <f t="shared" si="30"/>
        <v/>
      </c>
    </row>
    <row r="1954" spans="1:13" x14ac:dyDescent="0.35">
      <c r="A1954" s="11"/>
      <c r="B1954" s="12"/>
      <c r="C1954" s="12"/>
      <c r="D1954" s="12"/>
      <c r="E1954" s="13"/>
      <c r="F1954" s="13"/>
      <c r="G1954" s="13"/>
      <c r="H1954" s="13"/>
      <c r="I1954" s="12"/>
      <c r="J1954" s="13"/>
      <c r="K1954" s="14" t="str">
        <f>IF(C1954="","",IFERROR(N('Fee Settings'!$C$5)*(E1954+N(F1954)-N(J1954))+N('Fee Settings'!$C$6)*(E1954+N(F1954)+N(G1954))+N('Fee Settings'!$C$7)+N('Fee Settings'!$C$10)*D1954+IF(I1954="Yes",MIN(N('Fee Settings'!$C$8)*(E1954+N(F1954)),N('Fee Settings'!$C$9)),0),""))</f>
        <v/>
      </c>
      <c r="L1954" s="14" t="str">
        <f>IF(C1954="","",IFERROR(D1954*N(INDEX(Products!$C$5:$C$29,MATCH(C1954,Lists!$A$2:$A$26,0))),""))</f>
        <v/>
      </c>
      <c r="M1954" s="15" t="str">
        <f t="shared" si="30"/>
        <v/>
      </c>
    </row>
    <row r="1955" spans="1:13" x14ac:dyDescent="0.35">
      <c r="A1955" s="11"/>
      <c r="B1955" s="12"/>
      <c r="C1955" s="12"/>
      <c r="D1955" s="12"/>
      <c r="E1955" s="13"/>
      <c r="F1955" s="13"/>
      <c r="G1955" s="13"/>
      <c r="H1955" s="13"/>
      <c r="I1955" s="12"/>
      <c r="J1955" s="13"/>
      <c r="K1955" s="14" t="str">
        <f>IF(C1955="","",IFERROR(N('Fee Settings'!$C$5)*(E1955+N(F1955)-N(J1955))+N('Fee Settings'!$C$6)*(E1955+N(F1955)+N(G1955))+N('Fee Settings'!$C$7)+N('Fee Settings'!$C$10)*D1955+IF(I1955="Yes",MIN(N('Fee Settings'!$C$8)*(E1955+N(F1955)),N('Fee Settings'!$C$9)),0),""))</f>
        <v/>
      </c>
      <c r="L1955" s="14" t="str">
        <f>IF(C1955="","",IFERROR(D1955*N(INDEX(Products!$C$5:$C$29,MATCH(C1955,Lists!$A$2:$A$26,0))),""))</f>
        <v/>
      </c>
      <c r="M1955" s="15" t="str">
        <f t="shared" si="30"/>
        <v/>
      </c>
    </row>
    <row r="1956" spans="1:13" x14ac:dyDescent="0.35">
      <c r="A1956" s="11"/>
      <c r="B1956" s="12"/>
      <c r="C1956" s="12"/>
      <c r="D1956" s="12"/>
      <c r="E1956" s="13"/>
      <c r="F1956" s="13"/>
      <c r="G1956" s="13"/>
      <c r="H1956" s="13"/>
      <c r="I1956" s="12"/>
      <c r="J1956" s="13"/>
      <c r="K1956" s="14" t="str">
        <f>IF(C1956="","",IFERROR(N('Fee Settings'!$C$5)*(E1956+N(F1956)-N(J1956))+N('Fee Settings'!$C$6)*(E1956+N(F1956)+N(G1956))+N('Fee Settings'!$C$7)+N('Fee Settings'!$C$10)*D1956+IF(I1956="Yes",MIN(N('Fee Settings'!$C$8)*(E1956+N(F1956)),N('Fee Settings'!$C$9)),0),""))</f>
        <v/>
      </c>
      <c r="L1956" s="14" t="str">
        <f>IF(C1956="","",IFERROR(D1956*N(INDEX(Products!$C$5:$C$29,MATCH(C1956,Lists!$A$2:$A$26,0))),""))</f>
        <v/>
      </c>
      <c r="M1956" s="15" t="str">
        <f t="shared" si="30"/>
        <v/>
      </c>
    </row>
    <row r="1957" spans="1:13" x14ac:dyDescent="0.35">
      <c r="A1957" s="11"/>
      <c r="B1957" s="12"/>
      <c r="C1957" s="12"/>
      <c r="D1957" s="12"/>
      <c r="E1957" s="13"/>
      <c r="F1957" s="13"/>
      <c r="G1957" s="13"/>
      <c r="H1957" s="13"/>
      <c r="I1957" s="12"/>
      <c r="J1957" s="13"/>
      <c r="K1957" s="14" t="str">
        <f>IF(C1957="","",IFERROR(N('Fee Settings'!$C$5)*(E1957+N(F1957)-N(J1957))+N('Fee Settings'!$C$6)*(E1957+N(F1957)+N(G1957))+N('Fee Settings'!$C$7)+N('Fee Settings'!$C$10)*D1957+IF(I1957="Yes",MIN(N('Fee Settings'!$C$8)*(E1957+N(F1957)),N('Fee Settings'!$C$9)),0),""))</f>
        <v/>
      </c>
      <c r="L1957" s="14" t="str">
        <f>IF(C1957="","",IFERROR(D1957*N(INDEX(Products!$C$5:$C$29,MATCH(C1957,Lists!$A$2:$A$26,0))),""))</f>
        <v/>
      </c>
      <c r="M1957" s="15" t="str">
        <f t="shared" si="30"/>
        <v/>
      </c>
    </row>
    <row r="1958" spans="1:13" x14ac:dyDescent="0.35">
      <c r="A1958" s="11"/>
      <c r="B1958" s="12"/>
      <c r="C1958" s="12"/>
      <c r="D1958" s="12"/>
      <c r="E1958" s="13"/>
      <c r="F1958" s="13"/>
      <c r="G1958" s="13"/>
      <c r="H1958" s="13"/>
      <c r="I1958" s="12"/>
      <c r="J1958" s="13"/>
      <c r="K1958" s="14" t="str">
        <f>IF(C1958="","",IFERROR(N('Fee Settings'!$C$5)*(E1958+N(F1958)-N(J1958))+N('Fee Settings'!$C$6)*(E1958+N(F1958)+N(G1958))+N('Fee Settings'!$C$7)+N('Fee Settings'!$C$10)*D1958+IF(I1958="Yes",MIN(N('Fee Settings'!$C$8)*(E1958+N(F1958)),N('Fee Settings'!$C$9)),0),""))</f>
        <v/>
      </c>
      <c r="L1958" s="14" t="str">
        <f>IF(C1958="","",IFERROR(D1958*N(INDEX(Products!$C$5:$C$29,MATCH(C1958,Lists!$A$2:$A$26,0))),""))</f>
        <v/>
      </c>
      <c r="M1958" s="15" t="str">
        <f t="shared" si="30"/>
        <v/>
      </c>
    </row>
    <row r="1959" spans="1:13" x14ac:dyDescent="0.35">
      <c r="A1959" s="11"/>
      <c r="B1959" s="12"/>
      <c r="C1959" s="12"/>
      <c r="D1959" s="12"/>
      <c r="E1959" s="13"/>
      <c r="F1959" s="13"/>
      <c r="G1959" s="13"/>
      <c r="H1959" s="13"/>
      <c r="I1959" s="12"/>
      <c r="J1959" s="13"/>
      <c r="K1959" s="14" t="str">
        <f>IF(C1959="","",IFERROR(N('Fee Settings'!$C$5)*(E1959+N(F1959)-N(J1959))+N('Fee Settings'!$C$6)*(E1959+N(F1959)+N(G1959))+N('Fee Settings'!$C$7)+N('Fee Settings'!$C$10)*D1959+IF(I1959="Yes",MIN(N('Fee Settings'!$C$8)*(E1959+N(F1959)),N('Fee Settings'!$C$9)),0),""))</f>
        <v/>
      </c>
      <c r="L1959" s="14" t="str">
        <f>IF(C1959="","",IFERROR(D1959*N(INDEX(Products!$C$5:$C$29,MATCH(C1959,Lists!$A$2:$A$26,0))),""))</f>
        <v/>
      </c>
      <c r="M1959" s="15" t="str">
        <f t="shared" si="30"/>
        <v/>
      </c>
    </row>
    <row r="1960" spans="1:13" x14ac:dyDescent="0.35">
      <c r="A1960" s="11"/>
      <c r="B1960" s="12"/>
      <c r="C1960" s="12"/>
      <c r="D1960" s="12"/>
      <c r="E1960" s="13"/>
      <c r="F1960" s="13"/>
      <c r="G1960" s="13"/>
      <c r="H1960" s="13"/>
      <c r="I1960" s="12"/>
      <c r="J1960" s="13"/>
      <c r="K1960" s="14" t="str">
        <f>IF(C1960="","",IFERROR(N('Fee Settings'!$C$5)*(E1960+N(F1960)-N(J1960))+N('Fee Settings'!$C$6)*(E1960+N(F1960)+N(G1960))+N('Fee Settings'!$C$7)+N('Fee Settings'!$C$10)*D1960+IF(I1960="Yes",MIN(N('Fee Settings'!$C$8)*(E1960+N(F1960)),N('Fee Settings'!$C$9)),0),""))</f>
        <v/>
      </c>
      <c r="L1960" s="14" t="str">
        <f>IF(C1960="","",IFERROR(D1960*N(INDEX(Products!$C$5:$C$29,MATCH(C1960,Lists!$A$2:$A$26,0))),""))</f>
        <v/>
      </c>
      <c r="M1960" s="15" t="str">
        <f t="shared" si="30"/>
        <v/>
      </c>
    </row>
    <row r="1961" spans="1:13" x14ac:dyDescent="0.35">
      <c r="A1961" s="11"/>
      <c r="B1961" s="12"/>
      <c r="C1961" s="12"/>
      <c r="D1961" s="12"/>
      <c r="E1961" s="13"/>
      <c r="F1961" s="13"/>
      <c r="G1961" s="13"/>
      <c r="H1961" s="13"/>
      <c r="I1961" s="12"/>
      <c r="J1961" s="13"/>
      <c r="K1961" s="14" t="str">
        <f>IF(C1961="","",IFERROR(N('Fee Settings'!$C$5)*(E1961+N(F1961)-N(J1961))+N('Fee Settings'!$C$6)*(E1961+N(F1961)+N(G1961))+N('Fee Settings'!$C$7)+N('Fee Settings'!$C$10)*D1961+IF(I1961="Yes",MIN(N('Fee Settings'!$C$8)*(E1961+N(F1961)),N('Fee Settings'!$C$9)),0),""))</f>
        <v/>
      </c>
      <c r="L1961" s="14" t="str">
        <f>IF(C1961="","",IFERROR(D1961*N(INDEX(Products!$C$5:$C$29,MATCH(C1961,Lists!$A$2:$A$26,0))),""))</f>
        <v/>
      </c>
      <c r="M1961" s="15" t="str">
        <f t="shared" si="30"/>
        <v/>
      </c>
    </row>
    <row r="1962" spans="1:13" x14ac:dyDescent="0.35">
      <c r="A1962" s="11"/>
      <c r="B1962" s="12"/>
      <c r="C1962" s="12"/>
      <c r="D1962" s="12"/>
      <c r="E1962" s="13"/>
      <c r="F1962" s="13"/>
      <c r="G1962" s="13"/>
      <c r="H1962" s="13"/>
      <c r="I1962" s="12"/>
      <c r="J1962" s="13"/>
      <c r="K1962" s="14" t="str">
        <f>IF(C1962="","",IFERROR(N('Fee Settings'!$C$5)*(E1962+N(F1962)-N(J1962))+N('Fee Settings'!$C$6)*(E1962+N(F1962)+N(G1962))+N('Fee Settings'!$C$7)+N('Fee Settings'!$C$10)*D1962+IF(I1962="Yes",MIN(N('Fee Settings'!$C$8)*(E1962+N(F1962)),N('Fee Settings'!$C$9)),0),""))</f>
        <v/>
      </c>
      <c r="L1962" s="14" t="str">
        <f>IF(C1962="","",IFERROR(D1962*N(INDEX(Products!$C$5:$C$29,MATCH(C1962,Lists!$A$2:$A$26,0))),""))</f>
        <v/>
      </c>
      <c r="M1962" s="15" t="str">
        <f t="shared" si="30"/>
        <v/>
      </c>
    </row>
    <row r="1963" spans="1:13" x14ac:dyDescent="0.35">
      <c r="A1963" s="11"/>
      <c r="B1963" s="12"/>
      <c r="C1963" s="12"/>
      <c r="D1963" s="12"/>
      <c r="E1963" s="13"/>
      <c r="F1963" s="13"/>
      <c r="G1963" s="13"/>
      <c r="H1963" s="13"/>
      <c r="I1963" s="12"/>
      <c r="J1963" s="13"/>
      <c r="K1963" s="14" t="str">
        <f>IF(C1963="","",IFERROR(N('Fee Settings'!$C$5)*(E1963+N(F1963)-N(J1963))+N('Fee Settings'!$C$6)*(E1963+N(F1963)+N(G1963))+N('Fee Settings'!$C$7)+N('Fee Settings'!$C$10)*D1963+IF(I1963="Yes",MIN(N('Fee Settings'!$C$8)*(E1963+N(F1963)),N('Fee Settings'!$C$9)),0),""))</f>
        <v/>
      </c>
      <c r="L1963" s="14" t="str">
        <f>IF(C1963="","",IFERROR(D1963*N(INDEX(Products!$C$5:$C$29,MATCH(C1963,Lists!$A$2:$A$26,0))),""))</f>
        <v/>
      </c>
      <c r="M1963" s="15" t="str">
        <f t="shared" si="30"/>
        <v/>
      </c>
    </row>
    <row r="1964" spans="1:13" x14ac:dyDescent="0.35">
      <c r="A1964" s="11"/>
      <c r="B1964" s="12"/>
      <c r="C1964" s="12"/>
      <c r="D1964" s="12"/>
      <c r="E1964" s="13"/>
      <c r="F1964" s="13"/>
      <c r="G1964" s="13"/>
      <c r="H1964" s="13"/>
      <c r="I1964" s="12"/>
      <c r="J1964" s="13"/>
      <c r="K1964" s="14" t="str">
        <f>IF(C1964="","",IFERROR(N('Fee Settings'!$C$5)*(E1964+N(F1964)-N(J1964))+N('Fee Settings'!$C$6)*(E1964+N(F1964)+N(G1964))+N('Fee Settings'!$C$7)+N('Fee Settings'!$C$10)*D1964+IF(I1964="Yes",MIN(N('Fee Settings'!$C$8)*(E1964+N(F1964)),N('Fee Settings'!$C$9)),0),""))</f>
        <v/>
      </c>
      <c r="L1964" s="14" t="str">
        <f>IF(C1964="","",IFERROR(D1964*N(INDEX(Products!$C$5:$C$29,MATCH(C1964,Lists!$A$2:$A$26,0))),""))</f>
        <v/>
      </c>
      <c r="M1964" s="15" t="str">
        <f t="shared" si="30"/>
        <v/>
      </c>
    </row>
    <row r="1965" spans="1:13" x14ac:dyDescent="0.35">
      <c r="A1965" s="11"/>
      <c r="B1965" s="12"/>
      <c r="C1965" s="12"/>
      <c r="D1965" s="12"/>
      <c r="E1965" s="13"/>
      <c r="F1965" s="13"/>
      <c r="G1965" s="13"/>
      <c r="H1965" s="13"/>
      <c r="I1965" s="12"/>
      <c r="J1965" s="13"/>
      <c r="K1965" s="14" t="str">
        <f>IF(C1965="","",IFERROR(N('Fee Settings'!$C$5)*(E1965+N(F1965)-N(J1965))+N('Fee Settings'!$C$6)*(E1965+N(F1965)+N(G1965))+N('Fee Settings'!$C$7)+N('Fee Settings'!$C$10)*D1965+IF(I1965="Yes",MIN(N('Fee Settings'!$C$8)*(E1965+N(F1965)),N('Fee Settings'!$C$9)),0),""))</f>
        <v/>
      </c>
      <c r="L1965" s="14" t="str">
        <f>IF(C1965="","",IFERROR(D1965*N(INDEX(Products!$C$5:$C$29,MATCH(C1965,Lists!$A$2:$A$26,0))),""))</f>
        <v/>
      </c>
      <c r="M1965" s="15" t="str">
        <f t="shared" si="30"/>
        <v/>
      </c>
    </row>
    <row r="1966" spans="1:13" x14ac:dyDescent="0.35">
      <c r="A1966" s="11"/>
      <c r="B1966" s="12"/>
      <c r="C1966" s="12"/>
      <c r="D1966" s="12"/>
      <c r="E1966" s="13"/>
      <c r="F1966" s="13"/>
      <c r="G1966" s="13"/>
      <c r="H1966" s="13"/>
      <c r="I1966" s="12"/>
      <c r="J1966" s="13"/>
      <c r="K1966" s="14" t="str">
        <f>IF(C1966="","",IFERROR(N('Fee Settings'!$C$5)*(E1966+N(F1966)-N(J1966))+N('Fee Settings'!$C$6)*(E1966+N(F1966)+N(G1966))+N('Fee Settings'!$C$7)+N('Fee Settings'!$C$10)*D1966+IF(I1966="Yes",MIN(N('Fee Settings'!$C$8)*(E1966+N(F1966)),N('Fee Settings'!$C$9)),0),""))</f>
        <v/>
      </c>
      <c r="L1966" s="14" t="str">
        <f>IF(C1966="","",IFERROR(D1966*N(INDEX(Products!$C$5:$C$29,MATCH(C1966,Lists!$A$2:$A$26,0))),""))</f>
        <v/>
      </c>
      <c r="M1966" s="15" t="str">
        <f t="shared" si="30"/>
        <v/>
      </c>
    </row>
    <row r="1967" spans="1:13" x14ac:dyDescent="0.35">
      <c r="A1967" s="11"/>
      <c r="B1967" s="12"/>
      <c r="C1967" s="12"/>
      <c r="D1967" s="12"/>
      <c r="E1967" s="13"/>
      <c r="F1967" s="13"/>
      <c r="G1967" s="13"/>
      <c r="H1967" s="13"/>
      <c r="I1967" s="12"/>
      <c r="J1967" s="13"/>
      <c r="K1967" s="14" t="str">
        <f>IF(C1967="","",IFERROR(N('Fee Settings'!$C$5)*(E1967+N(F1967)-N(J1967))+N('Fee Settings'!$C$6)*(E1967+N(F1967)+N(G1967))+N('Fee Settings'!$C$7)+N('Fee Settings'!$C$10)*D1967+IF(I1967="Yes",MIN(N('Fee Settings'!$C$8)*(E1967+N(F1967)),N('Fee Settings'!$C$9)),0),""))</f>
        <v/>
      </c>
      <c r="L1967" s="14" t="str">
        <f>IF(C1967="","",IFERROR(D1967*N(INDEX(Products!$C$5:$C$29,MATCH(C1967,Lists!$A$2:$A$26,0))),""))</f>
        <v/>
      </c>
      <c r="M1967" s="15" t="str">
        <f t="shared" si="30"/>
        <v/>
      </c>
    </row>
    <row r="1968" spans="1:13" x14ac:dyDescent="0.35">
      <c r="A1968" s="11"/>
      <c r="B1968" s="12"/>
      <c r="C1968" s="12"/>
      <c r="D1968" s="12"/>
      <c r="E1968" s="13"/>
      <c r="F1968" s="13"/>
      <c r="G1968" s="13"/>
      <c r="H1968" s="13"/>
      <c r="I1968" s="12"/>
      <c r="J1968" s="13"/>
      <c r="K1968" s="14" t="str">
        <f>IF(C1968="","",IFERROR(N('Fee Settings'!$C$5)*(E1968+N(F1968)-N(J1968))+N('Fee Settings'!$C$6)*(E1968+N(F1968)+N(G1968))+N('Fee Settings'!$C$7)+N('Fee Settings'!$C$10)*D1968+IF(I1968="Yes",MIN(N('Fee Settings'!$C$8)*(E1968+N(F1968)),N('Fee Settings'!$C$9)),0),""))</f>
        <v/>
      </c>
      <c r="L1968" s="14" t="str">
        <f>IF(C1968="","",IFERROR(D1968*N(INDEX(Products!$C$5:$C$29,MATCH(C1968,Lists!$A$2:$A$26,0))),""))</f>
        <v/>
      </c>
      <c r="M1968" s="15" t="str">
        <f t="shared" si="30"/>
        <v/>
      </c>
    </row>
    <row r="1969" spans="1:13" x14ac:dyDescent="0.35">
      <c r="A1969" s="11"/>
      <c r="B1969" s="12"/>
      <c r="C1969" s="12"/>
      <c r="D1969" s="12"/>
      <c r="E1969" s="13"/>
      <c r="F1969" s="13"/>
      <c r="G1969" s="13"/>
      <c r="H1969" s="13"/>
      <c r="I1969" s="12"/>
      <c r="J1969" s="13"/>
      <c r="K1969" s="14" t="str">
        <f>IF(C1969="","",IFERROR(N('Fee Settings'!$C$5)*(E1969+N(F1969)-N(J1969))+N('Fee Settings'!$C$6)*(E1969+N(F1969)+N(G1969))+N('Fee Settings'!$C$7)+N('Fee Settings'!$C$10)*D1969+IF(I1969="Yes",MIN(N('Fee Settings'!$C$8)*(E1969+N(F1969)),N('Fee Settings'!$C$9)),0),""))</f>
        <v/>
      </c>
      <c r="L1969" s="14" t="str">
        <f>IF(C1969="","",IFERROR(D1969*N(INDEX(Products!$C$5:$C$29,MATCH(C1969,Lists!$A$2:$A$26,0))),""))</f>
        <v/>
      </c>
      <c r="M1969" s="15" t="str">
        <f t="shared" si="30"/>
        <v/>
      </c>
    </row>
    <row r="1970" spans="1:13" x14ac:dyDescent="0.35">
      <c r="A1970" s="11"/>
      <c r="B1970" s="12"/>
      <c r="C1970" s="12"/>
      <c r="D1970" s="12"/>
      <c r="E1970" s="13"/>
      <c r="F1970" s="13"/>
      <c r="G1970" s="13"/>
      <c r="H1970" s="13"/>
      <c r="I1970" s="12"/>
      <c r="J1970" s="13"/>
      <c r="K1970" s="14" t="str">
        <f>IF(C1970="","",IFERROR(N('Fee Settings'!$C$5)*(E1970+N(F1970)-N(J1970))+N('Fee Settings'!$C$6)*(E1970+N(F1970)+N(G1970))+N('Fee Settings'!$C$7)+N('Fee Settings'!$C$10)*D1970+IF(I1970="Yes",MIN(N('Fee Settings'!$C$8)*(E1970+N(F1970)),N('Fee Settings'!$C$9)),0),""))</f>
        <v/>
      </c>
      <c r="L1970" s="14" t="str">
        <f>IF(C1970="","",IFERROR(D1970*N(INDEX(Products!$C$5:$C$29,MATCH(C1970,Lists!$A$2:$A$26,0))),""))</f>
        <v/>
      </c>
      <c r="M1970" s="15" t="str">
        <f t="shared" si="30"/>
        <v/>
      </c>
    </row>
    <row r="1971" spans="1:13" x14ac:dyDescent="0.35">
      <c r="A1971" s="11"/>
      <c r="B1971" s="12"/>
      <c r="C1971" s="12"/>
      <c r="D1971" s="12"/>
      <c r="E1971" s="13"/>
      <c r="F1971" s="13"/>
      <c r="G1971" s="13"/>
      <c r="H1971" s="13"/>
      <c r="I1971" s="12"/>
      <c r="J1971" s="13"/>
      <c r="K1971" s="14" t="str">
        <f>IF(C1971="","",IFERROR(N('Fee Settings'!$C$5)*(E1971+N(F1971)-N(J1971))+N('Fee Settings'!$C$6)*(E1971+N(F1971)+N(G1971))+N('Fee Settings'!$C$7)+N('Fee Settings'!$C$10)*D1971+IF(I1971="Yes",MIN(N('Fee Settings'!$C$8)*(E1971+N(F1971)),N('Fee Settings'!$C$9)),0),""))</f>
        <v/>
      </c>
      <c r="L1971" s="14" t="str">
        <f>IF(C1971="","",IFERROR(D1971*N(INDEX(Products!$C$5:$C$29,MATCH(C1971,Lists!$A$2:$A$26,0))),""))</f>
        <v/>
      </c>
      <c r="M1971" s="15" t="str">
        <f t="shared" si="30"/>
        <v/>
      </c>
    </row>
    <row r="1972" spans="1:13" x14ac:dyDescent="0.35">
      <c r="A1972" s="11"/>
      <c r="B1972" s="12"/>
      <c r="C1972" s="12"/>
      <c r="D1972" s="12"/>
      <c r="E1972" s="13"/>
      <c r="F1972" s="13"/>
      <c r="G1972" s="13"/>
      <c r="H1972" s="13"/>
      <c r="I1972" s="12"/>
      <c r="J1972" s="13"/>
      <c r="K1972" s="14" t="str">
        <f>IF(C1972="","",IFERROR(N('Fee Settings'!$C$5)*(E1972+N(F1972)-N(J1972))+N('Fee Settings'!$C$6)*(E1972+N(F1972)+N(G1972))+N('Fee Settings'!$C$7)+N('Fee Settings'!$C$10)*D1972+IF(I1972="Yes",MIN(N('Fee Settings'!$C$8)*(E1972+N(F1972)),N('Fee Settings'!$C$9)),0),""))</f>
        <v/>
      </c>
      <c r="L1972" s="14" t="str">
        <f>IF(C1972="","",IFERROR(D1972*N(INDEX(Products!$C$5:$C$29,MATCH(C1972,Lists!$A$2:$A$26,0))),""))</f>
        <v/>
      </c>
      <c r="M1972" s="15" t="str">
        <f t="shared" si="30"/>
        <v/>
      </c>
    </row>
    <row r="1973" spans="1:13" x14ac:dyDescent="0.35">
      <c r="A1973" s="11"/>
      <c r="B1973" s="12"/>
      <c r="C1973" s="12"/>
      <c r="D1973" s="12"/>
      <c r="E1973" s="13"/>
      <c r="F1973" s="13"/>
      <c r="G1973" s="13"/>
      <c r="H1973" s="13"/>
      <c r="I1973" s="12"/>
      <c r="J1973" s="13"/>
      <c r="K1973" s="14" t="str">
        <f>IF(C1973="","",IFERROR(N('Fee Settings'!$C$5)*(E1973+N(F1973)-N(J1973))+N('Fee Settings'!$C$6)*(E1973+N(F1973)+N(G1973))+N('Fee Settings'!$C$7)+N('Fee Settings'!$C$10)*D1973+IF(I1973="Yes",MIN(N('Fee Settings'!$C$8)*(E1973+N(F1973)),N('Fee Settings'!$C$9)),0),""))</f>
        <v/>
      </c>
      <c r="L1973" s="14" t="str">
        <f>IF(C1973="","",IFERROR(D1973*N(INDEX(Products!$C$5:$C$29,MATCH(C1973,Lists!$A$2:$A$26,0))),""))</f>
        <v/>
      </c>
      <c r="M1973" s="15" t="str">
        <f t="shared" si="30"/>
        <v/>
      </c>
    </row>
    <row r="1974" spans="1:13" x14ac:dyDescent="0.35">
      <c r="A1974" s="11"/>
      <c r="B1974" s="12"/>
      <c r="C1974" s="12"/>
      <c r="D1974" s="12"/>
      <c r="E1974" s="13"/>
      <c r="F1974" s="13"/>
      <c r="G1974" s="13"/>
      <c r="H1974" s="13"/>
      <c r="I1974" s="12"/>
      <c r="J1974" s="13"/>
      <c r="K1974" s="14" t="str">
        <f>IF(C1974="","",IFERROR(N('Fee Settings'!$C$5)*(E1974+N(F1974)-N(J1974))+N('Fee Settings'!$C$6)*(E1974+N(F1974)+N(G1974))+N('Fee Settings'!$C$7)+N('Fee Settings'!$C$10)*D1974+IF(I1974="Yes",MIN(N('Fee Settings'!$C$8)*(E1974+N(F1974)),N('Fee Settings'!$C$9)),0),""))</f>
        <v/>
      </c>
      <c r="L1974" s="14" t="str">
        <f>IF(C1974="","",IFERROR(D1974*N(INDEX(Products!$C$5:$C$29,MATCH(C1974,Lists!$A$2:$A$26,0))),""))</f>
        <v/>
      </c>
      <c r="M1974" s="15" t="str">
        <f t="shared" si="30"/>
        <v/>
      </c>
    </row>
    <row r="1975" spans="1:13" x14ac:dyDescent="0.35">
      <c r="A1975" s="11"/>
      <c r="B1975" s="12"/>
      <c r="C1975" s="12"/>
      <c r="D1975" s="12"/>
      <c r="E1975" s="13"/>
      <c r="F1975" s="13"/>
      <c r="G1975" s="13"/>
      <c r="H1975" s="13"/>
      <c r="I1975" s="12"/>
      <c r="J1975" s="13"/>
      <c r="K1975" s="14" t="str">
        <f>IF(C1975="","",IFERROR(N('Fee Settings'!$C$5)*(E1975+N(F1975)-N(J1975))+N('Fee Settings'!$C$6)*(E1975+N(F1975)+N(G1975))+N('Fee Settings'!$C$7)+N('Fee Settings'!$C$10)*D1975+IF(I1975="Yes",MIN(N('Fee Settings'!$C$8)*(E1975+N(F1975)),N('Fee Settings'!$C$9)),0),""))</f>
        <v/>
      </c>
      <c r="L1975" s="14" t="str">
        <f>IF(C1975="","",IFERROR(D1975*N(INDEX(Products!$C$5:$C$29,MATCH(C1975,Lists!$A$2:$A$26,0))),""))</f>
        <v/>
      </c>
      <c r="M1975" s="15" t="str">
        <f t="shared" si="30"/>
        <v/>
      </c>
    </row>
    <row r="1976" spans="1:13" x14ac:dyDescent="0.35">
      <c r="A1976" s="11"/>
      <c r="B1976" s="12"/>
      <c r="C1976" s="12"/>
      <c r="D1976" s="12"/>
      <c r="E1976" s="13"/>
      <c r="F1976" s="13"/>
      <c r="G1976" s="13"/>
      <c r="H1976" s="13"/>
      <c r="I1976" s="12"/>
      <c r="J1976" s="13"/>
      <c r="K1976" s="14" t="str">
        <f>IF(C1976="","",IFERROR(N('Fee Settings'!$C$5)*(E1976+N(F1976)-N(J1976))+N('Fee Settings'!$C$6)*(E1976+N(F1976)+N(G1976))+N('Fee Settings'!$C$7)+N('Fee Settings'!$C$10)*D1976+IF(I1976="Yes",MIN(N('Fee Settings'!$C$8)*(E1976+N(F1976)),N('Fee Settings'!$C$9)),0),""))</f>
        <v/>
      </c>
      <c r="L1976" s="14" t="str">
        <f>IF(C1976="","",IFERROR(D1976*N(INDEX(Products!$C$5:$C$29,MATCH(C1976,Lists!$A$2:$A$26,0))),""))</f>
        <v/>
      </c>
      <c r="M1976" s="15" t="str">
        <f t="shared" si="30"/>
        <v/>
      </c>
    </row>
    <row r="1977" spans="1:13" x14ac:dyDescent="0.35">
      <c r="A1977" s="11"/>
      <c r="B1977" s="12"/>
      <c r="C1977" s="12"/>
      <c r="D1977" s="12"/>
      <c r="E1977" s="13"/>
      <c r="F1977" s="13"/>
      <c r="G1977" s="13"/>
      <c r="H1977" s="13"/>
      <c r="I1977" s="12"/>
      <c r="J1977" s="13"/>
      <c r="K1977" s="14" t="str">
        <f>IF(C1977="","",IFERROR(N('Fee Settings'!$C$5)*(E1977+N(F1977)-N(J1977))+N('Fee Settings'!$C$6)*(E1977+N(F1977)+N(G1977))+N('Fee Settings'!$C$7)+N('Fee Settings'!$C$10)*D1977+IF(I1977="Yes",MIN(N('Fee Settings'!$C$8)*(E1977+N(F1977)),N('Fee Settings'!$C$9)),0),""))</f>
        <v/>
      </c>
      <c r="L1977" s="14" t="str">
        <f>IF(C1977="","",IFERROR(D1977*N(INDEX(Products!$C$5:$C$29,MATCH(C1977,Lists!$A$2:$A$26,0))),""))</f>
        <v/>
      </c>
      <c r="M1977" s="15" t="str">
        <f t="shared" si="30"/>
        <v/>
      </c>
    </row>
    <row r="1978" spans="1:13" x14ac:dyDescent="0.35">
      <c r="A1978" s="11"/>
      <c r="B1978" s="12"/>
      <c r="C1978" s="12"/>
      <c r="D1978" s="12"/>
      <c r="E1978" s="13"/>
      <c r="F1978" s="13"/>
      <c r="G1978" s="13"/>
      <c r="H1978" s="13"/>
      <c r="I1978" s="12"/>
      <c r="J1978" s="13"/>
      <c r="K1978" s="14" t="str">
        <f>IF(C1978="","",IFERROR(N('Fee Settings'!$C$5)*(E1978+N(F1978)-N(J1978))+N('Fee Settings'!$C$6)*(E1978+N(F1978)+N(G1978))+N('Fee Settings'!$C$7)+N('Fee Settings'!$C$10)*D1978+IF(I1978="Yes",MIN(N('Fee Settings'!$C$8)*(E1978+N(F1978)),N('Fee Settings'!$C$9)),0),""))</f>
        <v/>
      </c>
      <c r="L1978" s="14" t="str">
        <f>IF(C1978="","",IFERROR(D1978*N(INDEX(Products!$C$5:$C$29,MATCH(C1978,Lists!$A$2:$A$26,0))),""))</f>
        <v/>
      </c>
      <c r="M1978" s="15" t="str">
        <f t="shared" si="30"/>
        <v/>
      </c>
    </row>
    <row r="1979" spans="1:13" x14ac:dyDescent="0.35">
      <c r="A1979" s="11"/>
      <c r="B1979" s="12"/>
      <c r="C1979" s="12"/>
      <c r="D1979" s="12"/>
      <c r="E1979" s="13"/>
      <c r="F1979" s="13"/>
      <c r="G1979" s="13"/>
      <c r="H1979" s="13"/>
      <c r="I1979" s="12"/>
      <c r="J1979" s="13"/>
      <c r="K1979" s="14" t="str">
        <f>IF(C1979="","",IFERROR(N('Fee Settings'!$C$5)*(E1979+N(F1979)-N(J1979))+N('Fee Settings'!$C$6)*(E1979+N(F1979)+N(G1979))+N('Fee Settings'!$C$7)+N('Fee Settings'!$C$10)*D1979+IF(I1979="Yes",MIN(N('Fee Settings'!$C$8)*(E1979+N(F1979)),N('Fee Settings'!$C$9)),0),""))</f>
        <v/>
      </c>
      <c r="L1979" s="14" t="str">
        <f>IF(C1979="","",IFERROR(D1979*N(INDEX(Products!$C$5:$C$29,MATCH(C1979,Lists!$A$2:$A$26,0))),""))</f>
        <v/>
      </c>
      <c r="M1979" s="15" t="str">
        <f t="shared" si="30"/>
        <v/>
      </c>
    </row>
    <row r="1980" spans="1:13" x14ac:dyDescent="0.35">
      <c r="A1980" s="11"/>
      <c r="B1980" s="12"/>
      <c r="C1980" s="12"/>
      <c r="D1980" s="12"/>
      <c r="E1980" s="13"/>
      <c r="F1980" s="13"/>
      <c r="G1980" s="13"/>
      <c r="H1980" s="13"/>
      <c r="I1980" s="12"/>
      <c r="J1980" s="13"/>
      <c r="K1980" s="14" t="str">
        <f>IF(C1980="","",IFERROR(N('Fee Settings'!$C$5)*(E1980+N(F1980)-N(J1980))+N('Fee Settings'!$C$6)*(E1980+N(F1980)+N(G1980))+N('Fee Settings'!$C$7)+N('Fee Settings'!$C$10)*D1980+IF(I1980="Yes",MIN(N('Fee Settings'!$C$8)*(E1980+N(F1980)),N('Fee Settings'!$C$9)),0),""))</f>
        <v/>
      </c>
      <c r="L1980" s="14" t="str">
        <f>IF(C1980="","",IFERROR(D1980*N(INDEX(Products!$C$5:$C$29,MATCH(C1980,Lists!$A$2:$A$26,0))),""))</f>
        <v/>
      </c>
      <c r="M1980" s="15" t="str">
        <f t="shared" si="30"/>
        <v/>
      </c>
    </row>
    <row r="1981" spans="1:13" x14ac:dyDescent="0.35">
      <c r="A1981" s="11"/>
      <c r="B1981" s="12"/>
      <c r="C1981" s="12"/>
      <c r="D1981" s="12"/>
      <c r="E1981" s="13"/>
      <c r="F1981" s="13"/>
      <c r="G1981" s="13"/>
      <c r="H1981" s="13"/>
      <c r="I1981" s="12"/>
      <c r="J1981" s="13"/>
      <c r="K1981" s="14" t="str">
        <f>IF(C1981="","",IFERROR(N('Fee Settings'!$C$5)*(E1981+N(F1981)-N(J1981))+N('Fee Settings'!$C$6)*(E1981+N(F1981)+N(G1981))+N('Fee Settings'!$C$7)+N('Fee Settings'!$C$10)*D1981+IF(I1981="Yes",MIN(N('Fee Settings'!$C$8)*(E1981+N(F1981)),N('Fee Settings'!$C$9)),0),""))</f>
        <v/>
      </c>
      <c r="L1981" s="14" t="str">
        <f>IF(C1981="","",IFERROR(D1981*N(INDEX(Products!$C$5:$C$29,MATCH(C1981,Lists!$A$2:$A$26,0))),""))</f>
        <v/>
      </c>
      <c r="M1981" s="15" t="str">
        <f t="shared" si="30"/>
        <v/>
      </c>
    </row>
    <row r="1982" spans="1:13" x14ac:dyDescent="0.35">
      <c r="A1982" s="11"/>
      <c r="B1982" s="12"/>
      <c r="C1982" s="12"/>
      <c r="D1982" s="12"/>
      <c r="E1982" s="13"/>
      <c r="F1982" s="13"/>
      <c r="G1982" s="13"/>
      <c r="H1982" s="13"/>
      <c r="I1982" s="12"/>
      <c r="J1982" s="13"/>
      <c r="K1982" s="14" t="str">
        <f>IF(C1982="","",IFERROR(N('Fee Settings'!$C$5)*(E1982+N(F1982)-N(J1982))+N('Fee Settings'!$C$6)*(E1982+N(F1982)+N(G1982))+N('Fee Settings'!$C$7)+N('Fee Settings'!$C$10)*D1982+IF(I1982="Yes",MIN(N('Fee Settings'!$C$8)*(E1982+N(F1982)),N('Fee Settings'!$C$9)),0),""))</f>
        <v/>
      </c>
      <c r="L1982" s="14" t="str">
        <f>IF(C1982="","",IFERROR(D1982*N(INDEX(Products!$C$5:$C$29,MATCH(C1982,Lists!$A$2:$A$26,0))),""))</f>
        <v/>
      </c>
      <c r="M1982" s="15" t="str">
        <f t="shared" si="30"/>
        <v/>
      </c>
    </row>
    <row r="1983" spans="1:13" x14ac:dyDescent="0.35">
      <c r="A1983" s="11"/>
      <c r="B1983" s="12"/>
      <c r="C1983" s="12"/>
      <c r="D1983" s="12"/>
      <c r="E1983" s="13"/>
      <c r="F1983" s="13"/>
      <c r="G1983" s="13"/>
      <c r="H1983" s="13"/>
      <c r="I1983" s="12"/>
      <c r="J1983" s="13"/>
      <c r="K1983" s="14" t="str">
        <f>IF(C1983="","",IFERROR(N('Fee Settings'!$C$5)*(E1983+N(F1983)-N(J1983))+N('Fee Settings'!$C$6)*(E1983+N(F1983)+N(G1983))+N('Fee Settings'!$C$7)+N('Fee Settings'!$C$10)*D1983+IF(I1983="Yes",MIN(N('Fee Settings'!$C$8)*(E1983+N(F1983)),N('Fee Settings'!$C$9)),0),""))</f>
        <v/>
      </c>
      <c r="L1983" s="14" t="str">
        <f>IF(C1983="","",IFERROR(D1983*N(INDEX(Products!$C$5:$C$29,MATCH(C1983,Lists!$A$2:$A$26,0))),""))</f>
        <v/>
      </c>
      <c r="M1983" s="15" t="str">
        <f t="shared" si="30"/>
        <v/>
      </c>
    </row>
    <row r="1984" spans="1:13" x14ac:dyDescent="0.35">
      <c r="A1984" s="11"/>
      <c r="B1984" s="12"/>
      <c r="C1984" s="12"/>
      <c r="D1984" s="12"/>
      <c r="E1984" s="13"/>
      <c r="F1984" s="13"/>
      <c r="G1984" s="13"/>
      <c r="H1984" s="13"/>
      <c r="I1984" s="12"/>
      <c r="J1984" s="13"/>
      <c r="K1984" s="14" t="str">
        <f>IF(C1984="","",IFERROR(N('Fee Settings'!$C$5)*(E1984+N(F1984)-N(J1984))+N('Fee Settings'!$C$6)*(E1984+N(F1984)+N(G1984))+N('Fee Settings'!$C$7)+N('Fee Settings'!$C$10)*D1984+IF(I1984="Yes",MIN(N('Fee Settings'!$C$8)*(E1984+N(F1984)),N('Fee Settings'!$C$9)),0),""))</f>
        <v/>
      </c>
      <c r="L1984" s="14" t="str">
        <f>IF(C1984="","",IFERROR(D1984*N(INDEX(Products!$C$5:$C$29,MATCH(C1984,Lists!$A$2:$A$26,0))),""))</f>
        <v/>
      </c>
      <c r="M1984" s="15" t="str">
        <f t="shared" si="30"/>
        <v/>
      </c>
    </row>
    <row r="1985" spans="1:13" x14ac:dyDescent="0.35">
      <c r="A1985" s="11"/>
      <c r="B1985" s="12"/>
      <c r="C1985" s="12"/>
      <c r="D1985" s="12"/>
      <c r="E1985" s="13"/>
      <c r="F1985" s="13"/>
      <c r="G1985" s="13"/>
      <c r="H1985" s="13"/>
      <c r="I1985" s="12"/>
      <c r="J1985" s="13"/>
      <c r="K1985" s="14" t="str">
        <f>IF(C1985="","",IFERROR(N('Fee Settings'!$C$5)*(E1985+N(F1985)-N(J1985))+N('Fee Settings'!$C$6)*(E1985+N(F1985)+N(G1985))+N('Fee Settings'!$C$7)+N('Fee Settings'!$C$10)*D1985+IF(I1985="Yes",MIN(N('Fee Settings'!$C$8)*(E1985+N(F1985)),N('Fee Settings'!$C$9)),0),""))</f>
        <v/>
      </c>
      <c r="L1985" s="14" t="str">
        <f>IF(C1985="","",IFERROR(D1985*N(INDEX(Products!$C$5:$C$29,MATCH(C1985,Lists!$A$2:$A$26,0))),""))</f>
        <v/>
      </c>
      <c r="M1985" s="15" t="str">
        <f t="shared" si="30"/>
        <v/>
      </c>
    </row>
    <row r="1986" spans="1:13" x14ac:dyDescent="0.35">
      <c r="A1986" s="11"/>
      <c r="B1986" s="12"/>
      <c r="C1986" s="12"/>
      <c r="D1986" s="12"/>
      <c r="E1986" s="13"/>
      <c r="F1986" s="13"/>
      <c r="G1986" s="13"/>
      <c r="H1986" s="13"/>
      <c r="I1986" s="12"/>
      <c r="J1986" s="13"/>
      <c r="K1986" s="14" t="str">
        <f>IF(C1986="","",IFERROR(N('Fee Settings'!$C$5)*(E1986+N(F1986)-N(J1986))+N('Fee Settings'!$C$6)*(E1986+N(F1986)+N(G1986))+N('Fee Settings'!$C$7)+N('Fee Settings'!$C$10)*D1986+IF(I1986="Yes",MIN(N('Fee Settings'!$C$8)*(E1986+N(F1986)),N('Fee Settings'!$C$9)),0),""))</f>
        <v/>
      </c>
      <c r="L1986" s="14" t="str">
        <f>IF(C1986="","",IFERROR(D1986*N(INDEX(Products!$C$5:$C$29,MATCH(C1986,Lists!$A$2:$A$26,0))),""))</f>
        <v/>
      </c>
      <c r="M1986" s="15" t="str">
        <f t="shared" si="30"/>
        <v/>
      </c>
    </row>
    <row r="1987" spans="1:13" x14ac:dyDescent="0.35">
      <c r="A1987" s="11"/>
      <c r="B1987" s="12"/>
      <c r="C1987" s="12"/>
      <c r="D1987" s="12"/>
      <c r="E1987" s="13"/>
      <c r="F1987" s="13"/>
      <c r="G1987" s="13"/>
      <c r="H1987" s="13"/>
      <c r="I1987" s="12"/>
      <c r="J1987" s="13"/>
      <c r="K1987" s="14" t="str">
        <f>IF(C1987="","",IFERROR(N('Fee Settings'!$C$5)*(E1987+N(F1987)-N(J1987))+N('Fee Settings'!$C$6)*(E1987+N(F1987)+N(G1987))+N('Fee Settings'!$C$7)+N('Fee Settings'!$C$10)*D1987+IF(I1987="Yes",MIN(N('Fee Settings'!$C$8)*(E1987+N(F1987)),N('Fee Settings'!$C$9)),0),""))</f>
        <v/>
      </c>
      <c r="L1987" s="14" t="str">
        <f>IF(C1987="","",IFERROR(D1987*N(INDEX(Products!$C$5:$C$29,MATCH(C1987,Lists!$A$2:$A$26,0))),""))</f>
        <v/>
      </c>
      <c r="M1987" s="15" t="str">
        <f t="shared" si="30"/>
        <v/>
      </c>
    </row>
    <row r="1988" spans="1:13" x14ac:dyDescent="0.35">
      <c r="A1988" s="11"/>
      <c r="B1988" s="12"/>
      <c r="C1988" s="12"/>
      <c r="D1988" s="12"/>
      <c r="E1988" s="13"/>
      <c r="F1988" s="13"/>
      <c r="G1988" s="13"/>
      <c r="H1988" s="13"/>
      <c r="I1988" s="12"/>
      <c r="J1988" s="13"/>
      <c r="K1988" s="14" t="str">
        <f>IF(C1988="","",IFERROR(N('Fee Settings'!$C$5)*(E1988+N(F1988)-N(J1988))+N('Fee Settings'!$C$6)*(E1988+N(F1988)+N(G1988))+N('Fee Settings'!$C$7)+N('Fee Settings'!$C$10)*D1988+IF(I1988="Yes",MIN(N('Fee Settings'!$C$8)*(E1988+N(F1988)),N('Fee Settings'!$C$9)),0),""))</f>
        <v/>
      </c>
      <c r="L1988" s="14" t="str">
        <f>IF(C1988="","",IFERROR(D1988*N(INDEX(Products!$C$5:$C$29,MATCH(C1988,Lists!$A$2:$A$26,0))),""))</f>
        <v/>
      </c>
      <c r="M1988" s="15" t="str">
        <f t="shared" si="30"/>
        <v/>
      </c>
    </row>
    <row r="1989" spans="1:13" x14ac:dyDescent="0.35">
      <c r="A1989" s="11"/>
      <c r="B1989" s="12"/>
      <c r="C1989" s="12"/>
      <c r="D1989" s="12"/>
      <c r="E1989" s="13"/>
      <c r="F1989" s="13"/>
      <c r="G1989" s="13"/>
      <c r="H1989" s="13"/>
      <c r="I1989" s="12"/>
      <c r="J1989" s="13"/>
      <c r="K1989" s="14" t="str">
        <f>IF(C1989="","",IFERROR(N('Fee Settings'!$C$5)*(E1989+N(F1989)-N(J1989))+N('Fee Settings'!$C$6)*(E1989+N(F1989)+N(G1989))+N('Fee Settings'!$C$7)+N('Fee Settings'!$C$10)*D1989+IF(I1989="Yes",MIN(N('Fee Settings'!$C$8)*(E1989+N(F1989)),N('Fee Settings'!$C$9)),0),""))</f>
        <v/>
      </c>
      <c r="L1989" s="14" t="str">
        <f>IF(C1989="","",IFERROR(D1989*N(INDEX(Products!$C$5:$C$29,MATCH(C1989,Lists!$A$2:$A$26,0))),""))</f>
        <v/>
      </c>
      <c r="M1989" s="15" t="str">
        <f t="shared" ref="M1989:M2004" si="31">IF(C1989="","",IFERROR(E1989+N(F1989)-N(J1989)-K1989-L1989-N(H1989),""))</f>
        <v/>
      </c>
    </row>
    <row r="1990" spans="1:13" x14ac:dyDescent="0.35">
      <c r="A1990" s="11"/>
      <c r="B1990" s="12"/>
      <c r="C1990" s="12"/>
      <c r="D1990" s="12"/>
      <c r="E1990" s="13"/>
      <c r="F1990" s="13"/>
      <c r="G1990" s="13"/>
      <c r="H1990" s="13"/>
      <c r="I1990" s="12"/>
      <c r="J1990" s="13"/>
      <c r="K1990" s="14" t="str">
        <f>IF(C1990="","",IFERROR(N('Fee Settings'!$C$5)*(E1990+N(F1990)-N(J1990))+N('Fee Settings'!$C$6)*(E1990+N(F1990)+N(G1990))+N('Fee Settings'!$C$7)+N('Fee Settings'!$C$10)*D1990+IF(I1990="Yes",MIN(N('Fee Settings'!$C$8)*(E1990+N(F1990)),N('Fee Settings'!$C$9)),0),""))</f>
        <v/>
      </c>
      <c r="L1990" s="14" t="str">
        <f>IF(C1990="","",IFERROR(D1990*N(INDEX(Products!$C$5:$C$29,MATCH(C1990,Lists!$A$2:$A$26,0))),""))</f>
        <v/>
      </c>
      <c r="M1990" s="15" t="str">
        <f t="shared" si="31"/>
        <v/>
      </c>
    </row>
    <row r="1991" spans="1:13" x14ac:dyDescent="0.35">
      <c r="A1991" s="11"/>
      <c r="B1991" s="12"/>
      <c r="C1991" s="12"/>
      <c r="D1991" s="12"/>
      <c r="E1991" s="13"/>
      <c r="F1991" s="13"/>
      <c r="G1991" s="13"/>
      <c r="H1991" s="13"/>
      <c r="I1991" s="12"/>
      <c r="J1991" s="13"/>
      <c r="K1991" s="14" t="str">
        <f>IF(C1991="","",IFERROR(N('Fee Settings'!$C$5)*(E1991+N(F1991)-N(J1991))+N('Fee Settings'!$C$6)*(E1991+N(F1991)+N(G1991))+N('Fee Settings'!$C$7)+N('Fee Settings'!$C$10)*D1991+IF(I1991="Yes",MIN(N('Fee Settings'!$C$8)*(E1991+N(F1991)),N('Fee Settings'!$C$9)),0),""))</f>
        <v/>
      </c>
      <c r="L1991" s="14" t="str">
        <f>IF(C1991="","",IFERROR(D1991*N(INDEX(Products!$C$5:$C$29,MATCH(C1991,Lists!$A$2:$A$26,0))),""))</f>
        <v/>
      </c>
      <c r="M1991" s="15" t="str">
        <f t="shared" si="31"/>
        <v/>
      </c>
    </row>
    <row r="1992" spans="1:13" x14ac:dyDescent="0.35">
      <c r="A1992" s="11"/>
      <c r="B1992" s="12"/>
      <c r="C1992" s="12"/>
      <c r="D1992" s="12"/>
      <c r="E1992" s="13"/>
      <c r="F1992" s="13"/>
      <c r="G1992" s="13"/>
      <c r="H1992" s="13"/>
      <c r="I1992" s="12"/>
      <c r="J1992" s="13"/>
      <c r="K1992" s="14" t="str">
        <f>IF(C1992="","",IFERROR(N('Fee Settings'!$C$5)*(E1992+N(F1992)-N(J1992))+N('Fee Settings'!$C$6)*(E1992+N(F1992)+N(G1992))+N('Fee Settings'!$C$7)+N('Fee Settings'!$C$10)*D1992+IF(I1992="Yes",MIN(N('Fee Settings'!$C$8)*(E1992+N(F1992)),N('Fee Settings'!$C$9)),0),""))</f>
        <v/>
      </c>
      <c r="L1992" s="14" t="str">
        <f>IF(C1992="","",IFERROR(D1992*N(INDEX(Products!$C$5:$C$29,MATCH(C1992,Lists!$A$2:$A$26,0))),""))</f>
        <v/>
      </c>
      <c r="M1992" s="15" t="str">
        <f t="shared" si="31"/>
        <v/>
      </c>
    </row>
    <row r="1993" spans="1:13" x14ac:dyDescent="0.35">
      <c r="A1993" s="11"/>
      <c r="B1993" s="12"/>
      <c r="C1993" s="12"/>
      <c r="D1993" s="12"/>
      <c r="E1993" s="13"/>
      <c r="F1993" s="13"/>
      <c r="G1993" s="13"/>
      <c r="H1993" s="13"/>
      <c r="I1993" s="12"/>
      <c r="J1993" s="13"/>
      <c r="K1993" s="14" t="str">
        <f>IF(C1993="","",IFERROR(N('Fee Settings'!$C$5)*(E1993+N(F1993)-N(J1993))+N('Fee Settings'!$C$6)*(E1993+N(F1993)+N(G1993))+N('Fee Settings'!$C$7)+N('Fee Settings'!$C$10)*D1993+IF(I1993="Yes",MIN(N('Fee Settings'!$C$8)*(E1993+N(F1993)),N('Fee Settings'!$C$9)),0),""))</f>
        <v/>
      </c>
      <c r="L1993" s="14" t="str">
        <f>IF(C1993="","",IFERROR(D1993*N(INDEX(Products!$C$5:$C$29,MATCH(C1993,Lists!$A$2:$A$26,0))),""))</f>
        <v/>
      </c>
      <c r="M1993" s="15" t="str">
        <f t="shared" si="31"/>
        <v/>
      </c>
    </row>
    <row r="1994" spans="1:13" x14ac:dyDescent="0.35">
      <c r="A1994" s="11"/>
      <c r="B1994" s="12"/>
      <c r="C1994" s="12"/>
      <c r="D1994" s="12"/>
      <c r="E1994" s="13"/>
      <c r="F1994" s="13"/>
      <c r="G1994" s="13"/>
      <c r="H1994" s="13"/>
      <c r="I1994" s="12"/>
      <c r="J1994" s="13"/>
      <c r="K1994" s="14" t="str">
        <f>IF(C1994="","",IFERROR(N('Fee Settings'!$C$5)*(E1994+N(F1994)-N(J1994))+N('Fee Settings'!$C$6)*(E1994+N(F1994)+N(G1994))+N('Fee Settings'!$C$7)+N('Fee Settings'!$C$10)*D1994+IF(I1994="Yes",MIN(N('Fee Settings'!$C$8)*(E1994+N(F1994)),N('Fee Settings'!$C$9)),0),""))</f>
        <v/>
      </c>
      <c r="L1994" s="14" t="str">
        <f>IF(C1994="","",IFERROR(D1994*N(INDEX(Products!$C$5:$C$29,MATCH(C1994,Lists!$A$2:$A$26,0))),""))</f>
        <v/>
      </c>
      <c r="M1994" s="15" t="str">
        <f t="shared" si="31"/>
        <v/>
      </c>
    </row>
    <row r="1995" spans="1:13" x14ac:dyDescent="0.35">
      <c r="A1995" s="11"/>
      <c r="B1995" s="12"/>
      <c r="C1995" s="12"/>
      <c r="D1995" s="12"/>
      <c r="E1995" s="13"/>
      <c r="F1995" s="13"/>
      <c r="G1995" s="13"/>
      <c r="H1995" s="13"/>
      <c r="I1995" s="12"/>
      <c r="J1995" s="13"/>
      <c r="K1995" s="14" t="str">
        <f>IF(C1995="","",IFERROR(N('Fee Settings'!$C$5)*(E1995+N(F1995)-N(J1995))+N('Fee Settings'!$C$6)*(E1995+N(F1995)+N(G1995))+N('Fee Settings'!$C$7)+N('Fee Settings'!$C$10)*D1995+IF(I1995="Yes",MIN(N('Fee Settings'!$C$8)*(E1995+N(F1995)),N('Fee Settings'!$C$9)),0),""))</f>
        <v/>
      </c>
      <c r="L1995" s="14" t="str">
        <f>IF(C1995="","",IFERROR(D1995*N(INDEX(Products!$C$5:$C$29,MATCH(C1995,Lists!$A$2:$A$26,0))),""))</f>
        <v/>
      </c>
      <c r="M1995" s="15" t="str">
        <f t="shared" si="31"/>
        <v/>
      </c>
    </row>
    <row r="1996" spans="1:13" x14ac:dyDescent="0.35">
      <c r="A1996" s="11"/>
      <c r="B1996" s="12"/>
      <c r="C1996" s="12"/>
      <c r="D1996" s="12"/>
      <c r="E1996" s="13"/>
      <c r="F1996" s="13"/>
      <c r="G1996" s="13"/>
      <c r="H1996" s="13"/>
      <c r="I1996" s="12"/>
      <c r="J1996" s="13"/>
      <c r="K1996" s="14" t="str">
        <f>IF(C1996="","",IFERROR(N('Fee Settings'!$C$5)*(E1996+N(F1996)-N(J1996))+N('Fee Settings'!$C$6)*(E1996+N(F1996)+N(G1996))+N('Fee Settings'!$C$7)+N('Fee Settings'!$C$10)*D1996+IF(I1996="Yes",MIN(N('Fee Settings'!$C$8)*(E1996+N(F1996)),N('Fee Settings'!$C$9)),0),""))</f>
        <v/>
      </c>
      <c r="L1996" s="14" t="str">
        <f>IF(C1996="","",IFERROR(D1996*N(INDEX(Products!$C$5:$C$29,MATCH(C1996,Lists!$A$2:$A$26,0))),""))</f>
        <v/>
      </c>
      <c r="M1996" s="15" t="str">
        <f t="shared" si="31"/>
        <v/>
      </c>
    </row>
    <row r="1997" spans="1:13" x14ac:dyDescent="0.35">
      <c r="A1997" s="11"/>
      <c r="B1997" s="12"/>
      <c r="C1997" s="12"/>
      <c r="D1997" s="12"/>
      <c r="E1997" s="13"/>
      <c r="F1997" s="13"/>
      <c r="G1997" s="13"/>
      <c r="H1997" s="13"/>
      <c r="I1997" s="12"/>
      <c r="J1997" s="13"/>
      <c r="K1997" s="14" t="str">
        <f>IF(C1997="","",IFERROR(N('Fee Settings'!$C$5)*(E1997+N(F1997)-N(J1997))+N('Fee Settings'!$C$6)*(E1997+N(F1997)+N(G1997))+N('Fee Settings'!$C$7)+N('Fee Settings'!$C$10)*D1997+IF(I1997="Yes",MIN(N('Fee Settings'!$C$8)*(E1997+N(F1997)),N('Fee Settings'!$C$9)),0),""))</f>
        <v/>
      </c>
      <c r="L1997" s="14" t="str">
        <f>IF(C1997="","",IFERROR(D1997*N(INDEX(Products!$C$5:$C$29,MATCH(C1997,Lists!$A$2:$A$26,0))),""))</f>
        <v/>
      </c>
      <c r="M1997" s="15" t="str">
        <f t="shared" si="31"/>
        <v/>
      </c>
    </row>
    <row r="1998" spans="1:13" x14ac:dyDescent="0.35">
      <c r="A1998" s="11"/>
      <c r="B1998" s="12"/>
      <c r="C1998" s="12"/>
      <c r="D1998" s="12"/>
      <c r="E1998" s="13"/>
      <c r="F1998" s="13"/>
      <c r="G1998" s="13"/>
      <c r="H1998" s="13"/>
      <c r="I1998" s="12"/>
      <c r="J1998" s="13"/>
      <c r="K1998" s="14" t="str">
        <f>IF(C1998="","",IFERROR(N('Fee Settings'!$C$5)*(E1998+N(F1998)-N(J1998))+N('Fee Settings'!$C$6)*(E1998+N(F1998)+N(G1998))+N('Fee Settings'!$C$7)+N('Fee Settings'!$C$10)*D1998+IF(I1998="Yes",MIN(N('Fee Settings'!$C$8)*(E1998+N(F1998)),N('Fee Settings'!$C$9)),0),""))</f>
        <v/>
      </c>
      <c r="L1998" s="14" t="str">
        <f>IF(C1998="","",IFERROR(D1998*N(INDEX(Products!$C$5:$C$29,MATCH(C1998,Lists!$A$2:$A$26,0))),""))</f>
        <v/>
      </c>
      <c r="M1998" s="15" t="str">
        <f t="shared" si="31"/>
        <v/>
      </c>
    </row>
    <row r="1999" spans="1:13" x14ac:dyDescent="0.35">
      <c r="A1999" s="11"/>
      <c r="B1999" s="12"/>
      <c r="C1999" s="12"/>
      <c r="D1999" s="12"/>
      <c r="E1999" s="13"/>
      <c r="F1999" s="13"/>
      <c r="G1999" s="13"/>
      <c r="H1999" s="13"/>
      <c r="I1999" s="12"/>
      <c r="J1999" s="13"/>
      <c r="K1999" s="14" t="str">
        <f>IF(C1999="","",IFERROR(N('Fee Settings'!$C$5)*(E1999+N(F1999)-N(J1999))+N('Fee Settings'!$C$6)*(E1999+N(F1999)+N(G1999))+N('Fee Settings'!$C$7)+N('Fee Settings'!$C$10)*D1999+IF(I1999="Yes",MIN(N('Fee Settings'!$C$8)*(E1999+N(F1999)),N('Fee Settings'!$C$9)),0),""))</f>
        <v/>
      </c>
      <c r="L1999" s="14" t="str">
        <f>IF(C1999="","",IFERROR(D1999*N(INDEX(Products!$C$5:$C$29,MATCH(C1999,Lists!$A$2:$A$26,0))),""))</f>
        <v/>
      </c>
      <c r="M1999" s="15" t="str">
        <f t="shared" si="31"/>
        <v/>
      </c>
    </row>
    <row r="2000" spans="1:13" x14ac:dyDescent="0.35">
      <c r="A2000" s="11"/>
      <c r="B2000" s="12"/>
      <c r="C2000" s="12"/>
      <c r="D2000" s="12"/>
      <c r="E2000" s="13"/>
      <c r="F2000" s="13"/>
      <c r="G2000" s="13"/>
      <c r="H2000" s="13"/>
      <c r="I2000" s="12"/>
      <c r="J2000" s="13"/>
      <c r="K2000" s="14" t="str">
        <f>IF(C2000="","",IFERROR(N('Fee Settings'!$C$5)*(E2000+N(F2000)-N(J2000))+N('Fee Settings'!$C$6)*(E2000+N(F2000)+N(G2000))+N('Fee Settings'!$C$7)+N('Fee Settings'!$C$10)*D2000+IF(I2000="Yes",MIN(N('Fee Settings'!$C$8)*(E2000+N(F2000)),N('Fee Settings'!$C$9)),0),""))</f>
        <v/>
      </c>
      <c r="L2000" s="14" t="str">
        <f>IF(C2000="","",IFERROR(D2000*N(INDEX(Products!$C$5:$C$29,MATCH(C2000,Lists!$A$2:$A$26,0))),""))</f>
        <v/>
      </c>
      <c r="M2000" s="15" t="str">
        <f t="shared" si="31"/>
        <v/>
      </c>
    </row>
    <row r="2001" spans="1:13" x14ac:dyDescent="0.35">
      <c r="A2001" s="11"/>
      <c r="B2001" s="12"/>
      <c r="C2001" s="12"/>
      <c r="D2001" s="12"/>
      <c r="E2001" s="13"/>
      <c r="F2001" s="13"/>
      <c r="G2001" s="13"/>
      <c r="H2001" s="13"/>
      <c r="I2001" s="12"/>
      <c r="J2001" s="13"/>
      <c r="K2001" s="14" t="str">
        <f>IF(C2001="","",IFERROR(N('Fee Settings'!$C$5)*(E2001+N(F2001)-N(J2001))+N('Fee Settings'!$C$6)*(E2001+N(F2001)+N(G2001))+N('Fee Settings'!$C$7)+N('Fee Settings'!$C$10)*D2001+IF(I2001="Yes",MIN(N('Fee Settings'!$C$8)*(E2001+N(F2001)),N('Fee Settings'!$C$9)),0),""))</f>
        <v/>
      </c>
      <c r="L2001" s="14" t="str">
        <f>IF(C2001="","",IFERROR(D2001*N(INDEX(Products!$C$5:$C$29,MATCH(C2001,Lists!$A$2:$A$26,0))),""))</f>
        <v/>
      </c>
      <c r="M2001" s="15" t="str">
        <f t="shared" si="31"/>
        <v/>
      </c>
    </row>
    <row r="2002" spans="1:13" x14ac:dyDescent="0.35">
      <c r="A2002" s="11"/>
      <c r="B2002" s="12"/>
      <c r="C2002" s="12"/>
      <c r="D2002" s="12"/>
      <c r="E2002" s="13"/>
      <c r="F2002" s="13"/>
      <c r="G2002" s="13"/>
      <c r="H2002" s="13"/>
      <c r="I2002" s="12"/>
      <c r="J2002" s="13"/>
      <c r="K2002" s="14" t="str">
        <f>IF(C2002="","",IFERROR(N('Fee Settings'!$C$5)*(E2002+N(F2002)-N(J2002))+N('Fee Settings'!$C$6)*(E2002+N(F2002)+N(G2002))+N('Fee Settings'!$C$7)+N('Fee Settings'!$C$10)*D2002+IF(I2002="Yes",MIN(N('Fee Settings'!$C$8)*(E2002+N(F2002)),N('Fee Settings'!$C$9)),0),""))</f>
        <v/>
      </c>
      <c r="L2002" s="14" t="str">
        <f>IF(C2002="","",IFERROR(D2002*N(INDEX(Products!$C$5:$C$29,MATCH(C2002,Lists!$A$2:$A$26,0))),""))</f>
        <v/>
      </c>
      <c r="M2002" s="15" t="str">
        <f t="shared" si="31"/>
        <v/>
      </c>
    </row>
    <row r="2003" spans="1:13" x14ac:dyDescent="0.35">
      <c r="A2003" s="11"/>
      <c r="B2003" s="12"/>
      <c r="C2003" s="12"/>
      <c r="D2003" s="12"/>
      <c r="E2003" s="13"/>
      <c r="F2003" s="13"/>
      <c r="G2003" s="13"/>
      <c r="H2003" s="13"/>
      <c r="I2003" s="12"/>
      <c r="J2003" s="13"/>
      <c r="K2003" s="14" t="str">
        <f>IF(C2003="","",IFERROR(N('Fee Settings'!$C$5)*(E2003+N(F2003)-N(J2003))+N('Fee Settings'!$C$6)*(E2003+N(F2003)+N(G2003))+N('Fee Settings'!$C$7)+N('Fee Settings'!$C$10)*D2003+IF(I2003="Yes",MIN(N('Fee Settings'!$C$8)*(E2003+N(F2003)),N('Fee Settings'!$C$9)),0),""))</f>
        <v/>
      </c>
      <c r="L2003" s="14" t="str">
        <f>IF(C2003="","",IFERROR(D2003*N(INDEX(Products!$C$5:$C$29,MATCH(C2003,Lists!$A$2:$A$26,0))),""))</f>
        <v/>
      </c>
      <c r="M2003" s="15" t="str">
        <f t="shared" si="31"/>
        <v/>
      </c>
    </row>
    <row r="2004" spans="1:13" x14ac:dyDescent="0.35">
      <c r="A2004" s="11"/>
      <c r="B2004" s="12"/>
      <c r="C2004" s="12"/>
      <c r="D2004" s="12"/>
      <c r="E2004" s="13"/>
      <c r="F2004" s="13"/>
      <c r="G2004" s="13"/>
      <c r="H2004" s="13"/>
      <c r="I2004" s="12"/>
      <c r="J2004" s="13"/>
      <c r="K2004" s="14" t="str">
        <f>IF(C2004="","",IFERROR(N('Fee Settings'!$C$5)*(E2004+N(F2004)-N(J2004))+N('Fee Settings'!$C$6)*(E2004+N(F2004)+N(G2004))+N('Fee Settings'!$C$7)+N('Fee Settings'!$C$10)*D2004+IF(I2004="Yes",MIN(N('Fee Settings'!$C$8)*(E2004+N(F2004)),N('Fee Settings'!$C$9)),0),""))</f>
        <v/>
      </c>
      <c r="L2004" s="14" t="str">
        <f>IF(C2004="","",IFERROR(D2004*N(INDEX(Products!$C$5:$C$29,MATCH(C2004,Lists!$A$2:$A$26,0))),""))</f>
        <v/>
      </c>
      <c r="M2004" s="15" t="str">
        <f t="shared" si="31"/>
        <v/>
      </c>
    </row>
  </sheetData>
  <conditionalFormatting sqref="A5:A2004">
    <cfRule type="expression" dxfId="13" priority="1">
      <formula>AND(OR(A5&lt;&gt;"",C5&lt;&gt;"",D5&lt;&gt;"",E5&lt;&gt;"",F5&lt;&gt;"",H5&lt;&gt;"",J5&lt;&gt;""),NOT(ISNUMBER(A5)))</formula>
    </cfRule>
  </conditionalFormatting>
  <conditionalFormatting sqref="D5:D2004">
    <cfRule type="expression" dxfId="11" priority="3">
      <formula>AND(OR(A5&lt;&gt;"",C5&lt;&gt;"",D5&lt;&gt;"",E5&lt;&gt;"",F5&lt;&gt;"",H5&lt;&gt;"",J5&lt;&gt;""),OR(NOT(ISNUMBER(D5)),D5&lt;=0))</formula>
    </cfRule>
  </conditionalFormatting>
  <conditionalFormatting sqref="E5:E2004">
    <cfRule type="expression" dxfId="10" priority="4">
      <formula>AND(OR(A5&lt;&gt;"",C5&lt;&gt;"",D5&lt;&gt;"",E5&lt;&gt;"",F5&lt;&gt;"",H5&lt;&gt;"",J5&lt;&gt;""),NOT(ISNUMBER(E5)))</formula>
    </cfRule>
  </conditionalFormatting>
  <conditionalFormatting sqref="F5:H2004">
    <cfRule type="expression" dxfId="9" priority="5">
      <formula>AND(F5&lt;&gt;"",NOT(ISNUMBER(F5)))</formula>
    </cfRule>
  </conditionalFormatting>
  <conditionalFormatting sqref="I5:I2004">
    <cfRule type="expression" dxfId="8" priority="8">
      <formula>AND(I5&lt;&gt;"",I5&lt;&gt;"Yes",I5&lt;&gt;"No")</formula>
    </cfRule>
  </conditionalFormatting>
  <conditionalFormatting sqref="J5:J2004">
    <cfRule type="expression" dxfId="7" priority="9">
      <formula>AND(J5&lt;&gt;"",NOT(ISNUMBER(J5)))</formula>
    </cfRule>
  </conditionalFormatting>
  <dataValidations count="3">
    <dataValidation type="date" operator="greaterThan" allowBlank="1" showErrorMessage="1" errorTitle="Date" error="Enter a real date, e.g. 1/31/2026." sqref="A5:A2004" xr:uid="{00000000-0002-0000-0200-000002000000}">
      <formula1>1</formula1>
    </dataValidation>
    <dataValidation type="decimal" operator="greaterThan" allowBlank="1" showErrorMessage="1" errorTitle="Quantity" error="Enter how many items, e.g. 1." sqref="D5:D2004" xr:uid="{00000000-0002-0000-0200-000003000000}">
      <formula1>0</formula1>
    </dataValidation>
    <dataValidation type="decimal" allowBlank="1" showErrorMessage="1" errorTitle="Amount" error="Enter a number only (no $ sign or text)." sqref="E5:H2004 J5:J2004" xr:uid="{00000000-0002-0000-0200-000004000000}">
      <formula1>0</formula1>
      <formula2>100000000</formula2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200-000002000000}">
            <xm:f>AND(OR(A5&lt;&gt;"",C5&lt;&gt;"",D5&lt;&gt;"",E5&lt;&gt;"",F5&lt;&gt;"",H5&lt;&gt;"",J5&lt;&gt;""),OR(C5="",COUNTIF(Lists!$A$2:$A$26,C5)=0))</xm:f>
            <x14:dxf>
              <fill>
                <patternFill patternType="solid">
                  <fgColor rgb="FFF8C9C4"/>
                  <bgColor rgb="FFF8C9C4"/>
                </patternFill>
              </fill>
            </x14:dxf>
          </x14:cfRule>
          <xm:sqref>C5:C2004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Lists!$B$2:$B$26</xm:f>
          </x14:formula1>
          <xm:sqref>C5:C2004</xm:sqref>
        </x14:dataValidation>
        <x14:dataValidation type="list" allowBlank="1" showErrorMessage="1" error="Choose Yes or No" xr:uid="{00000000-0002-0000-0200-000001000000}">
          <x14:formula1>
            <xm:f>Lists!$F$2:$F$3</xm:f>
          </x14:formula1>
          <xm:sqref>I5:I2004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2552D"/>
  </sheetPr>
  <dimension ref="A1:H31"/>
  <sheetViews>
    <sheetView showGridLines="0" workbookViewId="0"/>
  </sheetViews>
  <sheetFormatPr defaultRowHeight="14.5" x14ac:dyDescent="0.35"/>
  <cols>
    <col min="1" max="1" width="5" customWidth="1"/>
    <col min="2" max="2" width="36" customWidth="1"/>
    <col min="3" max="3" width="18" customWidth="1"/>
    <col min="4" max="4" width="13" customWidth="1"/>
    <col min="5" max="5" width="11" customWidth="1"/>
    <col min="6" max="6" width="14" customWidth="1"/>
    <col min="7" max="7" width="15" customWidth="1"/>
    <col min="8" max="8" width="14" customWidth="1"/>
  </cols>
  <sheetData>
    <row r="1" spans="1:8" ht="23" x14ac:dyDescent="0.5">
      <c r="A1" s="1" t="s">
        <v>86</v>
      </c>
    </row>
    <row r="2" spans="1:8" x14ac:dyDescent="0.35">
      <c r="A2" s="2" t="s">
        <v>87</v>
      </c>
    </row>
    <row r="4" spans="1:8" ht="42" customHeight="1" x14ac:dyDescent="0.35">
      <c r="A4" s="10" t="s">
        <v>88</v>
      </c>
      <c r="B4" s="10" t="s">
        <v>89</v>
      </c>
      <c r="C4" s="10" t="s">
        <v>90</v>
      </c>
      <c r="D4" s="10" t="s">
        <v>91</v>
      </c>
      <c r="E4" s="10" t="s">
        <v>92</v>
      </c>
      <c r="F4" s="10" t="s">
        <v>93</v>
      </c>
      <c r="G4" s="10" t="s">
        <v>94</v>
      </c>
      <c r="H4" s="10" t="s">
        <v>95</v>
      </c>
    </row>
    <row r="5" spans="1:8" x14ac:dyDescent="0.35">
      <c r="A5" s="16">
        <v>1</v>
      </c>
      <c r="B5" s="12" t="s">
        <v>82</v>
      </c>
      <c r="C5" s="13">
        <v>6.4</v>
      </c>
      <c r="D5" s="13">
        <v>28</v>
      </c>
      <c r="E5" s="17">
        <f>IF(B5="","",Calc!S20)</f>
        <v>3</v>
      </c>
      <c r="F5" s="18">
        <f>IF(B5="","",Calc!P20)</f>
        <v>78.400000000000006</v>
      </c>
      <c r="G5" s="18">
        <f>IF(B5="","",Calc!P20-Calc!Q20-N('Fee Settings'!$C$5)*(Calc!P20-Calc!Q20)-N('Fee Settings'!$C$6)*Calc!P20-Calc!R20-N('Fee Settings'!$C$10)*Calc!S20-N(C5)*Calc!S20)</f>
        <v>43.591999999999992</v>
      </c>
      <c r="H5" s="18">
        <f t="shared" ref="H5:H29" si="0">IF(OR(B5="",N(E5)=0),"",G5/E5)</f>
        <v>14.530666666666663</v>
      </c>
    </row>
    <row r="6" spans="1:8" x14ac:dyDescent="0.35">
      <c r="A6" s="16">
        <v>2</v>
      </c>
      <c r="B6" s="12"/>
      <c r="C6" s="13"/>
      <c r="D6" s="13"/>
      <c r="E6" s="17" t="str">
        <f>IF(B6="","",Calc!S21)</f>
        <v/>
      </c>
      <c r="F6" s="18" t="str">
        <f>IF(B6="","",Calc!P21)</f>
        <v/>
      </c>
      <c r="G6" s="18" t="str">
        <f>IF(B6="","",Calc!P21-Calc!Q21-N('Fee Settings'!$C$5)*(Calc!P21-Calc!Q21)-N('Fee Settings'!$C$6)*Calc!P21-Calc!R21-N('Fee Settings'!$C$10)*Calc!S21-N(C6)*Calc!S21)</f>
        <v/>
      </c>
      <c r="H6" s="18" t="str">
        <f t="shared" si="0"/>
        <v/>
      </c>
    </row>
    <row r="7" spans="1:8" x14ac:dyDescent="0.35">
      <c r="A7" s="16">
        <v>3</v>
      </c>
      <c r="B7" s="12"/>
      <c r="C7" s="13"/>
      <c r="D7" s="13"/>
      <c r="E7" s="17" t="str">
        <f>IF(B7="","",Calc!S22)</f>
        <v/>
      </c>
      <c r="F7" s="18" t="str">
        <f>IF(B7="","",Calc!P22)</f>
        <v/>
      </c>
      <c r="G7" s="18" t="str">
        <f>IF(B7="","",Calc!P22-Calc!Q22-N('Fee Settings'!$C$5)*(Calc!P22-Calc!Q22)-N('Fee Settings'!$C$6)*Calc!P22-Calc!R22-N('Fee Settings'!$C$10)*Calc!S22-N(C7)*Calc!S22)</f>
        <v/>
      </c>
      <c r="H7" s="18" t="str">
        <f t="shared" si="0"/>
        <v/>
      </c>
    </row>
    <row r="8" spans="1:8" x14ac:dyDescent="0.35">
      <c r="A8" s="16">
        <v>4</v>
      </c>
      <c r="B8" s="12"/>
      <c r="C8" s="13"/>
      <c r="D8" s="13"/>
      <c r="E8" s="17" t="str">
        <f>IF(B8="","",Calc!S23)</f>
        <v/>
      </c>
      <c r="F8" s="18" t="str">
        <f>IF(B8="","",Calc!P23)</f>
        <v/>
      </c>
      <c r="G8" s="18" t="str">
        <f>IF(B8="","",Calc!P23-Calc!Q23-N('Fee Settings'!$C$5)*(Calc!P23-Calc!Q23)-N('Fee Settings'!$C$6)*Calc!P23-Calc!R23-N('Fee Settings'!$C$10)*Calc!S23-N(C8)*Calc!S23)</f>
        <v/>
      </c>
      <c r="H8" s="18" t="str">
        <f t="shared" si="0"/>
        <v/>
      </c>
    </row>
    <row r="9" spans="1:8" x14ac:dyDescent="0.35">
      <c r="A9" s="16">
        <v>5</v>
      </c>
      <c r="B9" s="12"/>
      <c r="C9" s="13"/>
      <c r="D9" s="13"/>
      <c r="E9" s="17" t="str">
        <f>IF(B9="","",Calc!S24)</f>
        <v/>
      </c>
      <c r="F9" s="18" t="str">
        <f>IF(B9="","",Calc!P24)</f>
        <v/>
      </c>
      <c r="G9" s="18" t="str">
        <f>IF(B9="","",Calc!P24-Calc!Q24-N('Fee Settings'!$C$5)*(Calc!P24-Calc!Q24)-N('Fee Settings'!$C$6)*Calc!P24-Calc!R24-N('Fee Settings'!$C$10)*Calc!S24-N(C9)*Calc!S24)</f>
        <v/>
      </c>
      <c r="H9" s="18" t="str">
        <f t="shared" si="0"/>
        <v/>
      </c>
    </row>
    <row r="10" spans="1:8" x14ac:dyDescent="0.35">
      <c r="A10" s="16">
        <v>6</v>
      </c>
      <c r="B10" s="12"/>
      <c r="C10" s="13"/>
      <c r="D10" s="13"/>
      <c r="E10" s="17" t="str">
        <f>IF(B10="","",Calc!S25)</f>
        <v/>
      </c>
      <c r="F10" s="18" t="str">
        <f>IF(B10="","",Calc!P25)</f>
        <v/>
      </c>
      <c r="G10" s="18" t="str">
        <f>IF(B10="","",Calc!P25-Calc!Q25-N('Fee Settings'!$C$5)*(Calc!P25-Calc!Q25)-N('Fee Settings'!$C$6)*Calc!P25-Calc!R25-N('Fee Settings'!$C$10)*Calc!S25-N(C10)*Calc!S25)</f>
        <v/>
      </c>
      <c r="H10" s="18" t="str">
        <f t="shared" si="0"/>
        <v/>
      </c>
    </row>
    <row r="11" spans="1:8" x14ac:dyDescent="0.35">
      <c r="A11" s="16">
        <v>7</v>
      </c>
      <c r="B11" s="12"/>
      <c r="C11" s="13"/>
      <c r="D11" s="13"/>
      <c r="E11" s="17" t="str">
        <f>IF(B11="","",Calc!S26)</f>
        <v/>
      </c>
      <c r="F11" s="18" t="str">
        <f>IF(B11="","",Calc!P26)</f>
        <v/>
      </c>
      <c r="G11" s="18" t="str">
        <f>IF(B11="","",Calc!P26-Calc!Q26-N('Fee Settings'!$C$5)*(Calc!P26-Calc!Q26)-N('Fee Settings'!$C$6)*Calc!P26-Calc!R26-N('Fee Settings'!$C$10)*Calc!S26-N(C11)*Calc!S26)</f>
        <v/>
      </c>
      <c r="H11" s="18" t="str">
        <f t="shared" si="0"/>
        <v/>
      </c>
    </row>
    <row r="12" spans="1:8" x14ac:dyDescent="0.35">
      <c r="A12" s="16">
        <v>8</v>
      </c>
      <c r="B12" s="12"/>
      <c r="C12" s="13"/>
      <c r="D12" s="13"/>
      <c r="E12" s="17" t="str">
        <f>IF(B12="","",Calc!S27)</f>
        <v/>
      </c>
      <c r="F12" s="18" t="str">
        <f>IF(B12="","",Calc!P27)</f>
        <v/>
      </c>
      <c r="G12" s="18" t="str">
        <f>IF(B12="","",Calc!P27-Calc!Q27-N('Fee Settings'!$C$5)*(Calc!P27-Calc!Q27)-N('Fee Settings'!$C$6)*Calc!P27-Calc!R27-N('Fee Settings'!$C$10)*Calc!S27-N(C12)*Calc!S27)</f>
        <v/>
      </c>
      <c r="H12" s="18" t="str">
        <f t="shared" si="0"/>
        <v/>
      </c>
    </row>
    <row r="13" spans="1:8" x14ac:dyDescent="0.35">
      <c r="A13" s="16">
        <v>9</v>
      </c>
      <c r="B13" s="12"/>
      <c r="C13" s="13"/>
      <c r="D13" s="13"/>
      <c r="E13" s="17" t="str">
        <f>IF(B13="","",Calc!S28)</f>
        <v/>
      </c>
      <c r="F13" s="18" t="str">
        <f>IF(B13="","",Calc!P28)</f>
        <v/>
      </c>
      <c r="G13" s="18" t="str">
        <f>IF(B13="","",Calc!P28-Calc!Q28-N('Fee Settings'!$C$5)*(Calc!P28-Calc!Q28)-N('Fee Settings'!$C$6)*Calc!P28-Calc!R28-N('Fee Settings'!$C$10)*Calc!S28-N(C13)*Calc!S28)</f>
        <v/>
      </c>
      <c r="H13" s="18" t="str">
        <f t="shared" si="0"/>
        <v/>
      </c>
    </row>
    <row r="14" spans="1:8" x14ac:dyDescent="0.35">
      <c r="A14" s="16">
        <v>10</v>
      </c>
      <c r="B14" s="12"/>
      <c r="C14" s="13"/>
      <c r="D14" s="13"/>
      <c r="E14" s="17" t="str">
        <f>IF(B14="","",Calc!S29)</f>
        <v/>
      </c>
      <c r="F14" s="18" t="str">
        <f>IF(B14="","",Calc!P29)</f>
        <v/>
      </c>
      <c r="G14" s="18" t="str">
        <f>IF(B14="","",Calc!P29-Calc!Q29-N('Fee Settings'!$C$5)*(Calc!P29-Calc!Q29)-N('Fee Settings'!$C$6)*Calc!P29-Calc!R29-N('Fee Settings'!$C$10)*Calc!S29-N(C14)*Calc!S29)</f>
        <v/>
      </c>
      <c r="H14" s="18" t="str">
        <f t="shared" si="0"/>
        <v/>
      </c>
    </row>
    <row r="15" spans="1:8" x14ac:dyDescent="0.35">
      <c r="A15" s="16">
        <v>11</v>
      </c>
      <c r="B15" s="12"/>
      <c r="C15" s="13"/>
      <c r="D15" s="13"/>
      <c r="E15" s="17" t="str">
        <f>IF(B15="","",Calc!S30)</f>
        <v/>
      </c>
      <c r="F15" s="18" t="str">
        <f>IF(B15="","",Calc!P30)</f>
        <v/>
      </c>
      <c r="G15" s="18" t="str">
        <f>IF(B15="","",Calc!P30-Calc!Q30-N('Fee Settings'!$C$5)*(Calc!P30-Calc!Q30)-N('Fee Settings'!$C$6)*Calc!P30-Calc!R30-N('Fee Settings'!$C$10)*Calc!S30-N(C15)*Calc!S30)</f>
        <v/>
      </c>
      <c r="H15" s="18" t="str">
        <f t="shared" si="0"/>
        <v/>
      </c>
    </row>
    <row r="16" spans="1:8" x14ac:dyDescent="0.35">
      <c r="A16" s="16">
        <v>12</v>
      </c>
      <c r="B16" s="12"/>
      <c r="C16" s="13"/>
      <c r="D16" s="13"/>
      <c r="E16" s="17" t="str">
        <f>IF(B16="","",Calc!S31)</f>
        <v/>
      </c>
      <c r="F16" s="18" t="str">
        <f>IF(B16="","",Calc!P31)</f>
        <v/>
      </c>
      <c r="G16" s="18" t="str">
        <f>IF(B16="","",Calc!P31-Calc!Q31-N('Fee Settings'!$C$5)*(Calc!P31-Calc!Q31)-N('Fee Settings'!$C$6)*Calc!P31-Calc!R31-N('Fee Settings'!$C$10)*Calc!S31-N(C16)*Calc!S31)</f>
        <v/>
      </c>
      <c r="H16" s="18" t="str">
        <f t="shared" si="0"/>
        <v/>
      </c>
    </row>
    <row r="17" spans="1:8" x14ac:dyDescent="0.35">
      <c r="A17" s="16">
        <v>13</v>
      </c>
      <c r="B17" s="12"/>
      <c r="C17" s="13"/>
      <c r="D17" s="13"/>
      <c r="E17" s="17" t="str">
        <f>IF(B17="","",Calc!S32)</f>
        <v/>
      </c>
      <c r="F17" s="18" t="str">
        <f>IF(B17="","",Calc!P32)</f>
        <v/>
      </c>
      <c r="G17" s="18" t="str">
        <f>IF(B17="","",Calc!P32-Calc!Q32-N('Fee Settings'!$C$5)*(Calc!P32-Calc!Q32)-N('Fee Settings'!$C$6)*Calc!P32-Calc!R32-N('Fee Settings'!$C$10)*Calc!S32-N(C17)*Calc!S32)</f>
        <v/>
      </c>
      <c r="H17" s="18" t="str">
        <f t="shared" si="0"/>
        <v/>
      </c>
    </row>
    <row r="18" spans="1:8" x14ac:dyDescent="0.35">
      <c r="A18" s="16">
        <v>14</v>
      </c>
      <c r="B18" s="12"/>
      <c r="C18" s="13"/>
      <c r="D18" s="13"/>
      <c r="E18" s="17" t="str">
        <f>IF(B18="","",Calc!S33)</f>
        <v/>
      </c>
      <c r="F18" s="18" t="str">
        <f>IF(B18="","",Calc!P33)</f>
        <v/>
      </c>
      <c r="G18" s="18" t="str">
        <f>IF(B18="","",Calc!P33-Calc!Q33-N('Fee Settings'!$C$5)*(Calc!P33-Calc!Q33)-N('Fee Settings'!$C$6)*Calc!P33-Calc!R33-N('Fee Settings'!$C$10)*Calc!S33-N(C18)*Calc!S33)</f>
        <v/>
      </c>
      <c r="H18" s="18" t="str">
        <f t="shared" si="0"/>
        <v/>
      </c>
    </row>
    <row r="19" spans="1:8" x14ac:dyDescent="0.35">
      <c r="A19" s="16">
        <v>15</v>
      </c>
      <c r="B19" s="12"/>
      <c r="C19" s="13"/>
      <c r="D19" s="13"/>
      <c r="E19" s="17" t="str">
        <f>IF(B19="","",Calc!S34)</f>
        <v/>
      </c>
      <c r="F19" s="18" t="str">
        <f>IF(B19="","",Calc!P34)</f>
        <v/>
      </c>
      <c r="G19" s="18" t="str">
        <f>IF(B19="","",Calc!P34-Calc!Q34-N('Fee Settings'!$C$5)*(Calc!P34-Calc!Q34)-N('Fee Settings'!$C$6)*Calc!P34-Calc!R34-N('Fee Settings'!$C$10)*Calc!S34-N(C19)*Calc!S34)</f>
        <v/>
      </c>
      <c r="H19" s="18" t="str">
        <f t="shared" si="0"/>
        <v/>
      </c>
    </row>
    <row r="20" spans="1:8" x14ac:dyDescent="0.35">
      <c r="A20" s="16">
        <v>16</v>
      </c>
      <c r="B20" s="12"/>
      <c r="C20" s="13"/>
      <c r="D20" s="13"/>
      <c r="E20" s="17" t="str">
        <f>IF(B20="","",Calc!S35)</f>
        <v/>
      </c>
      <c r="F20" s="18" t="str">
        <f>IF(B20="","",Calc!P35)</f>
        <v/>
      </c>
      <c r="G20" s="18" t="str">
        <f>IF(B20="","",Calc!P35-Calc!Q35-N('Fee Settings'!$C$5)*(Calc!P35-Calc!Q35)-N('Fee Settings'!$C$6)*Calc!P35-Calc!R35-N('Fee Settings'!$C$10)*Calc!S35-N(C20)*Calc!S35)</f>
        <v/>
      </c>
      <c r="H20" s="18" t="str">
        <f t="shared" si="0"/>
        <v/>
      </c>
    </row>
    <row r="21" spans="1:8" x14ac:dyDescent="0.35">
      <c r="A21" s="16">
        <v>17</v>
      </c>
      <c r="B21" s="12"/>
      <c r="C21" s="13"/>
      <c r="D21" s="13"/>
      <c r="E21" s="17" t="str">
        <f>IF(B21="","",Calc!S36)</f>
        <v/>
      </c>
      <c r="F21" s="18" t="str">
        <f>IF(B21="","",Calc!P36)</f>
        <v/>
      </c>
      <c r="G21" s="18" t="str">
        <f>IF(B21="","",Calc!P36-Calc!Q36-N('Fee Settings'!$C$5)*(Calc!P36-Calc!Q36)-N('Fee Settings'!$C$6)*Calc!P36-Calc!R36-N('Fee Settings'!$C$10)*Calc!S36-N(C21)*Calc!S36)</f>
        <v/>
      </c>
      <c r="H21" s="18" t="str">
        <f t="shared" si="0"/>
        <v/>
      </c>
    </row>
    <row r="22" spans="1:8" x14ac:dyDescent="0.35">
      <c r="A22" s="16">
        <v>18</v>
      </c>
      <c r="B22" s="12"/>
      <c r="C22" s="13"/>
      <c r="D22" s="13"/>
      <c r="E22" s="17" t="str">
        <f>IF(B22="","",Calc!S37)</f>
        <v/>
      </c>
      <c r="F22" s="18" t="str">
        <f>IF(B22="","",Calc!P37)</f>
        <v/>
      </c>
      <c r="G22" s="18" t="str">
        <f>IF(B22="","",Calc!P37-Calc!Q37-N('Fee Settings'!$C$5)*(Calc!P37-Calc!Q37)-N('Fee Settings'!$C$6)*Calc!P37-Calc!R37-N('Fee Settings'!$C$10)*Calc!S37-N(C22)*Calc!S37)</f>
        <v/>
      </c>
      <c r="H22" s="18" t="str">
        <f t="shared" si="0"/>
        <v/>
      </c>
    </row>
    <row r="23" spans="1:8" x14ac:dyDescent="0.35">
      <c r="A23" s="16">
        <v>19</v>
      </c>
      <c r="B23" s="12"/>
      <c r="C23" s="13"/>
      <c r="D23" s="13"/>
      <c r="E23" s="17" t="str">
        <f>IF(B23="","",Calc!S38)</f>
        <v/>
      </c>
      <c r="F23" s="18" t="str">
        <f>IF(B23="","",Calc!P38)</f>
        <v/>
      </c>
      <c r="G23" s="18" t="str">
        <f>IF(B23="","",Calc!P38-Calc!Q38-N('Fee Settings'!$C$5)*(Calc!P38-Calc!Q38)-N('Fee Settings'!$C$6)*Calc!P38-Calc!R38-N('Fee Settings'!$C$10)*Calc!S38-N(C23)*Calc!S38)</f>
        <v/>
      </c>
      <c r="H23" s="18" t="str">
        <f t="shared" si="0"/>
        <v/>
      </c>
    </row>
    <row r="24" spans="1:8" x14ac:dyDescent="0.35">
      <c r="A24" s="16">
        <v>20</v>
      </c>
      <c r="B24" s="12"/>
      <c r="C24" s="13"/>
      <c r="D24" s="13"/>
      <c r="E24" s="17" t="str">
        <f>IF(B24="","",Calc!S39)</f>
        <v/>
      </c>
      <c r="F24" s="18" t="str">
        <f>IF(B24="","",Calc!P39)</f>
        <v/>
      </c>
      <c r="G24" s="18" t="str">
        <f>IF(B24="","",Calc!P39-Calc!Q39-N('Fee Settings'!$C$5)*(Calc!P39-Calc!Q39)-N('Fee Settings'!$C$6)*Calc!P39-Calc!R39-N('Fee Settings'!$C$10)*Calc!S39-N(C24)*Calc!S39)</f>
        <v/>
      </c>
      <c r="H24" s="18" t="str">
        <f t="shared" si="0"/>
        <v/>
      </c>
    </row>
    <row r="25" spans="1:8" x14ac:dyDescent="0.35">
      <c r="A25" s="16">
        <v>21</v>
      </c>
      <c r="B25" s="12"/>
      <c r="C25" s="13"/>
      <c r="D25" s="13"/>
      <c r="E25" s="17" t="str">
        <f>IF(B25="","",Calc!S40)</f>
        <v/>
      </c>
      <c r="F25" s="18" t="str">
        <f>IF(B25="","",Calc!P40)</f>
        <v/>
      </c>
      <c r="G25" s="18" t="str">
        <f>IF(B25="","",Calc!P40-Calc!Q40-N('Fee Settings'!$C$5)*(Calc!P40-Calc!Q40)-N('Fee Settings'!$C$6)*Calc!P40-Calc!R40-N('Fee Settings'!$C$10)*Calc!S40-N(C25)*Calc!S40)</f>
        <v/>
      </c>
      <c r="H25" s="18" t="str">
        <f t="shared" si="0"/>
        <v/>
      </c>
    </row>
    <row r="26" spans="1:8" x14ac:dyDescent="0.35">
      <c r="A26" s="16">
        <v>22</v>
      </c>
      <c r="B26" s="12"/>
      <c r="C26" s="13"/>
      <c r="D26" s="13"/>
      <c r="E26" s="17" t="str">
        <f>IF(B26="","",Calc!S41)</f>
        <v/>
      </c>
      <c r="F26" s="18" t="str">
        <f>IF(B26="","",Calc!P41)</f>
        <v/>
      </c>
      <c r="G26" s="18" t="str">
        <f>IF(B26="","",Calc!P41-Calc!Q41-N('Fee Settings'!$C$5)*(Calc!P41-Calc!Q41)-N('Fee Settings'!$C$6)*Calc!P41-Calc!R41-N('Fee Settings'!$C$10)*Calc!S41-N(C26)*Calc!S41)</f>
        <v/>
      </c>
      <c r="H26" s="18" t="str">
        <f t="shared" si="0"/>
        <v/>
      </c>
    </row>
    <row r="27" spans="1:8" x14ac:dyDescent="0.35">
      <c r="A27" s="16">
        <v>23</v>
      </c>
      <c r="B27" s="12"/>
      <c r="C27" s="13"/>
      <c r="D27" s="13"/>
      <c r="E27" s="17" t="str">
        <f>IF(B27="","",Calc!S42)</f>
        <v/>
      </c>
      <c r="F27" s="18" t="str">
        <f>IF(B27="","",Calc!P42)</f>
        <v/>
      </c>
      <c r="G27" s="18" t="str">
        <f>IF(B27="","",Calc!P42-Calc!Q42-N('Fee Settings'!$C$5)*(Calc!P42-Calc!Q42)-N('Fee Settings'!$C$6)*Calc!P42-Calc!R42-N('Fee Settings'!$C$10)*Calc!S42-N(C27)*Calc!S42)</f>
        <v/>
      </c>
      <c r="H27" s="18" t="str">
        <f t="shared" si="0"/>
        <v/>
      </c>
    </row>
    <row r="28" spans="1:8" x14ac:dyDescent="0.35">
      <c r="A28" s="16">
        <v>24</v>
      </c>
      <c r="B28" s="12"/>
      <c r="C28" s="13"/>
      <c r="D28" s="13"/>
      <c r="E28" s="17" t="str">
        <f>IF(B28="","",Calc!S43)</f>
        <v/>
      </c>
      <c r="F28" s="18" t="str">
        <f>IF(B28="","",Calc!P43)</f>
        <v/>
      </c>
      <c r="G28" s="18" t="str">
        <f>IF(B28="","",Calc!P43-Calc!Q43-N('Fee Settings'!$C$5)*(Calc!P43-Calc!Q43)-N('Fee Settings'!$C$6)*Calc!P43-Calc!R43-N('Fee Settings'!$C$10)*Calc!S43-N(C28)*Calc!S43)</f>
        <v/>
      </c>
      <c r="H28" s="18" t="str">
        <f t="shared" si="0"/>
        <v/>
      </c>
    </row>
    <row r="29" spans="1:8" x14ac:dyDescent="0.35">
      <c r="A29" s="16">
        <v>25</v>
      </c>
      <c r="B29" s="12"/>
      <c r="C29" s="13"/>
      <c r="D29" s="13"/>
      <c r="E29" s="17" t="str">
        <f>IF(B29="","",Calc!S44)</f>
        <v/>
      </c>
      <c r="F29" s="18" t="str">
        <f>IF(B29="","",Calc!P44)</f>
        <v/>
      </c>
      <c r="G29" s="18" t="str">
        <f>IF(B29="","",Calc!P44-Calc!Q44-N('Fee Settings'!$C$5)*(Calc!P44-Calc!Q44)-N('Fee Settings'!$C$6)*Calc!P44-Calc!R44-N('Fee Settings'!$C$10)*Calc!S44-N(C29)*Calc!S44)</f>
        <v/>
      </c>
      <c r="H29" s="18" t="str">
        <f t="shared" si="0"/>
        <v/>
      </c>
    </row>
    <row r="31" spans="1:8" x14ac:dyDescent="0.35">
      <c r="A31" s="7" t="s">
        <v>96</v>
      </c>
    </row>
  </sheetData>
  <conditionalFormatting sqref="C5:D29">
    <cfRule type="expression" dxfId="6" priority="1">
      <formula>AND(C5&lt;&gt;"",NOT(ISNUMBER(C5)))</formula>
    </cfRule>
  </conditionalFormatting>
  <dataValidations count="2">
    <dataValidation type="custom" allowBlank="1" showErrorMessage="1" errorTitle="Product name" error="Each product needs a unique name without * ? or ~ characters." sqref="B5:B29" xr:uid="{00000000-0002-0000-0300-000000000000}">
      <formula1>AND(ISERROR(FIND("*",B5)),ISERROR(FIND("?",B5)),ISERROR(FIND("~",B5)),SUMPRODUCT(--($B$5:$B$29=B5))=1)</formula1>
    </dataValidation>
    <dataValidation type="decimal" operator="greaterThanOrEqual" allowBlank="1" showErrorMessage="1" errorTitle="Amount" error="Enter a number (no $ sign or text)." sqref="C5:D29" xr:uid="{00000000-0002-0000-0300-000001000000}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2552D"/>
  </sheetPr>
  <dimension ref="A1:G50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2" customWidth="1"/>
    <col min="2" max="2" width="32" customWidth="1"/>
    <col min="3" max="3" width="36" customWidth="1"/>
    <col min="4" max="4" width="13" customWidth="1"/>
    <col min="5" max="5" width="3" customWidth="1"/>
    <col min="6" max="6" width="12" customWidth="1"/>
    <col min="7" max="7" width="8" customWidth="1"/>
  </cols>
  <sheetData>
    <row r="1" spans="1:7" ht="23" x14ac:dyDescent="0.5">
      <c r="A1" s="1" t="s">
        <v>97</v>
      </c>
    </row>
    <row r="2" spans="1:7" x14ac:dyDescent="0.35">
      <c r="A2" s="2" t="s">
        <v>98</v>
      </c>
      <c r="F2" s="9" t="s">
        <v>67</v>
      </c>
      <c r="G2" s="9">
        <f>SUMPRODUCT((('Shop Expenses'!$A$5:$A$504&lt;&gt;"")+('Shop Expenses'!$B$5:$B$504&lt;&gt;"")+('Shop Expenses'!$D$5:$D$504&lt;&gt;"")&gt;0)*((ISNUMBER('Shop Expenses'!$A$5:$A$504)*ISNUMBER(MATCH('Shop Expenses'!$B$5:$B$504,Lists!$D$2:$D$13,0))*ISNUMBER('Shop Expenses'!$D$5:$D$504))=0))</f>
        <v>0</v>
      </c>
    </row>
    <row r="3" spans="1:7" x14ac:dyDescent="0.35">
      <c r="A3" s="9" t="s">
        <v>99</v>
      </c>
    </row>
    <row r="4" spans="1:7" x14ac:dyDescent="0.35">
      <c r="A4" s="10" t="s">
        <v>69</v>
      </c>
      <c r="B4" s="10" t="s">
        <v>100</v>
      </c>
      <c r="C4" s="10" t="s">
        <v>101</v>
      </c>
      <c r="D4" s="10" t="s">
        <v>52</v>
      </c>
    </row>
    <row r="5" spans="1:7" x14ac:dyDescent="0.35">
      <c r="A5" s="11">
        <v>46025</v>
      </c>
      <c r="B5" s="12" t="s">
        <v>102</v>
      </c>
      <c r="C5" s="12" t="s">
        <v>103</v>
      </c>
      <c r="D5" s="13">
        <v>15</v>
      </c>
    </row>
    <row r="6" spans="1:7" x14ac:dyDescent="0.35">
      <c r="A6" s="11"/>
      <c r="B6" s="12"/>
      <c r="C6" s="12"/>
      <c r="D6" s="13"/>
    </row>
    <row r="7" spans="1:7" x14ac:dyDescent="0.35">
      <c r="A7" s="11"/>
      <c r="B7" s="12"/>
      <c r="C7" s="12"/>
      <c r="D7" s="13"/>
    </row>
    <row r="8" spans="1:7" x14ac:dyDescent="0.35">
      <c r="A8" s="11"/>
      <c r="B8" s="12"/>
      <c r="C8" s="12"/>
      <c r="D8" s="13"/>
    </row>
    <row r="9" spans="1:7" x14ac:dyDescent="0.35">
      <c r="A9" s="11"/>
      <c r="B9" s="12"/>
      <c r="C9" s="12"/>
      <c r="D9" s="13"/>
    </row>
    <row r="10" spans="1:7" x14ac:dyDescent="0.35">
      <c r="A10" s="11"/>
      <c r="B10" s="12"/>
      <c r="C10" s="12"/>
      <c r="D10" s="13"/>
    </row>
    <row r="11" spans="1:7" x14ac:dyDescent="0.35">
      <c r="A11" s="11"/>
      <c r="B11" s="12"/>
      <c r="C11" s="12"/>
      <c r="D11" s="13"/>
    </row>
    <row r="12" spans="1:7" x14ac:dyDescent="0.35">
      <c r="A12" s="11"/>
      <c r="B12" s="12"/>
      <c r="C12" s="12"/>
      <c r="D12" s="13"/>
    </row>
    <row r="13" spans="1:7" x14ac:dyDescent="0.35">
      <c r="A13" s="11"/>
      <c r="B13" s="12"/>
      <c r="C13" s="12"/>
      <c r="D13" s="13"/>
    </row>
    <row r="14" spans="1:7" x14ac:dyDescent="0.35">
      <c r="A14" s="11"/>
      <c r="B14" s="12"/>
      <c r="C14" s="12"/>
      <c r="D14" s="13"/>
    </row>
    <row r="15" spans="1:7" x14ac:dyDescent="0.35">
      <c r="A15" s="11"/>
      <c r="B15" s="12"/>
      <c r="C15" s="12"/>
      <c r="D15" s="13"/>
    </row>
    <row r="16" spans="1:7" x14ac:dyDescent="0.35">
      <c r="A16" s="11"/>
      <c r="B16" s="12"/>
      <c r="C16" s="12"/>
      <c r="D16" s="13"/>
    </row>
    <row r="17" spans="1:4" x14ac:dyDescent="0.35">
      <c r="A17" s="11"/>
      <c r="B17" s="12"/>
      <c r="C17" s="12"/>
      <c r="D17" s="13"/>
    </row>
    <row r="18" spans="1:4" x14ac:dyDescent="0.35">
      <c r="A18" s="11"/>
      <c r="B18" s="12"/>
      <c r="C18" s="12"/>
      <c r="D18" s="13"/>
    </row>
    <row r="19" spans="1:4" x14ac:dyDescent="0.35">
      <c r="A19" s="11"/>
      <c r="B19" s="12"/>
      <c r="C19" s="12"/>
      <c r="D19" s="13"/>
    </row>
    <row r="20" spans="1:4" x14ac:dyDescent="0.35">
      <c r="A20" s="11"/>
      <c r="B20" s="12"/>
      <c r="C20" s="12"/>
      <c r="D20" s="13"/>
    </row>
    <row r="21" spans="1:4" x14ac:dyDescent="0.35">
      <c r="A21" s="11"/>
      <c r="B21" s="12"/>
      <c r="C21" s="12"/>
      <c r="D21" s="13"/>
    </row>
    <row r="22" spans="1:4" x14ac:dyDescent="0.35">
      <c r="A22" s="11"/>
      <c r="B22" s="12"/>
      <c r="C22" s="12"/>
      <c r="D22" s="13"/>
    </row>
    <row r="23" spans="1:4" x14ac:dyDescent="0.35">
      <c r="A23" s="11"/>
      <c r="B23" s="12"/>
      <c r="C23" s="12"/>
      <c r="D23" s="13"/>
    </row>
    <row r="24" spans="1:4" x14ac:dyDescent="0.35">
      <c r="A24" s="11"/>
      <c r="B24" s="12"/>
      <c r="C24" s="12"/>
      <c r="D24" s="13"/>
    </row>
    <row r="25" spans="1:4" x14ac:dyDescent="0.35">
      <c r="A25" s="11"/>
      <c r="B25" s="12"/>
      <c r="C25" s="12"/>
      <c r="D25" s="13"/>
    </row>
    <row r="26" spans="1:4" x14ac:dyDescent="0.35">
      <c r="A26" s="11"/>
      <c r="B26" s="12"/>
      <c r="C26" s="12"/>
      <c r="D26" s="13"/>
    </row>
    <row r="27" spans="1:4" x14ac:dyDescent="0.35">
      <c r="A27" s="11"/>
      <c r="B27" s="12"/>
      <c r="C27" s="12"/>
      <c r="D27" s="13"/>
    </row>
    <row r="28" spans="1:4" x14ac:dyDescent="0.35">
      <c r="A28" s="11"/>
      <c r="B28" s="12"/>
      <c r="C28" s="12"/>
      <c r="D28" s="13"/>
    </row>
    <row r="29" spans="1:4" x14ac:dyDescent="0.35">
      <c r="A29" s="11"/>
      <c r="B29" s="12"/>
      <c r="C29" s="12"/>
      <c r="D29" s="13"/>
    </row>
    <row r="30" spans="1:4" x14ac:dyDescent="0.35">
      <c r="A30" s="11"/>
      <c r="B30" s="12"/>
      <c r="C30" s="12"/>
      <c r="D30" s="13"/>
    </row>
    <row r="31" spans="1:4" x14ac:dyDescent="0.35">
      <c r="A31" s="11"/>
      <c r="B31" s="12"/>
      <c r="C31" s="12"/>
      <c r="D31" s="13"/>
    </row>
    <row r="32" spans="1:4" x14ac:dyDescent="0.35">
      <c r="A32" s="11"/>
      <c r="B32" s="12"/>
      <c r="C32" s="12"/>
      <c r="D32" s="13"/>
    </row>
    <row r="33" spans="1:4" x14ac:dyDescent="0.35">
      <c r="A33" s="11"/>
      <c r="B33" s="12"/>
      <c r="C33" s="12"/>
      <c r="D33" s="13"/>
    </row>
    <row r="34" spans="1:4" x14ac:dyDescent="0.35">
      <c r="A34" s="11"/>
      <c r="B34" s="12"/>
      <c r="C34" s="12"/>
      <c r="D34" s="13"/>
    </row>
    <row r="35" spans="1:4" x14ac:dyDescent="0.35">
      <c r="A35" s="11"/>
      <c r="B35" s="12"/>
      <c r="C35" s="12"/>
      <c r="D35" s="13"/>
    </row>
    <row r="36" spans="1:4" x14ac:dyDescent="0.35">
      <c r="A36" s="11"/>
      <c r="B36" s="12"/>
      <c r="C36" s="12"/>
      <c r="D36" s="13"/>
    </row>
    <row r="37" spans="1:4" x14ac:dyDescent="0.35">
      <c r="A37" s="11"/>
      <c r="B37" s="12"/>
      <c r="C37" s="12"/>
      <c r="D37" s="13"/>
    </row>
    <row r="38" spans="1:4" x14ac:dyDescent="0.35">
      <c r="A38" s="11"/>
      <c r="B38" s="12"/>
      <c r="C38" s="12"/>
      <c r="D38" s="13"/>
    </row>
    <row r="39" spans="1:4" x14ac:dyDescent="0.35">
      <c r="A39" s="11"/>
      <c r="B39" s="12"/>
      <c r="C39" s="12"/>
      <c r="D39" s="13"/>
    </row>
    <row r="40" spans="1:4" x14ac:dyDescent="0.35">
      <c r="A40" s="11"/>
      <c r="B40" s="12"/>
      <c r="C40" s="12"/>
      <c r="D40" s="13"/>
    </row>
    <row r="41" spans="1:4" x14ac:dyDescent="0.35">
      <c r="A41" s="11"/>
      <c r="B41" s="12"/>
      <c r="C41" s="12"/>
      <c r="D41" s="13"/>
    </row>
    <row r="42" spans="1:4" x14ac:dyDescent="0.35">
      <c r="A42" s="11"/>
      <c r="B42" s="12"/>
      <c r="C42" s="12"/>
      <c r="D42" s="13"/>
    </row>
    <row r="43" spans="1:4" x14ac:dyDescent="0.35">
      <c r="A43" s="11"/>
      <c r="B43" s="12"/>
      <c r="C43" s="12"/>
      <c r="D43" s="13"/>
    </row>
    <row r="44" spans="1:4" x14ac:dyDescent="0.35">
      <c r="A44" s="11"/>
      <c r="B44" s="12"/>
      <c r="C44" s="12"/>
      <c r="D44" s="13"/>
    </row>
    <row r="45" spans="1:4" x14ac:dyDescent="0.35">
      <c r="A45" s="11"/>
      <c r="B45" s="12"/>
      <c r="C45" s="12"/>
      <c r="D45" s="13"/>
    </row>
    <row r="46" spans="1:4" x14ac:dyDescent="0.35">
      <c r="A46" s="11"/>
      <c r="B46" s="12"/>
      <c r="C46" s="12"/>
      <c r="D46" s="13"/>
    </row>
    <row r="47" spans="1:4" x14ac:dyDescent="0.35">
      <c r="A47" s="11"/>
      <c r="B47" s="12"/>
      <c r="C47" s="12"/>
      <c r="D47" s="13"/>
    </row>
    <row r="48" spans="1:4" x14ac:dyDescent="0.35">
      <c r="A48" s="11"/>
      <c r="B48" s="12"/>
      <c r="C48" s="12"/>
      <c r="D48" s="13"/>
    </row>
    <row r="49" spans="1:4" x14ac:dyDescent="0.35">
      <c r="A49" s="11"/>
      <c r="B49" s="12"/>
      <c r="C49" s="12"/>
      <c r="D49" s="13"/>
    </row>
    <row r="50" spans="1:4" x14ac:dyDescent="0.35">
      <c r="A50" s="11"/>
      <c r="B50" s="12"/>
      <c r="C50" s="12"/>
      <c r="D50" s="13"/>
    </row>
    <row r="51" spans="1:4" x14ac:dyDescent="0.35">
      <c r="A51" s="11"/>
      <c r="B51" s="12"/>
      <c r="C51" s="12"/>
      <c r="D51" s="13"/>
    </row>
    <row r="52" spans="1:4" x14ac:dyDescent="0.35">
      <c r="A52" s="11"/>
      <c r="B52" s="12"/>
      <c r="C52" s="12"/>
      <c r="D52" s="13"/>
    </row>
    <row r="53" spans="1:4" x14ac:dyDescent="0.35">
      <c r="A53" s="11"/>
      <c r="B53" s="12"/>
      <c r="C53" s="12"/>
      <c r="D53" s="13"/>
    </row>
    <row r="54" spans="1:4" x14ac:dyDescent="0.35">
      <c r="A54" s="11"/>
      <c r="B54" s="12"/>
      <c r="C54" s="12"/>
      <c r="D54" s="13"/>
    </row>
    <row r="55" spans="1:4" x14ac:dyDescent="0.35">
      <c r="A55" s="11"/>
      <c r="B55" s="12"/>
      <c r="C55" s="12"/>
      <c r="D55" s="13"/>
    </row>
    <row r="56" spans="1:4" x14ac:dyDescent="0.35">
      <c r="A56" s="11"/>
      <c r="B56" s="12"/>
      <c r="C56" s="12"/>
      <c r="D56" s="13"/>
    </row>
    <row r="57" spans="1:4" x14ac:dyDescent="0.35">
      <c r="A57" s="11"/>
      <c r="B57" s="12"/>
      <c r="C57" s="12"/>
      <c r="D57" s="13"/>
    </row>
    <row r="58" spans="1:4" x14ac:dyDescent="0.35">
      <c r="A58" s="11"/>
      <c r="B58" s="12"/>
      <c r="C58" s="12"/>
      <c r="D58" s="13"/>
    </row>
    <row r="59" spans="1:4" x14ac:dyDescent="0.35">
      <c r="A59" s="11"/>
      <c r="B59" s="12"/>
      <c r="C59" s="12"/>
      <c r="D59" s="13"/>
    </row>
    <row r="60" spans="1:4" x14ac:dyDescent="0.35">
      <c r="A60" s="11"/>
      <c r="B60" s="12"/>
      <c r="C60" s="12"/>
      <c r="D60" s="13"/>
    </row>
    <row r="61" spans="1:4" x14ac:dyDescent="0.35">
      <c r="A61" s="11"/>
      <c r="B61" s="12"/>
      <c r="C61" s="12"/>
      <c r="D61" s="13"/>
    </row>
    <row r="62" spans="1:4" x14ac:dyDescent="0.35">
      <c r="A62" s="11"/>
      <c r="B62" s="12"/>
      <c r="C62" s="12"/>
      <c r="D62" s="13"/>
    </row>
    <row r="63" spans="1:4" x14ac:dyDescent="0.35">
      <c r="A63" s="11"/>
      <c r="B63" s="12"/>
      <c r="C63" s="12"/>
      <c r="D63" s="13"/>
    </row>
    <row r="64" spans="1:4" x14ac:dyDescent="0.35">
      <c r="A64" s="11"/>
      <c r="B64" s="12"/>
      <c r="C64" s="12"/>
      <c r="D64" s="13"/>
    </row>
    <row r="65" spans="1:4" x14ac:dyDescent="0.35">
      <c r="A65" s="11"/>
      <c r="B65" s="12"/>
      <c r="C65" s="12"/>
      <c r="D65" s="13"/>
    </row>
    <row r="66" spans="1:4" x14ac:dyDescent="0.35">
      <c r="A66" s="11"/>
      <c r="B66" s="12"/>
      <c r="C66" s="12"/>
      <c r="D66" s="13"/>
    </row>
    <row r="67" spans="1:4" x14ac:dyDescent="0.35">
      <c r="A67" s="11"/>
      <c r="B67" s="12"/>
      <c r="C67" s="12"/>
      <c r="D67" s="13"/>
    </row>
    <row r="68" spans="1:4" x14ac:dyDescent="0.35">
      <c r="A68" s="11"/>
      <c r="B68" s="12"/>
      <c r="C68" s="12"/>
      <c r="D68" s="13"/>
    </row>
    <row r="69" spans="1:4" x14ac:dyDescent="0.35">
      <c r="A69" s="11"/>
      <c r="B69" s="12"/>
      <c r="C69" s="12"/>
      <c r="D69" s="13"/>
    </row>
    <row r="70" spans="1:4" x14ac:dyDescent="0.35">
      <c r="A70" s="11"/>
      <c r="B70" s="12"/>
      <c r="C70" s="12"/>
      <c r="D70" s="13"/>
    </row>
    <row r="71" spans="1:4" x14ac:dyDescent="0.35">
      <c r="A71" s="11"/>
      <c r="B71" s="12"/>
      <c r="C71" s="12"/>
      <c r="D71" s="13"/>
    </row>
    <row r="72" spans="1:4" x14ac:dyDescent="0.35">
      <c r="A72" s="11"/>
      <c r="B72" s="12"/>
      <c r="C72" s="12"/>
      <c r="D72" s="13"/>
    </row>
    <row r="73" spans="1:4" x14ac:dyDescent="0.35">
      <c r="A73" s="11"/>
      <c r="B73" s="12"/>
      <c r="C73" s="12"/>
      <c r="D73" s="13"/>
    </row>
    <row r="74" spans="1:4" x14ac:dyDescent="0.35">
      <c r="A74" s="11"/>
      <c r="B74" s="12"/>
      <c r="C74" s="12"/>
      <c r="D74" s="13"/>
    </row>
    <row r="75" spans="1:4" x14ac:dyDescent="0.35">
      <c r="A75" s="11"/>
      <c r="B75" s="12"/>
      <c r="C75" s="12"/>
      <c r="D75" s="13"/>
    </row>
    <row r="76" spans="1:4" x14ac:dyDescent="0.35">
      <c r="A76" s="11"/>
      <c r="B76" s="12"/>
      <c r="C76" s="12"/>
      <c r="D76" s="13"/>
    </row>
    <row r="77" spans="1:4" x14ac:dyDescent="0.35">
      <c r="A77" s="11"/>
      <c r="B77" s="12"/>
      <c r="C77" s="12"/>
      <c r="D77" s="13"/>
    </row>
    <row r="78" spans="1:4" x14ac:dyDescent="0.35">
      <c r="A78" s="11"/>
      <c r="B78" s="12"/>
      <c r="C78" s="12"/>
      <c r="D78" s="13"/>
    </row>
    <row r="79" spans="1:4" x14ac:dyDescent="0.35">
      <c r="A79" s="11"/>
      <c r="B79" s="12"/>
      <c r="C79" s="12"/>
      <c r="D79" s="13"/>
    </row>
    <row r="80" spans="1:4" x14ac:dyDescent="0.35">
      <c r="A80" s="11"/>
      <c r="B80" s="12"/>
      <c r="C80" s="12"/>
      <c r="D80" s="13"/>
    </row>
    <row r="81" spans="1:4" x14ac:dyDescent="0.35">
      <c r="A81" s="11"/>
      <c r="B81" s="12"/>
      <c r="C81" s="12"/>
      <c r="D81" s="13"/>
    </row>
    <row r="82" spans="1:4" x14ac:dyDescent="0.35">
      <c r="A82" s="11"/>
      <c r="B82" s="12"/>
      <c r="C82" s="12"/>
      <c r="D82" s="13"/>
    </row>
    <row r="83" spans="1:4" x14ac:dyDescent="0.35">
      <c r="A83" s="11"/>
      <c r="B83" s="12"/>
      <c r="C83" s="12"/>
      <c r="D83" s="13"/>
    </row>
    <row r="84" spans="1:4" x14ac:dyDescent="0.35">
      <c r="A84" s="11"/>
      <c r="B84" s="12"/>
      <c r="C84" s="12"/>
      <c r="D84" s="13"/>
    </row>
    <row r="85" spans="1:4" x14ac:dyDescent="0.35">
      <c r="A85" s="11"/>
      <c r="B85" s="12"/>
      <c r="C85" s="12"/>
      <c r="D85" s="13"/>
    </row>
    <row r="86" spans="1:4" x14ac:dyDescent="0.35">
      <c r="A86" s="11"/>
      <c r="B86" s="12"/>
      <c r="C86" s="12"/>
      <c r="D86" s="13"/>
    </row>
    <row r="87" spans="1:4" x14ac:dyDescent="0.35">
      <c r="A87" s="11"/>
      <c r="B87" s="12"/>
      <c r="C87" s="12"/>
      <c r="D87" s="13"/>
    </row>
    <row r="88" spans="1:4" x14ac:dyDescent="0.35">
      <c r="A88" s="11"/>
      <c r="B88" s="12"/>
      <c r="C88" s="12"/>
      <c r="D88" s="13"/>
    </row>
    <row r="89" spans="1:4" x14ac:dyDescent="0.35">
      <c r="A89" s="11"/>
      <c r="B89" s="12"/>
      <c r="C89" s="12"/>
      <c r="D89" s="13"/>
    </row>
    <row r="90" spans="1:4" x14ac:dyDescent="0.35">
      <c r="A90" s="11"/>
      <c r="B90" s="12"/>
      <c r="C90" s="12"/>
      <c r="D90" s="13"/>
    </row>
    <row r="91" spans="1:4" x14ac:dyDescent="0.35">
      <c r="A91" s="11"/>
      <c r="B91" s="12"/>
      <c r="C91" s="12"/>
      <c r="D91" s="13"/>
    </row>
    <row r="92" spans="1:4" x14ac:dyDescent="0.35">
      <c r="A92" s="11"/>
      <c r="B92" s="12"/>
      <c r="C92" s="12"/>
      <c r="D92" s="13"/>
    </row>
    <row r="93" spans="1:4" x14ac:dyDescent="0.35">
      <c r="A93" s="11"/>
      <c r="B93" s="12"/>
      <c r="C93" s="12"/>
      <c r="D93" s="13"/>
    </row>
    <row r="94" spans="1:4" x14ac:dyDescent="0.35">
      <c r="A94" s="11"/>
      <c r="B94" s="12"/>
      <c r="C94" s="12"/>
      <c r="D94" s="13"/>
    </row>
    <row r="95" spans="1:4" x14ac:dyDescent="0.35">
      <c r="A95" s="11"/>
      <c r="B95" s="12"/>
      <c r="C95" s="12"/>
      <c r="D95" s="13"/>
    </row>
    <row r="96" spans="1:4" x14ac:dyDescent="0.35">
      <c r="A96" s="11"/>
      <c r="B96" s="12"/>
      <c r="C96" s="12"/>
      <c r="D96" s="13"/>
    </row>
    <row r="97" spans="1:4" x14ac:dyDescent="0.35">
      <c r="A97" s="11"/>
      <c r="B97" s="12"/>
      <c r="C97" s="12"/>
      <c r="D97" s="13"/>
    </row>
    <row r="98" spans="1:4" x14ac:dyDescent="0.35">
      <c r="A98" s="11"/>
      <c r="B98" s="12"/>
      <c r="C98" s="12"/>
      <c r="D98" s="13"/>
    </row>
    <row r="99" spans="1:4" x14ac:dyDescent="0.35">
      <c r="A99" s="11"/>
      <c r="B99" s="12"/>
      <c r="C99" s="12"/>
      <c r="D99" s="13"/>
    </row>
    <row r="100" spans="1:4" x14ac:dyDescent="0.35">
      <c r="A100" s="11"/>
      <c r="B100" s="12"/>
      <c r="C100" s="12"/>
      <c r="D100" s="13"/>
    </row>
    <row r="101" spans="1:4" x14ac:dyDescent="0.35">
      <c r="A101" s="11"/>
      <c r="B101" s="12"/>
      <c r="C101" s="12"/>
      <c r="D101" s="13"/>
    </row>
    <row r="102" spans="1:4" x14ac:dyDescent="0.35">
      <c r="A102" s="11"/>
      <c r="B102" s="12"/>
      <c r="C102" s="12"/>
      <c r="D102" s="13"/>
    </row>
    <row r="103" spans="1:4" x14ac:dyDescent="0.35">
      <c r="A103" s="11"/>
      <c r="B103" s="12"/>
      <c r="C103" s="12"/>
      <c r="D103" s="13"/>
    </row>
    <row r="104" spans="1:4" x14ac:dyDescent="0.35">
      <c r="A104" s="11"/>
      <c r="B104" s="12"/>
      <c r="C104" s="12"/>
      <c r="D104" s="13"/>
    </row>
    <row r="105" spans="1:4" x14ac:dyDescent="0.35">
      <c r="A105" s="11"/>
      <c r="B105" s="12"/>
      <c r="C105" s="12"/>
      <c r="D105" s="13"/>
    </row>
    <row r="106" spans="1:4" x14ac:dyDescent="0.35">
      <c r="A106" s="11"/>
      <c r="B106" s="12"/>
      <c r="C106" s="12"/>
      <c r="D106" s="13"/>
    </row>
    <row r="107" spans="1:4" x14ac:dyDescent="0.35">
      <c r="A107" s="11"/>
      <c r="B107" s="12"/>
      <c r="C107" s="12"/>
      <c r="D107" s="13"/>
    </row>
    <row r="108" spans="1:4" x14ac:dyDescent="0.35">
      <c r="A108" s="11"/>
      <c r="B108" s="12"/>
      <c r="C108" s="12"/>
      <c r="D108" s="13"/>
    </row>
    <row r="109" spans="1:4" x14ac:dyDescent="0.35">
      <c r="A109" s="11"/>
      <c r="B109" s="12"/>
      <c r="C109" s="12"/>
      <c r="D109" s="13"/>
    </row>
    <row r="110" spans="1:4" x14ac:dyDescent="0.35">
      <c r="A110" s="11"/>
      <c r="B110" s="12"/>
      <c r="C110" s="12"/>
      <c r="D110" s="13"/>
    </row>
    <row r="111" spans="1:4" x14ac:dyDescent="0.35">
      <c r="A111" s="11"/>
      <c r="B111" s="12"/>
      <c r="C111" s="12"/>
      <c r="D111" s="13"/>
    </row>
    <row r="112" spans="1:4" x14ac:dyDescent="0.35">
      <c r="A112" s="11"/>
      <c r="B112" s="12"/>
      <c r="C112" s="12"/>
      <c r="D112" s="13"/>
    </row>
    <row r="113" spans="1:4" x14ac:dyDescent="0.35">
      <c r="A113" s="11"/>
      <c r="B113" s="12"/>
      <c r="C113" s="12"/>
      <c r="D113" s="13"/>
    </row>
    <row r="114" spans="1:4" x14ac:dyDescent="0.35">
      <c r="A114" s="11"/>
      <c r="B114" s="12"/>
      <c r="C114" s="12"/>
      <c r="D114" s="13"/>
    </row>
    <row r="115" spans="1:4" x14ac:dyDescent="0.35">
      <c r="A115" s="11"/>
      <c r="B115" s="12"/>
      <c r="C115" s="12"/>
      <c r="D115" s="13"/>
    </row>
    <row r="116" spans="1:4" x14ac:dyDescent="0.35">
      <c r="A116" s="11"/>
      <c r="B116" s="12"/>
      <c r="C116" s="12"/>
      <c r="D116" s="13"/>
    </row>
    <row r="117" spans="1:4" x14ac:dyDescent="0.35">
      <c r="A117" s="11"/>
      <c r="B117" s="12"/>
      <c r="C117" s="12"/>
      <c r="D117" s="13"/>
    </row>
    <row r="118" spans="1:4" x14ac:dyDescent="0.35">
      <c r="A118" s="11"/>
      <c r="B118" s="12"/>
      <c r="C118" s="12"/>
      <c r="D118" s="13"/>
    </row>
    <row r="119" spans="1:4" x14ac:dyDescent="0.35">
      <c r="A119" s="11"/>
      <c r="B119" s="12"/>
      <c r="C119" s="12"/>
      <c r="D119" s="13"/>
    </row>
    <row r="120" spans="1:4" x14ac:dyDescent="0.35">
      <c r="A120" s="11"/>
      <c r="B120" s="12"/>
      <c r="C120" s="12"/>
      <c r="D120" s="13"/>
    </row>
    <row r="121" spans="1:4" x14ac:dyDescent="0.35">
      <c r="A121" s="11"/>
      <c r="B121" s="12"/>
      <c r="C121" s="12"/>
      <c r="D121" s="13"/>
    </row>
    <row r="122" spans="1:4" x14ac:dyDescent="0.35">
      <c r="A122" s="11"/>
      <c r="B122" s="12"/>
      <c r="C122" s="12"/>
      <c r="D122" s="13"/>
    </row>
    <row r="123" spans="1:4" x14ac:dyDescent="0.35">
      <c r="A123" s="11"/>
      <c r="B123" s="12"/>
      <c r="C123" s="12"/>
      <c r="D123" s="13"/>
    </row>
    <row r="124" spans="1:4" x14ac:dyDescent="0.35">
      <c r="A124" s="11"/>
      <c r="B124" s="12"/>
      <c r="C124" s="12"/>
      <c r="D124" s="13"/>
    </row>
    <row r="125" spans="1:4" x14ac:dyDescent="0.35">
      <c r="A125" s="11"/>
      <c r="B125" s="12"/>
      <c r="C125" s="12"/>
      <c r="D125" s="13"/>
    </row>
    <row r="126" spans="1:4" x14ac:dyDescent="0.35">
      <c r="A126" s="11"/>
      <c r="B126" s="12"/>
      <c r="C126" s="12"/>
      <c r="D126" s="13"/>
    </row>
    <row r="127" spans="1:4" x14ac:dyDescent="0.35">
      <c r="A127" s="11"/>
      <c r="B127" s="12"/>
      <c r="C127" s="12"/>
      <c r="D127" s="13"/>
    </row>
    <row r="128" spans="1:4" x14ac:dyDescent="0.35">
      <c r="A128" s="11"/>
      <c r="B128" s="12"/>
      <c r="C128" s="12"/>
      <c r="D128" s="13"/>
    </row>
    <row r="129" spans="1:4" x14ac:dyDescent="0.35">
      <c r="A129" s="11"/>
      <c r="B129" s="12"/>
      <c r="C129" s="12"/>
      <c r="D129" s="13"/>
    </row>
    <row r="130" spans="1:4" x14ac:dyDescent="0.35">
      <c r="A130" s="11"/>
      <c r="B130" s="12"/>
      <c r="C130" s="12"/>
      <c r="D130" s="13"/>
    </row>
    <row r="131" spans="1:4" x14ac:dyDescent="0.35">
      <c r="A131" s="11"/>
      <c r="B131" s="12"/>
      <c r="C131" s="12"/>
      <c r="D131" s="13"/>
    </row>
    <row r="132" spans="1:4" x14ac:dyDescent="0.35">
      <c r="A132" s="11"/>
      <c r="B132" s="12"/>
      <c r="C132" s="12"/>
      <c r="D132" s="13"/>
    </row>
    <row r="133" spans="1:4" x14ac:dyDescent="0.35">
      <c r="A133" s="11"/>
      <c r="B133" s="12"/>
      <c r="C133" s="12"/>
      <c r="D133" s="13"/>
    </row>
    <row r="134" spans="1:4" x14ac:dyDescent="0.35">
      <c r="A134" s="11"/>
      <c r="B134" s="12"/>
      <c r="C134" s="12"/>
      <c r="D134" s="13"/>
    </row>
    <row r="135" spans="1:4" x14ac:dyDescent="0.35">
      <c r="A135" s="11"/>
      <c r="B135" s="12"/>
      <c r="C135" s="12"/>
      <c r="D135" s="13"/>
    </row>
    <row r="136" spans="1:4" x14ac:dyDescent="0.35">
      <c r="A136" s="11"/>
      <c r="B136" s="12"/>
      <c r="C136" s="12"/>
      <c r="D136" s="13"/>
    </row>
    <row r="137" spans="1:4" x14ac:dyDescent="0.35">
      <c r="A137" s="11"/>
      <c r="B137" s="12"/>
      <c r="C137" s="12"/>
      <c r="D137" s="13"/>
    </row>
    <row r="138" spans="1:4" x14ac:dyDescent="0.35">
      <c r="A138" s="11"/>
      <c r="B138" s="12"/>
      <c r="C138" s="12"/>
      <c r="D138" s="13"/>
    </row>
    <row r="139" spans="1:4" x14ac:dyDescent="0.35">
      <c r="A139" s="11"/>
      <c r="B139" s="12"/>
      <c r="C139" s="12"/>
      <c r="D139" s="13"/>
    </row>
    <row r="140" spans="1:4" x14ac:dyDescent="0.35">
      <c r="A140" s="11"/>
      <c r="B140" s="12"/>
      <c r="C140" s="12"/>
      <c r="D140" s="13"/>
    </row>
    <row r="141" spans="1:4" x14ac:dyDescent="0.35">
      <c r="A141" s="11"/>
      <c r="B141" s="12"/>
      <c r="C141" s="12"/>
      <c r="D141" s="13"/>
    </row>
    <row r="142" spans="1:4" x14ac:dyDescent="0.35">
      <c r="A142" s="11"/>
      <c r="B142" s="12"/>
      <c r="C142" s="12"/>
      <c r="D142" s="13"/>
    </row>
    <row r="143" spans="1:4" x14ac:dyDescent="0.35">
      <c r="A143" s="11"/>
      <c r="B143" s="12"/>
      <c r="C143" s="12"/>
      <c r="D143" s="13"/>
    </row>
    <row r="144" spans="1:4" x14ac:dyDescent="0.35">
      <c r="A144" s="11"/>
      <c r="B144" s="12"/>
      <c r="C144" s="12"/>
      <c r="D144" s="13"/>
    </row>
    <row r="145" spans="1:4" x14ac:dyDescent="0.35">
      <c r="A145" s="11"/>
      <c r="B145" s="12"/>
      <c r="C145" s="12"/>
      <c r="D145" s="13"/>
    </row>
    <row r="146" spans="1:4" x14ac:dyDescent="0.35">
      <c r="A146" s="11"/>
      <c r="B146" s="12"/>
      <c r="C146" s="12"/>
      <c r="D146" s="13"/>
    </row>
    <row r="147" spans="1:4" x14ac:dyDescent="0.35">
      <c r="A147" s="11"/>
      <c r="B147" s="12"/>
      <c r="C147" s="12"/>
      <c r="D147" s="13"/>
    </row>
    <row r="148" spans="1:4" x14ac:dyDescent="0.35">
      <c r="A148" s="11"/>
      <c r="B148" s="12"/>
      <c r="C148" s="12"/>
      <c r="D148" s="13"/>
    </row>
    <row r="149" spans="1:4" x14ac:dyDescent="0.35">
      <c r="A149" s="11"/>
      <c r="B149" s="12"/>
      <c r="C149" s="12"/>
      <c r="D149" s="13"/>
    </row>
    <row r="150" spans="1:4" x14ac:dyDescent="0.35">
      <c r="A150" s="11"/>
      <c r="B150" s="12"/>
      <c r="C150" s="12"/>
      <c r="D150" s="13"/>
    </row>
    <row r="151" spans="1:4" x14ac:dyDescent="0.35">
      <c r="A151" s="11"/>
      <c r="B151" s="12"/>
      <c r="C151" s="12"/>
      <c r="D151" s="13"/>
    </row>
    <row r="152" spans="1:4" x14ac:dyDescent="0.35">
      <c r="A152" s="11"/>
      <c r="B152" s="12"/>
      <c r="C152" s="12"/>
      <c r="D152" s="13"/>
    </row>
    <row r="153" spans="1:4" x14ac:dyDescent="0.35">
      <c r="A153" s="11"/>
      <c r="B153" s="12"/>
      <c r="C153" s="12"/>
      <c r="D153" s="13"/>
    </row>
    <row r="154" spans="1:4" x14ac:dyDescent="0.35">
      <c r="A154" s="11"/>
      <c r="B154" s="12"/>
      <c r="C154" s="12"/>
      <c r="D154" s="13"/>
    </row>
    <row r="155" spans="1:4" x14ac:dyDescent="0.35">
      <c r="A155" s="11"/>
      <c r="B155" s="12"/>
      <c r="C155" s="12"/>
      <c r="D155" s="13"/>
    </row>
    <row r="156" spans="1:4" x14ac:dyDescent="0.35">
      <c r="A156" s="11"/>
      <c r="B156" s="12"/>
      <c r="C156" s="12"/>
      <c r="D156" s="13"/>
    </row>
    <row r="157" spans="1:4" x14ac:dyDescent="0.35">
      <c r="A157" s="11"/>
      <c r="B157" s="12"/>
      <c r="C157" s="12"/>
      <c r="D157" s="13"/>
    </row>
    <row r="158" spans="1:4" x14ac:dyDescent="0.35">
      <c r="A158" s="11"/>
      <c r="B158" s="12"/>
      <c r="C158" s="12"/>
      <c r="D158" s="13"/>
    </row>
    <row r="159" spans="1:4" x14ac:dyDescent="0.35">
      <c r="A159" s="11"/>
      <c r="B159" s="12"/>
      <c r="C159" s="12"/>
      <c r="D159" s="13"/>
    </row>
    <row r="160" spans="1:4" x14ac:dyDescent="0.35">
      <c r="A160" s="11"/>
      <c r="B160" s="12"/>
      <c r="C160" s="12"/>
      <c r="D160" s="13"/>
    </row>
    <row r="161" spans="1:4" x14ac:dyDescent="0.35">
      <c r="A161" s="11"/>
      <c r="B161" s="12"/>
      <c r="C161" s="12"/>
      <c r="D161" s="13"/>
    </row>
    <row r="162" spans="1:4" x14ac:dyDescent="0.35">
      <c r="A162" s="11"/>
      <c r="B162" s="12"/>
      <c r="C162" s="12"/>
      <c r="D162" s="13"/>
    </row>
    <row r="163" spans="1:4" x14ac:dyDescent="0.35">
      <c r="A163" s="11"/>
      <c r="B163" s="12"/>
      <c r="C163" s="12"/>
      <c r="D163" s="13"/>
    </row>
    <row r="164" spans="1:4" x14ac:dyDescent="0.35">
      <c r="A164" s="11"/>
      <c r="B164" s="12"/>
      <c r="C164" s="12"/>
      <c r="D164" s="13"/>
    </row>
    <row r="165" spans="1:4" x14ac:dyDescent="0.35">
      <c r="A165" s="11"/>
      <c r="B165" s="12"/>
      <c r="C165" s="12"/>
      <c r="D165" s="13"/>
    </row>
    <row r="166" spans="1:4" x14ac:dyDescent="0.35">
      <c r="A166" s="11"/>
      <c r="B166" s="12"/>
      <c r="C166" s="12"/>
      <c r="D166" s="13"/>
    </row>
    <row r="167" spans="1:4" x14ac:dyDescent="0.35">
      <c r="A167" s="11"/>
      <c r="B167" s="12"/>
      <c r="C167" s="12"/>
      <c r="D167" s="13"/>
    </row>
    <row r="168" spans="1:4" x14ac:dyDescent="0.35">
      <c r="A168" s="11"/>
      <c r="B168" s="12"/>
      <c r="C168" s="12"/>
      <c r="D168" s="13"/>
    </row>
    <row r="169" spans="1:4" x14ac:dyDescent="0.35">
      <c r="A169" s="11"/>
      <c r="B169" s="12"/>
      <c r="C169" s="12"/>
      <c r="D169" s="13"/>
    </row>
    <row r="170" spans="1:4" x14ac:dyDescent="0.35">
      <c r="A170" s="11"/>
      <c r="B170" s="12"/>
      <c r="C170" s="12"/>
      <c r="D170" s="13"/>
    </row>
    <row r="171" spans="1:4" x14ac:dyDescent="0.35">
      <c r="A171" s="11"/>
      <c r="B171" s="12"/>
      <c r="C171" s="12"/>
      <c r="D171" s="13"/>
    </row>
    <row r="172" spans="1:4" x14ac:dyDescent="0.35">
      <c r="A172" s="11"/>
      <c r="B172" s="12"/>
      <c r="C172" s="12"/>
      <c r="D172" s="13"/>
    </row>
    <row r="173" spans="1:4" x14ac:dyDescent="0.35">
      <c r="A173" s="11"/>
      <c r="B173" s="12"/>
      <c r="C173" s="12"/>
      <c r="D173" s="13"/>
    </row>
    <row r="174" spans="1:4" x14ac:dyDescent="0.35">
      <c r="A174" s="11"/>
      <c r="B174" s="12"/>
      <c r="C174" s="12"/>
      <c r="D174" s="13"/>
    </row>
    <row r="175" spans="1:4" x14ac:dyDescent="0.35">
      <c r="A175" s="11"/>
      <c r="B175" s="12"/>
      <c r="C175" s="12"/>
      <c r="D175" s="13"/>
    </row>
    <row r="176" spans="1:4" x14ac:dyDescent="0.35">
      <c r="A176" s="11"/>
      <c r="B176" s="12"/>
      <c r="C176" s="12"/>
      <c r="D176" s="13"/>
    </row>
    <row r="177" spans="1:4" x14ac:dyDescent="0.35">
      <c r="A177" s="11"/>
      <c r="B177" s="12"/>
      <c r="C177" s="12"/>
      <c r="D177" s="13"/>
    </row>
    <row r="178" spans="1:4" x14ac:dyDescent="0.35">
      <c r="A178" s="11"/>
      <c r="B178" s="12"/>
      <c r="C178" s="12"/>
      <c r="D178" s="13"/>
    </row>
    <row r="179" spans="1:4" x14ac:dyDescent="0.35">
      <c r="A179" s="11"/>
      <c r="B179" s="12"/>
      <c r="C179" s="12"/>
      <c r="D179" s="13"/>
    </row>
    <row r="180" spans="1:4" x14ac:dyDescent="0.35">
      <c r="A180" s="11"/>
      <c r="B180" s="12"/>
      <c r="C180" s="12"/>
      <c r="D180" s="13"/>
    </row>
    <row r="181" spans="1:4" x14ac:dyDescent="0.35">
      <c r="A181" s="11"/>
      <c r="B181" s="12"/>
      <c r="C181" s="12"/>
      <c r="D181" s="13"/>
    </row>
    <row r="182" spans="1:4" x14ac:dyDescent="0.35">
      <c r="A182" s="11"/>
      <c r="B182" s="12"/>
      <c r="C182" s="12"/>
      <c r="D182" s="13"/>
    </row>
    <row r="183" spans="1:4" x14ac:dyDescent="0.35">
      <c r="A183" s="11"/>
      <c r="B183" s="12"/>
      <c r="C183" s="12"/>
      <c r="D183" s="13"/>
    </row>
    <row r="184" spans="1:4" x14ac:dyDescent="0.35">
      <c r="A184" s="11"/>
      <c r="B184" s="12"/>
      <c r="C184" s="12"/>
      <c r="D184" s="13"/>
    </row>
    <row r="185" spans="1:4" x14ac:dyDescent="0.35">
      <c r="A185" s="11"/>
      <c r="B185" s="12"/>
      <c r="C185" s="12"/>
      <c r="D185" s="13"/>
    </row>
    <row r="186" spans="1:4" x14ac:dyDescent="0.35">
      <c r="A186" s="11"/>
      <c r="B186" s="12"/>
      <c r="C186" s="12"/>
      <c r="D186" s="13"/>
    </row>
    <row r="187" spans="1:4" x14ac:dyDescent="0.35">
      <c r="A187" s="11"/>
      <c r="B187" s="12"/>
      <c r="C187" s="12"/>
      <c r="D187" s="13"/>
    </row>
    <row r="188" spans="1:4" x14ac:dyDescent="0.35">
      <c r="A188" s="11"/>
      <c r="B188" s="12"/>
      <c r="C188" s="12"/>
      <c r="D188" s="13"/>
    </row>
    <row r="189" spans="1:4" x14ac:dyDescent="0.35">
      <c r="A189" s="11"/>
      <c r="B189" s="12"/>
      <c r="C189" s="12"/>
      <c r="D189" s="13"/>
    </row>
    <row r="190" spans="1:4" x14ac:dyDescent="0.35">
      <c r="A190" s="11"/>
      <c r="B190" s="12"/>
      <c r="C190" s="12"/>
      <c r="D190" s="13"/>
    </row>
    <row r="191" spans="1:4" x14ac:dyDescent="0.35">
      <c r="A191" s="11"/>
      <c r="B191" s="12"/>
      <c r="C191" s="12"/>
      <c r="D191" s="13"/>
    </row>
    <row r="192" spans="1:4" x14ac:dyDescent="0.35">
      <c r="A192" s="11"/>
      <c r="B192" s="12"/>
      <c r="C192" s="12"/>
      <c r="D192" s="13"/>
    </row>
    <row r="193" spans="1:4" x14ac:dyDescent="0.35">
      <c r="A193" s="11"/>
      <c r="B193" s="12"/>
      <c r="C193" s="12"/>
      <c r="D193" s="13"/>
    </row>
    <row r="194" spans="1:4" x14ac:dyDescent="0.35">
      <c r="A194" s="11"/>
      <c r="B194" s="12"/>
      <c r="C194" s="12"/>
      <c r="D194" s="13"/>
    </row>
    <row r="195" spans="1:4" x14ac:dyDescent="0.35">
      <c r="A195" s="11"/>
      <c r="B195" s="12"/>
      <c r="C195" s="12"/>
      <c r="D195" s="13"/>
    </row>
    <row r="196" spans="1:4" x14ac:dyDescent="0.35">
      <c r="A196" s="11"/>
      <c r="B196" s="12"/>
      <c r="C196" s="12"/>
      <c r="D196" s="13"/>
    </row>
    <row r="197" spans="1:4" x14ac:dyDescent="0.35">
      <c r="A197" s="11"/>
      <c r="B197" s="12"/>
      <c r="C197" s="12"/>
      <c r="D197" s="13"/>
    </row>
    <row r="198" spans="1:4" x14ac:dyDescent="0.35">
      <c r="A198" s="11"/>
      <c r="B198" s="12"/>
      <c r="C198" s="12"/>
      <c r="D198" s="13"/>
    </row>
    <row r="199" spans="1:4" x14ac:dyDescent="0.35">
      <c r="A199" s="11"/>
      <c r="B199" s="12"/>
      <c r="C199" s="12"/>
      <c r="D199" s="13"/>
    </row>
    <row r="200" spans="1:4" x14ac:dyDescent="0.35">
      <c r="A200" s="11"/>
      <c r="B200" s="12"/>
      <c r="C200" s="12"/>
      <c r="D200" s="13"/>
    </row>
    <row r="201" spans="1:4" x14ac:dyDescent="0.35">
      <c r="A201" s="11"/>
      <c r="B201" s="12"/>
      <c r="C201" s="12"/>
      <c r="D201" s="13"/>
    </row>
    <row r="202" spans="1:4" x14ac:dyDescent="0.35">
      <c r="A202" s="11"/>
      <c r="B202" s="12"/>
      <c r="C202" s="12"/>
      <c r="D202" s="13"/>
    </row>
    <row r="203" spans="1:4" x14ac:dyDescent="0.35">
      <c r="A203" s="11"/>
      <c r="B203" s="12"/>
      <c r="C203" s="12"/>
      <c r="D203" s="13"/>
    </row>
    <row r="204" spans="1:4" x14ac:dyDescent="0.35">
      <c r="A204" s="11"/>
      <c r="B204" s="12"/>
      <c r="C204" s="12"/>
      <c r="D204" s="13"/>
    </row>
    <row r="205" spans="1:4" x14ac:dyDescent="0.35">
      <c r="A205" s="11"/>
      <c r="B205" s="12"/>
      <c r="C205" s="12"/>
      <c r="D205" s="13"/>
    </row>
    <row r="206" spans="1:4" x14ac:dyDescent="0.35">
      <c r="A206" s="11"/>
      <c r="B206" s="12"/>
      <c r="C206" s="12"/>
      <c r="D206" s="13"/>
    </row>
    <row r="207" spans="1:4" x14ac:dyDescent="0.35">
      <c r="A207" s="11"/>
      <c r="B207" s="12"/>
      <c r="C207" s="12"/>
      <c r="D207" s="13"/>
    </row>
    <row r="208" spans="1:4" x14ac:dyDescent="0.35">
      <c r="A208" s="11"/>
      <c r="B208" s="12"/>
      <c r="C208" s="12"/>
      <c r="D208" s="13"/>
    </row>
    <row r="209" spans="1:4" x14ac:dyDescent="0.35">
      <c r="A209" s="11"/>
      <c r="B209" s="12"/>
      <c r="C209" s="12"/>
      <c r="D209" s="13"/>
    </row>
    <row r="210" spans="1:4" x14ac:dyDescent="0.35">
      <c r="A210" s="11"/>
      <c r="B210" s="12"/>
      <c r="C210" s="12"/>
      <c r="D210" s="13"/>
    </row>
    <row r="211" spans="1:4" x14ac:dyDescent="0.35">
      <c r="A211" s="11"/>
      <c r="B211" s="12"/>
      <c r="C211" s="12"/>
      <c r="D211" s="13"/>
    </row>
    <row r="212" spans="1:4" x14ac:dyDescent="0.35">
      <c r="A212" s="11"/>
      <c r="B212" s="12"/>
      <c r="C212" s="12"/>
      <c r="D212" s="13"/>
    </row>
    <row r="213" spans="1:4" x14ac:dyDescent="0.35">
      <c r="A213" s="11"/>
      <c r="B213" s="12"/>
      <c r="C213" s="12"/>
      <c r="D213" s="13"/>
    </row>
    <row r="214" spans="1:4" x14ac:dyDescent="0.35">
      <c r="A214" s="11"/>
      <c r="B214" s="12"/>
      <c r="C214" s="12"/>
      <c r="D214" s="13"/>
    </row>
    <row r="215" spans="1:4" x14ac:dyDescent="0.35">
      <c r="A215" s="11"/>
      <c r="B215" s="12"/>
      <c r="C215" s="12"/>
      <c r="D215" s="13"/>
    </row>
    <row r="216" spans="1:4" x14ac:dyDescent="0.35">
      <c r="A216" s="11"/>
      <c r="B216" s="12"/>
      <c r="C216" s="12"/>
      <c r="D216" s="13"/>
    </row>
    <row r="217" spans="1:4" x14ac:dyDescent="0.35">
      <c r="A217" s="11"/>
      <c r="B217" s="12"/>
      <c r="C217" s="12"/>
      <c r="D217" s="13"/>
    </row>
    <row r="218" spans="1:4" x14ac:dyDescent="0.35">
      <c r="A218" s="11"/>
      <c r="B218" s="12"/>
      <c r="C218" s="12"/>
      <c r="D218" s="13"/>
    </row>
    <row r="219" spans="1:4" x14ac:dyDescent="0.35">
      <c r="A219" s="11"/>
      <c r="B219" s="12"/>
      <c r="C219" s="12"/>
      <c r="D219" s="13"/>
    </row>
    <row r="220" spans="1:4" x14ac:dyDescent="0.35">
      <c r="A220" s="11"/>
      <c r="B220" s="12"/>
      <c r="C220" s="12"/>
      <c r="D220" s="13"/>
    </row>
    <row r="221" spans="1:4" x14ac:dyDescent="0.35">
      <c r="A221" s="11"/>
      <c r="B221" s="12"/>
      <c r="C221" s="12"/>
      <c r="D221" s="13"/>
    </row>
    <row r="222" spans="1:4" x14ac:dyDescent="0.35">
      <c r="A222" s="11"/>
      <c r="B222" s="12"/>
      <c r="C222" s="12"/>
      <c r="D222" s="13"/>
    </row>
    <row r="223" spans="1:4" x14ac:dyDescent="0.35">
      <c r="A223" s="11"/>
      <c r="B223" s="12"/>
      <c r="C223" s="12"/>
      <c r="D223" s="13"/>
    </row>
    <row r="224" spans="1:4" x14ac:dyDescent="0.35">
      <c r="A224" s="11"/>
      <c r="B224" s="12"/>
      <c r="C224" s="12"/>
      <c r="D224" s="13"/>
    </row>
    <row r="225" spans="1:4" x14ac:dyDescent="0.35">
      <c r="A225" s="11"/>
      <c r="B225" s="12"/>
      <c r="C225" s="12"/>
      <c r="D225" s="13"/>
    </row>
    <row r="226" spans="1:4" x14ac:dyDescent="0.35">
      <c r="A226" s="11"/>
      <c r="B226" s="12"/>
      <c r="C226" s="12"/>
      <c r="D226" s="13"/>
    </row>
    <row r="227" spans="1:4" x14ac:dyDescent="0.35">
      <c r="A227" s="11"/>
      <c r="B227" s="12"/>
      <c r="C227" s="12"/>
      <c r="D227" s="13"/>
    </row>
    <row r="228" spans="1:4" x14ac:dyDescent="0.35">
      <c r="A228" s="11"/>
      <c r="B228" s="12"/>
      <c r="C228" s="12"/>
      <c r="D228" s="13"/>
    </row>
    <row r="229" spans="1:4" x14ac:dyDescent="0.35">
      <c r="A229" s="11"/>
      <c r="B229" s="12"/>
      <c r="C229" s="12"/>
      <c r="D229" s="13"/>
    </row>
    <row r="230" spans="1:4" x14ac:dyDescent="0.35">
      <c r="A230" s="11"/>
      <c r="B230" s="12"/>
      <c r="C230" s="12"/>
      <c r="D230" s="13"/>
    </row>
    <row r="231" spans="1:4" x14ac:dyDescent="0.35">
      <c r="A231" s="11"/>
      <c r="B231" s="12"/>
      <c r="C231" s="12"/>
      <c r="D231" s="13"/>
    </row>
    <row r="232" spans="1:4" x14ac:dyDescent="0.35">
      <c r="A232" s="11"/>
      <c r="B232" s="12"/>
      <c r="C232" s="12"/>
      <c r="D232" s="13"/>
    </row>
    <row r="233" spans="1:4" x14ac:dyDescent="0.35">
      <c r="A233" s="11"/>
      <c r="B233" s="12"/>
      <c r="C233" s="12"/>
      <c r="D233" s="13"/>
    </row>
    <row r="234" spans="1:4" x14ac:dyDescent="0.35">
      <c r="A234" s="11"/>
      <c r="B234" s="12"/>
      <c r="C234" s="12"/>
      <c r="D234" s="13"/>
    </row>
    <row r="235" spans="1:4" x14ac:dyDescent="0.35">
      <c r="A235" s="11"/>
      <c r="B235" s="12"/>
      <c r="C235" s="12"/>
      <c r="D235" s="13"/>
    </row>
    <row r="236" spans="1:4" x14ac:dyDescent="0.35">
      <c r="A236" s="11"/>
      <c r="B236" s="12"/>
      <c r="C236" s="12"/>
      <c r="D236" s="13"/>
    </row>
    <row r="237" spans="1:4" x14ac:dyDescent="0.35">
      <c r="A237" s="11"/>
      <c r="B237" s="12"/>
      <c r="C237" s="12"/>
      <c r="D237" s="13"/>
    </row>
    <row r="238" spans="1:4" x14ac:dyDescent="0.35">
      <c r="A238" s="11"/>
      <c r="B238" s="12"/>
      <c r="C238" s="12"/>
      <c r="D238" s="13"/>
    </row>
    <row r="239" spans="1:4" x14ac:dyDescent="0.35">
      <c r="A239" s="11"/>
      <c r="B239" s="12"/>
      <c r="C239" s="12"/>
      <c r="D239" s="13"/>
    </row>
    <row r="240" spans="1:4" x14ac:dyDescent="0.35">
      <c r="A240" s="11"/>
      <c r="B240" s="12"/>
      <c r="C240" s="12"/>
      <c r="D240" s="13"/>
    </row>
    <row r="241" spans="1:4" x14ac:dyDescent="0.35">
      <c r="A241" s="11"/>
      <c r="B241" s="12"/>
      <c r="C241" s="12"/>
      <c r="D241" s="13"/>
    </row>
    <row r="242" spans="1:4" x14ac:dyDescent="0.35">
      <c r="A242" s="11"/>
      <c r="B242" s="12"/>
      <c r="C242" s="12"/>
      <c r="D242" s="13"/>
    </row>
    <row r="243" spans="1:4" x14ac:dyDescent="0.35">
      <c r="A243" s="11"/>
      <c r="B243" s="12"/>
      <c r="C243" s="12"/>
      <c r="D243" s="13"/>
    </row>
    <row r="244" spans="1:4" x14ac:dyDescent="0.35">
      <c r="A244" s="11"/>
      <c r="B244" s="12"/>
      <c r="C244" s="12"/>
      <c r="D244" s="13"/>
    </row>
    <row r="245" spans="1:4" x14ac:dyDescent="0.35">
      <c r="A245" s="11"/>
      <c r="B245" s="12"/>
      <c r="C245" s="12"/>
      <c r="D245" s="13"/>
    </row>
    <row r="246" spans="1:4" x14ac:dyDescent="0.35">
      <c r="A246" s="11"/>
      <c r="B246" s="12"/>
      <c r="C246" s="12"/>
      <c r="D246" s="13"/>
    </row>
    <row r="247" spans="1:4" x14ac:dyDescent="0.35">
      <c r="A247" s="11"/>
      <c r="B247" s="12"/>
      <c r="C247" s="12"/>
      <c r="D247" s="13"/>
    </row>
    <row r="248" spans="1:4" x14ac:dyDescent="0.35">
      <c r="A248" s="11"/>
      <c r="B248" s="12"/>
      <c r="C248" s="12"/>
      <c r="D248" s="13"/>
    </row>
    <row r="249" spans="1:4" x14ac:dyDescent="0.35">
      <c r="A249" s="11"/>
      <c r="B249" s="12"/>
      <c r="C249" s="12"/>
      <c r="D249" s="13"/>
    </row>
    <row r="250" spans="1:4" x14ac:dyDescent="0.35">
      <c r="A250" s="11"/>
      <c r="B250" s="12"/>
      <c r="C250" s="12"/>
      <c r="D250" s="13"/>
    </row>
    <row r="251" spans="1:4" x14ac:dyDescent="0.35">
      <c r="A251" s="11"/>
      <c r="B251" s="12"/>
      <c r="C251" s="12"/>
      <c r="D251" s="13"/>
    </row>
    <row r="252" spans="1:4" x14ac:dyDescent="0.35">
      <c r="A252" s="11"/>
      <c r="B252" s="12"/>
      <c r="C252" s="12"/>
      <c r="D252" s="13"/>
    </row>
    <row r="253" spans="1:4" x14ac:dyDescent="0.35">
      <c r="A253" s="11"/>
      <c r="B253" s="12"/>
      <c r="C253" s="12"/>
      <c r="D253" s="13"/>
    </row>
    <row r="254" spans="1:4" x14ac:dyDescent="0.35">
      <c r="A254" s="11"/>
      <c r="B254" s="12"/>
      <c r="C254" s="12"/>
      <c r="D254" s="13"/>
    </row>
    <row r="255" spans="1:4" x14ac:dyDescent="0.35">
      <c r="A255" s="11"/>
      <c r="B255" s="12"/>
      <c r="C255" s="12"/>
      <c r="D255" s="13"/>
    </row>
    <row r="256" spans="1:4" x14ac:dyDescent="0.35">
      <c r="A256" s="11"/>
      <c r="B256" s="12"/>
      <c r="C256" s="12"/>
      <c r="D256" s="13"/>
    </row>
    <row r="257" spans="1:4" x14ac:dyDescent="0.35">
      <c r="A257" s="11"/>
      <c r="B257" s="12"/>
      <c r="C257" s="12"/>
      <c r="D257" s="13"/>
    </row>
    <row r="258" spans="1:4" x14ac:dyDescent="0.35">
      <c r="A258" s="11"/>
      <c r="B258" s="12"/>
      <c r="C258" s="12"/>
      <c r="D258" s="13"/>
    </row>
    <row r="259" spans="1:4" x14ac:dyDescent="0.35">
      <c r="A259" s="11"/>
      <c r="B259" s="12"/>
      <c r="C259" s="12"/>
      <c r="D259" s="13"/>
    </row>
    <row r="260" spans="1:4" x14ac:dyDescent="0.35">
      <c r="A260" s="11"/>
      <c r="B260" s="12"/>
      <c r="C260" s="12"/>
      <c r="D260" s="13"/>
    </row>
    <row r="261" spans="1:4" x14ac:dyDescent="0.35">
      <c r="A261" s="11"/>
      <c r="B261" s="12"/>
      <c r="C261" s="12"/>
      <c r="D261" s="13"/>
    </row>
    <row r="262" spans="1:4" x14ac:dyDescent="0.35">
      <c r="A262" s="11"/>
      <c r="B262" s="12"/>
      <c r="C262" s="12"/>
      <c r="D262" s="13"/>
    </row>
    <row r="263" spans="1:4" x14ac:dyDescent="0.35">
      <c r="A263" s="11"/>
      <c r="B263" s="12"/>
      <c r="C263" s="12"/>
      <c r="D263" s="13"/>
    </row>
    <row r="264" spans="1:4" x14ac:dyDescent="0.35">
      <c r="A264" s="11"/>
      <c r="B264" s="12"/>
      <c r="C264" s="12"/>
      <c r="D264" s="13"/>
    </row>
    <row r="265" spans="1:4" x14ac:dyDescent="0.35">
      <c r="A265" s="11"/>
      <c r="B265" s="12"/>
      <c r="C265" s="12"/>
      <c r="D265" s="13"/>
    </row>
    <row r="266" spans="1:4" x14ac:dyDescent="0.35">
      <c r="A266" s="11"/>
      <c r="B266" s="12"/>
      <c r="C266" s="12"/>
      <c r="D266" s="13"/>
    </row>
    <row r="267" spans="1:4" x14ac:dyDescent="0.35">
      <c r="A267" s="11"/>
      <c r="B267" s="12"/>
      <c r="C267" s="12"/>
      <c r="D267" s="13"/>
    </row>
    <row r="268" spans="1:4" x14ac:dyDescent="0.35">
      <c r="A268" s="11"/>
      <c r="B268" s="12"/>
      <c r="C268" s="12"/>
      <c r="D268" s="13"/>
    </row>
    <row r="269" spans="1:4" x14ac:dyDescent="0.35">
      <c r="A269" s="11"/>
      <c r="B269" s="12"/>
      <c r="C269" s="12"/>
      <c r="D269" s="13"/>
    </row>
    <row r="270" spans="1:4" x14ac:dyDescent="0.35">
      <c r="A270" s="11"/>
      <c r="B270" s="12"/>
      <c r="C270" s="12"/>
      <c r="D270" s="13"/>
    </row>
    <row r="271" spans="1:4" x14ac:dyDescent="0.35">
      <c r="A271" s="11"/>
      <c r="B271" s="12"/>
      <c r="C271" s="12"/>
      <c r="D271" s="13"/>
    </row>
    <row r="272" spans="1:4" x14ac:dyDescent="0.35">
      <c r="A272" s="11"/>
      <c r="B272" s="12"/>
      <c r="C272" s="12"/>
      <c r="D272" s="13"/>
    </row>
    <row r="273" spans="1:4" x14ac:dyDescent="0.35">
      <c r="A273" s="11"/>
      <c r="B273" s="12"/>
      <c r="C273" s="12"/>
      <c r="D273" s="13"/>
    </row>
    <row r="274" spans="1:4" x14ac:dyDescent="0.35">
      <c r="A274" s="11"/>
      <c r="B274" s="12"/>
      <c r="C274" s="12"/>
      <c r="D274" s="13"/>
    </row>
    <row r="275" spans="1:4" x14ac:dyDescent="0.35">
      <c r="A275" s="11"/>
      <c r="B275" s="12"/>
      <c r="C275" s="12"/>
      <c r="D275" s="13"/>
    </row>
    <row r="276" spans="1:4" x14ac:dyDescent="0.35">
      <c r="A276" s="11"/>
      <c r="B276" s="12"/>
      <c r="C276" s="12"/>
      <c r="D276" s="13"/>
    </row>
    <row r="277" spans="1:4" x14ac:dyDescent="0.35">
      <c r="A277" s="11"/>
      <c r="B277" s="12"/>
      <c r="C277" s="12"/>
      <c r="D277" s="13"/>
    </row>
    <row r="278" spans="1:4" x14ac:dyDescent="0.35">
      <c r="A278" s="11"/>
      <c r="B278" s="12"/>
      <c r="C278" s="12"/>
      <c r="D278" s="13"/>
    </row>
    <row r="279" spans="1:4" x14ac:dyDescent="0.35">
      <c r="A279" s="11"/>
      <c r="B279" s="12"/>
      <c r="C279" s="12"/>
      <c r="D279" s="13"/>
    </row>
    <row r="280" spans="1:4" x14ac:dyDescent="0.35">
      <c r="A280" s="11"/>
      <c r="B280" s="12"/>
      <c r="C280" s="12"/>
      <c r="D280" s="13"/>
    </row>
    <row r="281" spans="1:4" x14ac:dyDescent="0.35">
      <c r="A281" s="11"/>
      <c r="B281" s="12"/>
      <c r="C281" s="12"/>
      <c r="D281" s="13"/>
    </row>
    <row r="282" spans="1:4" x14ac:dyDescent="0.35">
      <c r="A282" s="11"/>
      <c r="B282" s="12"/>
      <c r="C282" s="12"/>
      <c r="D282" s="13"/>
    </row>
    <row r="283" spans="1:4" x14ac:dyDescent="0.35">
      <c r="A283" s="11"/>
      <c r="B283" s="12"/>
      <c r="C283" s="12"/>
      <c r="D283" s="13"/>
    </row>
    <row r="284" spans="1:4" x14ac:dyDescent="0.35">
      <c r="A284" s="11"/>
      <c r="B284" s="12"/>
      <c r="C284" s="12"/>
      <c r="D284" s="13"/>
    </row>
    <row r="285" spans="1:4" x14ac:dyDescent="0.35">
      <c r="A285" s="11"/>
      <c r="B285" s="12"/>
      <c r="C285" s="12"/>
      <c r="D285" s="13"/>
    </row>
    <row r="286" spans="1:4" x14ac:dyDescent="0.35">
      <c r="A286" s="11"/>
      <c r="B286" s="12"/>
      <c r="C286" s="12"/>
      <c r="D286" s="13"/>
    </row>
    <row r="287" spans="1:4" x14ac:dyDescent="0.35">
      <c r="A287" s="11"/>
      <c r="B287" s="12"/>
      <c r="C287" s="12"/>
      <c r="D287" s="13"/>
    </row>
    <row r="288" spans="1:4" x14ac:dyDescent="0.35">
      <c r="A288" s="11"/>
      <c r="B288" s="12"/>
      <c r="C288" s="12"/>
      <c r="D288" s="13"/>
    </row>
    <row r="289" spans="1:4" x14ac:dyDescent="0.35">
      <c r="A289" s="11"/>
      <c r="B289" s="12"/>
      <c r="C289" s="12"/>
      <c r="D289" s="13"/>
    </row>
    <row r="290" spans="1:4" x14ac:dyDescent="0.35">
      <c r="A290" s="11"/>
      <c r="B290" s="12"/>
      <c r="C290" s="12"/>
      <c r="D290" s="13"/>
    </row>
    <row r="291" spans="1:4" x14ac:dyDescent="0.35">
      <c r="A291" s="11"/>
      <c r="B291" s="12"/>
      <c r="C291" s="12"/>
      <c r="D291" s="13"/>
    </row>
    <row r="292" spans="1:4" x14ac:dyDescent="0.35">
      <c r="A292" s="11"/>
      <c r="B292" s="12"/>
      <c r="C292" s="12"/>
      <c r="D292" s="13"/>
    </row>
    <row r="293" spans="1:4" x14ac:dyDescent="0.35">
      <c r="A293" s="11"/>
      <c r="B293" s="12"/>
      <c r="C293" s="12"/>
      <c r="D293" s="13"/>
    </row>
    <row r="294" spans="1:4" x14ac:dyDescent="0.35">
      <c r="A294" s="11"/>
      <c r="B294" s="12"/>
      <c r="C294" s="12"/>
      <c r="D294" s="13"/>
    </row>
    <row r="295" spans="1:4" x14ac:dyDescent="0.35">
      <c r="A295" s="11"/>
      <c r="B295" s="12"/>
      <c r="C295" s="12"/>
      <c r="D295" s="13"/>
    </row>
    <row r="296" spans="1:4" x14ac:dyDescent="0.35">
      <c r="A296" s="11"/>
      <c r="B296" s="12"/>
      <c r="C296" s="12"/>
      <c r="D296" s="13"/>
    </row>
    <row r="297" spans="1:4" x14ac:dyDescent="0.35">
      <c r="A297" s="11"/>
      <c r="B297" s="12"/>
      <c r="C297" s="12"/>
      <c r="D297" s="13"/>
    </row>
    <row r="298" spans="1:4" x14ac:dyDescent="0.35">
      <c r="A298" s="11"/>
      <c r="B298" s="12"/>
      <c r="C298" s="12"/>
      <c r="D298" s="13"/>
    </row>
    <row r="299" spans="1:4" x14ac:dyDescent="0.35">
      <c r="A299" s="11"/>
      <c r="B299" s="12"/>
      <c r="C299" s="12"/>
      <c r="D299" s="13"/>
    </row>
    <row r="300" spans="1:4" x14ac:dyDescent="0.35">
      <c r="A300" s="11"/>
      <c r="B300" s="12"/>
      <c r="C300" s="12"/>
      <c r="D300" s="13"/>
    </row>
    <row r="301" spans="1:4" x14ac:dyDescent="0.35">
      <c r="A301" s="11"/>
      <c r="B301" s="12"/>
      <c r="C301" s="12"/>
      <c r="D301" s="13"/>
    </row>
    <row r="302" spans="1:4" x14ac:dyDescent="0.35">
      <c r="A302" s="11"/>
      <c r="B302" s="12"/>
      <c r="C302" s="12"/>
      <c r="D302" s="13"/>
    </row>
    <row r="303" spans="1:4" x14ac:dyDescent="0.35">
      <c r="A303" s="11"/>
      <c r="B303" s="12"/>
      <c r="C303" s="12"/>
      <c r="D303" s="13"/>
    </row>
    <row r="304" spans="1:4" x14ac:dyDescent="0.35">
      <c r="A304" s="11"/>
      <c r="B304" s="12"/>
      <c r="C304" s="12"/>
      <c r="D304" s="13"/>
    </row>
    <row r="305" spans="1:4" x14ac:dyDescent="0.35">
      <c r="A305" s="11"/>
      <c r="B305" s="12"/>
      <c r="C305" s="12"/>
      <c r="D305" s="13"/>
    </row>
    <row r="306" spans="1:4" x14ac:dyDescent="0.35">
      <c r="A306" s="11"/>
      <c r="B306" s="12"/>
      <c r="C306" s="12"/>
      <c r="D306" s="13"/>
    </row>
    <row r="307" spans="1:4" x14ac:dyDescent="0.35">
      <c r="A307" s="11"/>
      <c r="B307" s="12"/>
      <c r="C307" s="12"/>
      <c r="D307" s="13"/>
    </row>
    <row r="308" spans="1:4" x14ac:dyDescent="0.35">
      <c r="A308" s="11"/>
      <c r="B308" s="12"/>
      <c r="C308" s="12"/>
      <c r="D308" s="13"/>
    </row>
    <row r="309" spans="1:4" x14ac:dyDescent="0.35">
      <c r="A309" s="11"/>
      <c r="B309" s="12"/>
      <c r="C309" s="12"/>
      <c r="D309" s="13"/>
    </row>
    <row r="310" spans="1:4" x14ac:dyDescent="0.35">
      <c r="A310" s="11"/>
      <c r="B310" s="12"/>
      <c r="C310" s="12"/>
      <c r="D310" s="13"/>
    </row>
    <row r="311" spans="1:4" x14ac:dyDescent="0.35">
      <c r="A311" s="11"/>
      <c r="B311" s="12"/>
      <c r="C311" s="12"/>
      <c r="D311" s="13"/>
    </row>
    <row r="312" spans="1:4" x14ac:dyDescent="0.35">
      <c r="A312" s="11"/>
      <c r="B312" s="12"/>
      <c r="C312" s="12"/>
      <c r="D312" s="13"/>
    </row>
    <row r="313" spans="1:4" x14ac:dyDescent="0.35">
      <c r="A313" s="11"/>
      <c r="B313" s="12"/>
      <c r="C313" s="12"/>
      <c r="D313" s="13"/>
    </row>
    <row r="314" spans="1:4" x14ac:dyDescent="0.35">
      <c r="A314" s="11"/>
      <c r="B314" s="12"/>
      <c r="C314" s="12"/>
      <c r="D314" s="13"/>
    </row>
    <row r="315" spans="1:4" x14ac:dyDescent="0.35">
      <c r="A315" s="11"/>
      <c r="B315" s="12"/>
      <c r="C315" s="12"/>
      <c r="D315" s="13"/>
    </row>
    <row r="316" spans="1:4" x14ac:dyDescent="0.35">
      <c r="A316" s="11"/>
      <c r="B316" s="12"/>
      <c r="C316" s="12"/>
      <c r="D316" s="13"/>
    </row>
    <row r="317" spans="1:4" x14ac:dyDescent="0.35">
      <c r="A317" s="11"/>
      <c r="B317" s="12"/>
      <c r="C317" s="12"/>
      <c r="D317" s="13"/>
    </row>
    <row r="318" spans="1:4" x14ac:dyDescent="0.35">
      <c r="A318" s="11"/>
      <c r="B318" s="12"/>
      <c r="C318" s="12"/>
      <c r="D318" s="13"/>
    </row>
    <row r="319" spans="1:4" x14ac:dyDescent="0.35">
      <c r="A319" s="11"/>
      <c r="B319" s="12"/>
      <c r="C319" s="12"/>
      <c r="D319" s="13"/>
    </row>
    <row r="320" spans="1:4" x14ac:dyDescent="0.35">
      <c r="A320" s="11"/>
      <c r="B320" s="12"/>
      <c r="C320" s="12"/>
      <c r="D320" s="13"/>
    </row>
    <row r="321" spans="1:4" x14ac:dyDescent="0.35">
      <c r="A321" s="11"/>
      <c r="B321" s="12"/>
      <c r="C321" s="12"/>
      <c r="D321" s="13"/>
    </row>
    <row r="322" spans="1:4" x14ac:dyDescent="0.35">
      <c r="A322" s="11"/>
      <c r="B322" s="12"/>
      <c r="C322" s="12"/>
      <c r="D322" s="13"/>
    </row>
    <row r="323" spans="1:4" x14ac:dyDescent="0.35">
      <c r="A323" s="11"/>
      <c r="B323" s="12"/>
      <c r="C323" s="12"/>
      <c r="D323" s="13"/>
    </row>
    <row r="324" spans="1:4" x14ac:dyDescent="0.35">
      <c r="A324" s="11"/>
      <c r="B324" s="12"/>
      <c r="C324" s="12"/>
      <c r="D324" s="13"/>
    </row>
    <row r="325" spans="1:4" x14ac:dyDescent="0.35">
      <c r="A325" s="11"/>
      <c r="B325" s="12"/>
      <c r="C325" s="12"/>
      <c r="D325" s="13"/>
    </row>
    <row r="326" spans="1:4" x14ac:dyDescent="0.35">
      <c r="A326" s="11"/>
      <c r="B326" s="12"/>
      <c r="C326" s="12"/>
      <c r="D326" s="13"/>
    </row>
    <row r="327" spans="1:4" x14ac:dyDescent="0.35">
      <c r="A327" s="11"/>
      <c r="B327" s="12"/>
      <c r="C327" s="12"/>
      <c r="D327" s="13"/>
    </row>
    <row r="328" spans="1:4" x14ac:dyDescent="0.35">
      <c r="A328" s="11"/>
      <c r="B328" s="12"/>
      <c r="C328" s="12"/>
      <c r="D328" s="13"/>
    </row>
    <row r="329" spans="1:4" x14ac:dyDescent="0.35">
      <c r="A329" s="11"/>
      <c r="B329" s="12"/>
      <c r="C329" s="12"/>
      <c r="D329" s="13"/>
    </row>
    <row r="330" spans="1:4" x14ac:dyDescent="0.35">
      <c r="A330" s="11"/>
      <c r="B330" s="12"/>
      <c r="C330" s="12"/>
      <c r="D330" s="13"/>
    </row>
    <row r="331" spans="1:4" x14ac:dyDescent="0.35">
      <c r="A331" s="11"/>
      <c r="B331" s="12"/>
      <c r="C331" s="12"/>
      <c r="D331" s="13"/>
    </row>
    <row r="332" spans="1:4" x14ac:dyDescent="0.35">
      <c r="A332" s="11"/>
      <c r="B332" s="12"/>
      <c r="C332" s="12"/>
      <c r="D332" s="13"/>
    </row>
    <row r="333" spans="1:4" x14ac:dyDescent="0.35">
      <c r="A333" s="11"/>
      <c r="B333" s="12"/>
      <c r="C333" s="12"/>
      <c r="D333" s="13"/>
    </row>
    <row r="334" spans="1:4" x14ac:dyDescent="0.35">
      <c r="A334" s="11"/>
      <c r="B334" s="12"/>
      <c r="C334" s="12"/>
      <c r="D334" s="13"/>
    </row>
    <row r="335" spans="1:4" x14ac:dyDescent="0.35">
      <c r="A335" s="11"/>
      <c r="B335" s="12"/>
      <c r="C335" s="12"/>
      <c r="D335" s="13"/>
    </row>
    <row r="336" spans="1:4" x14ac:dyDescent="0.35">
      <c r="A336" s="11"/>
      <c r="B336" s="12"/>
      <c r="C336" s="12"/>
      <c r="D336" s="13"/>
    </row>
    <row r="337" spans="1:4" x14ac:dyDescent="0.35">
      <c r="A337" s="11"/>
      <c r="B337" s="12"/>
      <c r="C337" s="12"/>
      <c r="D337" s="13"/>
    </row>
    <row r="338" spans="1:4" x14ac:dyDescent="0.35">
      <c r="A338" s="11"/>
      <c r="B338" s="12"/>
      <c r="C338" s="12"/>
      <c r="D338" s="13"/>
    </row>
    <row r="339" spans="1:4" x14ac:dyDescent="0.35">
      <c r="A339" s="11"/>
      <c r="B339" s="12"/>
      <c r="C339" s="12"/>
      <c r="D339" s="13"/>
    </row>
    <row r="340" spans="1:4" x14ac:dyDescent="0.35">
      <c r="A340" s="11"/>
      <c r="B340" s="12"/>
      <c r="C340" s="12"/>
      <c r="D340" s="13"/>
    </row>
    <row r="341" spans="1:4" x14ac:dyDescent="0.35">
      <c r="A341" s="11"/>
      <c r="B341" s="12"/>
      <c r="C341" s="12"/>
      <c r="D341" s="13"/>
    </row>
    <row r="342" spans="1:4" x14ac:dyDescent="0.35">
      <c r="A342" s="11"/>
      <c r="B342" s="12"/>
      <c r="C342" s="12"/>
      <c r="D342" s="13"/>
    </row>
    <row r="343" spans="1:4" x14ac:dyDescent="0.35">
      <c r="A343" s="11"/>
      <c r="B343" s="12"/>
      <c r="C343" s="12"/>
      <c r="D343" s="13"/>
    </row>
    <row r="344" spans="1:4" x14ac:dyDescent="0.35">
      <c r="A344" s="11"/>
      <c r="B344" s="12"/>
      <c r="C344" s="12"/>
      <c r="D344" s="13"/>
    </row>
    <row r="345" spans="1:4" x14ac:dyDescent="0.35">
      <c r="A345" s="11"/>
      <c r="B345" s="12"/>
      <c r="C345" s="12"/>
      <c r="D345" s="13"/>
    </row>
    <row r="346" spans="1:4" x14ac:dyDescent="0.35">
      <c r="A346" s="11"/>
      <c r="B346" s="12"/>
      <c r="C346" s="12"/>
      <c r="D346" s="13"/>
    </row>
    <row r="347" spans="1:4" x14ac:dyDescent="0.35">
      <c r="A347" s="11"/>
      <c r="B347" s="12"/>
      <c r="C347" s="12"/>
      <c r="D347" s="13"/>
    </row>
    <row r="348" spans="1:4" x14ac:dyDescent="0.35">
      <c r="A348" s="11"/>
      <c r="B348" s="12"/>
      <c r="C348" s="12"/>
      <c r="D348" s="13"/>
    </row>
    <row r="349" spans="1:4" x14ac:dyDescent="0.35">
      <c r="A349" s="11"/>
      <c r="B349" s="12"/>
      <c r="C349" s="12"/>
      <c r="D349" s="13"/>
    </row>
    <row r="350" spans="1:4" x14ac:dyDescent="0.35">
      <c r="A350" s="11"/>
      <c r="B350" s="12"/>
      <c r="C350" s="12"/>
      <c r="D350" s="13"/>
    </row>
    <row r="351" spans="1:4" x14ac:dyDescent="0.35">
      <c r="A351" s="11"/>
      <c r="B351" s="12"/>
      <c r="C351" s="12"/>
      <c r="D351" s="13"/>
    </row>
    <row r="352" spans="1:4" x14ac:dyDescent="0.35">
      <c r="A352" s="11"/>
      <c r="B352" s="12"/>
      <c r="C352" s="12"/>
      <c r="D352" s="13"/>
    </row>
    <row r="353" spans="1:4" x14ac:dyDescent="0.35">
      <c r="A353" s="11"/>
      <c r="B353" s="12"/>
      <c r="C353" s="12"/>
      <c r="D353" s="13"/>
    </row>
    <row r="354" spans="1:4" x14ac:dyDescent="0.35">
      <c r="A354" s="11"/>
      <c r="B354" s="12"/>
      <c r="C354" s="12"/>
      <c r="D354" s="13"/>
    </row>
    <row r="355" spans="1:4" x14ac:dyDescent="0.35">
      <c r="A355" s="11"/>
      <c r="B355" s="12"/>
      <c r="C355" s="12"/>
      <c r="D355" s="13"/>
    </row>
    <row r="356" spans="1:4" x14ac:dyDescent="0.35">
      <c r="A356" s="11"/>
      <c r="B356" s="12"/>
      <c r="C356" s="12"/>
      <c r="D356" s="13"/>
    </row>
    <row r="357" spans="1:4" x14ac:dyDescent="0.35">
      <c r="A357" s="11"/>
      <c r="B357" s="12"/>
      <c r="C357" s="12"/>
      <c r="D357" s="13"/>
    </row>
    <row r="358" spans="1:4" x14ac:dyDescent="0.35">
      <c r="A358" s="11"/>
      <c r="B358" s="12"/>
      <c r="C358" s="12"/>
      <c r="D358" s="13"/>
    </row>
    <row r="359" spans="1:4" x14ac:dyDescent="0.35">
      <c r="A359" s="11"/>
      <c r="B359" s="12"/>
      <c r="C359" s="12"/>
      <c r="D359" s="13"/>
    </row>
    <row r="360" spans="1:4" x14ac:dyDescent="0.35">
      <c r="A360" s="11"/>
      <c r="B360" s="12"/>
      <c r="C360" s="12"/>
      <c r="D360" s="13"/>
    </row>
    <row r="361" spans="1:4" x14ac:dyDescent="0.35">
      <c r="A361" s="11"/>
      <c r="B361" s="12"/>
      <c r="C361" s="12"/>
      <c r="D361" s="13"/>
    </row>
    <row r="362" spans="1:4" x14ac:dyDescent="0.35">
      <c r="A362" s="11"/>
      <c r="B362" s="12"/>
      <c r="C362" s="12"/>
      <c r="D362" s="13"/>
    </row>
    <row r="363" spans="1:4" x14ac:dyDescent="0.35">
      <c r="A363" s="11"/>
      <c r="B363" s="12"/>
      <c r="C363" s="12"/>
      <c r="D363" s="13"/>
    </row>
    <row r="364" spans="1:4" x14ac:dyDescent="0.35">
      <c r="A364" s="11"/>
      <c r="B364" s="12"/>
      <c r="C364" s="12"/>
      <c r="D364" s="13"/>
    </row>
    <row r="365" spans="1:4" x14ac:dyDescent="0.35">
      <c r="A365" s="11"/>
      <c r="B365" s="12"/>
      <c r="C365" s="12"/>
      <c r="D365" s="13"/>
    </row>
    <row r="366" spans="1:4" x14ac:dyDescent="0.35">
      <c r="A366" s="11"/>
      <c r="B366" s="12"/>
      <c r="C366" s="12"/>
      <c r="D366" s="13"/>
    </row>
    <row r="367" spans="1:4" x14ac:dyDescent="0.35">
      <c r="A367" s="11"/>
      <c r="B367" s="12"/>
      <c r="C367" s="12"/>
      <c r="D367" s="13"/>
    </row>
    <row r="368" spans="1:4" x14ac:dyDescent="0.35">
      <c r="A368" s="11"/>
      <c r="B368" s="12"/>
      <c r="C368" s="12"/>
      <c r="D368" s="13"/>
    </row>
    <row r="369" spans="1:4" x14ac:dyDescent="0.35">
      <c r="A369" s="11"/>
      <c r="B369" s="12"/>
      <c r="C369" s="12"/>
      <c r="D369" s="13"/>
    </row>
    <row r="370" spans="1:4" x14ac:dyDescent="0.35">
      <c r="A370" s="11"/>
      <c r="B370" s="12"/>
      <c r="C370" s="12"/>
      <c r="D370" s="13"/>
    </row>
    <row r="371" spans="1:4" x14ac:dyDescent="0.35">
      <c r="A371" s="11"/>
      <c r="B371" s="12"/>
      <c r="C371" s="12"/>
      <c r="D371" s="13"/>
    </row>
    <row r="372" spans="1:4" x14ac:dyDescent="0.35">
      <c r="A372" s="11"/>
      <c r="B372" s="12"/>
      <c r="C372" s="12"/>
      <c r="D372" s="13"/>
    </row>
    <row r="373" spans="1:4" x14ac:dyDescent="0.35">
      <c r="A373" s="11"/>
      <c r="B373" s="12"/>
      <c r="C373" s="12"/>
      <c r="D373" s="13"/>
    </row>
    <row r="374" spans="1:4" x14ac:dyDescent="0.35">
      <c r="A374" s="11"/>
      <c r="B374" s="12"/>
      <c r="C374" s="12"/>
      <c r="D374" s="13"/>
    </row>
    <row r="375" spans="1:4" x14ac:dyDescent="0.35">
      <c r="A375" s="11"/>
      <c r="B375" s="12"/>
      <c r="C375" s="12"/>
      <c r="D375" s="13"/>
    </row>
    <row r="376" spans="1:4" x14ac:dyDescent="0.35">
      <c r="A376" s="11"/>
      <c r="B376" s="12"/>
      <c r="C376" s="12"/>
      <c r="D376" s="13"/>
    </row>
    <row r="377" spans="1:4" x14ac:dyDescent="0.35">
      <c r="A377" s="11"/>
      <c r="B377" s="12"/>
      <c r="C377" s="12"/>
      <c r="D377" s="13"/>
    </row>
    <row r="378" spans="1:4" x14ac:dyDescent="0.35">
      <c r="A378" s="11"/>
      <c r="B378" s="12"/>
      <c r="C378" s="12"/>
      <c r="D378" s="13"/>
    </row>
    <row r="379" spans="1:4" x14ac:dyDescent="0.35">
      <c r="A379" s="11"/>
      <c r="B379" s="12"/>
      <c r="C379" s="12"/>
      <c r="D379" s="13"/>
    </row>
    <row r="380" spans="1:4" x14ac:dyDescent="0.35">
      <c r="A380" s="11"/>
      <c r="B380" s="12"/>
      <c r="C380" s="12"/>
      <c r="D380" s="13"/>
    </row>
    <row r="381" spans="1:4" x14ac:dyDescent="0.35">
      <c r="A381" s="11"/>
      <c r="B381" s="12"/>
      <c r="C381" s="12"/>
      <c r="D381" s="13"/>
    </row>
    <row r="382" spans="1:4" x14ac:dyDescent="0.35">
      <c r="A382" s="11"/>
      <c r="B382" s="12"/>
      <c r="C382" s="12"/>
      <c r="D382" s="13"/>
    </row>
    <row r="383" spans="1:4" x14ac:dyDescent="0.35">
      <c r="A383" s="11"/>
      <c r="B383" s="12"/>
      <c r="C383" s="12"/>
      <c r="D383" s="13"/>
    </row>
    <row r="384" spans="1:4" x14ac:dyDescent="0.35">
      <c r="A384" s="11"/>
      <c r="B384" s="12"/>
      <c r="C384" s="12"/>
      <c r="D384" s="13"/>
    </row>
    <row r="385" spans="1:4" x14ac:dyDescent="0.35">
      <c r="A385" s="11"/>
      <c r="B385" s="12"/>
      <c r="C385" s="12"/>
      <c r="D385" s="13"/>
    </row>
    <row r="386" spans="1:4" x14ac:dyDescent="0.35">
      <c r="A386" s="11"/>
      <c r="B386" s="12"/>
      <c r="C386" s="12"/>
      <c r="D386" s="13"/>
    </row>
    <row r="387" spans="1:4" x14ac:dyDescent="0.35">
      <c r="A387" s="11"/>
      <c r="B387" s="12"/>
      <c r="C387" s="12"/>
      <c r="D387" s="13"/>
    </row>
    <row r="388" spans="1:4" x14ac:dyDescent="0.35">
      <c r="A388" s="11"/>
      <c r="B388" s="12"/>
      <c r="C388" s="12"/>
      <c r="D388" s="13"/>
    </row>
    <row r="389" spans="1:4" x14ac:dyDescent="0.35">
      <c r="A389" s="11"/>
      <c r="B389" s="12"/>
      <c r="C389" s="12"/>
      <c r="D389" s="13"/>
    </row>
    <row r="390" spans="1:4" x14ac:dyDescent="0.35">
      <c r="A390" s="11"/>
      <c r="B390" s="12"/>
      <c r="C390" s="12"/>
      <c r="D390" s="13"/>
    </row>
    <row r="391" spans="1:4" x14ac:dyDescent="0.35">
      <c r="A391" s="11"/>
      <c r="B391" s="12"/>
      <c r="C391" s="12"/>
      <c r="D391" s="13"/>
    </row>
    <row r="392" spans="1:4" x14ac:dyDescent="0.35">
      <c r="A392" s="11"/>
      <c r="B392" s="12"/>
      <c r="C392" s="12"/>
      <c r="D392" s="13"/>
    </row>
    <row r="393" spans="1:4" x14ac:dyDescent="0.35">
      <c r="A393" s="11"/>
      <c r="B393" s="12"/>
      <c r="C393" s="12"/>
      <c r="D393" s="13"/>
    </row>
    <row r="394" spans="1:4" x14ac:dyDescent="0.35">
      <c r="A394" s="11"/>
      <c r="B394" s="12"/>
      <c r="C394" s="12"/>
      <c r="D394" s="13"/>
    </row>
    <row r="395" spans="1:4" x14ac:dyDescent="0.35">
      <c r="A395" s="11"/>
      <c r="B395" s="12"/>
      <c r="C395" s="12"/>
      <c r="D395" s="13"/>
    </row>
    <row r="396" spans="1:4" x14ac:dyDescent="0.35">
      <c r="A396" s="11"/>
      <c r="B396" s="12"/>
      <c r="C396" s="12"/>
      <c r="D396" s="13"/>
    </row>
    <row r="397" spans="1:4" x14ac:dyDescent="0.35">
      <c r="A397" s="11"/>
      <c r="B397" s="12"/>
      <c r="C397" s="12"/>
      <c r="D397" s="13"/>
    </row>
    <row r="398" spans="1:4" x14ac:dyDescent="0.35">
      <c r="A398" s="11"/>
      <c r="B398" s="12"/>
      <c r="C398" s="12"/>
      <c r="D398" s="13"/>
    </row>
    <row r="399" spans="1:4" x14ac:dyDescent="0.35">
      <c r="A399" s="11"/>
      <c r="B399" s="12"/>
      <c r="C399" s="12"/>
      <c r="D399" s="13"/>
    </row>
    <row r="400" spans="1:4" x14ac:dyDescent="0.35">
      <c r="A400" s="11"/>
      <c r="B400" s="12"/>
      <c r="C400" s="12"/>
      <c r="D400" s="13"/>
    </row>
    <row r="401" spans="1:4" x14ac:dyDescent="0.35">
      <c r="A401" s="11"/>
      <c r="B401" s="12"/>
      <c r="C401" s="12"/>
      <c r="D401" s="13"/>
    </row>
    <row r="402" spans="1:4" x14ac:dyDescent="0.35">
      <c r="A402" s="11"/>
      <c r="B402" s="12"/>
      <c r="C402" s="12"/>
      <c r="D402" s="13"/>
    </row>
    <row r="403" spans="1:4" x14ac:dyDescent="0.35">
      <c r="A403" s="11"/>
      <c r="B403" s="12"/>
      <c r="C403" s="12"/>
      <c r="D403" s="13"/>
    </row>
    <row r="404" spans="1:4" x14ac:dyDescent="0.35">
      <c r="A404" s="11"/>
      <c r="B404" s="12"/>
      <c r="C404" s="12"/>
      <c r="D404" s="13"/>
    </row>
    <row r="405" spans="1:4" x14ac:dyDescent="0.35">
      <c r="A405" s="11"/>
      <c r="B405" s="12"/>
      <c r="C405" s="12"/>
      <c r="D405" s="13"/>
    </row>
    <row r="406" spans="1:4" x14ac:dyDescent="0.35">
      <c r="A406" s="11"/>
      <c r="B406" s="12"/>
      <c r="C406" s="12"/>
      <c r="D406" s="13"/>
    </row>
    <row r="407" spans="1:4" x14ac:dyDescent="0.35">
      <c r="A407" s="11"/>
      <c r="B407" s="12"/>
      <c r="C407" s="12"/>
      <c r="D407" s="13"/>
    </row>
    <row r="408" spans="1:4" x14ac:dyDescent="0.35">
      <c r="A408" s="11"/>
      <c r="B408" s="12"/>
      <c r="C408" s="12"/>
      <c r="D408" s="13"/>
    </row>
    <row r="409" spans="1:4" x14ac:dyDescent="0.35">
      <c r="A409" s="11"/>
      <c r="B409" s="12"/>
      <c r="C409" s="12"/>
      <c r="D409" s="13"/>
    </row>
    <row r="410" spans="1:4" x14ac:dyDescent="0.35">
      <c r="A410" s="11"/>
      <c r="B410" s="12"/>
      <c r="C410" s="12"/>
      <c r="D410" s="13"/>
    </row>
    <row r="411" spans="1:4" x14ac:dyDescent="0.35">
      <c r="A411" s="11"/>
      <c r="B411" s="12"/>
      <c r="C411" s="12"/>
      <c r="D411" s="13"/>
    </row>
    <row r="412" spans="1:4" x14ac:dyDescent="0.35">
      <c r="A412" s="11"/>
      <c r="B412" s="12"/>
      <c r="C412" s="12"/>
      <c r="D412" s="13"/>
    </row>
    <row r="413" spans="1:4" x14ac:dyDescent="0.35">
      <c r="A413" s="11"/>
      <c r="B413" s="12"/>
      <c r="C413" s="12"/>
      <c r="D413" s="13"/>
    </row>
    <row r="414" spans="1:4" x14ac:dyDescent="0.35">
      <c r="A414" s="11"/>
      <c r="B414" s="12"/>
      <c r="C414" s="12"/>
      <c r="D414" s="13"/>
    </row>
    <row r="415" spans="1:4" x14ac:dyDescent="0.35">
      <c r="A415" s="11"/>
      <c r="B415" s="12"/>
      <c r="C415" s="12"/>
      <c r="D415" s="13"/>
    </row>
    <row r="416" spans="1:4" x14ac:dyDescent="0.35">
      <c r="A416" s="11"/>
      <c r="B416" s="12"/>
      <c r="C416" s="12"/>
      <c r="D416" s="13"/>
    </row>
    <row r="417" spans="1:4" x14ac:dyDescent="0.35">
      <c r="A417" s="11"/>
      <c r="B417" s="12"/>
      <c r="C417" s="12"/>
      <c r="D417" s="13"/>
    </row>
    <row r="418" spans="1:4" x14ac:dyDescent="0.35">
      <c r="A418" s="11"/>
      <c r="B418" s="12"/>
      <c r="C418" s="12"/>
      <c r="D418" s="13"/>
    </row>
    <row r="419" spans="1:4" x14ac:dyDescent="0.35">
      <c r="A419" s="11"/>
      <c r="B419" s="12"/>
      <c r="C419" s="12"/>
      <c r="D419" s="13"/>
    </row>
    <row r="420" spans="1:4" x14ac:dyDescent="0.35">
      <c r="A420" s="11"/>
      <c r="B420" s="12"/>
      <c r="C420" s="12"/>
      <c r="D420" s="13"/>
    </row>
    <row r="421" spans="1:4" x14ac:dyDescent="0.35">
      <c r="A421" s="11"/>
      <c r="B421" s="12"/>
      <c r="C421" s="12"/>
      <c r="D421" s="13"/>
    </row>
    <row r="422" spans="1:4" x14ac:dyDescent="0.35">
      <c r="A422" s="11"/>
      <c r="B422" s="12"/>
      <c r="C422" s="12"/>
      <c r="D422" s="13"/>
    </row>
    <row r="423" spans="1:4" x14ac:dyDescent="0.35">
      <c r="A423" s="11"/>
      <c r="B423" s="12"/>
      <c r="C423" s="12"/>
      <c r="D423" s="13"/>
    </row>
    <row r="424" spans="1:4" x14ac:dyDescent="0.35">
      <c r="A424" s="11"/>
      <c r="B424" s="12"/>
      <c r="C424" s="12"/>
      <c r="D424" s="13"/>
    </row>
    <row r="425" spans="1:4" x14ac:dyDescent="0.35">
      <c r="A425" s="11"/>
      <c r="B425" s="12"/>
      <c r="C425" s="12"/>
      <c r="D425" s="13"/>
    </row>
    <row r="426" spans="1:4" x14ac:dyDescent="0.35">
      <c r="A426" s="11"/>
      <c r="B426" s="12"/>
      <c r="C426" s="12"/>
      <c r="D426" s="13"/>
    </row>
    <row r="427" spans="1:4" x14ac:dyDescent="0.35">
      <c r="A427" s="11"/>
      <c r="B427" s="12"/>
      <c r="C427" s="12"/>
      <c r="D427" s="13"/>
    </row>
    <row r="428" spans="1:4" x14ac:dyDescent="0.35">
      <c r="A428" s="11"/>
      <c r="B428" s="12"/>
      <c r="C428" s="12"/>
      <c r="D428" s="13"/>
    </row>
    <row r="429" spans="1:4" x14ac:dyDescent="0.35">
      <c r="A429" s="11"/>
      <c r="B429" s="12"/>
      <c r="C429" s="12"/>
      <c r="D429" s="13"/>
    </row>
    <row r="430" spans="1:4" x14ac:dyDescent="0.35">
      <c r="A430" s="11"/>
      <c r="B430" s="12"/>
      <c r="C430" s="12"/>
      <c r="D430" s="13"/>
    </row>
    <row r="431" spans="1:4" x14ac:dyDescent="0.35">
      <c r="A431" s="11"/>
      <c r="B431" s="12"/>
      <c r="C431" s="12"/>
      <c r="D431" s="13"/>
    </row>
    <row r="432" spans="1:4" x14ac:dyDescent="0.35">
      <c r="A432" s="11"/>
      <c r="B432" s="12"/>
      <c r="C432" s="12"/>
      <c r="D432" s="13"/>
    </row>
    <row r="433" spans="1:4" x14ac:dyDescent="0.35">
      <c r="A433" s="11"/>
      <c r="B433" s="12"/>
      <c r="C433" s="12"/>
      <c r="D433" s="13"/>
    </row>
    <row r="434" spans="1:4" x14ac:dyDescent="0.35">
      <c r="A434" s="11"/>
      <c r="B434" s="12"/>
      <c r="C434" s="12"/>
      <c r="D434" s="13"/>
    </row>
    <row r="435" spans="1:4" x14ac:dyDescent="0.35">
      <c r="A435" s="11"/>
      <c r="B435" s="12"/>
      <c r="C435" s="12"/>
      <c r="D435" s="13"/>
    </row>
    <row r="436" spans="1:4" x14ac:dyDescent="0.35">
      <c r="A436" s="11"/>
      <c r="B436" s="12"/>
      <c r="C436" s="12"/>
      <c r="D436" s="13"/>
    </row>
    <row r="437" spans="1:4" x14ac:dyDescent="0.35">
      <c r="A437" s="11"/>
      <c r="B437" s="12"/>
      <c r="C437" s="12"/>
      <c r="D437" s="13"/>
    </row>
    <row r="438" spans="1:4" x14ac:dyDescent="0.35">
      <c r="A438" s="11"/>
      <c r="B438" s="12"/>
      <c r="C438" s="12"/>
      <c r="D438" s="13"/>
    </row>
    <row r="439" spans="1:4" x14ac:dyDescent="0.35">
      <c r="A439" s="11"/>
      <c r="B439" s="12"/>
      <c r="C439" s="12"/>
      <c r="D439" s="13"/>
    </row>
    <row r="440" spans="1:4" x14ac:dyDescent="0.35">
      <c r="A440" s="11"/>
      <c r="B440" s="12"/>
      <c r="C440" s="12"/>
      <c r="D440" s="13"/>
    </row>
    <row r="441" spans="1:4" x14ac:dyDescent="0.35">
      <c r="A441" s="11"/>
      <c r="B441" s="12"/>
      <c r="C441" s="12"/>
      <c r="D441" s="13"/>
    </row>
    <row r="442" spans="1:4" x14ac:dyDescent="0.35">
      <c r="A442" s="11"/>
      <c r="B442" s="12"/>
      <c r="C442" s="12"/>
      <c r="D442" s="13"/>
    </row>
    <row r="443" spans="1:4" x14ac:dyDescent="0.35">
      <c r="A443" s="11"/>
      <c r="B443" s="12"/>
      <c r="C443" s="12"/>
      <c r="D443" s="13"/>
    </row>
    <row r="444" spans="1:4" x14ac:dyDescent="0.35">
      <c r="A444" s="11"/>
      <c r="B444" s="12"/>
      <c r="C444" s="12"/>
      <c r="D444" s="13"/>
    </row>
    <row r="445" spans="1:4" x14ac:dyDescent="0.35">
      <c r="A445" s="11"/>
      <c r="B445" s="12"/>
      <c r="C445" s="12"/>
      <c r="D445" s="13"/>
    </row>
    <row r="446" spans="1:4" x14ac:dyDescent="0.35">
      <c r="A446" s="11"/>
      <c r="B446" s="12"/>
      <c r="C446" s="12"/>
      <c r="D446" s="13"/>
    </row>
    <row r="447" spans="1:4" x14ac:dyDescent="0.35">
      <c r="A447" s="11"/>
      <c r="B447" s="12"/>
      <c r="C447" s="12"/>
      <c r="D447" s="13"/>
    </row>
    <row r="448" spans="1:4" x14ac:dyDescent="0.35">
      <c r="A448" s="11"/>
      <c r="B448" s="12"/>
      <c r="C448" s="12"/>
      <c r="D448" s="13"/>
    </row>
    <row r="449" spans="1:4" x14ac:dyDescent="0.35">
      <c r="A449" s="11"/>
      <c r="B449" s="12"/>
      <c r="C449" s="12"/>
      <c r="D449" s="13"/>
    </row>
    <row r="450" spans="1:4" x14ac:dyDescent="0.35">
      <c r="A450" s="11"/>
      <c r="B450" s="12"/>
      <c r="C450" s="12"/>
      <c r="D450" s="13"/>
    </row>
    <row r="451" spans="1:4" x14ac:dyDescent="0.35">
      <c r="A451" s="11"/>
      <c r="B451" s="12"/>
      <c r="C451" s="12"/>
      <c r="D451" s="13"/>
    </row>
    <row r="452" spans="1:4" x14ac:dyDescent="0.35">
      <c r="A452" s="11"/>
      <c r="B452" s="12"/>
      <c r="C452" s="12"/>
      <c r="D452" s="13"/>
    </row>
    <row r="453" spans="1:4" x14ac:dyDescent="0.35">
      <c r="A453" s="11"/>
      <c r="B453" s="12"/>
      <c r="C453" s="12"/>
      <c r="D453" s="13"/>
    </row>
    <row r="454" spans="1:4" x14ac:dyDescent="0.35">
      <c r="A454" s="11"/>
      <c r="B454" s="12"/>
      <c r="C454" s="12"/>
      <c r="D454" s="13"/>
    </row>
    <row r="455" spans="1:4" x14ac:dyDescent="0.35">
      <c r="A455" s="11"/>
      <c r="B455" s="12"/>
      <c r="C455" s="12"/>
      <c r="D455" s="13"/>
    </row>
    <row r="456" spans="1:4" x14ac:dyDescent="0.35">
      <c r="A456" s="11"/>
      <c r="B456" s="12"/>
      <c r="C456" s="12"/>
      <c r="D456" s="13"/>
    </row>
    <row r="457" spans="1:4" x14ac:dyDescent="0.35">
      <c r="A457" s="11"/>
      <c r="B457" s="12"/>
      <c r="C457" s="12"/>
      <c r="D457" s="13"/>
    </row>
    <row r="458" spans="1:4" x14ac:dyDescent="0.35">
      <c r="A458" s="11"/>
      <c r="B458" s="12"/>
      <c r="C458" s="12"/>
      <c r="D458" s="13"/>
    </row>
    <row r="459" spans="1:4" x14ac:dyDescent="0.35">
      <c r="A459" s="11"/>
      <c r="B459" s="12"/>
      <c r="C459" s="12"/>
      <c r="D459" s="13"/>
    </row>
    <row r="460" spans="1:4" x14ac:dyDescent="0.35">
      <c r="A460" s="11"/>
      <c r="B460" s="12"/>
      <c r="C460" s="12"/>
      <c r="D460" s="13"/>
    </row>
    <row r="461" spans="1:4" x14ac:dyDescent="0.35">
      <c r="A461" s="11"/>
      <c r="B461" s="12"/>
      <c r="C461" s="12"/>
      <c r="D461" s="13"/>
    </row>
    <row r="462" spans="1:4" x14ac:dyDescent="0.35">
      <c r="A462" s="11"/>
      <c r="B462" s="12"/>
      <c r="C462" s="12"/>
      <c r="D462" s="13"/>
    </row>
    <row r="463" spans="1:4" x14ac:dyDescent="0.35">
      <c r="A463" s="11"/>
      <c r="B463" s="12"/>
      <c r="C463" s="12"/>
      <c r="D463" s="13"/>
    </row>
    <row r="464" spans="1:4" x14ac:dyDescent="0.35">
      <c r="A464" s="11"/>
      <c r="B464" s="12"/>
      <c r="C464" s="12"/>
      <c r="D464" s="13"/>
    </row>
    <row r="465" spans="1:4" x14ac:dyDescent="0.35">
      <c r="A465" s="11"/>
      <c r="B465" s="12"/>
      <c r="C465" s="12"/>
      <c r="D465" s="13"/>
    </row>
    <row r="466" spans="1:4" x14ac:dyDescent="0.35">
      <c r="A466" s="11"/>
      <c r="B466" s="12"/>
      <c r="C466" s="12"/>
      <c r="D466" s="13"/>
    </row>
    <row r="467" spans="1:4" x14ac:dyDescent="0.35">
      <c r="A467" s="11"/>
      <c r="B467" s="12"/>
      <c r="C467" s="12"/>
      <c r="D467" s="13"/>
    </row>
    <row r="468" spans="1:4" x14ac:dyDescent="0.35">
      <c r="A468" s="11"/>
      <c r="B468" s="12"/>
      <c r="C468" s="12"/>
      <c r="D468" s="13"/>
    </row>
    <row r="469" spans="1:4" x14ac:dyDescent="0.35">
      <c r="A469" s="11"/>
      <c r="B469" s="12"/>
      <c r="C469" s="12"/>
      <c r="D469" s="13"/>
    </row>
    <row r="470" spans="1:4" x14ac:dyDescent="0.35">
      <c r="A470" s="11"/>
      <c r="B470" s="12"/>
      <c r="C470" s="12"/>
      <c r="D470" s="13"/>
    </row>
    <row r="471" spans="1:4" x14ac:dyDescent="0.35">
      <c r="A471" s="11"/>
      <c r="B471" s="12"/>
      <c r="C471" s="12"/>
      <c r="D471" s="13"/>
    </row>
    <row r="472" spans="1:4" x14ac:dyDescent="0.35">
      <c r="A472" s="11"/>
      <c r="B472" s="12"/>
      <c r="C472" s="12"/>
      <c r="D472" s="13"/>
    </row>
    <row r="473" spans="1:4" x14ac:dyDescent="0.35">
      <c r="A473" s="11"/>
      <c r="B473" s="12"/>
      <c r="C473" s="12"/>
      <c r="D473" s="13"/>
    </row>
    <row r="474" spans="1:4" x14ac:dyDescent="0.35">
      <c r="A474" s="11"/>
      <c r="B474" s="12"/>
      <c r="C474" s="12"/>
      <c r="D474" s="13"/>
    </row>
    <row r="475" spans="1:4" x14ac:dyDescent="0.35">
      <c r="A475" s="11"/>
      <c r="B475" s="12"/>
      <c r="C475" s="12"/>
      <c r="D475" s="13"/>
    </row>
    <row r="476" spans="1:4" x14ac:dyDescent="0.35">
      <c r="A476" s="11"/>
      <c r="B476" s="12"/>
      <c r="C476" s="12"/>
      <c r="D476" s="13"/>
    </row>
    <row r="477" spans="1:4" x14ac:dyDescent="0.35">
      <c r="A477" s="11"/>
      <c r="B477" s="12"/>
      <c r="C477" s="12"/>
      <c r="D477" s="13"/>
    </row>
    <row r="478" spans="1:4" x14ac:dyDescent="0.35">
      <c r="A478" s="11"/>
      <c r="B478" s="12"/>
      <c r="C478" s="12"/>
      <c r="D478" s="13"/>
    </row>
    <row r="479" spans="1:4" x14ac:dyDescent="0.35">
      <c r="A479" s="11"/>
      <c r="B479" s="12"/>
      <c r="C479" s="12"/>
      <c r="D479" s="13"/>
    </row>
    <row r="480" spans="1:4" x14ac:dyDescent="0.35">
      <c r="A480" s="11"/>
      <c r="B480" s="12"/>
      <c r="C480" s="12"/>
      <c r="D480" s="13"/>
    </row>
    <row r="481" spans="1:4" x14ac:dyDescent="0.35">
      <c r="A481" s="11"/>
      <c r="B481" s="12"/>
      <c r="C481" s="12"/>
      <c r="D481" s="13"/>
    </row>
    <row r="482" spans="1:4" x14ac:dyDescent="0.35">
      <c r="A482" s="11"/>
      <c r="B482" s="12"/>
      <c r="C482" s="12"/>
      <c r="D482" s="13"/>
    </row>
    <row r="483" spans="1:4" x14ac:dyDescent="0.35">
      <c r="A483" s="11"/>
      <c r="B483" s="12"/>
      <c r="C483" s="12"/>
      <c r="D483" s="13"/>
    </row>
    <row r="484" spans="1:4" x14ac:dyDescent="0.35">
      <c r="A484" s="11"/>
      <c r="B484" s="12"/>
      <c r="C484" s="12"/>
      <c r="D484" s="13"/>
    </row>
    <row r="485" spans="1:4" x14ac:dyDescent="0.35">
      <c r="A485" s="11"/>
      <c r="B485" s="12"/>
      <c r="C485" s="12"/>
      <c r="D485" s="13"/>
    </row>
    <row r="486" spans="1:4" x14ac:dyDescent="0.35">
      <c r="A486" s="11"/>
      <c r="B486" s="12"/>
      <c r="C486" s="12"/>
      <c r="D486" s="13"/>
    </row>
    <row r="487" spans="1:4" x14ac:dyDescent="0.35">
      <c r="A487" s="11"/>
      <c r="B487" s="12"/>
      <c r="C487" s="12"/>
      <c r="D487" s="13"/>
    </row>
    <row r="488" spans="1:4" x14ac:dyDescent="0.35">
      <c r="A488" s="11"/>
      <c r="B488" s="12"/>
      <c r="C488" s="12"/>
      <c r="D488" s="13"/>
    </row>
    <row r="489" spans="1:4" x14ac:dyDescent="0.35">
      <c r="A489" s="11"/>
      <c r="B489" s="12"/>
      <c r="C489" s="12"/>
      <c r="D489" s="13"/>
    </row>
    <row r="490" spans="1:4" x14ac:dyDescent="0.35">
      <c r="A490" s="11"/>
      <c r="B490" s="12"/>
      <c r="C490" s="12"/>
      <c r="D490" s="13"/>
    </row>
    <row r="491" spans="1:4" x14ac:dyDescent="0.35">
      <c r="A491" s="11"/>
      <c r="B491" s="12"/>
      <c r="C491" s="12"/>
      <c r="D491" s="13"/>
    </row>
    <row r="492" spans="1:4" x14ac:dyDescent="0.35">
      <c r="A492" s="11"/>
      <c r="B492" s="12"/>
      <c r="C492" s="12"/>
      <c r="D492" s="13"/>
    </row>
    <row r="493" spans="1:4" x14ac:dyDescent="0.35">
      <c r="A493" s="11"/>
      <c r="B493" s="12"/>
      <c r="C493" s="12"/>
      <c r="D493" s="13"/>
    </row>
    <row r="494" spans="1:4" x14ac:dyDescent="0.35">
      <c r="A494" s="11"/>
      <c r="B494" s="12"/>
      <c r="C494" s="12"/>
      <c r="D494" s="13"/>
    </row>
    <row r="495" spans="1:4" x14ac:dyDescent="0.35">
      <c r="A495" s="11"/>
      <c r="B495" s="12"/>
      <c r="C495" s="12"/>
      <c r="D495" s="13"/>
    </row>
    <row r="496" spans="1:4" x14ac:dyDescent="0.35">
      <c r="A496" s="11"/>
      <c r="B496" s="12"/>
      <c r="C496" s="12"/>
      <c r="D496" s="13"/>
    </row>
    <row r="497" spans="1:4" x14ac:dyDescent="0.35">
      <c r="A497" s="11"/>
      <c r="B497" s="12"/>
      <c r="C497" s="12"/>
      <c r="D497" s="13"/>
    </row>
    <row r="498" spans="1:4" x14ac:dyDescent="0.35">
      <c r="A498" s="11"/>
      <c r="B498" s="12"/>
      <c r="C498" s="12"/>
      <c r="D498" s="13"/>
    </row>
    <row r="499" spans="1:4" x14ac:dyDescent="0.35">
      <c r="A499" s="11"/>
      <c r="B499" s="12"/>
      <c r="C499" s="12"/>
      <c r="D499" s="13"/>
    </row>
    <row r="500" spans="1:4" x14ac:dyDescent="0.35">
      <c r="A500" s="11"/>
      <c r="B500" s="12"/>
      <c r="C500" s="12"/>
      <c r="D500" s="13"/>
    </row>
    <row r="501" spans="1:4" x14ac:dyDescent="0.35">
      <c r="A501" s="11"/>
      <c r="B501" s="12"/>
      <c r="C501" s="12"/>
      <c r="D501" s="13"/>
    </row>
    <row r="502" spans="1:4" x14ac:dyDescent="0.35">
      <c r="A502" s="11"/>
      <c r="B502" s="12"/>
      <c r="C502" s="12"/>
      <c r="D502" s="13"/>
    </row>
    <row r="503" spans="1:4" x14ac:dyDescent="0.35">
      <c r="A503" s="11"/>
      <c r="B503" s="12"/>
      <c r="C503" s="12"/>
      <c r="D503" s="13"/>
    </row>
    <row r="504" spans="1:4" x14ac:dyDescent="0.35">
      <c r="A504" s="11"/>
      <c r="B504" s="12"/>
      <c r="C504" s="12"/>
      <c r="D504" s="13"/>
    </row>
  </sheetData>
  <conditionalFormatting sqref="A5:A504">
    <cfRule type="expression" dxfId="5" priority="1">
      <formula>AND(OR(A5&lt;&gt;"",B5&lt;&gt;"",D5&lt;&gt;""),NOT(ISNUMBER(A5)))</formula>
    </cfRule>
  </conditionalFormatting>
  <conditionalFormatting sqref="D5:D504">
    <cfRule type="expression" dxfId="3" priority="3">
      <formula>AND(OR(A5&lt;&gt;"",B5&lt;&gt;"",D5&lt;&gt;""),NOT(ISNUMBER(D5)))</formula>
    </cfRule>
  </conditionalFormatting>
  <dataValidations count="2">
    <dataValidation type="date" operator="greaterThan" allowBlank="1" showErrorMessage="1" errorTitle="Date" error="Enter a real date, e.g. 1/31/2026." sqref="A5:A504" xr:uid="{00000000-0002-0000-0400-000001000000}">
      <formula1>1</formula1>
    </dataValidation>
    <dataValidation type="decimal" allowBlank="1" showErrorMessage="1" errorTitle="Amount" error="Enter a number only. Use a negative number for a refund." sqref="D5:D504" xr:uid="{00000000-0002-0000-0400-000002000000}">
      <formula1>-100000000</formula1>
      <formula2>100000000</formula2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400-000002000000}">
            <xm:f>AND(OR(A5&lt;&gt;"",B5&lt;&gt;"",D5&lt;&gt;""),OR(B5="",COUNTIF(Lists!$D$2:$D$13,B5)=0))</xm:f>
            <x14:dxf>
              <fill>
                <patternFill patternType="solid">
                  <fgColor rgb="FFF8C9C4"/>
                  <bgColor rgb="FFF8C9C4"/>
                </patternFill>
              </fill>
            </x14:dxf>
          </x14:cfRule>
          <xm:sqref>B5:B504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Pick a category from the list" xr:uid="{00000000-0002-0000-0400-000000000000}">
          <x14:formula1>
            <xm:f>Lists!$D$2:$D$13</xm:f>
          </x14:formula1>
          <xm:sqref>B5:B504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2552D"/>
  </sheetPr>
  <dimension ref="A1:K20"/>
  <sheetViews>
    <sheetView showGridLines="0" workbookViewId="0"/>
  </sheetViews>
  <sheetFormatPr defaultRowHeight="14.5" x14ac:dyDescent="0.35"/>
  <cols>
    <col min="1" max="1" width="3" customWidth="1"/>
    <col min="2" max="2" width="10" customWidth="1"/>
    <col min="3" max="3" width="9" customWidth="1"/>
    <col min="4" max="10" width="14" customWidth="1"/>
    <col min="11" max="11" width="10" customWidth="1"/>
  </cols>
  <sheetData>
    <row r="1" spans="1:11" ht="23" x14ac:dyDescent="0.5">
      <c r="A1" s="1" t="s">
        <v>104</v>
      </c>
    </row>
    <row r="3" spans="1:11" x14ac:dyDescent="0.35">
      <c r="B3" s="19" t="s">
        <v>27</v>
      </c>
      <c r="C3" s="20">
        <f>Dashboard!C3</f>
        <v>2026</v>
      </c>
      <c r="D3" s="7" t="s">
        <v>105</v>
      </c>
    </row>
    <row r="5" spans="1:11" ht="30" customHeight="1" x14ac:dyDescent="0.35">
      <c r="B5" s="10" t="s">
        <v>29</v>
      </c>
      <c r="C5" s="10" t="s">
        <v>65</v>
      </c>
      <c r="D5" s="10" t="s">
        <v>30</v>
      </c>
      <c r="E5" s="10" t="s">
        <v>106</v>
      </c>
      <c r="F5" s="10" t="s">
        <v>32</v>
      </c>
      <c r="G5" s="10" t="s">
        <v>57</v>
      </c>
      <c r="H5" s="10" t="s">
        <v>79</v>
      </c>
      <c r="I5" s="10" t="s">
        <v>59</v>
      </c>
      <c r="J5" s="10" t="s">
        <v>31</v>
      </c>
      <c r="K5" s="10" t="s">
        <v>107</v>
      </c>
    </row>
    <row r="6" spans="1:11" x14ac:dyDescent="0.35">
      <c r="B6" s="18" t="s">
        <v>36</v>
      </c>
      <c r="C6" s="17">
        <f>Calc!C3</f>
        <v>2</v>
      </c>
      <c r="D6" s="18">
        <f>Calc!E3+Calc!F3</f>
        <v>82.9</v>
      </c>
      <c r="E6" s="18">
        <f>Calc!I3</f>
        <v>0</v>
      </c>
      <c r="F6" s="18">
        <f>Calc!N3</f>
        <v>16.7044</v>
      </c>
      <c r="G6" s="18">
        <f>Calc!H3</f>
        <v>8.24</v>
      </c>
      <c r="H6" s="18">
        <f>Calc!O3</f>
        <v>19.200000000000003</v>
      </c>
      <c r="I6" s="18">
        <f>Calc!P3</f>
        <v>15</v>
      </c>
      <c r="J6" s="18">
        <f>Calc!R3</f>
        <v>23.755600000000008</v>
      </c>
      <c r="K6" s="21">
        <f>Calc!S3</f>
        <v>0.28655729794933665</v>
      </c>
    </row>
    <row r="7" spans="1:11" x14ac:dyDescent="0.35">
      <c r="B7" s="22" t="s">
        <v>37</v>
      </c>
      <c r="C7" s="23">
        <f>Calc!C4</f>
        <v>0</v>
      </c>
      <c r="D7" s="22">
        <f>Calc!E4+Calc!F4</f>
        <v>0</v>
      </c>
      <c r="E7" s="22">
        <f>Calc!I4</f>
        <v>0</v>
      </c>
      <c r="F7" s="22">
        <f>Calc!N4</f>
        <v>0</v>
      </c>
      <c r="G7" s="22">
        <f>Calc!H4</f>
        <v>0</v>
      </c>
      <c r="H7" s="22">
        <f>Calc!O4</f>
        <v>0</v>
      </c>
      <c r="I7" s="22">
        <f>Calc!P4</f>
        <v>0</v>
      </c>
      <c r="J7" s="22">
        <f>Calc!R4</f>
        <v>0</v>
      </c>
      <c r="K7" s="24">
        <f>Calc!S4</f>
        <v>0</v>
      </c>
    </row>
    <row r="8" spans="1:11" x14ac:dyDescent="0.35">
      <c r="B8" s="18" t="s">
        <v>38</v>
      </c>
      <c r="C8" s="17">
        <f>Calc!C5</f>
        <v>0</v>
      </c>
      <c r="D8" s="18">
        <f>Calc!E5+Calc!F5</f>
        <v>0</v>
      </c>
      <c r="E8" s="18">
        <f>Calc!I5</f>
        <v>0</v>
      </c>
      <c r="F8" s="18">
        <f>Calc!N5</f>
        <v>0</v>
      </c>
      <c r="G8" s="18">
        <f>Calc!H5</f>
        <v>0</v>
      </c>
      <c r="H8" s="18">
        <f>Calc!O5</f>
        <v>0</v>
      </c>
      <c r="I8" s="18">
        <f>Calc!P5</f>
        <v>0</v>
      </c>
      <c r="J8" s="18">
        <f>Calc!R5</f>
        <v>0</v>
      </c>
      <c r="K8" s="21">
        <f>Calc!S5</f>
        <v>0</v>
      </c>
    </row>
    <row r="9" spans="1:11" x14ac:dyDescent="0.35">
      <c r="B9" s="22" t="s">
        <v>39</v>
      </c>
      <c r="C9" s="23">
        <f>Calc!C6</f>
        <v>0</v>
      </c>
      <c r="D9" s="22">
        <f>Calc!E6+Calc!F6</f>
        <v>0</v>
      </c>
      <c r="E9" s="22">
        <f>Calc!I6</f>
        <v>0</v>
      </c>
      <c r="F9" s="22">
        <f>Calc!N6</f>
        <v>0</v>
      </c>
      <c r="G9" s="22">
        <f>Calc!H6</f>
        <v>0</v>
      </c>
      <c r="H9" s="22">
        <f>Calc!O6</f>
        <v>0</v>
      </c>
      <c r="I9" s="22">
        <f>Calc!P6</f>
        <v>0</v>
      </c>
      <c r="J9" s="22">
        <f>Calc!R6</f>
        <v>0</v>
      </c>
      <c r="K9" s="24">
        <f>Calc!S6</f>
        <v>0</v>
      </c>
    </row>
    <row r="10" spans="1:11" x14ac:dyDescent="0.35">
      <c r="B10" s="18" t="s">
        <v>43</v>
      </c>
      <c r="C10" s="17">
        <f>Calc!C7</f>
        <v>0</v>
      </c>
      <c r="D10" s="18">
        <f>Calc!E7+Calc!F7</f>
        <v>0</v>
      </c>
      <c r="E10" s="18">
        <f>Calc!I7</f>
        <v>0</v>
      </c>
      <c r="F10" s="18">
        <f>Calc!N7</f>
        <v>0</v>
      </c>
      <c r="G10" s="18">
        <f>Calc!H7</f>
        <v>0</v>
      </c>
      <c r="H10" s="18">
        <f>Calc!O7</f>
        <v>0</v>
      </c>
      <c r="I10" s="18">
        <f>Calc!P7</f>
        <v>0</v>
      </c>
      <c r="J10" s="18">
        <f>Calc!R7</f>
        <v>0</v>
      </c>
      <c r="K10" s="21">
        <f>Calc!S7</f>
        <v>0</v>
      </c>
    </row>
    <row r="11" spans="1:11" x14ac:dyDescent="0.35">
      <c r="B11" s="22" t="s">
        <v>44</v>
      </c>
      <c r="C11" s="23">
        <f>Calc!C8</f>
        <v>0</v>
      </c>
      <c r="D11" s="22">
        <f>Calc!E8+Calc!F8</f>
        <v>0</v>
      </c>
      <c r="E11" s="22">
        <f>Calc!I8</f>
        <v>0</v>
      </c>
      <c r="F11" s="22">
        <f>Calc!N8</f>
        <v>0</v>
      </c>
      <c r="G11" s="22">
        <f>Calc!H8</f>
        <v>0</v>
      </c>
      <c r="H11" s="22">
        <f>Calc!O8</f>
        <v>0</v>
      </c>
      <c r="I11" s="22">
        <f>Calc!P8</f>
        <v>0</v>
      </c>
      <c r="J11" s="22">
        <f>Calc!R8</f>
        <v>0</v>
      </c>
      <c r="K11" s="24">
        <f>Calc!S8</f>
        <v>0</v>
      </c>
    </row>
    <row r="12" spans="1:11" x14ac:dyDescent="0.35">
      <c r="B12" s="18" t="s">
        <v>45</v>
      </c>
      <c r="C12" s="17">
        <f>Calc!C9</f>
        <v>0</v>
      </c>
      <c r="D12" s="18">
        <f>Calc!E9+Calc!F9</f>
        <v>0</v>
      </c>
      <c r="E12" s="18">
        <f>Calc!I9</f>
        <v>0</v>
      </c>
      <c r="F12" s="18">
        <f>Calc!N9</f>
        <v>0</v>
      </c>
      <c r="G12" s="18">
        <f>Calc!H9</f>
        <v>0</v>
      </c>
      <c r="H12" s="18">
        <f>Calc!O9</f>
        <v>0</v>
      </c>
      <c r="I12" s="18">
        <f>Calc!P9</f>
        <v>0</v>
      </c>
      <c r="J12" s="18">
        <f>Calc!R9</f>
        <v>0</v>
      </c>
      <c r="K12" s="21">
        <f>Calc!S9</f>
        <v>0</v>
      </c>
    </row>
    <row r="13" spans="1:11" x14ac:dyDescent="0.35">
      <c r="B13" s="22" t="s">
        <v>46</v>
      </c>
      <c r="C13" s="23">
        <f>Calc!C10</f>
        <v>0</v>
      </c>
      <c r="D13" s="22">
        <f>Calc!E10+Calc!F10</f>
        <v>0</v>
      </c>
      <c r="E13" s="22">
        <f>Calc!I10</f>
        <v>0</v>
      </c>
      <c r="F13" s="22">
        <f>Calc!N10</f>
        <v>0</v>
      </c>
      <c r="G13" s="22">
        <f>Calc!H10</f>
        <v>0</v>
      </c>
      <c r="H13" s="22">
        <f>Calc!O10</f>
        <v>0</v>
      </c>
      <c r="I13" s="22">
        <f>Calc!P10</f>
        <v>0</v>
      </c>
      <c r="J13" s="22">
        <f>Calc!R10</f>
        <v>0</v>
      </c>
      <c r="K13" s="24">
        <f>Calc!S10</f>
        <v>0</v>
      </c>
    </row>
    <row r="14" spans="1:11" x14ac:dyDescent="0.35">
      <c r="B14" s="18" t="s">
        <v>47</v>
      </c>
      <c r="C14" s="17">
        <f>Calc!C11</f>
        <v>0</v>
      </c>
      <c r="D14" s="18">
        <f>Calc!E11+Calc!F11</f>
        <v>0</v>
      </c>
      <c r="E14" s="18">
        <f>Calc!I11</f>
        <v>0</v>
      </c>
      <c r="F14" s="18">
        <f>Calc!N11</f>
        <v>0</v>
      </c>
      <c r="G14" s="18">
        <f>Calc!H11</f>
        <v>0</v>
      </c>
      <c r="H14" s="18">
        <f>Calc!O11</f>
        <v>0</v>
      </c>
      <c r="I14" s="18">
        <f>Calc!P11</f>
        <v>0</v>
      </c>
      <c r="J14" s="18">
        <f>Calc!R11</f>
        <v>0</v>
      </c>
      <c r="K14" s="21">
        <f>Calc!S11</f>
        <v>0</v>
      </c>
    </row>
    <row r="15" spans="1:11" x14ac:dyDescent="0.35">
      <c r="B15" s="22" t="s">
        <v>48</v>
      </c>
      <c r="C15" s="23">
        <f>Calc!C12</f>
        <v>0</v>
      </c>
      <c r="D15" s="22">
        <f>Calc!E12+Calc!F12</f>
        <v>0</v>
      </c>
      <c r="E15" s="22">
        <f>Calc!I12</f>
        <v>0</v>
      </c>
      <c r="F15" s="22">
        <f>Calc!N12</f>
        <v>0</v>
      </c>
      <c r="G15" s="22">
        <f>Calc!H12</f>
        <v>0</v>
      </c>
      <c r="H15" s="22">
        <f>Calc!O12</f>
        <v>0</v>
      </c>
      <c r="I15" s="22">
        <f>Calc!P12</f>
        <v>0</v>
      </c>
      <c r="J15" s="22">
        <f>Calc!R12</f>
        <v>0</v>
      </c>
      <c r="K15" s="24">
        <f>Calc!S12</f>
        <v>0</v>
      </c>
    </row>
    <row r="16" spans="1:11" x14ac:dyDescent="0.35">
      <c r="B16" s="18" t="s">
        <v>49</v>
      </c>
      <c r="C16" s="17">
        <f>Calc!C13</f>
        <v>0</v>
      </c>
      <c r="D16" s="18">
        <f>Calc!E13+Calc!F13</f>
        <v>0</v>
      </c>
      <c r="E16" s="18">
        <f>Calc!I13</f>
        <v>0</v>
      </c>
      <c r="F16" s="18">
        <f>Calc!N13</f>
        <v>0</v>
      </c>
      <c r="G16" s="18">
        <f>Calc!H13</f>
        <v>0</v>
      </c>
      <c r="H16" s="18">
        <f>Calc!O13</f>
        <v>0</v>
      </c>
      <c r="I16" s="18">
        <f>Calc!P13</f>
        <v>0</v>
      </c>
      <c r="J16" s="18">
        <f>Calc!R13</f>
        <v>0</v>
      </c>
      <c r="K16" s="21">
        <f>Calc!S13</f>
        <v>0</v>
      </c>
    </row>
    <row r="17" spans="2:11" x14ac:dyDescent="0.35">
      <c r="B17" s="22" t="s">
        <v>50</v>
      </c>
      <c r="C17" s="23">
        <f>Calc!C14</f>
        <v>0</v>
      </c>
      <c r="D17" s="22">
        <f>Calc!E14+Calc!F14</f>
        <v>0</v>
      </c>
      <c r="E17" s="22">
        <f>Calc!I14</f>
        <v>0</v>
      </c>
      <c r="F17" s="22">
        <f>Calc!N14</f>
        <v>0</v>
      </c>
      <c r="G17" s="22">
        <f>Calc!H14</f>
        <v>0</v>
      </c>
      <c r="H17" s="22">
        <f>Calc!O14</f>
        <v>0</v>
      </c>
      <c r="I17" s="22">
        <f>Calc!P14</f>
        <v>0</v>
      </c>
      <c r="J17" s="22">
        <f>Calc!R14</f>
        <v>0</v>
      </c>
      <c r="K17" s="24">
        <f>Calc!S14</f>
        <v>0</v>
      </c>
    </row>
    <row r="18" spans="2:11" x14ac:dyDescent="0.35">
      <c r="B18" s="25" t="s">
        <v>108</v>
      </c>
      <c r="C18" s="26">
        <f>Calc!C15</f>
        <v>2</v>
      </c>
      <c r="D18" s="25">
        <f>Calc!E15+Calc!F15</f>
        <v>82.9</v>
      </c>
      <c r="E18" s="25">
        <f>Calc!I15</f>
        <v>0</v>
      </c>
      <c r="F18" s="25">
        <f>Calc!N15</f>
        <v>16.7044</v>
      </c>
      <c r="G18" s="25">
        <f>Calc!H15</f>
        <v>8.24</v>
      </c>
      <c r="H18" s="25">
        <f>Calc!O15</f>
        <v>19.200000000000003</v>
      </c>
      <c r="I18" s="25">
        <f>Calc!P15</f>
        <v>15</v>
      </c>
      <c r="J18" s="25">
        <f>Calc!R15</f>
        <v>23.755600000000008</v>
      </c>
      <c r="K18" s="27">
        <f>Calc!S15</f>
        <v>0.28655729794933665</v>
      </c>
    </row>
    <row r="20" spans="2:11" x14ac:dyDescent="0.35">
      <c r="B20" s="7" t="s">
        <v>109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2552D"/>
  </sheetPr>
  <dimension ref="A1:F17"/>
  <sheetViews>
    <sheetView showGridLines="0" workbookViewId="0"/>
  </sheetViews>
  <sheetFormatPr defaultRowHeight="14.5" x14ac:dyDescent="0.35"/>
  <cols>
    <col min="1" max="1" width="3" customWidth="1"/>
    <col min="2" max="2" width="44" customWidth="1"/>
    <col min="3" max="3" width="15" customWidth="1"/>
    <col min="4" max="4" width="4" customWidth="1"/>
    <col min="5" max="5" width="54" customWidth="1"/>
    <col min="6" max="6" width="15" customWidth="1"/>
  </cols>
  <sheetData>
    <row r="1" spans="1:6" ht="23" x14ac:dyDescent="0.5">
      <c r="A1" s="1" t="s">
        <v>110</v>
      </c>
    </row>
    <row r="2" spans="1:6" x14ac:dyDescent="0.35">
      <c r="A2" s="2" t="s">
        <v>111</v>
      </c>
    </row>
    <row r="4" spans="1:6" x14ac:dyDescent="0.35">
      <c r="B4" s="10" t="s">
        <v>112</v>
      </c>
      <c r="C4" s="10"/>
      <c r="E4" s="10" t="s">
        <v>113</v>
      </c>
      <c r="F4" s="10"/>
    </row>
    <row r="5" spans="1:6" x14ac:dyDescent="0.35">
      <c r="B5" s="16" t="s">
        <v>114</v>
      </c>
      <c r="C5" s="13">
        <v>6</v>
      </c>
      <c r="E5" s="16" t="s">
        <v>115</v>
      </c>
      <c r="F5" s="28">
        <f>(N(C5)+N(C6)+N(C7)*N(C8)+N(C9))</f>
        <v>21.7</v>
      </c>
    </row>
    <row r="6" spans="1:6" x14ac:dyDescent="0.35">
      <c r="B6" s="16" t="s">
        <v>116</v>
      </c>
      <c r="C6" s="13">
        <v>1.2</v>
      </c>
      <c r="E6" s="16" t="s">
        <v>117</v>
      </c>
      <c r="F6" s="29">
        <f>(N('Fee Settings'!$C$5)+N('Fee Settings'!$C$6)+IF($C$12="Yes",N('Fee Settings'!$C$8),0))</f>
        <v>9.5000000000000001E-2</v>
      </c>
    </row>
    <row r="7" spans="1:6" x14ac:dyDescent="0.35">
      <c r="B7" s="16" t="s">
        <v>118</v>
      </c>
      <c r="C7" s="30">
        <v>0.5</v>
      </c>
      <c r="E7" s="16" t="s">
        <v>119</v>
      </c>
      <c r="F7" s="28">
        <f>IFERROR(MAX(0,((N(C5)+N(C6)+N(C7)*N(C8)+N(C9))+N(C11)+N('Fee Settings'!$C$7)+N('Fee Settings'!$C$10)-N(C10)*(1-(N('Fee Settings'!$C$5)+N('Fee Settings'!$C$6)+IF($C$12="Yes",N('Fee Settings'!$C$8),0))))/(1-(N('Fee Settings'!$C$5)+N('Fee Settings'!$C$6)+IF($C$12="Yes",N('Fee Settings'!$C$8),0)))),0)</f>
        <v>28.814917127071823</v>
      </c>
    </row>
    <row r="8" spans="1:6" ht="15.5" x14ac:dyDescent="0.35">
      <c r="B8" s="16" t="s">
        <v>120</v>
      </c>
      <c r="C8" s="13">
        <v>20</v>
      </c>
      <c r="E8" s="19" t="s">
        <v>121</v>
      </c>
      <c r="F8" s="31">
        <f>IF(F7&lt;=0,0,CEILING(F7+0.01,1)-0.01)</f>
        <v>28.99</v>
      </c>
    </row>
    <row r="9" spans="1:6" x14ac:dyDescent="0.35">
      <c r="B9" s="16" t="s">
        <v>122</v>
      </c>
      <c r="C9" s="13">
        <v>4.5</v>
      </c>
      <c r="E9" s="16" t="s">
        <v>123</v>
      </c>
      <c r="F9" s="28">
        <f>IF(F8=0,0,N('Fee Settings'!$C$5)*(F8+N(C10))+N('Fee Settings'!$C$6)*(F8+N(C10))+N('Fee Settings'!$C$7)+N('Fee Settings'!$C$10)+IF($C$12="Yes",MIN(N('Fee Settings'!$C$8)*(F8+N(C10)),N('Fee Settings'!$C$9)),0))</f>
        <v>3.6315499999999998</v>
      </c>
    </row>
    <row r="10" spans="1:6" x14ac:dyDescent="0.35">
      <c r="B10" s="16" t="s">
        <v>124</v>
      </c>
      <c r="C10" s="13">
        <v>4.5</v>
      </c>
      <c r="E10" s="19" t="s">
        <v>125</v>
      </c>
      <c r="F10" s="32">
        <f>IF(F8=0,0,F8+N(C10)-F9-F5)</f>
        <v>8.1584499999999949</v>
      </c>
    </row>
    <row r="11" spans="1:6" x14ac:dyDescent="0.35">
      <c r="B11" s="16" t="s">
        <v>126</v>
      </c>
      <c r="C11" s="13">
        <v>8</v>
      </c>
    </row>
    <row r="12" spans="1:6" x14ac:dyDescent="0.35">
      <c r="B12" s="16" t="s">
        <v>127</v>
      </c>
      <c r="C12" s="33" t="s">
        <v>83</v>
      </c>
    </row>
    <row r="13" spans="1:6" x14ac:dyDescent="0.35">
      <c r="E13" s="10" t="s">
        <v>128</v>
      </c>
      <c r="F13" s="10"/>
    </row>
    <row r="14" spans="1:6" x14ac:dyDescent="0.35">
      <c r="E14" t="s">
        <v>129</v>
      </c>
      <c r="F14" s="13">
        <v>25</v>
      </c>
    </row>
    <row r="15" spans="1:6" ht="26" customHeight="1" x14ac:dyDescent="0.35">
      <c r="B15" s="34" t="s">
        <v>130</v>
      </c>
      <c r="E15" s="16" t="s">
        <v>32</v>
      </c>
      <c r="F15" s="18">
        <f>IF(N(F14)=0,0,N('Fee Settings'!$C$5)*(N(F14)+N(C10))+N('Fee Settings'!$C$6)*(N(F14)+N(C10))+N('Fee Settings'!$C$7)+N('Fee Settings'!$C$10)+IF($C$12="Yes",MIN(N('Fee Settings'!$C$8)*(N(F14)+N(C10)),N('Fee Settings'!$C$9)),0))</f>
        <v>3.2525000000000004</v>
      </c>
    </row>
    <row r="16" spans="1:6" ht="26" customHeight="1" x14ac:dyDescent="0.35">
      <c r="B16" s="34" t="s">
        <v>131</v>
      </c>
      <c r="E16" s="19" t="s">
        <v>132</v>
      </c>
      <c r="F16" s="25">
        <f>IF(N(F14)=0,0,N(F14)+N(C10)-F15-F5)</f>
        <v>4.5474999999999994</v>
      </c>
    </row>
    <row r="17" spans="5:6" x14ac:dyDescent="0.35">
      <c r="E17" s="16" t="s">
        <v>133</v>
      </c>
      <c r="F17" s="21">
        <f>IF(N(F14)+N(C10)=0,0,F16/(N(F14)+N(C10)))</f>
        <v>0.15415254237288134</v>
      </c>
    </row>
  </sheetData>
  <conditionalFormatting sqref="C5:C11">
    <cfRule type="expression" dxfId="2" priority="1">
      <formula>AND(C5&lt;&gt;"",NOT(ISNUMBER(C5)))</formula>
    </cfRule>
  </conditionalFormatting>
  <conditionalFormatting sqref="F14">
    <cfRule type="expression" dxfId="1" priority="2">
      <formula>AND(F14&lt;&gt;"",NOT(ISNUMBER(F14)))</formula>
    </cfRule>
  </conditionalFormatting>
  <dataValidations count="1">
    <dataValidation type="decimal" allowBlank="1" showErrorMessage="1" errorTitle="Amount" error="Enter a number only (no $ sign or text)." sqref="C5:C11 F14" xr:uid="{00000000-0002-0000-0600-000000000000}">
      <formula1>0</formula1>
      <formula2>1000000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="Choose Yes or No" xr:uid="{00000000-0002-0000-0600-000001000000}">
          <x14:formula1>
            <xm:f>Lists!$F$2:$F$3</xm:f>
          </x14:formula1>
          <xm:sqref>C12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2552D"/>
  </sheetPr>
  <dimension ref="A1:D12"/>
  <sheetViews>
    <sheetView showGridLines="0" workbookViewId="0"/>
  </sheetViews>
  <sheetFormatPr defaultRowHeight="14.5" x14ac:dyDescent="0.35"/>
  <cols>
    <col min="1" max="1" width="3" customWidth="1"/>
    <col min="2" max="2" width="46" customWidth="1"/>
    <col min="3" max="3" width="14" customWidth="1"/>
    <col min="4" max="4" width="70" customWidth="1"/>
  </cols>
  <sheetData>
    <row r="1" spans="1:4" ht="23" x14ac:dyDescent="0.5">
      <c r="A1" s="1" t="s">
        <v>134</v>
      </c>
    </row>
    <row r="2" spans="1:4" x14ac:dyDescent="0.35">
      <c r="A2" s="2" t="s">
        <v>135</v>
      </c>
    </row>
    <row r="4" spans="1:4" x14ac:dyDescent="0.35">
      <c r="B4" s="10" t="s">
        <v>136</v>
      </c>
      <c r="C4" s="10" t="s">
        <v>137</v>
      </c>
      <c r="D4" s="10" t="s">
        <v>138</v>
      </c>
    </row>
    <row r="5" spans="1:4" x14ac:dyDescent="0.35">
      <c r="B5" s="16" t="s">
        <v>139</v>
      </c>
      <c r="C5" s="35">
        <v>6.5000000000000002E-2</v>
      </c>
      <c r="D5" s="7" t="s">
        <v>140</v>
      </c>
    </row>
    <row r="6" spans="1:4" x14ac:dyDescent="0.35">
      <c r="B6" s="16" t="s">
        <v>141</v>
      </c>
      <c r="C6" s="35">
        <v>0.03</v>
      </c>
      <c r="D6" s="7" t="s">
        <v>142</v>
      </c>
    </row>
    <row r="7" spans="1:4" x14ac:dyDescent="0.35">
      <c r="B7" s="16" t="s">
        <v>143</v>
      </c>
      <c r="C7" s="13">
        <v>0.25</v>
      </c>
      <c r="D7" s="7" t="s">
        <v>144</v>
      </c>
    </row>
    <row r="8" spans="1:4" x14ac:dyDescent="0.35">
      <c r="B8" s="16" t="s">
        <v>145</v>
      </c>
      <c r="C8" s="35">
        <v>0.15</v>
      </c>
      <c r="D8" s="7" t="s">
        <v>146</v>
      </c>
    </row>
    <row r="9" spans="1:4" x14ac:dyDescent="0.35">
      <c r="B9" s="16" t="s">
        <v>147</v>
      </c>
      <c r="C9" s="13">
        <v>100</v>
      </c>
      <c r="D9" s="7" t="s">
        <v>148</v>
      </c>
    </row>
    <row r="10" spans="1:4" x14ac:dyDescent="0.35">
      <c r="B10" s="16" t="s">
        <v>149</v>
      </c>
      <c r="C10" s="13">
        <v>0.2</v>
      </c>
      <c r="D10" s="7" t="s">
        <v>150</v>
      </c>
    </row>
    <row r="12" spans="1:4" x14ac:dyDescent="0.35">
      <c r="B12" s="7" t="s">
        <v>151</v>
      </c>
    </row>
  </sheetData>
  <conditionalFormatting sqref="C5:C10">
    <cfRule type="expression" dxfId="0" priority="1">
      <formula>NOT(ISNUMBER(C5))</formula>
    </cfRule>
  </conditionalFormatting>
  <dataValidations count="1">
    <dataValidation type="decimal" showErrorMessage="1" errorTitle="Fee" error="Enter a number, e.g. 6.5% or 0.25." sqref="C5:C10" xr:uid="{00000000-0002-0000-0700-000000000000}">
      <formula1>0</formula1>
      <formula2>1000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2552D"/>
  </sheetPr>
  <dimension ref="A1:F26"/>
  <sheetViews>
    <sheetView workbookViewId="0"/>
  </sheetViews>
  <sheetFormatPr defaultRowHeight="14.5" x14ac:dyDescent="0.35"/>
  <sheetData>
    <row r="1" spans="1:6" x14ac:dyDescent="0.35">
      <c r="A1" t="s">
        <v>152</v>
      </c>
      <c r="B1" t="s">
        <v>153</v>
      </c>
      <c r="D1" t="s">
        <v>154</v>
      </c>
      <c r="F1" t="s">
        <v>155</v>
      </c>
    </row>
    <row r="2" spans="1:6" x14ac:dyDescent="0.35">
      <c r="A2" t="str">
        <f>IF(Products!B5="","[empty slot 1]",Products!B5)</f>
        <v>EXAMPLE: Custom name necklace</v>
      </c>
      <c r="B2" t="str">
        <f>IF(Products!B5="","",Products!B5)</f>
        <v>EXAMPLE: Custom name necklace</v>
      </c>
      <c r="D2" t="s">
        <v>102</v>
      </c>
      <c r="F2" t="s">
        <v>85</v>
      </c>
    </row>
    <row r="3" spans="1:6" x14ac:dyDescent="0.35">
      <c r="A3" t="str">
        <f>IF(Products!B6="","[empty slot 2]",Products!B6)</f>
        <v>[empty slot 2]</v>
      </c>
      <c r="B3" t="str">
        <f>IF(Products!B6="","",Products!B6)</f>
        <v/>
      </c>
      <c r="D3" t="s">
        <v>156</v>
      </c>
      <c r="F3" t="s">
        <v>83</v>
      </c>
    </row>
    <row r="4" spans="1:6" x14ac:dyDescent="0.35">
      <c r="A4" t="str">
        <f>IF(Products!B7="","[empty slot 3]",Products!B7)</f>
        <v>[empty slot 3]</v>
      </c>
      <c r="B4" t="str">
        <f>IF(Products!B7="","",Products!B7)</f>
        <v/>
      </c>
      <c r="D4" t="s">
        <v>157</v>
      </c>
    </row>
    <row r="5" spans="1:6" x14ac:dyDescent="0.35">
      <c r="A5" t="str">
        <f>IF(Products!B8="","[empty slot 4]",Products!B8)</f>
        <v>[empty slot 4]</v>
      </c>
      <c r="B5" t="str">
        <f>IF(Products!B8="","",Products!B8)</f>
        <v/>
      </c>
      <c r="D5" t="s">
        <v>158</v>
      </c>
    </row>
    <row r="6" spans="1:6" x14ac:dyDescent="0.35">
      <c r="A6" t="str">
        <f>IF(Products!B9="","[empty slot 5]",Products!B9)</f>
        <v>[empty slot 5]</v>
      </c>
      <c r="B6" t="str">
        <f>IF(Products!B9="","",Products!B9)</f>
        <v/>
      </c>
      <c r="D6" t="s">
        <v>159</v>
      </c>
    </row>
    <row r="7" spans="1:6" x14ac:dyDescent="0.35">
      <c r="A7" t="str">
        <f>IF(Products!B10="","[empty slot 6]",Products!B10)</f>
        <v>[empty slot 6]</v>
      </c>
      <c r="B7" t="str">
        <f>IF(Products!B10="","",Products!B10)</f>
        <v/>
      </c>
      <c r="D7" t="s">
        <v>160</v>
      </c>
    </row>
    <row r="8" spans="1:6" x14ac:dyDescent="0.35">
      <c r="A8" t="str">
        <f>IF(Products!B11="","[empty slot 7]",Products!B11)</f>
        <v>[empty slot 7]</v>
      </c>
      <c r="B8" t="str">
        <f>IF(Products!B11="","",Products!B11)</f>
        <v/>
      </c>
      <c r="D8" t="s">
        <v>161</v>
      </c>
    </row>
    <row r="9" spans="1:6" x14ac:dyDescent="0.35">
      <c r="A9" t="str">
        <f>IF(Products!B12="","[empty slot 8]",Products!B12)</f>
        <v>[empty slot 8]</v>
      </c>
      <c r="B9" t="str">
        <f>IF(Products!B12="","",Products!B12)</f>
        <v/>
      </c>
      <c r="D9" t="s">
        <v>162</v>
      </c>
    </row>
    <row r="10" spans="1:6" x14ac:dyDescent="0.35">
      <c r="A10" t="str">
        <f>IF(Products!B13="","[empty slot 9]",Products!B13)</f>
        <v>[empty slot 9]</v>
      </c>
      <c r="B10" t="str">
        <f>IF(Products!B13="","",Products!B13)</f>
        <v/>
      </c>
      <c r="D10" t="s">
        <v>163</v>
      </c>
    </row>
    <row r="11" spans="1:6" x14ac:dyDescent="0.35">
      <c r="A11" t="str">
        <f>IF(Products!B14="","[empty slot 10]",Products!B14)</f>
        <v>[empty slot 10]</v>
      </c>
      <c r="B11" t="str">
        <f>IF(Products!B14="","",Products!B14)</f>
        <v/>
      </c>
      <c r="D11" t="s">
        <v>164</v>
      </c>
    </row>
    <row r="12" spans="1:6" x14ac:dyDescent="0.35">
      <c r="A12" t="str">
        <f>IF(Products!B15="","[empty slot 11]",Products!B15)</f>
        <v>[empty slot 11]</v>
      </c>
      <c r="B12" t="str">
        <f>IF(Products!B15="","",Products!B15)</f>
        <v/>
      </c>
      <c r="D12" t="s">
        <v>165</v>
      </c>
    </row>
    <row r="13" spans="1:6" x14ac:dyDescent="0.35">
      <c r="A13" t="str">
        <f>IF(Products!B16="","[empty slot 12]",Products!B16)</f>
        <v>[empty slot 12]</v>
      </c>
      <c r="B13" t="str">
        <f>IF(Products!B16="","",Products!B16)</f>
        <v/>
      </c>
      <c r="D13" t="s">
        <v>166</v>
      </c>
    </row>
    <row r="14" spans="1:6" x14ac:dyDescent="0.35">
      <c r="A14" t="str">
        <f>IF(Products!B17="","[empty slot 13]",Products!B17)</f>
        <v>[empty slot 13]</v>
      </c>
      <c r="B14" t="str">
        <f>IF(Products!B17="","",Products!B17)</f>
        <v/>
      </c>
    </row>
    <row r="15" spans="1:6" x14ac:dyDescent="0.35">
      <c r="A15" t="str">
        <f>IF(Products!B18="","[empty slot 14]",Products!B18)</f>
        <v>[empty slot 14]</v>
      </c>
      <c r="B15" t="str">
        <f>IF(Products!B18="","",Products!B18)</f>
        <v/>
      </c>
    </row>
    <row r="16" spans="1:6" x14ac:dyDescent="0.35">
      <c r="A16" t="str">
        <f>IF(Products!B19="","[empty slot 15]",Products!B19)</f>
        <v>[empty slot 15]</v>
      </c>
      <c r="B16" t="str">
        <f>IF(Products!B19="","",Products!B19)</f>
        <v/>
      </c>
    </row>
    <row r="17" spans="1:2" x14ac:dyDescent="0.35">
      <c r="A17" t="str">
        <f>IF(Products!B20="","[empty slot 16]",Products!B20)</f>
        <v>[empty slot 16]</v>
      </c>
      <c r="B17" t="str">
        <f>IF(Products!B20="","",Products!B20)</f>
        <v/>
      </c>
    </row>
    <row r="18" spans="1:2" x14ac:dyDescent="0.35">
      <c r="A18" t="str">
        <f>IF(Products!B21="","[empty slot 17]",Products!B21)</f>
        <v>[empty slot 17]</v>
      </c>
      <c r="B18" t="str">
        <f>IF(Products!B21="","",Products!B21)</f>
        <v/>
      </c>
    </row>
    <row r="19" spans="1:2" x14ac:dyDescent="0.35">
      <c r="A19" t="str">
        <f>IF(Products!B22="","[empty slot 18]",Products!B22)</f>
        <v>[empty slot 18]</v>
      </c>
      <c r="B19" t="str">
        <f>IF(Products!B22="","",Products!B22)</f>
        <v/>
      </c>
    </row>
    <row r="20" spans="1:2" x14ac:dyDescent="0.35">
      <c r="A20" t="str">
        <f>IF(Products!B23="","[empty slot 19]",Products!B23)</f>
        <v>[empty slot 19]</v>
      </c>
      <c r="B20" t="str">
        <f>IF(Products!B23="","",Products!B23)</f>
        <v/>
      </c>
    </row>
    <row r="21" spans="1:2" x14ac:dyDescent="0.35">
      <c r="A21" t="str">
        <f>IF(Products!B24="","[empty slot 20]",Products!B24)</f>
        <v>[empty slot 20]</v>
      </c>
      <c r="B21" t="str">
        <f>IF(Products!B24="","",Products!B24)</f>
        <v/>
      </c>
    </row>
    <row r="22" spans="1:2" x14ac:dyDescent="0.35">
      <c r="A22" t="str">
        <f>IF(Products!B25="","[empty slot 21]",Products!B25)</f>
        <v>[empty slot 21]</v>
      </c>
      <c r="B22" t="str">
        <f>IF(Products!B25="","",Products!B25)</f>
        <v/>
      </c>
    </row>
    <row r="23" spans="1:2" x14ac:dyDescent="0.35">
      <c r="A23" t="str">
        <f>IF(Products!B26="","[empty slot 22]",Products!B26)</f>
        <v>[empty slot 22]</v>
      </c>
      <c r="B23" t="str">
        <f>IF(Products!B26="","",Products!B26)</f>
        <v/>
      </c>
    </row>
    <row r="24" spans="1:2" x14ac:dyDescent="0.35">
      <c r="A24" t="str">
        <f>IF(Products!B27="","[empty slot 23]",Products!B27)</f>
        <v>[empty slot 23]</v>
      </c>
      <c r="B24" t="str">
        <f>IF(Products!B27="","",Products!B27)</f>
        <v/>
      </c>
    </row>
    <row r="25" spans="1:2" x14ac:dyDescent="0.35">
      <c r="A25" t="str">
        <f>IF(Products!B28="","[empty slot 24]",Products!B28)</f>
        <v>[empty slot 24]</v>
      </c>
      <c r="B25" t="str">
        <f>IF(Products!B28="","",Products!B28)</f>
        <v/>
      </c>
    </row>
    <row r="26" spans="1:2" x14ac:dyDescent="0.35">
      <c r="A26" t="str">
        <f>IF(Products!B29="","[empty slot 25]",Products!B29)</f>
        <v>[empty slot 25]</v>
      </c>
      <c r="B26" t="str">
        <f>IF(Products!B29="","",Products!B29)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2552D"/>
  </sheetPr>
  <dimension ref="B2:S44"/>
  <sheetViews>
    <sheetView workbookViewId="0"/>
  </sheetViews>
  <sheetFormatPr defaultRowHeight="14.5" x14ac:dyDescent="0.35"/>
  <sheetData>
    <row r="2" spans="2:19" x14ac:dyDescent="0.35">
      <c r="B2" t="s">
        <v>29</v>
      </c>
      <c r="C2" t="s">
        <v>65</v>
      </c>
      <c r="D2" t="s">
        <v>71</v>
      </c>
      <c r="E2" t="s">
        <v>93</v>
      </c>
      <c r="F2" t="s">
        <v>167</v>
      </c>
      <c r="G2" t="s">
        <v>168</v>
      </c>
      <c r="H2" t="s">
        <v>57</v>
      </c>
      <c r="I2" t="s">
        <v>106</v>
      </c>
      <c r="J2" t="s">
        <v>169</v>
      </c>
      <c r="K2" t="s">
        <v>170</v>
      </c>
      <c r="L2" t="s">
        <v>171</v>
      </c>
      <c r="M2" t="s">
        <v>172</v>
      </c>
      <c r="N2" t="s">
        <v>173</v>
      </c>
      <c r="O2" t="s">
        <v>79</v>
      </c>
      <c r="P2" t="s">
        <v>59</v>
      </c>
      <c r="Q2" t="s">
        <v>174</v>
      </c>
      <c r="R2" t="s">
        <v>31</v>
      </c>
      <c r="S2" t="s">
        <v>107</v>
      </c>
    </row>
    <row r="3" spans="2:19" x14ac:dyDescent="0.35">
      <c r="B3" t="s">
        <v>36</v>
      </c>
      <c r="C3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)</f>
        <v>2</v>
      </c>
      <c r="D3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,Orders!$D$5:$D$2004)</f>
        <v>3</v>
      </c>
      <c r="E3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,Orders!$E$5:$E$2004)</f>
        <v>78.400000000000006</v>
      </c>
      <c r="F3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,Orders!$F$5:$F$2004)</f>
        <v>4.5</v>
      </c>
      <c r="G3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,Orders!$G$5:$G$2004)</f>
        <v>5.63</v>
      </c>
      <c r="H3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,Orders!$H$5:$H$2004)</f>
        <v>8.24</v>
      </c>
      <c r="I3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,Orders!$J$5:$J$2004)</f>
        <v>0</v>
      </c>
      <c r="J3">
        <f>N('Fee Settings'!$C$5)*(E3+F3-I3)</f>
        <v>5.3885000000000005</v>
      </c>
      <c r="K3">
        <f>N('Fee Settings'!$C$6)*(E3+F3+G3)+N('Fee Settings'!$C$7)*C3</f>
        <v>3.1558999999999999</v>
      </c>
      <c r="L3">
        <f t="array" ref="L3">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)*(Orders!$I$5:$I$2004="Yes")=1,IF(N('Fee Settings'!$C$8)*(Orders!$E$5:$E$2004+Orders!$F$5:$F$2004)&gt;N('Fee Settings'!$C$9),N('Fee Settings'!$C$9),N('Fee Settings'!$C$8)*(Orders!$E$5:$E$2004+Orders!$F$5:$F$2004)),0))</f>
        <v>7.56</v>
      </c>
      <c r="M3">
        <f>N('Fee Settings'!$C$10)*D3</f>
        <v>0.60000000000000009</v>
      </c>
      <c r="N3">
        <f t="shared" ref="N3:N14" si="0">J3+K3+L3+M3</f>
        <v>16.7044</v>
      </c>
      <c r="O3">
        <f>SUMPRODUCT(Products!$C$5:$C$29,C20:C44)</f>
        <v>19.200000000000003</v>
      </c>
      <c r="P3">
        <f>SUMPRODUCT((ISNUMBER('Shop Expenses'!$A$5:$A$504)*ISNUMBER(MATCH('Shop Expenses'!$B$5:$B$504,Lists!$D$2:$D$13,0))*ISNUMBER('Shop Expenses'!$D$5:$D$504))*('Shop Expenses'!$A$5:$A$504&gt;=DATE(Dashboard!$C$3,1,1))*('Shop Expenses'!$A$5:$A$504&lt;DATE(Dashboard!$C$3,2,1)),'Shop Expenses'!$D$5:$D$504)</f>
        <v>15</v>
      </c>
      <c r="Q3">
        <f t="shared" ref="Q3:Q14" si="1">E3+F3-I3</f>
        <v>82.9</v>
      </c>
      <c r="R3">
        <f t="shared" ref="R3:R14" si="2">Q3-N3-H3-O3-P3</f>
        <v>23.755600000000008</v>
      </c>
      <c r="S3">
        <f t="shared" ref="S3:S15" si="3">IF(Q3&gt;0,R3/Q3,0)</f>
        <v>0.28655729794933665</v>
      </c>
    </row>
    <row r="4" spans="2:19" x14ac:dyDescent="0.35">
      <c r="B4" t="s">
        <v>37</v>
      </c>
      <c r="C4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)</f>
        <v>0</v>
      </c>
      <c r="D4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,Orders!$D$5:$D$2004)</f>
        <v>0</v>
      </c>
      <c r="E4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,Orders!$E$5:$E$2004)</f>
        <v>0</v>
      </c>
      <c r="F4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,Orders!$F$5:$F$2004)</f>
        <v>0</v>
      </c>
      <c r="G4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,Orders!$G$5:$G$2004)</f>
        <v>0</v>
      </c>
      <c r="H4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,Orders!$H$5:$H$2004)</f>
        <v>0</v>
      </c>
      <c r="I4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,Orders!$J$5:$J$2004)</f>
        <v>0</v>
      </c>
      <c r="J4">
        <f>N('Fee Settings'!$C$5)*(E4+F4-I4)</f>
        <v>0</v>
      </c>
      <c r="K4">
        <f>N('Fee Settings'!$C$6)*(E4+F4+G4)+N('Fee Settings'!$C$7)*C4</f>
        <v>0</v>
      </c>
      <c r="L4">
        <f t="array" ref="L4">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)*(Orders!$I$5:$I$2004="Yes")=1,IF(N('Fee Settings'!$C$8)*(Orders!$E$5:$E$2004+Orders!$F$5:$F$2004)&gt;N('Fee Settings'!$C$9),N('Fee Settings'!$C$9),N('Fee Settings'!$C$8)*(Orders!$E$5:$E$2004+Orders!$F$5:$F$2004)),0))</f>
        <v>0</v>
      </c>
      <c r="M4">
        <f>N('Fee Settings'!$C$10)*D4</f>
        <v>0</v>
      </c>
      <c r="N4">
        <f t="shared" si="0"/>
        <v>0</v>
      </c>
      <c r="O4">
        <f>SUMPRODUCT(Products!$C$5:$C$29,D20:D44)</f>
        <v>0</v>
      </c>
      <c r="P4">
        <f>SUMPRODUCT((ISNUMBER('Shop Expenses'!$A$5:$A$504)*ISNUMBER(MATCH('Shop Expenses'!$B$5:$B$504,Lists!$D$2:$D$13,0))*ISNUMBER('Shop Expenses'!$D$5:$D$504))*('Shop Expenses'!$A$5:$A$504&gt;=DATE(Dashboard!$C$3,2,1))*('Shop Expenses'!$A$5:$A$504&lt;DATE(Dashboard!$C$3,3,1)),'Shop Expenses'!$D$5:$D$504)</f>
        <v>0</v>
      </c>
      <c r="Q4">
        <f t="shared" si="1"/>
        <v>0</v>
      </c>
      <c r="R4">
        <f t="shared" si="2"/>
        <v>0</v>
      </c>
      <c r="S4">
        <f t="shared" si="3"/>
        <v>0</v>
      </c>
    </row>
    <row r="5" spans="2:19" x14ac:dyDescent="0.35">
      <c r="B5" t="s">
        <v>38</v>
      </c>
      <c r="C5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)</f>
        <v>0</v>
      </c>
      <c r="D5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,Orders!$D$5:$D$2004)</f>
        <v>0</v>
      </c>
      <c r="E5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,Orders!$E$5:$E$2004)</f>
        <v>0</v>
      </c>
      <c r="F5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,Orders!$F$5:$F$2004)</f>
        <v>0</v>
      </c>
      <c r="G5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,Orders!$G$5:$G$2004)</f>
        <v>0</v>
      </c>
      <c r="H5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,Orders!$H$5:$H$2004)</f>
        <v>0</v>
      </c>
      <c r="I5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,Orders!$J$5:$J$2004)</f>
        <v>0</v>
      </c>
      <c r="J5">
        <f>N('Fee Settings'!$C$5)*(E5+F5-I5)</f>
        <v>0</v>
      </c>
      <c r="K5">
        <f>N('Fee Settings'!$C$6)*(E5+F5+G5)+N('Fee Settings'!$C$7)*C5</f>
        <v>0</v>
      </c>
      <c r="L5">
        <f t="array" ref="L5">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)*(Orders!$I$5:$I$2004="Yes")=1,IF(N('Fee Settings'!$C$8)*(Orders!$E$5:$E$2004+Orders!$F$5:$F$2004)&gt;N('Fee Settings'!$C$9),N('Fee Settings'!$C$9),N('Fee Settings'!$C$8)*(Orders!$E$5:$E$2004+Orders!$F$5:$F$2004)),0))</f>
        <v>0</v>
      </c>
      <c r="M5">
        <f>N('Fee Settings'!$C$10)*D5</f>
        <v>0</v>
      </c>
      <c r="N5">
        <f t="shared" si="0"/>
        <v>0</v>
      </c>
      <c r="O5">
        <f>SUMPRODUCT(Products!$C$5:$C$29,E20:E44)</f>
        <v>0</v>
      </c>
      <c r="P5">
        <f>SUMPRODUCT((ISNUMBER('Shop Expenses'!$A$5:$A$504)*ISNUMBER(MATCH('Shop Expenses'!$B$5:$B$504,Lists!$D$2:$D$13,0))*ISNUMBER('Shop Expenses'!$D$5:$D$504))*('Shop Expenses'!$A$5:$A$504&gt;=DATE(Dashboard!$C$3,3,1))*('Shop Expenses'!$A$5:$A$504&lt;DATE(Dashboard!$C$3,4,1)),'Shop Expenses'!$D$5:$D$504)</f>
        <v>0</v>
      </c>
      <c r="Q5">
        <f t="shared" si="1"/>
        <v>0</v>
      </c>
      <c r="R5">
        <f t="shared" si="2"/>
        <v>0</v>
      </c>
      <c r="S5">
        <f t="shared" si="3"/>
        <v>0</v>
      </c>
    </row>
    <row r="6" spans="2:19" x14ac:dyDescent="0.35">
      <c r="B6" t="s">
        <v>39</v>
      </c>
      <c r="C6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)</f>
        <v>0</v>
      </c>
      <c r="D6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,Orders!$D$5:$D$2004)</f>
        <v>0</v>
      </c>
      <c r="E6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,Orders!$E$5:$E$2004)</f>
        <v>0</v>
      </c>
      <c r="F6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,Orders!$F$5:$F$2004)</f>
        <v>0</v>
      </c>
      <c r="G6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,Orders!$G$5:$G$2004)</f>
        <v>0</v>
      </c>
      <c r="H6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,Orders!$H$5:$H$2004)</f>
        <v>0</v>
      </c>
      <c r="I6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,Orders!$J$5:$J$2004)</f>
        <v>0</v>
      </c>
      <c r="J6">
        <f>N('Fee Settings'!$C$5)*(E6+F6-I6)</f>
        <v>0</v>
      </c>
      <c r="K6">
        <f>N('Fee Settings'!$C$6)*(E6+F6+G6)+N('Fee Settings'!$C$7)*C6</f>
        <v>0</v>
      </c>
      <c r="L6">
        <f t="array" ref="L6">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)*(Orders!$I$5:$I$2004="Yes")=1,IF(N('Fee Settings'!$C$8)*(Orders!$E$5:$E$2004+Orders!$F$5:$F$2004)&gt;N('Fee Settings'!$C$9),N('Fee Settings'!$C$9),N('Fee Settings'!$C$8)*(Orders!$E$5:$E$2004+Orders!$F$5:$F$2004)),0))</f>
        <v>0</v>
      </c>
      <c r="M6">
        <f>N('Fee Settings'!$C$10)*D6</f>
        <v>0</v>
      </c>
      <c r="N6">
        <f t="shared" si="0"/>
        <v>0</v>
      </c>
      <c r="O6">
        <f>SUMPRODUCT(Products!$C$5:$C$29,F20:F44)</f>
        <v>0</v>
      </c>
      <c r="P6">
        <f>SUMPRODUCT((ISNUMBER('Shop Expenses'!$A$5:$A$504)*ISNUMBER(MATCH('Shop Expenses'!$B$5:$B$504,Lists!$D$2:$D$13,0))*ISNUMBER('Shop Expenses'!$D$5:$D$504))*('Shop Expenses'!$A$5:$A$504&gt;=DATE(Dashboard!$C$3,4,1))*('Shop Expenses'!$A$5:$A$504&lt;DATE(Dashboard!$C$3,5,1)),'Shop Expenses'!$D$5:$D$504)</f>
        <v>0</v>
      </c>
      <c r="Q6">
        <f t="shared" si="1"/>
        <v>0</v>
      </c>
      <c r="R6">
        <f t="shared" si="2"/>
        <v>0</v>
      </c>
      <c r="S6">
        <f t="shared" si="3"/>
        <v>0</v>
      </c>
    </row>
    <row r="7" spans="2:19" x14ac:dyDescent="0.35">
      <c r="B7" t="s">
        <v>43</v>
      </c>
      <c r="C7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)</f>
        <v>0</v>
      </c>
      <c r="D7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,Orders!$D$5:$D$2004)</f>
        <v>0</v>
      </c>
      <c r="E7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,Orders!$E$5:$E$2004)</f>
        <v>0</v>
      </c>
      <c r="F7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,Orders!$F$5:$F$2004)</f>
        <v>0</v>
      </c>
      <c r="G7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,Orders!$G$5:$G$2004)</f>
        <v>0</v>
      </c>
      <c r="H7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,Orders!$H$5:$H$2004)</f>
        <v>0</v>
      </c>
      <c r="I7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,Orders!$J$5:$J$2004)</f>
        <v>0</v>
      </c>
      <c r="J7">
        <f>N('Fee Settings'!$C$5)*(E7+F7-I7)</f>
        <v>0</v>
      </c>
      <c r="K7">
        <f>N('Fee Settings'!$C$6)*(E7+F7+G7)+N('Fee Settings'!$C$7)*C7</f>
        <v>0</v>
      </c>
      <c r="L7">
        <f t="array" ref="L7">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)*(Orders!$I$5:$I$2004="Yes")=1,IF(N('Fee Settings'!$C$8)*(Orders!$E$5:$E$2004+Orders!$F$5:$F$2004)&gt;N('Fee Settings'!$C$9),N('Fee Settings'!$C$9),N('Fee Settings'!$C$8)*(Orders!$E$5:$E$2004+Orders!$F$5:$F$2004)),0))</f>
        <v>0</v>
      </c>
      <c r="M7">
        <f>N('Fee Settings'!$C$10)*D7</f>
        <v>0</v>
      </c>
      <c r="N7">
        <f t="shared" si="0"/>
        <v>0</v>
      </c>
      <c r="O7">
        <f>SUMPRODUCT(Products!$C$5:$C$29,G20:G44)</f>
        <v>0</v>
      </c>
      <c r="P7">
        <f>SUMPRODUCT((ISNUMBER('Shop Expenses'!$A$5:$A$504)*ISNUMBER(MATCH('Shop Expenses'!$B$5:$B$504,Lists!$D$2:$D$13,0))*ISNUMBER('Shop Expenses'!$D$5:$D$504))*('Shop Expenses'!$A$5:$A$504&gt;=DATE(Dashboard!$C$3,5,1))*('Shop Expenses'!$A$5:$A$504&lt;DATE(Dashboard!$C$3,6,1)),'Shop Expenses'!$D$5:$D$504)</f>
        <v>0</v>
      </c>
      <c r="Q7">
        <f t="shared" si="1"/>
        <v>0</v>
      </c>
      <c r="R7">
        <f t="shared" si="2"/>
        <v>0</v>
      </c>
      <c r="S7">
        <f t="shared" si="3"/>
        <v>0</v>
      </c>
    </row>
    <row r="8" spans="2:19" x14ac:dyDescent="0.35">
      <c r="B8" t="s">
        <v>44</v>
      </c>
      <c r="C8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)</f>
        <v>0</v>
      </c>
      <c r="D8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,Orders!$D$5:$D$2004)</f>
        <v>0</v>
      </c>
      <c r="E8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,Orders!$E$5:$E$2004)</f>
        <v>0</v>
      </c>
      <c r="F8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,Orders!$F$5:$F$2004)</f>
        <v>0</v>
      </c>
      <c r="G8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,Orders!$G$5:$G$2004)</f>
        <v>0</v>
      </c>
      <c r="H8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,Orders!$H$5:$H$2004)</f>
        <v>0</v>
      </c>
      <c r="I8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,Orders!$J$5:$J$2004)</f>
        <v>0</v>
      </c>
      <c r="J8">
        <f>N('Fee Settings'!$C$5)*(E8+F8-I8)</f>
        <v>0</v>
      </c>
      <c r="K8">
        <f>N('Fee Settings'!$C$6)*(E8+F8+G8)+N('Fee Settings'!$C$7)*C8</f>
        <v>0</v>
      </c>
      <c r="L8">
        <f t="array" ref="L8">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)*(Orders!$I$5:$I$2004="Yes")=1,IF(N('Fee Settings'!$C$8)*(Orders!$E$5:$E$2004+Orders!$F$5:$F$2004)&gt;N('Fee Settings'!$C$9),N('Fee Settings'!$C$9),N('Fee Settings'!$C$8)*(Orders!$E$5:$E$2004+Orders!$F$5:$F$2004)),0))</f>
        <v>0</v>
      </c>
      <c r="M8">
        <f>N('Fee Settings'!$C$10)*D8</f>
        <v>0</v>
      </c>
      <c r="N8">
        <f t="shared" si="0"/>
        <v>0</v>
      </c>
      <c r="O8">
        <f>SUMPRODUCT(Products!$C$5:$C$29,H20:H44)</f>
        <v>0</v>
      </c>
      <c r="P8">
        <f>SUMPRODUCT((ISNUMBER('Shop Expenses'!$A$5:$A$504)*ISNUMBER(MATCH('Shop Expenses'!$B$5:$B$504,Lists!$D$2:$D$13,0))*ISNUMBER('Shop Expenses'!$D$5:$D$504))*('Shop Expenses'!$A$5:$A$504&gt;=DATE(Dashboard!$C$3,6,1))*('Shop Expenses'!$A$5:$A$504&lt;DATE(Dashboard!$C$3,7,1)),'Shop Expenses'!$D$5:$D$504)</f>
        <v>0</v>
      </c>
      <c r="Q8">
        <f t="shared" si="1"/>
        <v>0</v>
      </c>
      <c r="R8">
        <f t="shared" si="2"/>
        <v>0</v>
      </c>
      <c r="S8">
        <f t="shared" si="3"/>
        <v>0</v>
      </c>
    </row>
    <row r="9" spans="2:19" x14ac:dyDescent="0.35">
      <c r="B9" t="s">
        <v>45</v>
      </c>
      <c r="C9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)</f>
        <v>0</v>
      </c>
      <c r="D9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,Orders!$D$5:$D$2004)</f>
        <v>0</v>
      </c>
      <c r="E9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,Orders!$E$5:$E$2004)</f>
        <v>0</v>
      </c>
      <c r="F9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,Orders!$F$5:$F$2004)</f>
        <v>0</v>
      </c>
      <c r="G9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,Orders!$G$5:$G$2004)</f>
        <v>0</v>
      </c>
      <c r="H9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,Orders!$H$5:$H$2004)</f>
        <v>0</v>
      </c>
      <c r="I9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,Orders!$J$5:$J$2004)</f>
        <v>0</v>
      </c>
      <c r="J9">
        <f>N('Fee Settings'!$C$5)*(E9+F9-I9)</f>
        <v>0</v>
      </c>
      <c r="K9">
        <f>N('Fee Settings'!$C$6)*(E9+F9+G9)+N('Fee Settings'!$C$7)*C9</f>
        <v>0</v>
      </c>
      <c r="L9">
        <f t="array" ref="L9">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)*(Orders!$I$5:$I$2004="Yes")=1,IF(N('Fee Settings'!$C$8)*(Orders!$E$5:$E$2004+Orders!$F$5:$F$2004)&gt;N('Fee Settings'!$C$9),N('Fee Settings'!$C$9),N('Fee Settings'!$C$8)*(Orders!$E$5:$E$2004+Orders!$F$5:$F$2004)),0))</f>
        <v>0</v>
      </c>
      <c r="M9">
        <f>N('Fee Settings'!$C$10)*D9</f>
        <v>0</v>
      </c>
      <c r="N9">
        <f t="shared" si="0"/>
        <v>0</v>
      </c>
      <c r="O9">
        <f>SUMPRODUCT(Products!$C$5:$C$29,I20:I44)</f>
        <v>0</v>
      </c>
      <c r="P9">
        <f>SUMPRODUCT((ISNUMBER('Shop Expenses'!$A$5:$A$504)*ISNUMBER(MATCH('Shop Expenses'!$B$5:$B$504,Lists!$D$2:$D$13,0))*ISNUMBER('Shop Expenses'!$D$5:$D$504))*('Shop Expenses'!$A$5:$A$504&gt;=DATE(Dashboard!$C$3,7,1))*('Shop Expenses'!$A$5:$A$504&lt;DATE(Dashboard!$C$3,8,1)),'Shop Expenses'!$D$5:$D$504)</f>
        <v>0</v>
      </c>
      <c r="Q9">
        <f t="shared" si="1"/>
        <v>0</v>
      </c>
      <c r="R9">
        <f t="shared" si="2"/>
        <v>0</v>
      </c>
      <c r="S9">
        <f t="shared" si="3"/>
        <v>0</v>
      </c>
    </row>
    <row r="10" spans="2:19" x14ac:dyDescent="0.35">
      <c r="B10" t="s">
        <v>46</v>
      </c>
      <c r="C10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)</f>
        <v>0</v>
      </c>
      <c r="D10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,Orders!$D$5:$D$2004)</f>
        <v>0</v>
      </c>
      <c r="E10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,Orders!$E$5:$E$2004)</f>
        <v>0</v>
      </c>
      <c r="F10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,Orders!$F$5:$F$2004)</f>
        <v>0</v>
      </c>
      <c r="G10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,Orders!$G$5:$G$2004)</f>
        <v>0</v>
      </c>
      <c r="H10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,Orders!$H$5:$H$2004)</f>
        <v>0</v>
      </c>
      <c r="I10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,Orders!$J$5:$J$2004)</f>
        <v>0</v>
      </c>
      <c r="J10">
        <f>N('Fee Settings'!$C$5)*(E10+F10-I10)</f>
        <v>0</v>
      </c>
      <c r="K10">
        <f>N('Fee Settings'!$C$6)*(E10+F10+G10)+N('Fee Settings'!$C$7)*C10</f>
        <v>0</v>
      </c>
      <c r="L10">
        <f t="array" ref="L10">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)*(Orders!$I$5:$I$2004="Yes")=1,IF(N('Fee Settings'!$C$8)*(Orders!$E$5:$E$2004+Orders!$F$5:$F$2004)&gt;N('Fee Settings'!$C$9),N('Fee Settings'!$C$9),N('Fee Settings'!$C$8)*(Orders!$E$5:$E$2004+Orders!$F$5:$F$2004)),0))</f>
        <v>0</v>
      </c>
      <c r="M10">
        <f>N('Fee Settings'!$C$10)*D10</f>
        <v>0</v>
      </c>
      <c r="N10">
        <f t="shared" si="0"/>
        <v>0</v>
      </c>
      <c r="O10">
        <f>SUMPRODUCT(Products!$C$5:$C$29,J20:J44)</f>
        <v>0</v>
      </c>
      <c r="P10">
        <f>SUMPRODUCT((ISNUMBER('Shop Expenses'!$A$5:$A$504)*ISNUMBER(MATCH('Shop Expenses'!$B$5:$B$504,Lists!$D$2:$D$13,0))*ISNUMBER('Shop Expenses'!$D$5:$D$504))*('Shop Expenses'!$A$5:$A$504&gt;=DATE(Dashboard!$C$3,8,1))*('Shop Expenses'!$A$5:$A$504&lt;DATE(Dashboard!$C$3,9,1)),'Shop Expenses'!$D$5:$D$504)</f>
        <v>0</v>
      </c>
      <c r="Q10">
        <f t="shared" si="1"/>
        <v>0</v>
      </c>
      <c r="R10">
        <f t="shared" si="2"/>
        <v>0</v>
      </c>
      <c r="S10">
        <f t="shared" si="3"/>
        <v>0</v>
      </c>
    </row>
    <row r="11" spans="2:19" x14ac:dyDescent="0.35">
      <c r="B11" t="s">
        <v>47</v>
      </c>
      <c r="C11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)</f>
        <v>0</v>
      </c>
      <c r="D11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,Orders!$D$5:$D$2004)</f>
        <v>0</v>
      </c>
      <c r="E11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,Orders!$E$5:$E$2004)</f>
        <v>0</v>
      </c>
      <c r="F11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,Orders!$F$5:$F$2004)</f>
        <v>0</v>
      </c>
      <c r="G11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,Orders!$G$5:$G$2004)</f>
        <v>0</v>
      </c>
      <c r="H11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,Orders!$H$5:$H$2004)</f>
        <v>0</v>
      </c>
      <c r="I11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,Orders!$J$5:$J$2004)</f>
        <v>0</v>
      </c>
      <c r="J11">
        <f>N('Fee Settings'!$C$5)*(E11+F11-I11)</f>
        <v>0</v>
      </c>
      <c r="K11">
        <f>N('Fee Settings'!$C$6)*(E11+F11+G11)+N('Fee Settings'!$C$7)*C11</f>
        <v>0</v>
      </c>
      <c r="L11">
        <f t="array" ref="L11">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)*(Orders!$I$5:$I$2004="Yes")=1,IF(N('Fee Settings'!$C$8)*(Orders!$E$5:$E$2004+Orders!$F$5:$F$2004)&gt;N('Fee Settings'!$C$9),N('Fee Settings'!$C$9),N('Fee Settings'!$C$8)*(Orders!$E$5:$E$2004+Orders!$F$5:$F$2004)),0))</f>
        <v>0</v>
      </c>
      <c r="M11">
        <f>N('Fee Settings'!$C$10)*D11</f>
        <v>0</v>
      </c>
      <c r="N11">
        <f t="shared" si="0"/>
        <v>0</v>
      </c>
      <c r="O11">
        <f>SUMPRODUCT(Products!$C$5:$C$29,K20:K44)</f>
        <v>0</v>
      </c>
      <c r="P11">
        <f>SUMPRODUCT((ISNUMBER('Shop Expenses'!$A$5:$A$504)*ISNUMBER(MATCH('Shop Expenses'!$B$5:$B$504,Lists!$D$2:$D$13,0))*ISNUMBER('Shop Expenses'!$D$5:$D$504))*('Shop Expenses'!$A$5:$A$504&gt;=DATE(Dashboard!$C$3,9,1))*('Shop Expenses'!$A$5:$A$504&lt;DATE(Dashboard!$C$3,10,1)),'Shop Expenses'!$D$5:$D$504)</f>
        <v>0</v>
      </c>
      <c r="Q11">
        <f t="shared" si="1"/>
        <v>0</v>
      </c>
      <c r="R11">
        <f t="shared" si="2"/>
        <v>0</v>
      </c>
      <c r="S11">
        <f t="shared" si="3"/>
        <v>0</v>
      </c>
    </row>
    <row r="12" spans="2:19" x14ac:dyDescent="0.35">
      <c r="B12" t="s">
        <v>48</v>
      </c>
      <c r="C12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)</f>
        <v>0</v>
      </c>
      <c r="D12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,Orders!$D$5:$D$2004)</f>
        <v>0</v>
      </c>
      <c r="E12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,Orders!$E$5:$E$2004)</f>
        <v>0</v>
      </c>
      <c r="F12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,Orders!$F$5:$F$2004)</f>
        <v>0</v>
      </c>
      <c r="G12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,Orders!$G$5:$G$2004)</f>
        <v>0</v>
      </c>
      <c r="H12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,Orders!$H$5:$H$2004)</f>
        <v>0</v>
      </c>
      <c r="I12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,Orders!$J$5:$J$2004)</f>
        <v>0</v>
      </c>
      <c r="J12">
        <f>N('Fee Settings'!$C$5)*(E12+F12-I12)</f>
        <v>0</v>
      </c>
      <c r="K12">
        <f>N('Fee Settings'!$C$6)*(E12+F12+G12)+N('Fee Settings'!$C$7)*C12</f>
        <v>0</v>
      </c>
      <c r="L12">
        <f t="array" ref="L12">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)*(Orders!$I$5:$I$2004="Yes")=1,IF(N('Fee Settings'!$C$8)*(Orders!$E$5:$E$2004+Orders!$F$5:$F$2004)&gt;N('Fee Settings'!$C$9),N('Fee Settings'!$C$9),N('Fee Settings'!$C$8)*(Orders!$E$5:$E$2004+Orders!$F$5:$F$2004)),0))</f>
        <v>0</v>
      </c>
      <c r="M12">
        <f>N('Fee Settings'!$C$10)*D12</f>
        <v>0</v>
      </c>
      <c r="N12">
        <f t="shared" si="0"/>
        <v>0</v>
      </c>
      <c r="O12">
        <f>SUMPRODUCT(Products!$C$5:$C$29,L20:L44)</f>
        <v>0</v>
      </c>
      <c r="P12">
        <f>SUMPRODUCT((ISNUMBER('Shop Expenses'!$A$5:$A$504)*ISNUMBER(MATCH('Shop Expenses'!$B$5:$B$504,Lists!$D$2:$D$13,0))*ISNUMBER('Shop Expenses'!$D$5:$D$504))*('Shop Expenses'!$A$5:$A$504&gt;=DATE(Dashboard!$C$3,10,1))*('Shop Expenses'!$A$5:$A$504&lt;DATE(Dashboard!$C$3,11,1)),'Shop Expenses'!$D$5:$D$504)</f>
        <v>0</v>
      </c>
      <c r="Q12">
        <f t="shared" si="1"/>
        <v>0</v>
      </c>
      <c r="R12">
        <f t="shared" si="2"/>
        <v>0</v>
      </c>
      <c r="S12">
        <f t="shared" si="3"/>
        <v>0</v>
      </c>
    </row>
    <row r="13" spans="2:19" x14ac:dyDescent="0.35">
      <c r="B13" t="s">
        <v>49</v>
      </c>
      <c r="C13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)</f>
        <v>0</v>
      </c>
      <c r="D13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,Orders!$D$5:$D$2004)</f>
        <v>0</v>
      </c>
      <c r="E13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,Orders!$E$5:$E$2004)</f>
        <v>0</v>
      </c>
      <c r="F13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,Orders!$F$5:$F$2004)</f>
        <v>0</v>
      </c>
      <c r="G13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,Orders!$G$5:$G$2004)</f>
        <v>0</v>
      </c>
      <c r="H13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,Orders!$H$5:$H$2004)</f>
        <v>0</v>
      </c>
      <c r="I13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,Orders!$J$5:$J$2004)</f>
        <v>0</v>
      </c>
      <c r="J13">
        <f>N('Fee Settings'!$C$5)*(E13+F13-I13)</f>
        <v>0</v>
      </c>
      <c r="K13">
        <f>N('Fee Settings'!$C$6)*(E13+F13+G13)+N('Fee Settings'!$C$7)*C13</f>
        <v>0</v>
      </c>
      <c r="L13">
        <f t="array" ref="L13">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)*(Orders!$I$5:$I$2004="Yes")=1,IF(N('Fee Settings'!$C$8)*(Orders!$E$5:$E$2004+Orders!$F$5:$F$2004)&gt;N('Fee Settings'!$C$9),N('Fee Settings'!$C$9),N('Fee Settings'!$C$8)*(Orders!$E$5:$E$2004+Orders!$F$5:$F$2004)),0))</f>
        <v>0</v>
      </c>
      <c r="M13">
        <f>N('Fee Settings'!$C$10)*D13</f>
        <v>0</v>
      </c>
      <c r="N13">
        <f t="shared" si="0"/>
        <v>0</v>
      </c>
      <c r="O13">
        <f>SUMPRODUCT(Products!$C$5:$C$29,M20:M44)</f>
        <v>0</v>
      </c>
      <c r="P13">
        <f>SUMPRODUCT((ISNUMBER('Shop Expenses'!$A$5:$A$504)*ISNUMBER(MATCH('Shop Expenses'!$B$5:$B$504,Lists!$D$2:$D$13,0))*ISNUMBER('Shop Expenses'!$D$5:$D$504))*('Shop Expenses'!$A$5:$A$504&gt;=DATE(Dashboard!$C$3,11,1))*('Shop Expenses'!$A$5:$A$504&lt;DATE(Dashboard!$C$3,12,1)),'Shop Expenses'!$D$5:$D$504)</f>
        <v>0</v>
      </c>
      <c r="Q13">
        <f t="shared" si="1"/>
        <v>0</v>
      </c>
      <c r="R13">
        <f t="shared" si="2"/>
        <v>0</v>
      </c>
      <c r="S13">
        <f t="shared" si="3"/>
        <v>0</v>
      </c>
    </row>
    <row r="14" spans="2:19" x14ac:dyDescent="0.35">
      <c r="B14" t="s">
        <v>50</v>
      </c>
      <c r="C14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)</f>
        <v>0</v>
      </c>
      <c r="D14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,Orders!$D$5:$D$2004)</f>
        <v>0</v>
      </c>
      <c r="E14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,Orders!$E$5:$E$2004)</f>
        <v>0</v>
      </c>
      <c r="F14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,Orders!$F$5:$F$2004)</f>
        <v>0</v>
      </c>
      <c r="G14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,Orders!$G$5:$G$2004)</f>
        <v>0</v>
      </c>
      <c r="H14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,Orders!$H$5:$H$2004)</f>
        <v>0</v>
      </c>
      <c r="I14">
        <f>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,Orders!$J$5:$J$2004)</f>
        <v>0</v>
      </c>
      <c r="J14">
        <f>N('Fee Settings'!$C$5)*(E14+F14-I14)</f>
        <v>0</v>
      </c>
      <c r="K14">
        <f>N('Fee Settings'!$C$6)*(E14+F14+G14)+N('Fee Settings'!$C$7)*C14</f>
        <v>0</v>
      </c>
      <c r="L14">
        <f t="array" ref="L14">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)*(Orders!$I$5:$I$2004="Yes")=1,IF(N('Fee Settings'!$C$8)*(Orders!$E$5:$E$2004+Orders!$F$5:$F$2004)&gt;N('Fee Settings'!$C$9),N('Fee Settings'!$C$9),N('Fee Settings'!$C$8)*(Orders!$E$5:$E$2004+Orders!$F$5:$F$2004)),0))</f>
        <v>0</v>
      </c>
      <c r="M14">
        <f>N('Fee Settings'!$C$10)*D14</f>
        <v>0</v>
      </c>
      <c r="N14">
        <f t="shared" si="0"/>
        <v>0</v>
      </c>
      <c r="O14">
        <f>SUMPRODUCT(Products!$C$5:$C$29,N20:N44)</f>
        <v>0</v>
      </c>
      <c r="P14">
        <f>SUMPRODUCT((ISNUMBER('Shop Expenses'!$A$5:$A$504)*ISNUMBER(MATCH('Shop Expenses'!$B$5:$B$504,Lists!$D$2:$D$13,0))*ISNUMBER('Shop Expenses'!$D$5:$D$504))*('Shop Expenses'!$A$5:$A$504&gt;=DATE(Dashboard!$C$3,12,1))*('Shop Expenses'!$A$5:$A$504&lt;DATE(Dashboard!$C$3,13,1)),'Shop Expenses'!$D$5:$D$504)</f>
        <v>0</v>
      </c>
      <c r="Q14">
        <f t="shared" si="1"/>
        <v>0</v>
      </c>
      <c r="R14">
        <f t="shared" si="2"/>
        <v>0</v>
      </c>
      <c r="S14">
        <f t="shared" si="3"/>
        <v>0</v>
      </c>
    </row>
    <row r="15" spans="2:19" x14ac:dyDescent="0.35">
      <c r="B15" t="s">
        <v>175</v>
      </c>
      <c r="C15">
        <f t="shared" ref="C15:R15" si="4">SUM(C3:C14)</f>
        <v>2</v>
      </c>
      <c r="D15">
        <f t="shared" si="4"/>
        <v>3</v>
      </c>
      <c r="E15">
        <f t="shared" si="4"/>
        <v>78.400000000000006</v>
      </c>
      <c r="F15">
        <f t="shared" si="4"/>
        <v>4.5</v>
      </c>
      <c r="G15">
        <f t="shared" si="4"/>
        <v>5.63</v>
      </c>
      <c r="H15">
        <f t="shared" si="4"/>
        <v>8.24</v>
      </c>
      <c r="I15">
        <f t="shared" si="4"/>
        <v>0</v>
      </c>
      <c r="J15">
        <f t="shared" si="4"/>
        <v>5.3885000000000005</v>
      </c>
      <c r="K15">
        <f t="shared" si="4"/>
        <v>3.1558999999999999</v>
      </c>
      <c r="L15">
        <f t="shared" si="4"/>
        <v>7.56</v>
      </c>
      <c r="M15">
        <f t="shared" si="4"/>
        <v>0.60000000000000009</v>
      </c>
      <c r="N15">
        <f t="shared" si="4"/>
        <v>16.7044</v>
      </c>
      <c r="O15">
        <f t="shared" si="4"/>
        <v>19.200000000000003</v>
      </c>
      <c r="P15">
        <f t="shared" si="4"/>
        <v>15</v>
      </c>
      <c r="Q15">
        <f t="shared" si="4"/>
        <v>82.9</v>
      </c>
      <c r="R15">
        <f t="shared" si="4"/>
        <v>23.755600000000008</v>
      </c>
      <c r="S15">
        <f t="shared" si="3"/>
        <v>0.28655729794933665</v>
      </c>
    </row>
    <row r="19" spans="2:19" x14ac:dyDescent="0.35">
      <c r="B19" t="s">
        <v>176</v>
      </c>
      <c r="C19" t="s">
        <v>36</v>
      </c>
      <c r="D19" t="s">
        <v>37</v>
      </c>
      <c r="E19" t="s">
        <v>38</v>
      </c>
      <c r="F19" t="s">
        <v>39</v>
      </c>
      <c r="G19" t="s">
        <v>43</v>
      </c>
      <c r="H19" t="s">
        <v>44</v>
      </c>
      <c r="I19" t="s">
        <v>45</v>
      </c>
      <c r="J19" t="s">
        <v>46</v>
      </c>
      <c r="K19" t="s">
        <v>47</v>
      </c>
      <c r="L19" t="s">
        <v>48</v>
      </c>
      <c r="M19" t="s">
        <v>49</v>
      </c>
      <c r="N19" t="s">
        <v>50</v>
      </c>
      <c r="P19" t="s">
        <v>93</v>
      </c>
      <c r="Q19" t="s">
        <v>106</v>
      </c>
      <c r="R19" t="s">
        <v>177</v>
      </c>
      <c r="S19" t="s">
        <v>178</v>
      </c>
    </row>
    <row r="20" spans="2:19" x14ac:dyDescent="0.35">
      <c r="B20" t="str">
        <f>Products!$B$5</f>
        <v>EXAMPLE: Custom name necklace</v>
      </c>
      <c r="C20">
        <f>IF(Products!$B$5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$5),Orders!$D$5:$D$2004))</f>
        <v>3</v>
      </c>
      <c r="D20">
        <f>IF(Products!$B$5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$5),Orders!$D$5:$D$2004))</f>
        <v>0</v>
      </c>
      <c r="E20">
        <f>IF(Products!$B$5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$5),Orders!$D$5:$D$2004))</f>
        <v>0</v>
      </c>
      <c r="F20">
        <f>IF(Products!$B$5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$5),Orders!$D$5:$D$2004))</f>
        <v>0</v>
      </c>
      <c r="G20">
        <f>IF(Products!$B$5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$5),Orders!$D$5:$D$2004))</f>
        <v>0</v>
      </c>
      <c r="H20">
        <f>IF(Products!$B$5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$5),Orders!$D$5:$D$2004))</f>
        <v>0</v>
      </c>
      <c r="I20">
        <f>IF(Products!$B$5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$5),Orders!$D$5:$D$2004))</f>
        <v>0</v>
      </c>
      <c r="J20">
        <f>IF(Products!$B$5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$5),Orders!$D$5:$D$2004))</f>
        <v>0</v>
      </c>
      <c r="K20">
        <f>IF(Products!$B$5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$5),Orders!$D$5:$D$2004))</f>
        <v>0</v>
      </c>
      <c r="L20">
        <f>IF(Products!$B$5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$5),Orders!$D$5:$D$2004))</f>
        <v>0</v>
      </c>
      <c r="M20">
        <f>IF(Products!$B$5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$5),Orders!$D$5:$D$2004))</f>
        <v>0</v>
      </c>
      <c r="N20">
        <f>IF(Products!$B$5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$5),Orders!$D$5:$D$2004))</f>
        <v>0</v>
      </c>
      <c r="P20">
        <f>IF(Products!$B$5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$5),Orders!$E$5:$E$2004))</f>
        <v>78.400000000000006</v>
      </c>
      <c r="Q20">
        <f>IF(Products!$B$5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$5),Orders!$J$5:$J$2004))</f>
        <v>0</v>
      </c>
      <c r="R20">
        <f t="array" ref="R20">IF(Products!$B$5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$5))*(Orders!$I$5:$I$2004="Yes")=1,IF(N('Fee Settings'!$C$8)*Orders!$E$5:$E$2004&gt;N('Fee Settings'!$C$9),N('Fee Settings'!$C$9),N('Fee Settings'!$C$8)*Orders!$E$5:$E$2004),0)))</f>
        <v>7.56</v>
      </c>
      <c r="S20">
        <f t="shared" ref="S20:S44" si="5">SUM(C20:N20)</f>
        <v>3</v>
      </c>
    </row>
    <row r="21" spans="2:19" x14ac:dyDescent="0.35">
      <c r="B21">
        <f>Products!$B$6</f>
        <v>0</v>
      </c>
      <c r="C21">
        <f>IF(Products!$B$6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$6),Orders!$D$5:$D$2004))</f>
        <v>0</v>
      </c>
      <c r="D21">
        <f>IF(Products!$B$6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$6),Orders!$D$5:$D$2004))</f>
        <v>0</v>
      </c>
      <c r="E21">
        <f>IF(Products!$B$6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$6),Orders!$D$5:$D$2004))</f>
        <v>0</v>
      </c>
      <c r="F21">
        <f>IF(Products!$B$6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$6),Orders!$D$5:$D$2004))</f>
        <v>0</v>
      </c>
      <c r="G21">
        <f>IF(Products!$B$6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$6),Orders!$D$5:$D$2004))</f>
        <v>0</v>
      </c>
      <c r="H21">
        <f>IF(Products!$B$6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$6),Orders!$D$5:$D$2004))</f>
        <v>0</v>
      </c>
      <c r="I21">
        <f>IF(Products!$B$6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$6),Orders!$D$5:$D$2004))</f>
        <v>0</v>
      </c>
      <c r="J21">
        <f>IF(Products!$B$6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$6),Orders!$D$5:$D$2004))</f>
        <v>0</v>
      </c>
      <c r="K21">
        <f>IF(Products!$B$6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$6),Orders!$D$5:$D$2004))</f>
        <v>0</v>
      </c>
      <c r="L21">
        <f>IF(Products!$B$6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$6),Orders!$D$5:$D$2004))</f>
        <v>0</v>
      </c>
      <c r="M21">
        <f>IF(Products!$B$6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$6),Orders!$D$5:$D$2004))</f>
        <v>0</v>
      </c>
      <c r="N21">
        <f>IF(Products!$B$6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$6),Orders!$D$5:$D$2004))</f>
        <v>0</v>
      </c>
      <c r="P21">
        <f>IF(Products!$B$6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$6),Orders!$E$5:$E$2004))</f>
        <v>0</v>
      </c>
      <c r="Q21">
        <f>IF(Products!$B$6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$6),Orders!$J$5:$J$2004))</f>
        <v>0</v>
      </c>
      <c r="R21">
        <f t="array" ref="R21">IF(Products!$B$6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$6))*(Orders!$I$5:$I$2004="Yes")=1,IF(N('Fee Settings'!$C$8)*Orders!$E$5:$E$2004&gt;N('Fee Settings'!$C$9),N('Fee Settings'!$C$9),N('Fee Settings'!$C$8)*Orders!$E$5:$E$2004),0)))</f>
        <v>0</v>
      </c>
      <c r="S21">
        <f t="shared" si="5"/>
        <v>0</v>
      </c>
    </row>
    <row r="22" spans="2:19" x14ac:dyDescent="0.35">
      <c r="B22">
        <f>Products!$B$7</f>
        <v>0</v>
      </c>
      <c r="C22">
        <f>IF(Products!$B$7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$7),Orders!$D$5:$D$2004))</f>
        <v>0</v>
      </c>
      <c r="D22">
        <f>IF(Products!$B$7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$7),Orders!$D$5:$D$2004))</f>
        <v>0</v>
      </c>
      <c r="E22">
        <f>IF(Products!$B$7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$7),Orders!$D$5:$D$2004))</f>
        <v>0</v>
      </c>
      <c r="F22">
        <f>IF(Products!$B$7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$7),Orders!$D$5:$D$2004))</f>
        <v>0</v>
      </c>
      <c r="G22">
        <f>IF(Products!$B$7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$7),Orders!$D$5:$D$2004))</f>
        <v>0</v>
      </c>
      <c r="H22">
        <f>IF(Products!$B$7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$7),Orders!$D$5:$D$2004))</f>
        <v>0</v>
      </c>
      <c r="I22">
        <f>IF(Products!$B$7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$7),Orders!$D$5:$D$2004))</f>
        <v>0</v>
      </c>
      <c r="J22">
        <f>IF(Products!$B$7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$7),Orders!$D$5:$D$2004))</f>
        <v>0</v>
      </c>
      <c r="K22">
        <f>IF(Products!$B$7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$7),Orders!$D$5:$D$2004))</f>
        <v>0</v>
      </c>
      <c r="L22">
        <f>IF(Products!$B$7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$7),Orders!$D$5:$D$2004))</f>
        <v>0</v>
      </c>
      <c r="M22">
        <f>IF(Products!$B$7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$7),Orders!$D$5:$D$2004))</f>
        <v>0</v>
      </c>
      <c r="N22">
        <f>IF(Products!$B$7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$7),Orders!$D$5:$D$2004))</f>
        <v>0</v>
      </c>
      <c r="P22">
        <f>IF(Products!$B$7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$7),Orders!$E$5:$E$2004))</f>
        <v>0</v>
      </c>
      <c r="Q22">
        <f>IF(Products!$B$7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$7),Orders!$J$5:$J$2004))</f>
        <v>0</v>
      </c>
      <c r="R22">
        <f t="array" ref="R22">IF(Products!$B$7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$7))*(Orders!$I$5:$I$2004="Yes")=1,IF(N('Fee Settings'!$C$8)*Orders!$E$5:$E$2004&gt;N('Fee Settings'!$C$9),N('Fee Settings'!$C$9),N('Fee Settings'!$C$8)*Orders!$E$5:$E$2004),0)))</f>
        <v>0</v>
      </c>
      <c r="S22">
        <f t="shared" si="5"/>
        <v>0</v>
      </c>
    </row>
    <row r="23" spans="2:19" x14ac:dyDescent="0.35">
      <c r="B23">
        <f>Products!$B$8</f>
        <v>0</v>
      </c>
      <c r="C23">
        <f>IF(Products!$B$8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$8),Orders!$D$5:$D$2004))</f>
        <v>0</v>
      </c>
      <c r="D23">
        <f>IF(Products!$B$8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$8),Orders!$D$5:$D$2004))</f>
        <v>0</v>
      </c>
      <c r="E23">
        <f>IF(Products!$B$8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$8),Orders!$D$5:$D$2004))</f>
        <v>0</v>
      </c>
      <c r="F23">
        <f>IF(Products!$B$8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$8),Orders!$D$5:$D$2004))</f>
        <v>0</v>
      </c>
      <c r="G23">
        <f>IF(Products!$B$8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$8),Orders!$D$5:$D$2004))</f>
        <v>0</v>
      </c>
      <c r="H23">
        <f>IF(Products!$B$8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$8),Orders!$D$5:$D$2004))</f>
        <v>0</v>
      </c>
      <c r="I23">
        <f>IF(Products!$B$8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$8),Orders!$D$5:$D$2004))</f>
        <v>0</v>
      </c>
      <c r="J23">
        <f>IF(Products!$B$8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$8),Orders!$D$5:$D$2004))</f>
        <v>0</v>
      </c>
      <c r="K23">
        <f>IF(Products!$B$8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$8),Orders!$D$5:$D$2004))</f>
        <v>0</v>
      </c>
      <c r="L23">
        <f>IF(Products!$B$8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$8),Orders!$D$5:$D$2004))</f>
        <v>0</v>
      </c>
      <c r="M23">
        <f>IF(Products!$B$8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$8),Orders!$D$5:$D$2004))</f>
        <v>0</v>
      </c>
      <c r="N23">
        <f>IF(Products!$B$8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$8),Orders!$D$5:$D$2004))</f>
        <v>0</v>
      </c>
      <c r="P23">
        <f>IF(Products!$B$8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$8),Orders!$E$5:$E$2004))</f>
        <v>0</v>
      </c>
      <c r="Q23">
        <f>IF(Products!$B$8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$8),Orders!$J$5:$J$2004))</f>
        <v>0</v>
      </c>
      <c r="R23">
        <f t="array" ref="R23">IF(Products!$B$8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$8))*(Orders!$I$5:$I$2004="Yes")=1,IF(N('Fee Settings'!$C$8)*Orders!$E$5:$E$2004&gt;N('Fee Settings'!$C$9),N('Fee Settings'!$C$9),N('Fee Settings'!$C$8)*Orders!$E$5:$E$2004),0)))</f>
        <v>0</v>
      </c>
      <c r="S23">
        <f t="shared" si="5"/>
        <v>0</v>
      </c>
    </row>
    <row r="24" spans="2:19" x14ac:dyDescent="0.35">
      <c r="B24">
        <f>Products!$B$9</f>
        <v>0</v>
      </c>
      <c r="C24">
        <f>IF(Products!$B$9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$9),Orders!$D$5:$D$2004))</f>
        <v>0</v>
      </c>
      <c r="D24">
        <f>IF(Products!$B$9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$9),Orders!$D$5:$D$2004))</f>
        <v>0</v>
      </c>
      <c r="E24">
        <f>IF(Products!$B$9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$9),Orders!$D$5:$D$2004))</f>
        <v>0</v>
      </c>
      <c r="F24">
        <f>IF(Products!$B$9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$9),Orders!$D$5:$D$2004))</f>
        <v>0</v>
      </c>
      <c r="G24">
        <f>IF(Products!$B$9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$9),Orders!$D$5:$D$2004))</f>
        <v>0</v>
      </c>
      <c r="H24">
        <f>IF(Products!$B$9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$9),Orders!$D$5:$D$2004))</f>
        <v>0</v>
      </c>
      <c r="I24">
        <f>IF(Products!$B$9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$9),Orders!$D$5:$D$2004))</f>
        <v>0</v>
      </c>
      <c r="J24">
        <f>IF(Products!$B$9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$9),Orders!$D$5:$D$2004))</f>
        <v>0</v>
      </c>
      <c r="K24">
        <f>IF(Products!$B$9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$9),Orders!$D$5:$D$2004))</f>
        <v>0</v>
      </c>
      <c r="L24">
        <f>IF(Products!$B$9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$9),Orders!$D$5:$D$2004))</f>
        <v>0</v>
      </c>
      <c r="M24">
        <f>IF(Products!$B$9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$9),Orders!$D$5:$D$2004))</f>
        <v>0</v>
      </c>
      <c r="N24">
        <f>IF(Products!$B$9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$9),Orders!$D$5:$D$2004))</f>
        <v>0</v>
      </c>
      <c r="P24">
        <f>IF(Products!$B$9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$9),Orders!$E$5:$E$2004))</f>
        <v>0</v>
      </c>
      <c r="Q24">
        <f>IF(Products!$B$9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$9),Orders!$J$5:$J$2004))</f>
        <v>0</v>
      </c>
      <c r="R24">
        <f t="array" ref="R24">IF(Products!$B$9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$9))*(Orders!$I$5:$I$2004="Yes")=1,IF(N('Fee Settings'!$C$8)*Orders!$E$5:$E$2004&gt;N('Fee Settings'!$C$9),N('Fee Settings'!$C$9),N('Fee Settings'!$C$8)*Orders!$E$5:$E$2004),0)))</f>
        <v>0</v>
      </c>
      <c r="S24">
        <f t="shared" si="5"/>
        <v>0</v>
      </c>
    </row>
    <row r="25" spans="2:19" x14ac:dyDescent="0.35">
      <c r="B25">
        <f>Products!$B$10</f>
        <v>0</v>
      </c>
      <c r="C25">
        <f>IF(Products!$B$10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$10),Orders!$D$5:$D$2004))</f>
        <v>0</v>
      </c>
      <c r="D25">
        <f>IF(Products!$B$10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$10),Orders!$D$5:$D$2004))</f>
        <v>0</v>
      </c>
      <c r="E25">
        <f>IF(Products!$B$10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$10),Orders!$D$5:$D$2004))</f>
        <v>0</v>
      </c>
      <c r="F25">
        <f>IF(Products!$B$10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$10),Orders!$D$5:$D$2004))</f>
        <v>0</v>
      </c>
      <c r="G25">
        <f>IF(Products!$B$10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$10),Orders!$D$5:$D$2004))</f>
        <v>0</v>
      </c>
      <c r="H25">
        <f>IF(Products!$B$10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$10),Orders!$D$5:$D$2004))</f>
        <v>0</v>
      </c>
      <c r="I25">
        <f>IF(Products!$B$10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$10),Orders!$D$5:$D$2004))</f>
        <v>0</v>
      </c>
      <c r="J25">
        <f>IF(Products!$B$10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$10),Orders!$D$5:$D$2004))</f>
        <v>0</v>
      </c>
      <c r="K25">
        <f>IF(Products!$B$10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$10),Orders!$D$5:$D$2004))</f>
        <v>0</v>
      </c>
      <c r="L25">
        <f>IF(Products!$B$10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$10),Orders!$D$5:$D$2004))</f>
        <v>0</v>
      </c>
      <c r="M25">
        <f>IF(Products!$B$10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$10),Orders!$D$5:$D$2004))</f>
        <v>0</v>
      </c>
      <c r="N25">
        <f>IF(Products!$B$10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$10),Orders!$D$5:$D$2004))</f>
        <v>0</v>
      </c>
      <c r="P25">
        <f>IF(Products!$B$10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$10),Orders!$E$5:$E$2004))</f>
        <v>0</v>
      </c>
      <c r="Q25">
        <f>IF(Products!$B$10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$10),Orders!$J$5:$J$2004))</f>
        <v>0</v>
      </c>
      <c r="R25">
        <f t="array" ref="R25">IF(Products!$B$10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$10))*(Orders!$I$5:$I$2004="Yes")=1,IF(N('Fee Settings'!$C$8)*Orders!$E$5:$E$2004&gt;N('Fee Settings'!$C$9),N('Fee Settings'!$C$9),N('Fee Settings'!$C$8)*Orders!$E$5:$E$2004),0)))</f>
        <v>0</v>
      </c>
      <c r="S25">
        <f t="shared" si="5"/>
        <v>0</v>
      </c>
    </row>
    <row r="26" spans="2:19" x14ac:dyDescent="0.35">
      <c r="B26">
        <f>Products!$B$11</f>
        <v>0</v>
      </c>
      <c r="C26">
        <f>IF(Products!$B$11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$11),Orders!$D$5:$D$2004))</f>
        <v>0</v>
      </c>
      <c r="D26">
        <f>IF(Products!$B$11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$11),Orders!$D$5:$D$2004))</f>
        <v>0</v>
      </c>
      <c r="E26">
        <f>IF(Products!$B$11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$11),Orders!$D$5:$D$2004))</f>
        <v>0</v>
      </c>
      <c r="F26">
        <f>IF(Products!$B$11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$11),Orders!$D$5:$D$2004))</f>
        <v>0</v>
      </c>
      <c r="G26">
        <f>IF(Products!$B$11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$11),Orders!$D$5:$D$2004))</f>
        <v>0</v>
      </c>
      <c r="H26">
        <f>IF(Products!$B$11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$11),Orders!$D$5:$D$2004))</f>
        <v>0</v>
      </c>
      <c r="I26">
        <f>IF(Products!$B$11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$11),Orders!$D$5:$D$2004))</f>
        <v>0</v>
      </c>
      <c r="J26">
        <f>IF(Products!$B$11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$11),Orders!$D$5:$D$2004))</f>
        <v>0</v>
      </c>
      <c r="K26">
        <f>IF(Products!$B$11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$11),Orders!$D$5:$D$2004))</f>
        <v>0</v>
      </c>
      <c r="L26">
        <f>IF(Products!$B$11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$11),Orders!$D$5:$D$2004))</f>
        <v>0</v>
      </c>
      <c r="M26">
        <f>IF(Products!$B$11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$11),Orders!$D$5:$D$2004))</f>
        <v>0</v>
      </c>
      <c r="N26">
        <f>IF(Products!$B$11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$11),Orders!$D$5:$D$2004))</f>
        <v>0</v>
      </c>
      <c r="P26">
        <f>IF(Products!$B$11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$11),Orders!$E$5:$E$2004))</f>
        <v>0</v>
      </c>
      <c r="Q26">
        <f>IF(Products!$B$11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$11),Orders!$J$5:$J$2004))</f>
        <v>0</v>
      </c>
      <c r="R26">
        <f t="array" ref="R26">IF(Products!$B$11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$11))*(Orders!$I$5:$I$2004="Yes")=1,IF(N('Fee Settings'!$C$8)*Orders!$E$5:$E$2004&gt;N('Fee Settings'!$C$9),N('Fee Settings'!$C$9),N('Fee Settings'!$C$8)*Orders!$E$5:$E$2004),0)))</f>
        <v>0</v>
      </c>
      <c r="S26">
        <f t="shared" si="5"/>
        <v>0</v>
      </c>
    </row>
    <row r="27" spans="2:19" x14ac:dyDescent="0.35">
      <c r="B27">
        <f>Products!$B$12</f>
        <v>0</v>
      </c>
      <c r="C27">
        <f>IF(Products!$B$12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$12),Orders!$D$5:$D$2004))</f>
        <v>0</v>
      </c>
      <c r="D27">
        <f>IF(Products!$B$12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$12),Orders!$D$5:$D$2004))</f>
        <v>0</v>
      </c>
      <c r="E27">
        <f>IF(Products!$B$12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$12),Orders!$D$5:$D$2004))</f>
        <v>0</v>
      </c>
      <c r="F27">
        <f>IF(Products!$B$12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$12),Orders!$D$5:$D$2004))</f>
        <v>0</v>
      </c>
      <c r="G27">
        <f>IF(Products!$B$12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$12),Orders!$D$5:$D$2004))</f>
        <v>0</v>
      </c>
      <c r="H27">
        <f>IF(Products!$B$12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$12),Orders!$D$5:$D$2004))</f>
        <v>0</v>
      </c>
      <c r="I27">
        <f>IF(Products!$B$12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$12),Orders!$D$5:$D$2004))</f>
        <v>0</v>
      </c>
      <c r="J27">
        <f>IF(Products!$B$12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$12),Orders!$D$5:$D$2004))</f>
        <v>0</v>
      </c>
      <c r="K27">
        <f>IF(Products!$B$12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$12),Orders!$D$5:$D$2004))</f>
        <v>0</v>
      </c>
      <c r="L27">
        <f>IF(Products!$B$12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$12),Orders!$D$5:$D$2004))</f>
        <v>0</v>
      </c>
      <c r="M27">
        <f>IF(Products!$B$12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$12),Orders!$D$5:$D$2004))</f>
        <v>0</v>
      </c>
      <c r="N27">
        <f>IF(Products!$B$12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$12),Orders!$D$5:$D$2004))</f>
        <v>0</v>
      </c>
      <c r="P27">
        <f>IF(Products!$B$12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$12),Orders!$E$5:$E$2004))</f>
        <v>0</v>
      </c>
      <c r="Q27">
        <f>IF(Products!$B$12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$12),Orders!$J$5:$J$2004))</f>
        <v>0</v>
      </c>
      <c r="R27">
        <f t="array" ref="R27">IF(Products!$B$12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$12))*(Orders!$I$5:$I$2004="Yes")=1,IF(N('Fee Settings'!$C$8)*Orders!$E$5:$E$2004&gt;N('Fee Settings'!$C$9),N('Fee Settings'!$C$9),N('Fee Settings'!$C$8)*Orders!$E$5:$E$2004),0)))</f>
        <v>0</v>
      </c>
      <c r="S27">
        <f t="shared" si="5"/>
        <v>0</v>
      </c>
    </row>
    <row r="28" spans="2:19" x14ac:dyDescent="0.35">
      <c r="B28">
        <f>Products!$B$13</f>
        <v>0</v>
      </c>
      <c r="C28">
        <f>IF(Products!$B$13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$13),Orders!$D$5:$D$2004))</f>
        <v>0</v>
      </c>
      <c r="D28">
        <f>IF(Products!$B$13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$13),Orders!$D$5:$D$2004))</f>
        <v>0</v>
      </c>
      <c r="E28">
        <f>IF(Products!$B$13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$13),Orders!$D$5:$D$2004))</f>
        <v>0</v>
      </c>
      <c r="F28">
        <f>IF(Products!$B$13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$13),Orders!$D$5:$D$2004))</f>
        <v>0</v>
      </c>
      <c r="G28">
        <f>IF(Products!$B$13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$13),Orders!$D$5:$D$2004))</f>
        <v>0</v>
      </c>
      <c r="H28">
        <f>IF(Products!$B$13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$13),Orders!$D$5:$D$2004))</f>
        <v>0</v>
      </c>
      <c r="I28">
        <f>IF(Products!$B$13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$13),Orders!$D$5:$D$2004))</f>
        <v>0</v>
      </c>
      <c r="J28">
        <f>IF(Products!$B$13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$13),Orders!$D$5:$D$2004))</f>
        <v>0</v>
      </c>
      <c r="K28">
        <f>IF(Products!$B$13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$13),Orders!$D$5:$D$2004))</f>
        <v>0</v>
      </c>
      <c r="L28">
        <f>IF(Products!$B$13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$13),Orders!$D$5:$D$2004))</f>
        <v>0</v>
      </c>
      <c r="M28">
        <f>IF(Products!$B$13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$13),Orders!$D$5:$D$2004))</f>
        <v>0</v>
      </c>
      <c r="N28">
        <f>IF(Products!$B$13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$13),Orders!$D$5:$D$2004))</f>
        <v>0</v>
      </c>
      <c r="P28">
        <f>IF(Products!$B$13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$13),Orders!$E$5:$E$2004))</f>
        <v>0</v>
      </c>
      <c r="Q28">
        <f>IF(Products!$B$13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$13),Orders!$J$5:$J$2004))</f>
        <v>0</v>
      </c>
      <c r="R28">
        <f t="array" ref="R28">IF(Products!$B$13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$13))*(Orders!$I$5:$I$2004="Yes")=1,IF(N('Fee Settings'!$C$8)*Orders!$E$5:$E$2004&gt;N('Fee Settings'!$C$9),N('Fee Settings'!$C$9),N('Fee Settings'!$C$8)*Orders!$E$5:$E$2004),0)))</f>
        <v>0</v>
      </c>
      <c r="S28">
        <f t="shared" si="5"/>
        <v>0</v>
      </c>
    </row>
    <row r="29" spans="2:19" x14ac:dyDescent="0.35">
      <c r="B29">
        <f>Products!$B$14</f>
        <v>0</v>
      </c>
      <c r="C29">
        <f>IF(Products!$B$14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$14),Orders!$D$5:$D$2004))</f>
        <v>0</v>
      </c>
      <c r="D29">
        <f>IF(Products!$B$14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$14),Orders!$D$5:$D$2004))</f>
        <v>0</v>
      </c>
      <c r="E29">
        <f>IF(Products!$B$14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$14),Orders!$D$5:$D$2004))</f>
        <v>0</v>
      </c>
      <c r="F29">
        <f>IF(Products!$B$14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$14),Orders!$D$5:$D$2004))</f>
        <v>0</v>
      </c>
      <c r="G29">
        <f>IF(Products!$B$14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$14),Orders!$D$5:$D$2004))</f>
        <v>0</v>
      </c>
      <c r="H29">
        <f>IF(Products!$B$14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$14),Orders!$D$5:$D$2004))</f>
        <v>0</v>
      </c>
      <c r="I29">
        <f>IF(Products!$B$14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$14),Orders!$D$5:$D$2004))</f>
        <v>0</v>
      </c>
      <c r="J29">
        <f>IF(Products!$B$14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$14),Orders!$D$5:$D$2004))</f>
        <v>0</v>
      </c>
      <c r="K29">
        <f>IF(Products!$B$14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$14),Orders!$D$5:$D$2004))</f>
        <v>0</v>
      </c>
      <c r="L29">
        <f>IF(Products!$B$14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$14),Orders!$D$5:$D$2004))</f>
        <v>0</v>
      </c>
      <c r="M29">
        <f>IF(Products!$B$14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$14),Orders!$D$5:$D$2004))</f>
        <v>0</v>
      </c>
      <c r="N29">
        <f>IF(Products!$B$14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$14),Orders!$D$5:$D$2004))</f>
        <v>0</v>
      </c>
      <c r="P29">
        <f>IF(Products!$B$14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$14),Orders!$E$5:$E$2004))</f>
        <v>0</v>
      </c>
      <c r="Q29">
        <f>IF(Products!$B$14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$14),Orders!$J$5:$J$2004))</f>
        <v>0</v>
      </c>
      <c r="R29">
        <f t="array" ref="R29">IF(Products!$B$14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$14))*(Orders!$I$5:$I$2004="Yes")=1,IF(N('Fee Settings'!$C$8)*Orders!$E$5:$E$2004&gt;N('Fee Settings'!$C$9),N('Fee Settings'!$C$9),N('Fee Settings'!$C$8)*Orders!$E$5:$E$2004),0)))</f>
        <v>0</v>
      </c>
      <c r="S29">
        <f t="shared" si="5"/>
        <v>0</v>
      </c>
    </row>
    <row r="30" spans="2:19" x14ac:dyDescent="0.35">
      <c r="B30">
        <f>Products!$B$15</f>
        <v>0</v>
      </c>
      <c r="C30">
        <f>IF(Products!$B$15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$15),Orders!$D$5:$D$2004))</f>
        <v>0</v>
      </c>
      <c r="D30">
        <f>IF(Products!$B$15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$15),Orders!$D$5:$D$2004))</f>
        <v>0</v>
      </c>
      <c r="E30">
        <f>IF(Products!$B$15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$15),Orders!$D$5:$D$2004))</f>
        <v>0</v>
      </c>
      <c r="F30">
        <f>IF(Products!$B$15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$15),Orders!$D$5:$D$2004))</f>
        <v>0</v>
      </c>
      <c r="G30">
        <f>IF(Products!$B$15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$15),Orders!$D$5:$D$2004))</f>
        <v>0</v>
      </c>
      <c r="H30">
        <f>IF(Products!$B$15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$15),Orders!$D$5:$D$2004))</f>
        <v>0</v>
      </c>
      <c r="I30">
        <f>IF(Products!$B$15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$15),Orders!$D$5:$D$2004))</f>
        <v>0</v>
      </c>
      <c r="J30">
        <f>IF(Products!$B$15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$15),Orders!$D$5:$D$2004))</f>
        <v>0</v>
      </c>
      <c r="K30">
        <f>IF(Products!$B$15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$15),Orders!$D$5:$D$2004))</f>
        <v>0</v>
      </c>
      <c r="L30">
        <f>IF(Products!$B$15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$15),Orders!$D$5:$D$2004))</f>
        <v>0</v>
      </c>
      <c r="M30">
        <f>IF(Products!$B$15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$15),Orders!$D$5:$D$2004))</f>
        <v>0</v>
      </c>
      <c r="N30">
        <f>IF(Products!$B$15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$15),Orders!$D$5:$D$2004))</f>
        <v>0</v>
      </c>
      <c r="P30">
        <f>IF(Products!$B$15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$15),Orders!$E$5:$E$2004))</f>
        <v>0</v>
      </c>
      <c r="Q30">
        <f>IF(Products!$B$15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$15),Orders!$J$5:$J$2004))</f>
        <v>0</v>
      </c>
      <c r="R30">
        <f t="array" ref="R30">IF(Products!$B$15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$15))*(Orders!$I$5:$I$2004="Yes")=1,IF(N('Fee Settings'!$C$8)*Orders!$E$5:$E$2004&gt;N('Fee Settings'!$C$9),N('Fee Settings'!$C$9),N('Fee Settings'!$C$8)*Orders!$E$5:$E$2004),0)))</f>
        <v>0</v>
      </c>
      <c r="S30">
        <f t="shared" si="5"/>
        <v>0</v>
      </c>
    </row>
    <row r="31" spans="2:19" x14ac:dyDescent="0.35">
      <c r="B31">
        <f>Products!$B$16</f>
        <v>0</v>
      </c>
      <c r="C31">
        <f>IF(Products!$B$16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$16),Orders!$D$5:$D$2004))</f>
        <v>0</v>
      </c>
      <c r="D31">
        <f>IF(Products!$B$16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$16),Orders!$D$5:$D$2004))</f>
        <v>0</v>
      </c>
      <c r="E31">
        <f>IF(Products!$B$16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$16),Orders!$D$5:$D$2004))</f>
        <v>0</v>
      </c>
      <c r="F31">
        <f>IF(Products!$B$16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$16),Orders!$D$5:$D$2004))</f>
        <v>0</v>
      </c>
      <c r="G31">
        <f>IF(Products!$B$16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$16),Orders!$D$5:$D$2004))</f>
        <v>0</v>
      </c>
      <c r="H31">
        <f>IF(Products!$B$16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$16),Orders!$D$5:$D$2004))</f>
        <v>0</v>
      </c>
      <c r="I31">
        <f>IF(Products!$B$16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$16),Orders!$D$5:$D$2004))</f>
        <v>0</v>
      </c>
      <c r="J31">
        <f>IF(Products!$B$16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$16),Orders!$D$5:$D$2004))</f>
        <v>0</v>
      </c>
      <c r="K31">
        <f>IF(Products!$B$16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$16),Orders!$D$5:$D$2004))</f>
        <v>0</v>
      </c>
      <c r="L31">
        <f>IF(Products!$B$16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$16),Orders!$D$5:$D$2004))</f>
        <v>0</v>
      </c>
      <c r="M31">
        <f>IF(Products!$B$16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$16),Orders!$D$5:$D$2004))</f>
        <v>0</v>
      </c>
      <c r="N31">
        <f>IF(Products!$B$16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$16),Orders!$D$5:$D$2004))</f>
        <v>0</v>
      </c>
      <c r="P31">
        <f>IF(Products!$B$16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$16),Orders!$E$5:$E$2004))</f>
        <v>0</v>
      </c>
      <c r="Q31">
        <f>IF(Products!$B$16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$16),Orders!$J$5:$J$2004))</f>
        <v>0</v>
      </c>
      <c r="R31">
        <f t="array" ref="R31">IF(Products!$B$16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$16))*(Orders!$I$5:$I$2004="Yes")=1,IF(N('Fee Settings'!$C$8)*Orders!$E$5:$E$2004&gt;N('Fee Settings'!$C$9),N('Fee Settings'!$C$9),N('Fee Settings'!$C$8)*Orders!$E$5:$E$2004),0)))</f>
        <v>0</v>
      </c>
      <c r="S31">
        <f t="shared" si="5"/>
        <v>0</v>
      </c>
    </row>
    <row r="32" spans="2:19" x14ac:dyDescent="0.35">
      <c r="B32">
        <f>Products!$B$17</f>
        <v>0</v>
      </c>
      <c r="C32">
        <f>IF(Products!$B$17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$17),Orders!$D$5:$D$2004))</f>
        <v>0</v>
      </c>
      <c r="D32">
        <f>IF(Products!$B$17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$17),Orders!$D$5:$D$2004))</f>
        <v>0</v>
      </c>
      <c r="E32">
        <f>IF(Products!$B$17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$17),Orders!$D$5:$D$2004))</f>
        <v>0</v>
      </c>
      <c r="F32">
        <f>IF(Products!$B$17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$17),Orders!$D$5:$D$2004))</f>
        <v>0</v>
      </c>
      <c r="G32">
        <f>IF(Products!$B$17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$17),Orders!$D$5:$D$2004))</f>
        <v>0</v>
      </c>
      <c r="H32">
        <f>IF(Products!$B$17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$17),Orders!$D$5:$D$2004))</f>
        <v>0</v>
      </c>
      <c r="I32">
        <f>IF(Products!$B$17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$17),Orders!$D$5:$D$2004))</f>
        <v>0</v>
      </c>
      <c r="J32">
        <f>IF(Products!$B$17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$17),Orders!$D$5:$D$2004))</f>
        <v>0</v>
      </c>
      <c r="K32">
        <f>IF(Products!$B$17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$17),Orders!$D$5:$D$2004))</f>
        <v>0</v>
      </c>
      <c r="L32">
        <f>IF(Products!$B$17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$17),Orders!$D$5:$D$2004))</f>
        <v>0</v>
      </c>
      <c r="M32">
        <f>IF(Products!$B$17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$17),Orders!$D$5:$D$2004))</f>
        <v>0</v>
      </c>
      <c r="N32">
        <f>IF(Products!$B$17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$17),Orders!$D$5:$D$2004))</f>
        <v>0</v>
      </c>
      <c r="P32">
        <f>IF(Products!$B$17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$17),Orders!$E$5:$E$2004))</f>
        <v>0</v>
      </c>
      <c r="Q32">
        <f>IF(Products!$B$17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$17),Orders!$J$5:$J$2004))</f>
        <v>0</v>
      </c>
      <c r="R32">
        <f t="array" ref="R32">IF(Products!$B$17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$17))*(Orders!$I$5:$I$2004="Yes")=1,IF(N('Fee Settings'!$C$8)*Orders!$E$5:$E$2004&gt;N('Fee Settings'!$C$9),N('Fee Settings'!$C$9),N('Fee Settings'!$C$8)*Orders!$E$5:$E$2004),0)))</f>
        <v>0</v>
      </c>
      <c r="S32">
        <f t="shared" si="5"/>
        <v>0</v>
      </c>
    </row>
    <row r="33" spans="2:19" x14ac:dyDescent="0.35">
      <c r="B33">
        <f>Products!$B$18</f>
        <v>0</v>
      </c>
      <c r="C33">
        <f>IF(Products!$B$18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$18),Orders!$D$5:$D$2004))</f>
        <v>0</v>
      </c>
      <c r="D33">
        <f>IF(Products!$B$18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$18),Orders!$D$5:$D$2004))</f>
        <v>0</v>
      </c>
      <c r="E33">
        <f>IF(Products!$B$18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$18),Orders!$D$5:$D$2004))</f>
        <v>0</v>
      </c>
      <c r="F33">
        <f>IF(Products!$B$18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$18),Orders!$D$5:$D$2004))</f>
        <v>0</v>
      </c>
      <c r="G33">
        <f>IF(Products!$B$18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$18),Orders!$D$5:$D$2004))</f>
        <v>0</v>
      </c>
      <c r="H33">
        <f>IF(Products!$B$18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$18),Orders!$D$5:$D$2004))</f>
        <v>0</v>
      </c>
      <c r="I33">
        <f>IF(Products!$B$18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$18),Orders!$D$5:$D$2004))</f>
        <v>0</v>
      </c>
      <c r="J33">
        <f>IF(Products!$B$18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$18),Orders!$D$5:$D$2004))</f>
        <v>0</v>
      </c>
      <c r="K33">
        <f>IF(Products!$B$18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$18),Orders!$D$5:$D$2004))</f>
        <v>0</v>
      </c>
      <c r="L33">
        <f>IF(Products!$B$18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$18),Orders!$D$5:$D$2004))</f>
        <v>0</v>
      </c>
      <c r="M33">
        <f>IF(Products!$B$18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$18),Orders!$D$5:$D$2004))</f>
        <v>0</v>
      </c>
      <c r="N33">
        <f>IF(Products!$B$18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$18),Orders!$D$5:$D$2004))</f>
        <v>0</v>
      </c>
      <c r="P33">
        <f>IF(Products!$B$18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$18),Orders!$E$5:$E$2004))</f>
        <v>0</v>
      </c>
      <c r="Q33">
        <f>IF(Products!$B$18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$18),Orders!$J$5:$J$2004))</f>
        <v>0</v>
      </c>
      <c r="R33">
        <f t="array" ref="R33">IF(Products!$B$18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$18))*(Orders!$I$5:$I$2004="Yes")=1,IF(N('Fee Settings'!$C$8)*Orders!$E$5:$E$2004&gt;N('Fee Settings'!$C$9),N('Fee Settings'!$C$9),N('Fee Settings'!$C$8)*Orders!$E$5:$E$2004),0)))</f>
        <v>0</v>
      </c>
      <c r="S33">
        <f t="shared" si="5"/>
        <v>0</v>
      </c>
    </row>
    <row r="34" spans="2:19" x14ac:dyDescent="0.35">
      <c r="B34">
        <f>Products!$B$19</f>
        <v>0</v>
      </c>
      <c r="C34">
        <f>IF(Products!$B$19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$19),Orders!$D$5:$D$2004))</f>
        <v>0</v>
      </c>
      <c r="D34">
        <f>IF(Products!$B$19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$19),Orders!$D$5:$D$2004))</f>
        <v>0</v>
      </c>
      <c r="E34">
        <f>IF(Products!$B$19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$19),Orders!$D$5:$D$2004))</f>
        <v>0</v>
      </c>
      <c r="F34">
        <f>IF(Products!$B$19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$19),Orders!$D$5:$D$2004))</f>
        <v>0</v>
      </c>
      <c r="G34">
        <f>IF(Products!$B$19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$19),Orders!$D$5:$D$2004))</f>
        <v>0</v>
      </c>
      <c r="H34">
        <f>IF(Products!$B$19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$19),Orders!$D$5:$D$2004))</f>
        <v>0</v>
      </c>
      <c r="I34">
        <f>IF(Products!$B$19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$19),Orders!$D$5:$D$2004))</f>
        <v>0</v>
      </c>
      <c r="J34">
        <f>IF(Products!$B$19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$19),Orders!$D$5:$D$2004))</f>
        <v>0</v>
      </c>
      <c r="K34">
        <f>IF(Products!$B$19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$19),Orders!$D$5:$D$2004))</f>
        <v>0</v>
      </c>
      <c r="L34">
        <f>IF(Products!$B$19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$19),Orders!$D$5:$D$2004))</f>
        <v>0</v>
      </c>
      <c r="M34">
        <f>IF(Products!$B$19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$19),Orders!$D$5:$D$2004))</f>
        <v>0</v>
      </c>
      <c r="N34">
        <f>IF(Products!$B$19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$19),Orders!$D$5:$D$2004))</f>
        <v>0</v>
      </c>
      <c r="P34">
        <f>IF(Products!$B$19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$19),Orders!$E$5:$E$2004))</f>
        <v>0</v>
      </c>
      <c r="Q34">
        <f>IF(Products!$B$19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$19),Orders!$J$5:$J$2004))</f>
        <v>0</v>
      </c>
      <c r="R34">
        <f t="array" ref="R34">IF(Products!$B$19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$19))*(Orders!$I$5:$I$2004="Yes")=1,IF(N('Fee Settings'!$C$8)*Orders!$E$5:$E$2004&gt;N('Fee Settings'!$C$9),N('Fee Settings'!$C$9),N('Fee Settings'!$C$8)*Orders!$E$5:$E$2004),0)))</f>
        <v>0</v>
      </c>
      <c r="S34">
        <f t="shared" si="5"/>
        <v>0</v>
      </c>
    </row>
    <row r="35" spans="2:19" x14ac:dyDescent="0.35">
      <c r="B35">
        <f>Products!$B$20</f>
        <v>0</v>
      </c>
      <c r="C35">
        <f>IF(Products!$B$20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$20),Orders!$D$5:$D$2004))</f>
        <v>0</v>
      </c>
      <c r="D35">
        <f>IF(Products!$B$20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$20),Orders!$D$5:$D$2004))</f>
        <v>0</v>
      </c>
      <c r="E35">
        <f>IF(Products!$B$20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$20),Orders!$D$5:$D$2004))</f>
        <v>0</v>
      </c>
      <c r="F35">
        <f>IF(Products!$B$20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$20),Orders!$D$5:$D$2004))</f>
        <v>0</v>
      </c>
      <c r="G35">
        <f>IF(Products!$B$20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$20),Orders!$D$5:$D$2004))</f>
        <v>0</v>
      </c>
      <c r="H35">
        <f>IF(Products!$B$20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$20),Orders!$D$5:$D$2004))</f>
        <v>0</v>
      </c>
      <c r="I35">
        <f>IF(Products!$B$20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$20),Orders!$D$5:$D$2004))</f>
        <v>0</v>
      </c>
      <c r="J35">
        <f>IF(Products!$B$20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$20),Orders!$D$5:$D$2004))</f>
        <v>0</v>
      </c>
      <c r="K35">
        <f>IF(Products!$B$20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$20),Orders!$D$5:$D$2004))</f>
        <v>0</v>
      </c>
      <c r="L35">
        <f>IF(Products!$B$20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$20),Orders!$D$5:$D$2004))</f>
        <v>0</v>
      </c>
      <c r="M35">
        <f>IF(Products!$B$20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$20),Orders!$D$5:$D$2004))</f>
        <v>0</v>
      </c>
      <c r="N35">
        <f>IF(Products!$B$20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$20),Orders!$D$5:$D$2004))</f>
        <v>0</v>
      </c>
      <c r="P35">
        <f>IF(Products!$B$20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$20),Orders!$E$5:$E$2004))</f>
        <v>0</v>
      </c>
      <c r="Q35">
        <f>IF(Products!$B$20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$20),Orders!$J$5:$J$2004))</f>
        <v>0</v>
      </c>
      <c r="R35">
        <f t="array" ref="R35">IF(Products!$B$20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$20))*(Orders!$I$5:$I$2004="Yes")=1,IF(N('Fee Settings'!$C$8)*Orders!$E$5:$E$2004&gt;N('Fee Settings'!$C$9),N('Fee Settings'!$C$9),N('Fee Settings'!$C$8)*Orders!$E$5:$E$2004),0)))</f>
        <v>0</v>
      </c>
      <c r="S35">
        <f t="shared" si="5"/>
        <v>0</v>
      </c>
    </row>
    <row r="36" spans="2:19" x14ac:dyDescent="0.35">
      <c r="B36">
        <f>Products!$B$21</f>
        <v>0</v>
      </c>
      <c r="C36">
        <f>IF(Products!$B$21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$21),Orders!$D$5:$D$2004))</f>
        <v>0</v>
      </c>
      <c r="D36">
        <f>IF(Products!$B$21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$21),Orders!$D$5:$D$2004))</f>
        <v>0</v>
      </c>
      <c r="E36">
        <f>IF(Products!$B$21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$21),Orders!$D$5:$D$2004))</f>
        <v>0</v>
      </c>
      <c r="F36">
        <f>IF(Products!$B$21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$21),Orders!$D$5:$D$2004))</f>
        <v>0</v>
      </c>
      <c r="G36">
        <f>IF(Products!$B$21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$21),Orders!$D$5:$D$2004))</f>
        <v>0</v>
      </c>
      <c r="H36">
        <f>IF(Products!$B$21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$21),Orders!$D$5:$D$2004))</f>
        <v>0</v>
      </c>
      <c r="I36">
        <f>IF(Products!$B$21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$21),Orders!$D$5:$D$2004))</f>
        <v>0</v>
      </c>
      <c r="J36">
        <f>IF(Products!$B$21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$21),Orders!$D$5:$D$2004))</f>
        <v>0</v>
      </c>
      <c r="K36">
        <f>IF(Products!$B$21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$21),Orders!$D$5:$D$2004))</f>
        <v>0</v>
      </c>
      <c r="L36">
        <f>IF(Products!$B$21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$21),Orders!$D$5:$D$2004))</f>
        <v>0</v>
      </c>
      <c r="M36">
        <f>IF(Products!$B$21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$21),Orders!$D$5:$D$2004))</f>
        <v>0</v>
      </c>
      <c r="N36">
        <f>IF(Products!$B$21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$21),Orders!$D$5:$D$2004))</f>
        <v>0</v>
      </c>
      <c r="P36">
        <f>IF(Products!$B$21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$21),Orders!$E$5:$E$2004))</f>
        <v>0</v>
      </c>
      <c r="Q36">
        <f>IF(Products!$B$21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$21),Orders!$J$5:$J$2004))</f>
        <v>0</v>
      </c>
      <c r="R36">
        <f t="array" ref="R36">IF(Products!$B$21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$21))*(Orders!$I$5:$I$2004="Yes")=1,IF(N('Fee Settings'!$C$8)*Orders!$E$5:$E$2004&gt;N('Fee Settings'!$C$9),N('Fee Settings'!$C$9),N('Fee Settings'!$C$8)*Orders!$E$5:$E$2004),0)))</f>
        <v>0</v>
      </c>
      <c r="S36">
        <f t="shared" si="5"/>
        <v>0</v>
      </c>
    </row>
    <row r="37" spans="2:19" x14ac:dyDescent="0.35">
      <c r="B37">
        <f>Products!$B$22</f>
        <v>0</v>
      </c>
      <c r="C37">
        <f>IF(Products!$B$22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$22),Orders!$D$5:$D$2004))</f>
        <v>0</v>
      </c>
      <c r="D37">
        <f>IF(Products!$B$22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$22),Orders!$D$5:$D$2004))</f>
        <v>0</v>
      </c>
      <c r="E37">
        <f>IF(Products!$B$22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$22),Orders!$D$5:$D$2004))</f>
        <v>0</v>
      </c>
      <c r="F37">
        <f>IF(Products!$B$22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$22),Orders!$D$5:$D$2004))</f>
        <v>0</v>
      </c>
      <c r="G37">
        <f>IF(Products!$B$22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$22),Orders!$D$5:$D$2004))</f>
        <v>0</v>
      </c>
      <c r="H37">
        <f>IF(Products!$B$22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$22),Orders!$D$5:$D$2004))</f>
        <v>0</v>
      </c>
      <c r="I37">
        <f>IF(Products!$B$22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$22),Orders!$D$5:$D$2004))</f>
        <v>0</v>
      </c>
      <c r="J37">
        <f>IF(Products!$B$22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$22),Orders!$D$5:$D$2004))</f>
        <v>0</v>
      </c>
      <c r="K37">
        <f>IF(Products!$B$22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$22),Orders!$D$5:$D$2004))</f>
        <v>0</v>
      </c>
      <c r="L37">
        <f>IF(Products!$B$22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$22),Orders!$D$5:$D$2004))</f>
        <v>0</v>
      </c>
      <c r="M37">
        <f>IF(Products!$B$22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$22),Orders!$D$5:$D$2004))</f>
        <v>0</v>
      </c>
      <c r="N37">
        <f>IF(Products!$B$22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$22),Orders!$D$5:$D$2004))</f>
        <v>0</v>
      </c>
      <c r="P37">
        <f>IF(Products!$B$22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$22),Orders!$E$5:$E$2004))</f>
        <v>0</v>
      </c>
      <c r="Q37">
        <f>IF(Products!$B$22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$22),Orders!$J$5:$J$2004))</f>
        <v>0</v>
      </c>
      <c r="R37">
        <f t="array" ref="R37">IF(Products!$B$22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$22))*(Orders!$I$5:$I$2004="Yes")=1,IF(N('Fee Settings'!$C$8)*Orders!$E$5:$E$2004&gt;N('Fee Settings'!$C$9),N('Fee Settings'!$C$9),N('Fee Settings'!$C$8)*Orders!$E$5:$E$2004),0)))</f>
        <v>0</v>
      </c>
      <c r="S37">
        <f t="shared" si="5"/>
        <v>0</v>
      </c>
    </row>
    <row r="38" spans="2:19" x14ac:dyDescent="0.35">
      <c r="B38">
        <f>Products!$B$23</f>
        <v>0</v>
      </c>
      <c r="C38">
        <f>IF(Products!$B$23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$23),Orders!$D$5:$D$2004))</f>
        <v>0</v>
      </c>
      <c r="D38">
        <f>IF(Products!$B$23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$23),Orders!$D$5:$D$2004))</f>
        <v>0</v>
      </c>
      <c r="E38">
        <f>IF(Products!$B$23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$23),Orders!$D$5:$D$2004))</f>
        <v>0</v>
      </c>
      <c r="F38">
        <f>IF(Products!$B$23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$23),Orders!$D$5:$D$2004))</f>
        <v>0</v>
      </c>
      <c r="G38">
        <f>IF(Products!$B$23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$23),Orders!$D$5:$D$2004))</f>
        <v>0</v>
      </c>
      <c r="H38">
        <f>IF(Products!$B$23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$23),Orders!$D$5:$D$2004))</f>
        <v>0</v>
      </c>
      <c r="I38">
        <f>IF(Products!$B$23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$23),Orders!$D$5:$D$2004))</f>
        <v>0</v>
      </c>
      <c r="J38">
        <f>IF(Products!$B$23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$23),Orders!$D$5:$D$2004))</f>
        <v>0</v>
      </c>
      <c r="K38">
        <f>IF(Products!$B$23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$23),Orders!$D$5:$D$2004))</f>
        <v>0</v>
      </c>
      <c r="L38">
        <f>IF(Products!$B$23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$23),Orders!$D$5:$D$2004))</f>
        <v>0</v>
      </c>
      <c r="M38">
        <f>IF(Products!$B$23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$23),Orders!$D$5:$D$2004))</f>
        <v>0</v>
      </c>
      <c r="N38">
        <f>IF(Products!$B$23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$23),Orders!$D$5:$D$2004))</f>
        <v>0</v>
      </c>
      <c r="P38">
        <f>IF(Products!$B$23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$23),Orders!$E$5:$E$2004))</f>
        <v>0</v>
      </c>
      <c r="Q38">
        <f>IF(Products!$B$23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$23),Orders!$J$5:$J$2004))</f>
        <v>0</v>
      </c>
      <c r="R38">
        <f t="array" ref="R38">IF(Products!$B$23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$23))*(Orders!$I$5:$I$2004="Yes")=1,IF(N('Fee Settings'!$C$8)*Orders!$E$5:$E$2004&gt;N('Fee Settings'!$C$9),N('Fee Settings'!$C$9),N('Fee Settings'!$C$8)*Orders!$E$5:$E$2004),0)))</f>
        <v>0</v>
      </c>
      <c r="S38">
        <f t="shared" si="5"/>
        <v>0</v>
      </c>
    </row>
    <row r="39" spans="2:19" x14ac:dyDescent="0.35">
      <c r="B39">
        <f>Products!$B$24</f>
        <v>0</v>
      </c>
      <c r="C39">
        <f>IF(Products!$B$24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$24),Orders!$D$5:$D$2004))</f>
        <v>0</v>
      </c>
      <c r="D39">
        <f>IF(Products!$B$24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$24),Orders!$D$5:$D$2004))</f>
        <v>0</v>
      </c>
      <c r="E39">
        <f>IF(Products!$B$24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$24),Orders!$D$5:$D$2004))</f>
        <v>0</v>
      </c>
      <c r="F39">
        <f>IF(Products!$B$24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$24),Orders!$D$5:$D$2004))</f>
        <v>0</v>
      </c>
      <c r="G39">
        <f>IF(Products!$B$24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$24),Orders!$D$5:$D$2004))</f>
        <v>0</v>
      </c>
      <c r="H39">
        <f>IF(Products!$B$24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$24),Orders!$D$5:$D$2004))</f>
        <v>0</v>
      </c>
      <c r="I39">
        <f>IF(Products!$B$24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$24),Orders!$D$5:$D$2004))</f>
        <v>0</v>
      </c>
      <c r="J39">
        <f>IF(Products!$B$24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$24),Orders!$D$5:$D$2004))</f>
        <v>0</v>
      </c>
      <c r="K39">
        <f>IF(Products!$B$24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$24),Orders!$D$5:$D$2004))</f>
        <v>0</v>
      </c>
      <c r="L39">
        <f>IF(Products!$B$24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$24),Orders!$D$5:$D$2004))</f>
        <v>0</v>
      </c>
      <c r="M39">
        <f>IF(Products!$B$24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$24),Orders!$D$5:$D$2004))</f>
        <v>0</v>
      </c>
      <c r="N39">
        <f>IF(Products!$B$24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$24),Orders!$D$5:$D$2004))</f>
        <v>0</v>
      </c>
      <c r="P39">
        <f>IF(Products!$B$24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$24),Orders!$E$5:$E$2004))</f>
        <v>0</v>
      </c>
      <c r="Q39">
        <f>IF(Products!$B$24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$24),Orders!$J$5:$J$2004))</f>
        <v>0</v>
      </c>
      <c r="R39">
        <f t="array" ref="R39">IF(Products!$B$24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$24))*(Orders!$I$5:$I$2004="Yes")=1,IF(N('Fee Settings'!$C$8)*Orders!$E$5:$E$2004&gt;N('Fee Settings'!$C$9),N('Fee Settings'!$C$9),N('Fee Settings'!$C$8)*Orders!$E$5:$E$2004),0)))</f>
        <v>0</v>
      </c>
      <c r="S39">
        <f t="shared" si="5"/>
        <v>0</v>
      </c>
    </row>
    <row r="40" spans="2:19" x14ac:dyDescent="0.35">
      <c r="B40">
        <f>Products!$B$25</f>
        <v>0</v>
      </c>
      <c r="C40">
        <f>IF(Products!$B$25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$25),Orders!$D$5:$D$2004))</f>
        <v>0</v>
      </c>
      <c r="D40">
        <f>IF(Products!$B$25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$25),Orders!$D$5:$D$2004))</f>
        <v>0</v>
      </c>
      <c r="E40">
        <f>IF(Products!$B$25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$25),Orders!$D$5:$D$2004))</f>
        <v>0</v>
      </c>
      <c r="F40">
        <f>IF(Products!$B$25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$25),Orders!$D$5:$D$2004))</f>
        <v>0</v>
      </c>
      <c r="G40">
        <f>IF(Products!$B$25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$25),Orders!$D$5:$D$2004))</f>
        <v>0</v>
      </c>
      <c r="H40">
        <f>IF(Products!$B$25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$25),Orders!$D$5:$D$2004))</f>
        <v>0</v>
      </c>
      <c r="I40">
        <f>IF(Products!$B$25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$25),Orders!$D$5:$D$2004))</f>
        <v>0</v>
      </c>
      <c r="J40">
        <f>IF(Products!$B$25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$25),Orders!$D$5:$D$2004))</f>
        <v>0</v>
      </c>
      <c r="K40">
        <f>IF(Products!$B$25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$25),Orders!$D$5:$D$2004))</f>
        <v>0</v>
      </c>
      <c r="L40">
        <f>IF(Products!$B$25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$25),Orders!$D$5:$D$2004))</f>
        <v>0</v>
      </c>
      <c r="M40">
        <f>IF(Products!$B$25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$25),Orders!$D$5:$D$2004))</f>
        <v>0</v>
      </c>
      <c r="N40">
        <f>IF(Products!$B$25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$25),Orders!$D$5:$D$2004))</f>
        <v>0</v>
      </c>
      <c r="P40">
        <f>IF(Products!$B$25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$25),Orders!$E$5:$E$2004))</f>
        <v>0</v>
      </c>
      <c r="Q40">
        <f>IF(Products!$B$25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$25),Orders!$J$5:$J$2004))</f>
        <v>0</v>
      </c>
      <c r="R40">
        <f t="array" ref="R40">IF(Products!$B$25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$25))*(Orders!$I$5:$I$2004="Yes")=1,IF(N('Fee Settings'!$C$8)*Orders!$E$5:$E$2004&gt;N('Fee Settings'!$C$9),N('Fee Settings'!$C$9),N('Fee Settings'!$C$8)*Orders!$E$5:$E$2004),0)))</f>
        <v>0</v>
      </c>
      <c r="S40">
        <f t="shared" si="5"/>
        <v>0</v>
      </c>
    </row>
    <row r="41" spans="2:19" x14ac:dyDescent="0.35">
      <c r="B41">
        <f>Products!$B$26</f>
        <v>0</v>
      </c>
      <c r="C41">
        <f>IF(Products!$B$26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$26),Orders!$D$5:$D$2004))</f>
        <v>0</v>
      </c>
      <c r="D41">
        <f>IF(Products!$B$26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$26),Orders!$D$5:$D$2004))</f>
        <v>0</v>
      </c>
      <c r="E41">
        <f>IF(Products!$B$26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$26),Orders!$D$5:$D$2004))</f>
        <v>0</v>
      </c>
      <c r="F41">
        <f>IF(Products!$B$26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$26),Orders!$D$5:$D$2004))</f>
        <v>0</v>
      </c>
      <c r="G41">
        <f>IF(Products!$B$26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$26),Orders!$D$5:$D$2004))</f>
        <v>0</v>
      </c>
      <c r="H41">
        <f>IF(Products!$B$26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$26),Orders!$D$5:$D$2004))</f>
        <v>0</v>
      </c>
      <c r="I41">
        <f>IF(Products!$B$26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$26),Orders!$D$5:$D$2004))</f>
        <v>0</v>
      </c>
      <c r="J41">
        <f>IF(Products!$B$26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$26),Orders!$D$5:$D$2004))</f>
        <v>0</v>
      </c>
      <c r="K41">
        <f>IF(Products!$B$26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$26),Orders!$D$5:$D$2004))</f>
        <v>0</v>
      </c>
      <c r="L41">
        <f>IF(Products!$B$26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$26),Orders!$D$5:$D$2004))</f>
        <v>0</v>
      </c>
      <c r="M41">
        <f>IF(Products!$B$26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$26),Orders!$D$5:$D$2004))</f>
        <v>0</v>
      </c>
      <c r="N41">
        <f>IF(Products!$B$26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$26),Orders!$D$5:$D$2004))</f>
        <v>0</v>
      </c>
      <c r="P41">
        <f>IF(Products!$B$26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$26),Orders!$E$5:$E$2004))</f>
        <v>0</v>
      </c>
      <c r="Q41">
        <f>IF(Products!$B$26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$26),Orders!$J$5:$J$2004))</f>
        <v>0</v>
      </c>
      <c r="R41">
        <f t="array" ref="R41">IF(Products!$B$26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$26))*(Orders!$I$5:$I$2004="Yes")=1,IF(N('Fee Settings'!$C$8)*Orders!$E$5:$E$2004&gt;N('Fee Settings'!$C$9),N('Fee Settings'!$C$9),N('Fee Settings'!$C$8)*Orders!$E$5:$E$2004),0)))</f>
        <v>0</v>
      </c>
      <c r="S41">
        <f t="shared" si="5"/>
        <v>0</v>
      </c>
    </row>
    <row r="42" spans="2:19" x14ac:dyDescent="0.35">
      <c r="B42">
        <f>Products!$B$27</f>
        <v>0</v>
      </c>
      <c r="C42">
        <f>IF(Products!$B$27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$27),Orders!$D$5:$D$2004))</f>
        <v>0</v>
      </c>
      <c r="D42">
        <f>IF(Products!$B$27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$27),Orders!$D$5:$D$2004))</f>
        <v>0</v>
      </c>
      <c r="E42">
        <f>IF(Products!$B$27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$27),Orders!$D$5:$D$2004))</f>
        <v>0</v>
      </c>
      <c r="F42">
        <f>IF(Products!$B$27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$27),Orders!$D$5:$D$2004))</f>
        <v>0</v>
      </c>
      <c r="G42">
        <f>IF(Products!$B$27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$27),Orders!$D$5:$D$2004))</f>
        <v>0</v>
      </c>
      <c r="H42">
        <f>IF(Products!$B$27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$27),Orders!$D$5:$D$2004))</f>
        <v>0</v>
      </c>
      <c r="I42">
        <f>IF(Products!$B$27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$27),Orders!$D$5:$D$2004))</f>
        <v>0</v>
      </c>
      <c r="J42">
        <f>IF(Products!$B$27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$27),Orders!$D$5:$D$2004))</f>
        <v>0</v>
      </c>
      <c r="K42">
        <f>IF(Products!$B$27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$27),Orders!$D$5:$D$2004))</f>
        <v>0</v>
      </c>
      <c r="L42">
        <f>IF(Products!$B$27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$27),Orders!$D$5:$D$2004))</f>
        <v>0</v>
      </c>
      <c r="M42">
        <f>IF(Products!$B$27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$27),Orders!$D$5:$D$2004))</f>
        <v>0</v>
      </c>
      <c r="N42">
        <f>IF(Products!$B$27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$27),Orders!$D$5:$D$2004))</f>
        <v>0</v>
      </c>
      <c r="P42">
        <f>IF(Products!$B$27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$27),Orders!$E$5:$E$2004))</f>
        <v>0</v>
      </c>
      <c r="Q42">
        <f>IF(Products!$B$27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$27),Orders!$J$5:$J$2004))</f>
        <v>0</v>
      </c>
      <c r="R42">
        <f t="array" ref="R42">IF(Products!$B$27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$27))*(Orders!$I$5:$I$2004="Yes")=1,IF(N('Fee Settings'!$C$8)*Orders!$E$5:$E$2004&gt;N('Fee Settings'!$C$9),N('Fee Settings'!$C$9),N('Fee Settings'!$C$8)*Orders!$E$5:$E$2004),0)))</f>
        <v>0</v>
      </c>
      <c r="S42">
        <f t="shared" si="5"/>
        <v>0</v>
      </c>
    </row>
    <row r="43" spans="2:19" x14ac:dyDescent="0.35">
      <c r="B43">
        <f>Products!$B$28</f>
        <v>0</v>
      </c>
      <c r="C43">
        <f>IF(Products!$B$28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$28),Orders!$D$5:$D$2004))</f>
        <v>0</v>
      </c>
      <c r="D43">
        <f>IF(Products!$B$28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$28),Orders!$D$5:$D$2004))</f>
        <v>0</v>
      </c>
      <c r="E43">
        <f>IF(Products!$B$28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$28),Orders!$D$5:$D$2004))</f>
        <v>0</v>
      </c>
      <c r="F43">
        <f>IF(Products!$B$28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$28),Orders!$D$5:$D$2004))</f>
        <v>0</v>
      </c>
      <c r="G43">
        <f>IF(Products!$B$28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$28),Orders!$D$5:$D$2004))</f>
        <v>0</v>
      </c>
      <c r="H43">
        <f>IF(Products!$B$28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$28),Orders!$D$5:$D$2004))</f>
        <v>0</v>
      </c>
      <c r="I43">
        <f>IF(Products!$B$28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$28),Orders!$D$5:$D$2004))</f>
        <v>0</v>
      </c>
      <c r="J43">
        <f>IF(Products!$B$28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$28),Orders!$D$5:$D$2004))</f>
        <v>0</v>
      </c>
      <c r="K43">
        <f>IF(Products!$B$28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$28),Orders!$D$5:$D$2004))</f>
        <v>0</v>
      </c>
      <c r="L43">
        <f>IF(Products!$B$28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$28),Orders!$D$5:$D$2004))</f>
        <v>0</v>
      </c>
      <c r="M43">
        <f>IF(Products!$B$28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$28),Orders!$D$5:$D$2004))</f>
        <v>0</v>
      </c>
      <c r="N43">
        <f>IF(Products!$B$28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$28),Orders!$D$5:$D$2004))</f>
        <v>0</v>
      </c>
      <c r="P43">
        <f>IF(Products!$B$28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$28),Orders!$E$5:$E$2004))</f>
        <v>0</v>
      </c>
      <c r="Q43">
        <f>IF(Products!$B$28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$28),Orders!$J$5:$J$2004))</f>
        <v>0</v>
      </c>
      <c r="R43">
        <f t="array" ref="R43">IF(Products!$B$28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$28))*(Orders!$I$5:$I$2004="Yes")=1,IF(N('Fee Settings'!$C$8)*Orders!$E$5:$E$2004&gt;N('Fee Settings'!$C$9),N('Fee Settings'!$C$9),N('Fee Settings'!$C$8)*Orders!$E$5:$E$2004),0)))</f>
        <v>0</v>
      </c>
      <c r="S43">
        <f t="shared" si="5"/>
        <v>0</v>
      </c>
    </row>
    <row r="44" spans="2:19" x14ac:dyDescent="0.35">
      <c r="B44">
        <f>Products!$B$29</f>
        <v>0</v>
      </c>
      <c r="C44">
        <f>IF(Products!$B$29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$3,2,1))*(Orders!$C$5:$C$2004=Products!$B$29),Orders!$D$5:$D$2004))</f>
        <v>0</v>
      </c>
      <c r="D44">
        <f>IF(Products!$B$29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$3,2,1))*(Orders!$A$5:$A$2004&lt;DATE(Dashboard!$C$3,3,1))*(Orders!$C$5:$C$2004=Products!$B$29),Orders!$D$5:$D$2004))</f>
        <v>0</v>
      </c>
      <c r="E44">
        <f>IF(Products!$B$29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$3,3,1))*(Orders!$A$5:$A$2004&lt;DATE(Dashboard!$C$3,4,1))*(Orders!$C$5:$C$2004=Products!$B$29),Orders!$D$5:$D$2004))</f>
        <v>0</v>
      </c>
      <c r="F44">
        <f>IF(Products!$B$29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$3,4,1))*(Orders!$A$5:$A$2004&lt;DATE(Dashboard!$C$3,5,1))*(Orders!$C$5:$C$2004=Products!$B$29),Orders!$D$5:$D$2004))</f>
        <v>0</v>
      </c>
      <c r="G44">
        <f>IF(Products!$B$29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$3,5,1))*(Orders!$A$5:$A$2004&lt;DATE(Dashboard!$C$3,6,1))*(Orders!$C$5:$C$2004=Products!$B$29),Orders!$D$5:$D$2004))</f>
        <v>0</v>
      </c>
      <c r="H44">
        <f>IF(Products!$B$29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$3,6,1))*(Orders!$A$5:$A$2004&lt;DATE(Dashboard!$C$3,7,1))*(Orders!$C$5:$C$2004=Products!$B$29),Orders!$D$5:$D$2004))</f>
        <v>0</v>
      </c>
      <c r="I44">
        <f>IF(Products!$B$29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$3,7,1))*(Orders!$A$5:$A$2004&lt;DATE(Dashboard!$C$3,8,1))*(Orders!$C$5:$C$2004=Products!$B$29),Orders!$D$5:$D$2004))</f>
        <v>0</v>
      </c>
      <c r="J44">
        <f>IF(Products!$B$29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$3,8,1))*(Orders!$A$5:$A$2004&lt;DATE(Dashboard!$C$3,9,1))*(Orders!$C$5:$C$2004=Products!$B$29),Orders!$D$5:$D$2004))</f>
        <v>0</v>
      </c>
      <c r="K44">
        <f>IF(Products!$B$29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$3,9,1))*(Orders!$A$5:$A$2004&lt;DATE(Dashboard!$C$3,10,1))*(Orders!$C$5:$C$2004=Products!$B$29),Orders!$D$5:$D$2004))</f>
        <v>0</v>
      </c>
      <c r="L44">
        <f>IF(Products!$B$29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$3,10,1))*(Orders!$A$5:$A$2004&lt;DATE(Dashboard!$C$3,11,1))*(Orders!$C$5:$C$2004=Products!$B$29),Orders!$D$5:$D$2004))</f>
        <v>0</v>
      </c>
      <c r="M44">
        <f>IF(Products!$B$29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$3,11,1))*(Orders!$A$5:$A$2004&lt;DATE(Dashboard!$C$3,12,1))*(Orders!$C$5:$C$2004=Products!$B$29),Orders!$D$5:$D$2004))</f>
        <v>0</v>
      </c>
      <c r="N44">
        <f>IF(Products!$B$29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$3,12,1))*(Orders!$A$5:$A$2004&lt;DATE(Dashboard!$C$3,13,1))*(Orders!$C$5:$C$2004=Products!$B$29),Orders!$D$5:$D$2004))</f>
        <v>0</v>
      </c>
      <c r="P44">
        <f>IF(Products!$B$29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$29),Orders!$E$5:$E$2004))</f>
        <v>0</v>
      </c>
      <c r="Q44">
        <f>IF(Products!$B$29="",0,SUMPRODUCT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$29),Orders!$J$5:$J$2004))</f>
        <v>0</v>
      </c>
      <c r="R44">
        <f t="array" ref="R44">IF(Products!$B$29="",0,SUM(IF(((ISNUMBER(Orders!$A$5:$A$2004)*ISNUMBER(MATCH(Orders!$C$5:$C$2004,Lists!$A$2:$A$26,0))*ISNUMBER(Orders!$D$5:$D$2004)*(Orders!$D$5:$D$2004&gt;0)*ISNUMBER(Orders!$E$5:$E$2004)*(ISNUMBER(Orders!$F$5:$F$2004)+(Orders!$F$5:$F$2004=""))*(ISNUMBER(Orders!$G$5:$G$2004)+(Orders!$G$5:$G$2004=""))*(ISNUMBER(Orders!$H$5:$H$2004)+(Orders!$H$5:$H$2004=""))*(ISNUMBER(Orders!$J$5:$J$2004)+(Orders!$J$5:$J$2004=""))*((Orders!$I$5:$I$2004="Yes")+(Orders!$I$5:$I$2004="No")+(Orders!$I$5:$I$2004="")))*(Orders!$A$5:$A$2004&gt;=DATE(Dashboard!$C$3,1,1))*(Orders!$A$5:$A$2004&lt;DATE(Dashboard!$C$3+1,1,1))*(Orders!$C$5:$C$2004=Products!$B$29))*(Orders!$I$5:$I$2004="Yes")=1,IF(N('Fee Settings'!$C$8)*Orders!$E$5:$E$2004&gt;N('Fee Settings'!$C$9),N('Fee Settings'!$C$9),N('Fee Settings'!$C$8)*Orders!$E$5:$E$2004),0)))</f>
        <v>0</v>
      </c>
      <c r="S44">
        <f t="shared" si="5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Start Here</vt:lpstr>
      <vt:lpstr>Dashboard</vt:lpstr>
      <vt:lpstr>Orders</vt:lpstr>
      <vt:lpstr>Products</vt:lpstr>
      <vt:lpstr>Shop Expenses</vt:lpstr>
      <vt:lpstr>Monthly P&amp;L</vt:lpstr>
      <vt:lpstr>Price Calculator</vt:lpstr>
      <vt:lpstr>Fee Settings</vt:lpstr>
      <vt:lpstr>Lists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Murphy</cp:lastModifiedBy>
  <dcterms:created xsi:type="dcterms:W3CDTF">2026-10-22T14:35:40Z</dcterms:created>
  <dcterms:modified xsi:type="dcterms:W3CDTF">2026-10-22T14:44:07Z</dcterms:modified>
</cp:coreProperties>
</file>