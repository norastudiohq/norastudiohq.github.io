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My Drive\Joker\projects\products\03-reseller-tracker\"/>
    </mc:Choice>
  </mc:AlternateContent>
  <xr:revisionPtr revIDLastSave="0" documentId="13_ncr:1_{B82B6AEA-B4FF-48B4-BD25-AF3B6E84A106}" xr6:coauthVersionLast="47" xr6:coauthVersionMax="47" xr10:uidLastSave="{00000000-0000-0000-0000-000000000000}"/>
  <bookViews>
    <workbookView xWindow="34290" yWindow="-210" windowWidth="34620" windowHeight="13900" xr2:uid="{00000000-000D-0000-FFFF-FFFF00000000}"/>
  </bookViews>
  <sheets>
    <sheet name="Start Here" sheetId="1" r:id="rId1"/>
    <sheet name="Dashboard" sheetId="2" r:id="rId2"/>
    <sheet name="Inventory" sheetId="3" r:id="rId3"/>
    <sheet name="Expenses" sheetId="4" r:id="rId4"/>
    <sheet name="Monthly P&amp;L" sheetId="5" r:id="rId5"/>
    <sheet name="Buy or Pass" sheetId="6" r:id="rId6"/>
    <sheet name="Platforms" sheetId="7" r:id="rId7"/>
    <sheet name="Lists" sheetId="8" state="hidden" r:id="rId8"/>
    <sheet name="Calc" sheetId="9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9" i="9" l="1"/>
  <c r="S29" i="9"/>
  <c r="Q29" i="9"/>
  <c r="P29" i="9"/>
  <c r="N29" i="9" a="1"/>
  <c r="N29" i="9" s="1"/>
  <c r="M29" i="9" a="1"/>
  <c r="M29" i="9" s="1"/>
  <c r="L29" i="9" a="1"/>
  <c r="L29" i="9" s="1"/>
  <c r="K29" i="9" a="1"/>
  <c r="K29" i="9" s="1"/>
  <c r="J29" i="9" a="1"/>
  <c r="J29" i="9"/>
  <c r="I29" i="9" a="1"/>
  <c r="I29" i="9" s="1"/>
  <c r="H29" i="9" a="1"/>
  <c r="H29" i="9" s="1"/>
  <c r="G29" i="9" a="1"/>
  <c r="G29" i="9" s="1"/>
  <c r="F29" i="9" a="1"/>
  <c r="F29" i="9" s="1"/>
  <c r="E29" i="9" a="1"/>
  <c r="E29" i="9" s="1"/>
  <c r="D29" i="9" a="1"/>
  <c r="D29" i="9" s="1"/>
  <c r="C29" i="9" a="1"/>
  <c r="C29" i="9" s="1"/>
  <c r="R29" i="9" s="1"/>
  <c r="X29" i="2" s="1"/>
  <c r="B29" i="9"/>
  <c r="V29" i="2" s="1"/>
  <c r="T28" i="9"/>
  <c r="S28" i="9"/>
  <c r="Q28" i="9"/>
  <c r="P28" i="9"/>
  <c r="N28" i="9" a="1"/>
  <c r="N28" i="9" s="1"/>
  <c r="M28" i="9" a="1"/>
  <c r="M28" i="9" s="1"/>
  <c r="L28" i="9" a="1"/>
  <c r="L28" i="9" s="1"/>
  <c r="K28" i="9" a="1"/>
  <c r="K28" i="9" s="1"/>
  <c r="J28" i="9" a="1"/>
  <c r="J28" i="9" s="1"/>
  <c r="I28" i="9" a="1"/>
  <c r="I28" i="9" s="1"/>
  <c r="H28" i="9" a="1"/>
  <c r="H28" i="9" s="1"/>
  <c r="G28" i="9" a="1"/>
  <c r="G28" i="9" s="1"/>
  <c r="F28" i="9" a="1"/>
  <c r="F28" i="9" s="1"/>
  <c r="E28" i="9" a="1"/>
  <c r="E28" i="9" s="1"/>
  <c r="D28" i="9" a="1"/>
  <c r="D28" i="9" s="1"/>
  <c r="C28" i="9" a="1"/>
  <c r="C28" i="9" s="1"/>
  <c r="R28" i="9" s="1"/>
  <c r="X28" i="2" s="1"/>
  <c r="B28" i="9"/>
  <c r="V28" i="2" s="1"/>
  <c r="B27" i="9"/>
  <c r="V27" i="2" s="1"/>
  <c r="B26" i="9"/>
  <c r="V26" i="2" s="1"/>
  <c r="B25" i="9"/>
  <c r="V25" i="2" s="1"/>
  <c r="B24" i="9"/>
  <c r="V24" i="2" s="1"/>
  <c r="B23" i="9"/>
  <c r="V23" i="2" s="1"/>
  <c r="B22" i="9"/>
  <c r="V22" i="2" s="1"/>
  <c r="B21" i="9"/>
  <c r="V21" i="2" s="1"/>
  <c r="B20" i="9"/>
  <c r="V20" i="2" s="1"/>
  <c r="K14" i="9"/>
  <c r="H17" i="5" s="1"/>
  <c r="K13" i="9"/>
  <c r="H16" i="5" s="1"/>
  <c r="K12" i="9"/>
  <c r="H15" i="5" s="1"/>
  <c r="K11" i="9"/>
  <c r="H14" i="5" s="1"/>
  <c r="K10" i="9"/>
  <c r="H13" i="5" s="1"/>
  <c r="K9" i="9"/>
  <c r="H12" i="5" s="1"/>
  <c r="K8" i="9"/>
  <c r="H11" i="5" s="1"/>
  <c r="N7" i="9"/>
  <c r="K7" i="9"/>
  <c r="H10" i="5" s="1"/>
  <c r="N6" i="9"/>
  <c r="K6" i="9"/>
  <c r="H9" i="5" s="1"/>
  <c r="N5" i="9"/>
  <c r="K5" i="9"/>
  <c r="H8" i="5" s="1"/>
  <c r="N4" i="9"/>
  <c r="K4" i="9"/>
  <c r="H7" i="5" s="1"/>
  <c r="N3" i="9"/>
  <c r="K3" i="9"/>
  <c r="J3" i="9"/>
  <c r="I3" i="9"/>
  <c r="F3" i="9"/>
  <c r="E3" i="9"/>
  <c r="D3" i="9"/>
  <c r="C3" i="9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3" i="8"/>
  <c r="A3" i="8"/>
  <c r="B2" i="8"/>
  <c r="A2" i="8"/>
  <c r="M14" i="7"/>
  <c r="L14" i="7"/>
  <c r="K14" i="7"/>
  <c r="J14" i="7"/>
  <c r="N14" i="7" s="1"/>
  <c r="M13" i="7"/>
  <c r="L13" i="7"/>
  <c r="K13" i="7"/>
  <c r="J13" i="7"/>
  <c r="N13" i="7" s="1"/>
  <c r="E14" i="6"/>
  <c r="E13" i="6"/>
  <c r="E12" i="6"/>
  <c r="E11" i="6"/>
  <c r="E10" i="6"/>
  <c r="E9" i="6"/>
  <c r="E8" i="6"/>
  <c r="E7" i="6"/>
  <c r="E6" i="6"/>
  <c r="E5" i="6"/>
  <c r="C3" i="5"/>
  <c r="G2" i="4"/>
  <c r="T2004" i="3"/>
  <c r="R2004" i="3"/>
  <c r="S2004" i="3" s="1"/>
  <c r="Q2004" i="3"/>
  <c r="P2004" i="3"/>
  <c r="T2003" i="3"/>
  <c r="R2003" i="3"/>
  <c r="S2003" i="3" s="1"/>
  <c r="Q2003" i="3"/>
  <c r="P2003" i="3"/>
  <c r="T2002" i="3"/>
  <c r="R2002" i="3"/>
  <c r="S2002" i="3" s="1"/>
  <c r="Q2002" i="3"/>
  <c r="P2002" i="3"/>
  <c r="T2001" i="3"/>
  <c r="R2001" i="3"/>
  <c r="S2001" i="3" s="1"/>
  <c r="Q2001" i="3"/>
  <c r="P2001" i="3"/>
  <c r="T2000" i="3"/>
  <c r="R2000" i="3"/>
  <c r="S2000" i="3" s="1"/>
  <c r="Q2000" i="3"/>
  <c r="P2000" i="3"/>
  <c r="T1999" i="3"/>
  <c r="R1999" i="3"/>
  <c r="S1999" i="3" s="1"/>
  <c r="Q1999" i="3"/>
  <c r="P1999" i="3"/>
  <c r="T1998" i="3"/>
  <c r="R1998" i="3"/>
  <c r="S1998" i="3" s="1"/>
  <c r="Q1998" i="3"/>
  <c r="P1998" i="3"/>
  <c r="T1997" i="3"/>
  <c r="R1997" i="3"/>
  <c r="S1997" i="3" s="1"/>
  <c r="Q1997" i="3"/>
  <c r="P1997" i="3"/>
  <c r="T1996" i="3"/>
  <c r="R1996" i="3"/>
  <c r="S1996" i="3" s="1"/>
  <c r="Q1996" i="3"/>
  <c r="P1996" i="3"/>
  <c r="T1995" i="3"/>
  <c r="R1995" i="3"/>
  <c r="S1995" i="3" s="1"/>
  <c r="Q1995" i="3"/>
  <c r="P1995" i="3"/>
  <c r="T1994" i="3"/>
  <c r="R1994" i="3"/>
  <c r="S1994" i="3" s="1"/>
  <c r="Q1994" i="3"/>
  <c r="P1994" i="3"/>
  <c r="T1993" i="3"/>
  <c r="R1993" i="3"/>
  <c r="S1993" i="3" s="1"/>
  <c r="Q1993" i="3"/>
  <c r="P1993" i="3"/>
  <c r="T1992" i="3"/>
  <c r="R1992" i="3"/>
  <c r="S1992" i="3" s="1"/>
  <c r="Q1992" i="3"/>
  <c r="P1992" i="3"/>
  <c r="T1991" i="3"/>
  <c r="R1991" i="3"/>
  <c r="S1991" i="3" s="1"/>
  <c r="Q1991" i="3"/>
  <c r="P1991" i="3"/>
  <c r="T1990" i="3"/>
  <c r="R1990" i="3"/>
  <c r="S1990" i="3" s="1"/>
  <c r="Q1990" i="3"/>
  <c r="P1990" i="3"/>
  <c r="T1989" i="3"/>
  <c r="R1989" i="3"/>
  <c r="S1989" i="3" s="1"/>
  <c r="Q1989" i="3"/>
  <c r="P1989" i="3"/>
  <c r="T1988" i="3"/>
  <c r="R1988" i="3"/>
  <c r="S1988" i="3" s="1"/>
  <c r="Q1988" i="3"/>
  <c r="P1988" i="3"/>
  <c r="T1987" i="3"/>
  <c r="R1987" i="3"/>
  <c r="S1987" i="3" s="1"/>
  <c r="Q1987" i="3"/>
  <c r="P1987" i="3"/>
  <c r="T1986" i="3"/>
  <c r="R1986" i="3"/>
  <c r="S1986" i="3" s="1"/>
  <c r="Q1986" i="3"/>
  <c r="P1986" i="3"/>
  <c r="T1985" i="3"/>
  <c r="R1985" i="3"/>
  <c r="S1985" i="3" s="1"/>
  <c r="Q1985" i="3"/>
  <c r="P1985" i="3"/>
  <c r="T1984" i="3"/>
  <c r="R1984" i="3"/>
  <c r="S1984" i="3" s="1"/>
  <c r="Q1984" i="3"/>
  <c r="P1984" i="3"/>
  <c r="T1983" i="3"/>
  <c r="R1983" i="3"/>
  <c r="S1983" i="3" s="1"/>
  <c r="Q1983" i="3"/>
  <c r="P1983" i="3"/>
  <c r="T1982" i="3"/>
  <c r="R1982" i="3"/>
  <c r="S1982" i="3" s="1"/>
  <c r="Q1982" i="3"/>
  <c r="P1982" i="3"/>
  <c r="T1981" i="3"/>
  <c r="R1981" i="3"/>
  <c r="S1981" i="3" s="1"/>
  <c r="Q1981" i="3"/>
  <c r="P1981" i="3"/>
  <c r="T1980" i="3"/>
  <c r="R1980" i="3"/>
  <c r="S1980" i="3" s="1"/>
  <c r="Q1980" i="3"/>
  <c r="P1980" i="3"/>
  <c r="T1979" i="3"/>
  <c r="R1979" i="3"/>
  <c r="S1979" i="3" s="1"/>
  <c r="Q1979" i="3"/>
  <c r="P1979" i="3"/>
  <c r="T1978" i="3"/>
  <c r="R1978" i="3"/>
  <c r="S1978" i="3" s="1"/>
  <c r="Q1978" i="3"/>
  <c r="P1978" i="3"/>
  <c r="T1977" i="3"/>
  <c r="R1977" i="3"/>
  <c r="S1977" i="3" s="1"/>
  <c r="Q1977" i="3"/>
  <c r="P1977" i="3"/>
  <c r="T1976" i="3"/>
  <c r="R1976" i="3"/>
  <c r="S1976" i="3" s="1"/>
  <c r="Q1976" i="3"/>
  <c r="P1976" i="3"/>
  <c r="T1975" i="3"/>
  <c r="R1975" i="3"/>
  <c r="S1975" i="3" s="1"/>
  <c r="Q1975" i="3"/>
  <c r="P1975" i="3"/>
  <c r="T1974" i="3"/>
  <c r="R1974" i="3"/>
  <c r="S1974" i="3" s="1"/>
  <c r="Q1974" i="3"/>
  <c r="P1974" i="3"/>
  <c r="T1973" i="3"/>
  <c r="R1973" i="3"/>
  <c r="S1973" i="3" s="1"/>
  <c r="Q1973" i="3"/>
  <c r="P1973" i="3"/>
  <c r="T1972" i="3"/>
  <c r="R1972" i="3"/>
  <c r="S1972" i="3" s="1"/>
  <c r="Q1972" i="3"/>
  <c r="P1972" i="3"/>
  <c r="T1971" i="3"/>
  <c r="R1971" i="3"/>
  <c r="S1971" i="3" s="1"/>
  <c r="Q1971" i="3"/>
  <c r="P1971" i="3"/>
  <c r="T1970" i="3"/>
  <c r="R1970" i="3"/>
  <c r="S1970" i="3" s="1"/>
  <c r="Q1970" i="3"/>
  <c r="P1970" i="3"/>
  <c r="T1969" i="3"/>
  <c r="R1969" i="3"/>
  <c r="S1969" i="3" s="1"/>
  <c r="Q1969" i="3"/>
  <c r="P1969" i="3"/>
  <c r="T1968" i="3"/>
  <c r="R1968" i="3"/>
  <c r="S1968" i="3" s="1"/>
  <c r="Q1968" i="3"/>
  <c r="P1968" i="3"/>
  <c r="T1967" i="3"/>
  <c r="R1967" i="3"/>
  <c r="S1967" i="3" s="1"/>
  <c r="Q1967" i="3"/>
  <c r="P1967" i="3"/>
  <c r="T1966" i="3"/>
  <c r="R1966" i="3"/>
  <c r="S1966" i="3" s="1"/>
  <c r="Q1966" i="3"/>
  <c r="P1966" i="3"/>
  <c r="T1965" i="3"/>
  <c r="R1965" i="3"/>
  <c r="S1965" i="3" s="1"/>
  <c r="Q1965" i="3"/>
  <c r="P1965" i="3"/>
  <c r="T1964" i="3"/>
  <c r="R1964" i="3"/>
  <c r="S1964" i="3" s="1"/>
  <c r="Q1964" i="3"/>
  <c r="P1964" i="3"/>
  <c r="T1963" i="3"/>
  <c r="R1963" i="3"/>
  <c r="S1963" i="3" s="1"/>
  <c r="Q1963" i="3"/>
  <c r="P1963" i="3"/>
  <c r="T1962" i="3"/>
  <c r="R1962" i="3"/>
  <c r="S1962" i="3" s="1"/>
  <c r="Q1962" i="3"/>
  <c r="P1962" i="3"/>
  <c r="T1961" i="3"/>
  <c r="R1961" i="3"/>
  <c r="S1961" i="3" s="1"/>
  <c r="Q1961" i="3"/>
  <c r="P1961" i="3"/>
  <c r="T1960" i="3"/>
  <c r="R1960" i="3"/>
  <c r="S1960" i="3" s="1"/>
  <c r="Q1960" i="3"/>
  <c r="P1960" i="3"/>
  <c r="T1959" i="3"/>
  <c r="R1959" i="3"/>
  <c r="S1959" i="3" s="1"/>
  <c r="Q1959" i="3"/>
  <c r="P1959" i="3"/>
  <c r="T1958" i="3"/>
  <c r="R1958" i="3"/>
  <c r="S1958" i="3" s="1"/>
  <c r="Q1958" i="3"/>
  <c r="P1958" i="3"/>
  <c r="T1957" i="3"/>
  <c r="R1957" i="3"/>
  <c r="S1957" i="3" s="1"/>
  <c r="Q1957" i="3"/>
  <c r="P1957" i="3"/>
  <c r="T1956" i="3"/>
  <c r="R1956" i="3"/>
  <c r="S1956" i="3" s="1"/>
  <c r="Q1956" i="3"/>
  <c r="P1956" i="3"/>
  <c r="T1955" i="3"/>
  <c r="R1955" i="3"/>
  <c r="S1955" i="3" s="1"/>
  <c r="Q1955" i="3"/>
  <c r="P1955" i="3"/>
  <c r="T1954" i="3"/>
  <c r="R1954" i="3"/>
  <c r="S1954" i="3" s="1"/>
  <c r="Q1954" i="3"/>
  <c r="P1954" i="3"/>
  <c r="T1953" i="3"/>
  <c r="R1953" i="3"/>
  <c r="S1953" i="3" s="1"/>
  <c r="Q1953" i="3"/>
  <c r="P1953" i="3"/>
  <c r="T1952" i="3"/>
  <c r="R1952" i="3"/>
  <c r="S1952" i="3" s="1"/>
  <c r="Q1952" i="3"/>
  <c r="P1952" i="3"/>
  <c r="T1951" i="3"/>
  <c r="R1951" i="3"/>
  <c r="S1951" i="3" s="1"/>
  <c r="Q1951" i="3"/>
  <c r="P1951" i="3"/>
  <c r="T1950" i="3"/>
  <c r="R1950" i="3"/>
  <c r="S1950" i="3" s="1"/>
  <c r="Q1950" i="3"/>
  <c r="P1950" i="3"/>
  <c r="T1949" i="3"/>
  <c r="R1949" i="3"/>
  <c r="S1949" i="3" s="1"/>
  <c r="Q1949" i="3"/>
  <c r="P1949" i="3"/>
  <c r="T1948" i="3"/>
  <c r="R1948" i="3"/>
  <c r="S1948" i="3" s="1"/>
  <c r="Q1948" i="3"/>
  <c r="P1948" i="3"/>
  <c r="T1947" i="3"/>
  <c r="R1947" i="3"/>
  <c r="S1947" i="3" s="1"/>
  <c r="Q1947" i="3"/>
  <c r="P1947" i="3"/>
  <c r="T1946" i="3"/>
  <c r="R1946" i="3"/>
  <c r="S1946" i="3" s="1"/>
  <c r="Q1946" i="3"/>
  <c r="P1946" i="3"/>
  <c r="T1945" i="3"/>
  <c r="R1945" i="3"/>
  <c r="S1945" i="3" s="1"/>
  <c r="Q1945" i="3"/>
  <c r="P1945" i="3"/>
  <c r="T1944" i="3"/>
  <c r="R1944" i="3"/>
  <c r="S1944" i="3" s="1"/>
  <c r="Q1944" i="3"/>
  <c r="P1944" i="3"/>
  <c r="T1943" i="3"/>
  <c r="R1943" i="3"/>
  <c r="S1943" i="3" s="1"/>
  <c r="Q1943" i="3"/>
  <c r="P1943" i="3"/>
  <c r="T1942" i="3"/>
  <c r="R1942" i="3"/>
  <c r="S1942" i="3" s="1"/>
  <c r="Q1942" i="3"/>
  <c r="P1942" i="3"/>
  <c r="T1941" i="3"/>
  <c r="R1941" i="3"/>
  <c r="S1941" i="3" s="1"/>
  <c r="Q1941" i="3"/>
  <c r="P1941" i="3"/>
  <c r="T1940" i="3"/>
  <c r="R1940" i="3"/>
  <c r="S1940" i="3" s="1"/>
  <c r="Q1940" i="3"/>
  <c r="P1940" i="3"/>
  <c r="T1939" i="3"/>
  <c r="R1939" i="3"/>
  <c r="S1939" i="3" s="1"/>
  <c r="Q1939" i="3"/>
  <c r="P1939" i="3"/>
  <c r="T1938" i="3"/>
  <c r="R1938" i="3"/>
  <c r="S1938" i="3" s="1"/>
  <c r="Q1938" i="3"/>
  <c r="P1938" i="3"/>
  <c r="T1937" i="3"/>
  <c r="R1937" i="3"/>
  <c r="S1937" i="3" s="1"/>
  <c r="Q1937" i="3"/>
  <c r="P1937" i="3"/>
  <c r="T1936" i="3"/>
  <c r="R1936" i="3"/>
  <c r="S1936" i="3" s="1"/>
  <c r="Q1936" i="3"/>
  <c r="P1936" i="3"/>
  <c r="T1935" i="3"/>
  <c r="R1935" i="3"/>
  <c r="S1935" i="3" s="1"/>
  <c r="Q1935" i="3"/>
  <c r="P1935" i="3"/>
  <c r="T1934" i="3"/>
  <c r="R1934" i="3"/>
  <c r="S1934" i="3" s="1"/>
  <c r="Q1934" i="3"/>
  <c r="P1934" i="3"/>
  <c r="T1933" i="3"/>
  <c r="R1933" i="3"/>
  <c r="S1933" i="3" s="1"/>
  <c r="Q1933" i="3"/>
  <c r="P1933" i="3"/>
  <c r="T1932" i="3"/>
  <c r="R1932" i="3"/>
  <c r="S1932" i="3" s="1"/>
  <c r="Q1932" i="3"/>
  <c r="P1932" i="3"/>
  <c r="T1931" i="3"/>
  <c r="R1931" i="3"/>
  <c r="S1931" i="3" s="1"/>
  <c r="Q1931" i="3"/>
  <c r="P1931" i="3"/>
  <c r="T1930" i="3"/>
  <c r="R1930" i="3"/>
  <c r="S1930" i="3" s="1"/>
  <c r="Q1930" i="3"/>
  <c r="P1930" i="3"/>
  <c r="T1929" i="3"/>
  <c r="R1929" i="3"/>
  <c r="S1929" i="3" s="1"/>
  <c r="Q1929" i="3"/>
  <c r="P1929" i="3"/>
  <c r="T1928" i="3"/>
  <c r="R1928" i="3"/>
  <c r="S1928" i="3" s="1"/>
  <c r="Q1928" i="3"/>
  <c r="P1928" i="3"/>
  <c r="T1927" i="3"/>
  <c r="R1927" i="3"/>
  <c r="S1927" i="3" s="1"/>
  <c r="Q1927" i="3"/>
  <c r="P1927" i="3"/>
  <c r="T1926" i="3"/>
  <c r="R1926" i="3"/>
  <c r="S1926" i="3" s="1"/>
  <c r="Q1926" i="3"/>
  <c r="P1926" i="3"/>
  <c r="T1925" i="3"/>
  <c r="R1925" i="3"/>
  <c r="S1925" i="3" s="1"/>
  <c r="Q1925" i="3"/>
  <c r="P1925" i="3"/>
  <c r="T1924" i="3"/>
  <c r="R1924" i="3"/>
  <c r="S1924" i="3" s="1"/>
  <c r="Q1924" i="3"/>
  <c r="P1924" i="3"/>
  <c r="T1923" i="3"/>
  <c r="R1923" i="3"/>
  <c r="S1923" i="3" s="1"/>
  <c r="Q1923" i="3"/>
  <c r="P1923" i="3"/>
  <c r="T1922" i="3"/>
  <c r="R1922" i="3"/>
  <c r="S1922" i="3" s="1"/>
  <c r="Q1922" i="3"/>
  <c r="P1922" i="3"/>
  <c r="T1921" i="3"/>
  <c r="R1921" i="3"/>
  <c r="S1921" i="3" s="1"/>
  <c r="Q1921" i="3"/>
  <c r="P1921" i="3"/>
  <c r="T1920" i="3"/>
  <c r="R1920" i="3"/>
  <c r="S1920" i="3" s="1"/>
  <c r="Q1920" i="3"/>
  <c r="P1920" i="3"/>
  <c r="T1919" i="3"/>
  <c r="R1919" i="3"/>
  <c r="S1919" i="3" s="1"/>
  <c r="Q1919" i="3"/>
  <c r="P1919" i="3"/>
  <c r="T1918" i="3"/>
  <c r="R1918" i="3"/>
  <c r="S1918" i="3" s="1"/>
  <c r="Q1918" i="3"/>
  <c r="P1918" i="3"/>
  <c r="T1917" i="3"/>
  <c r="R1917" i="3"/>
  <c r="S1917" i="3" s="1"/>
  <c r="Q1917" i="3"/>
  <c r="P1917" i="3"/>
  <c r="T1916" i="3"/>
  <c r="R1916" i="3"/>
  <c r="S1916" i="3" s="1"/>
  <c r="Q1916" i="3"/>
  <c r="P1916" i="3"/>
  <c r="T1915" i="3"/>
  <c r="R1915" i="3"/>
  <c r="S1915" i="3" s="1"/>
  <c r="Q1915" i="3"/>
  <c r="P1915" i="3"/>
  <c r="T1914" i="3"/>
  <c r="R1914" i="3"/>
  <c r="S1914" i="3" s="1"/>
  <c r="Q1914" i="3"/>
  <c r="P1914" i="3"/>
  <c r="T1913" i="3"/>
  <c r="R1913" i="3"/>
  <c r="S1913" i="3" s="1"/>
  <c r="Q1913" i="3"/>
  <c r="P1913" i="3"/>
  <c r="T1912" i="3"/>
  <c r="R1912" i="3"/>
  <c r="S1912" i="3" s="1"/>
  <c r="Q1912" i="3"/>
  <c r="P1912" i="3"/>
  <c r="T1911" i="3"/>
  <c r="R1911" i="3"/>
  <c r="S1911" i="3" s="1"/>
  <c r="Q1911" i="3"/>
  <c r="P1911" i="3"/>
  <c r="T1910" i="3"/>
  <c r="R1910" i="3"/>
  <c r="S1910" i="3" s="1"/>
  <c r="Q1910" i="3"/>
  <c r="P1910" i="3"/>
  <c r="T1909" i="3"/>
  <c r="R1909" i="3"/>
  <c r="S1909" i="3" s="1"/>
  <c r="Q1909" i="3"/>
  <c r="P1909" i="3"/>
  <c r="T1908" i="3"/>
  <c r="R1908" i="3"/>
  <c r="S1908" i="3" s="1"/>
  <c r="Q1908" i="3"/>
  <c r="P1908" i="3"/>
  <c r="T1907" i="3"/>
  <c r="R1907" i="3"/>
  <c r="S1907" i="3" s="1"/>
  <c r="Q1907" i="3"/>
  <c r="P1907" i="3"/>
  <c r="T1906" i="3"/>
  <c r="R1906" i="3"/>
  <c r="S1906" i="3" s="1"/>
  <c r="Q1906" i="3"/>
  <c r="P1906" i="3"/>
  <c r="T1905" i="3"/>
  <c r="R1905" i="3"/>
  <c r="S1905" i="3" s="1"/>
  <c r="Q1905" i="3"/>
  <c r="P1905" i="3"/>
  <c r="T1904" i="3"/>
  <c r="R1904" i="3"/>
  <c r="S1904" i="3" s="1"/>
  <c r="Q1904" i="3"/>
  <c r="P1904" i="3"/>
  <c r="T1903" i="3"/>
  <c r="R1903" i="3"/>
  <c r="S1903" i="3" s="1"/>
  <c r="Q1903" i="3"/>
  <c r="P1903" i="3"/>
  <c r="T1902" i="3"/>
  <c r="R1902" i="3"/>
  <c r="S1902" i="3" s="1"/>
  <c r="Q1902" i="3"/>
  <c r="P1902" i="3"/>
  <c r="T1901" i="3"/>
  <c r="R1901" i="3"/>
  <c r="S1901" i="3" s="1"/>
  <c r="Q1901" i="3"/>
  <c r="P1901" i="3"/>
  <c r="T1900" i="3"/>
  <c r="R1900" i="3"/>
  <c r="S1900" i="3" s="1"/>
  <c r="Q1900" i="3"/>
  <c r="P1900" i="3"/>
  <c r="T1899" i="3"/>
  <c r="R1899" i="3"/>
  <c r="S1899" i="3" s="1"/>
  <c r="Q1899" i="3"/>
  <c r="P1899" i="3"/>
  <c r="T1898" i="3"/>
  <c r="R1898" i="3"/>
  <c r="S1898" i="3" s="1"/>
  <c r="Q1898" i="3"/>
  <c r="P1898" i="3"/>
  <c r="T1897" i="3"/>
  <c r="R1897" i="3"/>
  <c r="S1897" i="3" s="1"/>
  <c r="Q1897" i="3"/>
  <c r="P1897" i="3"/>
  <c r="T1896" i="3"/>
  <c r="R1896" i="3"/>
  <c r="S1896" i="3" s="1"/>
  <c r="Q1896" i="3"/>
  <c r="P1896" i="3"/>
  <c r="T1895" i="3"/>
  <c r="R1895" i="3"/>
  <c r="S1895" i="3" s="1"/>
  <c r="Q1895" i="3"/>
  <c r="P1895" i="3"/>
  <c r="T1894" i="3"/>
  <c r="R1894" i="3"/>
  <c r="S1894" i="3" s="1"/>
  <c r="Q1894" i="3"/>
  <c r="P1894" i="3"/>
  <c r="T1893" i="3"/>
  <c r="R1893" i="3"/>
  <c r="S1893" i="3" s="1"/>
  <c r="Q1893" i="3"/>
  <c r="P1893" i="3"/>
  <c r="T1892" i="3"/>
  <c r="R1892" i="3"/>
  <c r="S1892" i="3" s="1"/>
  <c r="Q1892" i="3"/>
  <c r="P1892" i="3"/>
  <c r="T1891" i="3"/>
  <c r="R1891" i="3"/>
  <c r="S1891" i="3" s="1"/>
  <c r="Q1891" i="3"/>
  <c r="P1891" i="3"/>
  <c r="T1890" i="3"/>
  <c r="R1890" i="3"/>
  <c r="S1890" i="3" s="1"/>
  <c r="Q1890" i="3"/>
  <c r="P1890" i="3"/>
  <c r="T1889" i="3"/>
  <c r="R1889" i="3"/>
  <c r="S1889" i="3" s="1"/>
  <c r="Q1889" i="3"/>
  <c r="P1889" i="3"/>
  <c r="T1888" i="3"/>
  <c r="R1888" i="3"/>
  <c r="S1888" i="3" s="1"/>
  <c r="Q1888" i="3"/>
  <c r="P1888" i="3"/>
  <c r="T1887" i="3"/>
  <c r="R1887" i="3"/>
  <c r="S1887" i="3" s="1"/>
  <c r="Q1887" i="3"/>
  <c r="P1887" i="3"/>
  <c r="T1886" i="3"/>
  <c r="R1886" i="3"/>
  <c r="S1886" i="3" s="1"/>
  <c r="Q1886" i="3"/>
  <c r="P1886" i="3"/>
  <c r="T1885" i="3"/>
  <c r="R1885" i="3"/>
  <c r="S1885" i="3" s="1"/>
  <c r="Q1885" i="3"/>
  <c r="P1885" i="3"/>
  <c r="T1884" i="3"/>
  <c r="R1884" i="3"/>
  <c r="S1884" i="3" s="1"/>
  <c r="Q1884" i="3"/>
  <c r="P1884" i="3"/>
  <c r="T1883" i="3"/>
  <c r="R1883" i="3"/>
  <c r="S1883" i="3" s="1"/>
  <c r="Q1883" i="3"/>
  <c r="P1883" i="3"/>
  <c r="T1882" i="3"/>
  <c r="R1882" i="3"/>
  <c r="S1882" i="3" s="1"/>
  <c r="Q1882" i="3"/>
  <c r="P1882" i="3"/>
  <c r="T1881" i="3"/>
  <c r="R1881" i="3"/>
  <c r="S1881" i="3" s="1"/>
  <c r="Q1881" i="3"/>
  <c r="P1881" i="3"/>
  <c r="T1880" i="3"/>
  <c r="R1880" i="3"/>
  <c r="S1880" i="3" s="1"/>
  <c r="Q1880" i="3"/>
  <c r="P1880" i="3"/>
  <c r="T1879" i="3"/>
  <c r="R1879" i="3"/>
  <c r="S1879" i="3" s="1"/>
  <c r="Q1879" i="3"/>
  <c r="P1879" i="3"/>
  <c r="T1878" i="3"/>
  <c r="R1878" i="3"/>
  <c r="S1878" i="3" s="1"/>
  <c r="Q1878" i="3"/>
  <c r="P1878" i="3"/>
  <c r="T1877" i="3"/>
  <c r="R1877" i="3"/>
  <c r="S1877" i="3" s="1"/>
  <c r="Q1877" i="3"/>
  <c r="P1877" i="3"/>
  <c r="T1876" i="3"/>
  <c r="R1876" i="3"/>
  <c r="S1876" i="3" s="1"/>
  <c r="Q1876" i="3"/>
  <c r="P1876" i="3"/>
  <c r="T1875" i="3"/>
  <c r="R1875" i="3"/>
  <c r="S1875" i="3" s="1"/>
  <c r="Q1875" i="3"/>
  <c r="P1875" i="3"/>
  <c r="T1874" i="3"/>
  <c r="R1874" i="3"/>
  <c r="S1874" i="3" s="1"/>
  <c r="Q1874" i="3"/>
  <c r="P1874" i="3"/>
  <c r="T1873" i="3"/>
  <c r="R1873" i="3"/>
  <c r="S1873" i="3" s="1"/>
  <c r="Q1873" i="3"/>
  <c r="P1873" i="3"/>
  <c r="T1872" i="3"/>
  <c r="R1872" i="3"/>
  <c r="S1872" i="3" s="1"/>
  <c r="Q1872" i="3"/>
  <c r="P1872" i="3"/>
  <c r="T1871" i="3"/>
  <c r="R1871" i="3"/>
  <c r="S1871" i="3" s="1"/>
  <c r="Q1871" i="3"/>
  <c r="P1871" i="3"/>
  <c r="T1870" i="3"/>
  <c r="R1870" i="3"/>
  <c r="S1870" i="3" s="1"/>
  <c r="Q1870" i="3"/>
  <c r="P1870" i="3"/>
  <c r="T1869" i="3"/>
  <c r="R1869" i="3"/>
  <c r="S1869" i="3" s="1"/>
  <c r="Q1869" i="3"/>
  <c r="P1869" i="3"/>
  <c r="T1868" i="3"/>
  <c r="R1868" i="3"/>
  <c r="S1868" i="3" s="1"/>
  <c r="Q1868" i="3"/>
  <c r="P1868" i="3"/>
  <c r="T1867" i="3"/>
  <c r="R1867" i="3"/>
  <c r="S1867" i="3" s="1"/>
  <c r="Q1867" i="3"/>
  <c r="P1867" i="3"/>
  <c r="T1866" i="3"/>
  <c r="R1866" i="3"/>
  <c r="S1866" i="3" s="1"/>
  <c r="Q1866" i="3"/>
  <c r="P1866" i="3"/>
  <c r="T1865" i="3"/>
  <c r="R1865" i="3"/>
  <c r="S1865" i="3" s="1"/>
  <c r="Q1865" i="3"/>
  <c r="P1865" i="3"/>
  <c r="T1864" i="3"/>
  <c r="R1864" i="3"/>
  <c r="S1864" i="3" s="1"/>
  <c r="Q1864" i="3"/>
  <c r="P1864" i="3"/>
  <c r="T1863" i="3"/>
  <c r="R1863" i="3"/>
  <c r="S1863" i="3" s="1"/>
  <c r="Q1863" i="3"/>
  <c r="P1863" i="3"/>
  <c r="T1862" i="3"/>
  <c r="R1862" i="3"/>
  <c r="S1862" i="3" s="1"/>
  <c r="Q1862" i="3"/>
  <c r="P1862" i="3"/>
  <c r="T1861" i="3"/>
  <c r="R1861" i="3"/>
  <c r="S1861" i="3" s="1"/>
  <c r="Q1861" i="3"/>
  <c r="P1861" i="3"/>
  <c r="T1860" i="3"/>
  <c r="R1860" i="3"/>
  <c r="S1860" i="3" s="1"/>
  <c r="Q1860" i="3"/>
  <c r="P1860" i="3"/>
  <c r="T1859" i="3"/>
  <c r="R1859" i="3"/>
  <c r="S1859" i="3" s="1"/>
  <c r="Q1859" i="3"/>
  <c r="P1859" i="3"/>
  <c r="T1858" i="3"/>
  <c r="R1858" i="3"/>
  <c r="S1858" i="3" s="1"/>
  <c r="Q1858" i="3"/>
  <c r="P1858" i="3"/>
  <c r="T1857" i="3"/>
  <c r="R1857" i="3"/>
  <c r="S1857" i="3" s="1"/>
  <c r="Q1857" i="3"/>
  <c r="P1857" i="3"/>
  <c r="T1856" i="3"/>
  <c r="R1856" i="3"/>
  <c r="S1856" i="3" s="1"/>
  <c r="Q1856" i="3"/>
  <c r="P1856" i="3"/>
  <c r="T1855" i="3"/>
  <c r="R1855" i="3"/>
  <c r="S1855" i="3" s="1"/>
  <c r="Q1855" i="3"/>
  <c r="P1855" i="3"/>
  <c r="T1854" i="3"/>
  <c r="R1854" i="3"/>
  <c r="S1854" i="3" s="1"/>
  <c r="Q1854" i="3"/>
  <c r="P1854" i="3"/>
  <c r="T1853" i="3"/>
  <c r="R1853" i="3"/>
  <c r="S1853" i="3" s="1"/>
  <c r="Q1853" i="3"/>
  <c r="P1853" i="3"/>
  <c r="T1852" i="3"/>
  <c r="R1852" i="3"/>
  <c r="S1852" i="3" s="1"/>
  <c r="Q1852" i="3"/>
  <c r="P1852" i="3"/>
  <c r="T1851" i="3"/>
  <c r="R1851" i="3"/>
  <c r="S1851" i="3" s="1"/>
  <c r="Q1851" i="3"/>
  <c r="P1851" i="3"/>
  <c r="T1850" i="3"/>
  <c r="R1850" i="3"/>
  <c r="S1850" i="3" s="1"/>
  <c r="Q1850" i="3"/>
  <c r="P1850" i="3"/>
  <c r="T1849" i="3"/>
  <c r="R1849" i="3"/>
  <c r="S1849" i="3" s="1"/>
  <c r="Q1849" i="3"/>
  <c r="P1849" i="3"/>
  <c r="T1848" i="3"/>
  <c r="R1848" i="3"/>
  <c r="S1848" i="3" s="1"/>
  <c r="Q1848" i="3"/>
  <c r="P1848" i="3"/>
  <c r="T1847" i="3"/>
  <c r="R1847" i="3"/>
  <c r="S1847" i="3" s="1"/>
  <c r="Q1847" i="3"/>
  <c r="P1847" i="3"/>
  <c r="T1846" i="3"/>
  <c r="R1846" i="3"/>
  <c r="S1846" i="3" s="1"/>
  <c r="Q1846" i="3"/>
  <c r="P1846" i="3"/>
  <c r="T1845" i="3"/>
  <c r="R1845" i="3"/>
  <c r="S1845" i="3" s="1"/>
  <c r="Q1845" i="3"/>
  <c r="P1845" i="3"/>
  <c r="T1844" i="3"/>
  <c r="R1844" i="3"/>
  <c r="S1844" i="3" s="1"/>
  <c r="Q1844" i="3"/>
  <c r="P1844" i="3"/>
  <c r="T1843" i="3"/>
  <c r="R1843" i="3"/>
  <c r="S1843" i="3" s="1"/>
  <c r="Q1843" i="3"/>
  <c r="P1843" i="3"/>
  <c r="T1842" i="3"/>
  <c r="R1842" i="3"/>
  <c r="S1842" i="3" s="1"/>
  <c r="Q1842" i="3"/>
  <c r="P1842" i="3"/>
  <c r="T1841" i="3"/>
  <c r="R1841" i="3"/>
  <c r="S1841" i="3" s="1"/>
  <c r="Q1841" i="3"/>
  <c r="P1841" i="3"/>
  <c r="T1840" i="3"/>
  <c r="R1840" i="3"/>
  <c r="S1840" i="3" s="1"/>
  <c r="Q1840" i="3"/>
  <c r="P1840" i="3"/>
  <c r="T1839" i="3"/>
  <c r="R1839" i="3"/>
  <c r="S1839" i="3" s="1"/>
  <c r="Q1839" i="3"/>
  <c r="P1839" i="3"/>
  <c r="T1838" i="3"/>
  <c r="R1838" i="3"/>
  <c r="S1838" i="3" s="1"/>
  <c r="Q1838" i="3"/>
  <c r="P1838" i="3"/>
  <c r="T1837" i="3"/>
  <c r="R1837" i="3"/>
  <c r="S1837" i="3" s="1"/>
  <c r="Q1837" i="3"/>
  <c r="P1837" i="3"/>
  <c r="T1836" i="3"/>
  <c r="R1836" i="3"/>
  <c r="S1836" i="3" s="1"/>
  <c r="Q1836" i="3"/>
  <c r="P1836" i="3"/>
  <c r="T1835" i="3"/>
  <c r="R1835" i="3"/>
  <c r="S1835" i="3" s="1"/>
  <c r="Q1835" i="3"/>
  <c r="P1835" i="3"/>
  <c r="T1834" i="3"/>
  <c r="R1834" i="3"/>
  <c r="S1834" i="3" s="1"/>
  <c r="Q1834" i="3"/>
  <c r="P1834" i="3"/>
  <c r="T1833" i="3"/>
  <c r="R1833" i="3"/>
  <c r="S1833" i="3" s="1"/>
  <c r="Q1833" i="3"/>
  <c r="P1833" i="3"/>
  <c r="T1832" i="3"/>
  <c r="R1832" i="3"/>
  <c r="S1832" i="3" s="1"/>
  <c r="Q1832" i="3"/>
  <c r="P1832" i="3"/>
  <c r="T1831" i="3"/>
  <c r="R1831" i="3"/>
  <c r="S1831" i="3" s="1"/>
  <c r="Q1831" i="3"/>
  <c r="P1831" i="3"/>
  <c r="T1830" i="3"/>
  <c r="R1830" i="3"/>
  <c r="S1830" i="3" s="1"/>
  <c r="Q1830" i="3"/>
  <c r="P1830" i="3"/>
  <c r="T1829" i="3"/>
  <c r="R1829" i="3"/>
  <c r="S1829" i="3" s="1"/>
  <c r="Q1829" i="3"/>
  <c r="P1829" i="3"/>
  <c r="T1828" i="3"/>
  <c r="R1828" i="3"/>
  <c r="S1828" i="3" s="1"/>
  <c r="Q1828" i="3"/>
  <c r="P1828" i="3"/>
  <c r="T1827" i="3"/>
  <c r="R1827" i="3"/>
  <c r="S1827" i="3" s="1"/>
  <c r="Q1827" i="3"/>
  <c r="P1827" i="3"/>
  <c r="T1826" i="3"/>
  <c r="R1826" i="3"/>
  <c r="S1826" i="3" s="1"/>
  <c r="Q1826" i="3"/>
  <c r="P1826" i="3"/>
  <c r="T1825" i="3"/>
  <c r="R1825" i="3"/>
  <c r="S1825" i="3" s="1"/>
  <c r="Q1825" i="3"/>
  <c r="P1825" i="3"/>
  <c r="T1824" i="3"/>
  <c r="R1824" i="3"/>
  <c r="S1824" i="3" s="1"/>
  <c r="Q1824" i="3"/>
  <c r="P1824" i="3"/>
  <c r="T1823" i="3"/>
  <c r="R1823" i="3"/>
  <c r="S1823" i="3" s="1"/>
  <c r="Q1823" i="3"/>
  <c r="P1823" i="3"/>
  <c r="T1822" i="3"/>
  <c r="R1822" i="3"/>
  <c r="S1822" i="3" s="1"/>
  <c r="Q1822" i="3"/>
  <c r="P1822" i="3"/>
  <c r="T1821" i="3"/>
  <c r="R1821" i="3"/>
  <c r="S1821" i="3" s="1"/>
  <c r="Q1821" i="3"/>
  <c r="P1821" i="3"/>
  <c r="T1820" i="3"/>
  <c r="R1820" i="3"/>
  <c r="S1820" i="3" s="1"/>
  <c r="Q1820" i="3"/>
  <c r="P1820" i="3"/>
  <c r="T1819" i="3"/>
  <c r="R1819" i="3"/>
  <c r="S1819" i="3" s="1"/>
  <c r="Q1819" i="3"/>
  <c r="P1819" i="3"/>
  <c r="T1818" i="3"/>
  <c r="R1818" i="3"/>
  <c r="S1818" i="3" s="1"/>
  <c r="Q1818" i="3"/>
  <c r="P1818" i="3"/>
  <c r="T1817" i="3"/>
  <c r="R1817" i="3"/>
  <c r="S1817" i="3" s="1"/>
  <c r="Q1817" i="3"/>
  <c r="P1817" i="3"/>
  <c r="T1816" i="3"/>
  <c r="R1816" i="3"/>
  <c r="S1816" i="3" s="1"/>
  <c r="Q1816" i="3"/>
  <c r="P1816" i="3"/>
  <c r="T1815" i="3"/>
  <c r="R1815" i="3"/>
  <c r="S1815" i="3" s="1"/>
  <c r="Q1815" i="3"/>
  <c r="P1815" i="3"/>
  <c r="T1814" i="3"/>
  <c r="R1814" i="3"/>
  <c r="S1814" i="3" s="1"/>
  <c r="Q1814" i="3"/>
  <c r="P1814" i="3"/>
  <c r="T1813" i="3"/>
  <c r="R1813" i="3"/>
  <c r="S1813" i="3" s="1"/>
  <c r="Q1813" i="3"/>
  <c r="P1813" i="3"/>
  <c r="T1812" i="3"/>
  <c r="R1812" i="3"/>
  <c r="S1812" i="3" s="1"/>
  <c r="Q1812" i="3"/>
  <c r="P1812" i="3"/>
  <c r="T1811" i="3"/>
  <c r="R1811" i="3"/>
  <c r="S1811" i="3" s="1"/>
  <c r="Q1811" i="3"/>
  <c r="P1811" i="3"/>
  <c r="T1810" i="3"/>
  <c r="R1810" i="3"/>
  <c r="S1810" i="3" s="1"/>
  <c r="Q1810" i="3"/>
  <c r="P1810" i="3"/>
  <c r="T1809" i="3"/>
  <c r="R1809" i="3"/>
  <c r="S1809" i="3" s="1"/>
  <c r="Q1809" i="3"/>
  <c r="P1809" i="3"/>
  <c r="T1808" i="3"/>
  <c r="R1808" i="3"/>
  <c r="S1808" i="3" s="1"/>
  <c r="Q1808" i="3"/>
  <c r="P1808" i="3"/>
  <c r="T1807" i="3"/>
  <c r="R1807" i="3"/>
  <c r="S1807" i="3" s="1"/>
  <c r="Q1807" i="3"/>
  <c r="P1807" i="3"/>
  <c r="T1806" i="3"/>
  <c r="R1806" i="3"/>
  <c r="S1806" i="3" s="1"/>
  <c r="Q1806" i="3"/>
  <c r="P1806" i="3"/>
  <c r="T1805" i="3"/>
  <c r="R1805" i="3"/>
  <c r="S1805" i="3" s="1"/>
  <c r="Q1805" i="3"/>
  <c r="P1805" i="3"/>
  <c r="T1804" i="3"/>
  <c r="R1804" i="3"/>
  <c r="S1804" i="3" s="1"/>
  <c r="Q1804" i="3"/>
  <c r="P1804" i="3"/>
  <c r="T1803" i="3"/>
  <c r="R1803" i="3"/>
  <c r="S1803" i="3" s="1"/>
  <c r="Q1803" i="3"/>
  <c r="P1803" i="3"/>
  <c r="T1802" i="3"/>
  <c r="R1802" i="3"/>
  <c r="S1802" i="3" s="1"/>
  <c r="Q1802" i="3"/>
  <c r="P1802" i="3"/>
  <c r="T1801" i="3"/>
  <c r="R1801" i="3"/>
  <c r="S1801" i="3" s="1"/>
  <c r="Q1801" i="3"/>
  <c r="P1801" i="3"/>
  <c r="T1800" i="3"/>
  <c r="R1800" i="3"/>
  <c r="S1800" i="3" s="1"/>
  <c r="Q1800" i="3"/>
  <c r="P1800" i="3"/>
  <c r="T1799" i="3"/>
  <c r="R1799" i="3"/>
  <c r="S1799" i="3" s="1"/>
  <c r="Q1799" i="3"/>
  <c r="P1799" i="3"/>
  <c r="T1798" i="3"/>
  <c r="R1798" i="3"/>
  <c r="S1798" i="3" s="1"/>
  <c r="Q1798" i="3"/>
  <c r="P1798" i="3"/>
  <c r="T1797" i="3"/>
  <c r="R1797" i="3"/>
  <c r="S1797" i="3" s="1"/>
  <c r="Q1797" i="3"/>
  <c r="P1797" i="3"/>
  <c r="T1796" i="3"/>
  <c r="R1796" i="3"/>
  <c r="S1796" i="3" s="1"/>
  <c r="Q1796" i="3"/>
  <c r="P1796" i="3"/>
  <c r="T1795" i="3"/>
  <c r="R1795" i="3"/>
  <c r="S1795" i="3" s="1"/>
  <c r="Q1795" i="3"/>
  <c r="P1795" i="3"/>
  <c r="T1794" i="3"/>
  <c r="R1794" i="3"/>
  <c r="S1794" i="3" s="1"/>
  <c r="Q1794" i="3"/>
  <c r="P1794" i="3"/>
  <c r="T1793" i="3"/>
  <c r="R1793" i="3"/>
  <c r="S1793" i="3" s="1"/>
  <c r="Q1793" i="3"/>
  <c r="P1793" i="3"/>
  <c r="T1792" i="3"/>
  <c r="R1792" i="3"/>
  <c r="S1792" i="3" s="1"/>
  <c r="Q1792" i="3"/>
  <c r="P1792" i="3"/>
  <c r="T1791" i="3"/>
  <c r="R1791" i="3"/>
  <c r="S1791" i="3" s="1"/>
  <c r="Q1791" i="3"/>
  <c r="P1791" i="3"/>
  <c r="T1790" i="3"/>
  <c r="R1790" i="3"/>
  <c r="S1790" i="3" s="1"/>
  <c r="Q1790" i="3"/>
  <c r="P1790" i="3"/>
  <c r="T1789" i="3"/>
  <c r="R1789" i="3"/>
  <c r="S1789" i="3" s="1"/>
  <c r="Q1789" i="3"/>
  <c r="P1789" i="3"/>
  <c r="T1788" i="3"/>
  <c r="R1788" i="3"/>
  <c r="S1788" i="3" s="1"/>
  <c r="Q1788" i="3"/>
  <c r="P1788" i="3"/>
  <c r="T1787" i="3"/>
  <c r="R1787" i="3"/>
  <c r="S1787" i="3" s="1"/>
  <c r="Q1787" i="3"/>
  <c r="P1787" i="3"/>
  <c r="T1786" i="3"/>
  <c r="R1786" i="3"/>
  <c r="S1786" i="3" s="1"/>
  <c r="Q1786" i="3"/>
  <c r="P1786" i="3"/>
  <c r="T1785" i="3"/>
  <c r="R1785" i="3"/>
  <c r="S1785" i="3" s="1"/>
  <c r="Q1785" i="3"/>
  <c r="P1785" i="3"/>
  <c r="T1784" i="3"/>
  <c r="R1784" i="3"/>
  <c r="S1784" i="3" s="1"/>
  <c r="Q1784" i="3"/>
  <c r="P1784" i="3"/>
  <c r="T1783" i="3"/>
  <c r="R1783" i="3"/>
  <c r="S1783" i="3" s="1"/>
  <c r="Q1783" i="3"/>
  <c r="P1783" i="3"/>
  <c r="T1782" i="3"/>
  <c r="R1782" i="3"/>
  <c r="S1782" i="3" s="1"/>
  <c r="Q1782" i="3"/>
  <c r="P1782" i="3"/>
  <c r="T1781" i="3"/>
  <c r="R1781" i="3"/>
  <c r="S1781" i="3" s="1"/>
  <c r="Q1781" i="3"/>
  <c r="P1781" i="3"/>
  <c r="T1780" i="3"/>
  <c r="R1780" i="3"/>
  <c r="S1780" i="3" s="1"/>
  <c r="Q1780" i="3"/>
  <c r="P1780" i="3"/>
  <c r="T1779" i="3"/>
  <c r="R1779" i="3"/>
  <c r="S1779" i="3" s="1"/>
  <c r="Q1779" i="3"/>
  <c r="P1779" i="3"/>
  <c r="T1778" i="3"/>
  <c r="R1778" i="3"/>
  <c r="S1778" i="3" s="1"/>
  <c r="Q1778" i="3"/>
  <c r="P1778" i="3"/>
  <c r="T1777" i="3"/>
  <c r="R1777" i="3"/>
  <c r="S1777" i="3" s="1"/>
  <c r="Q1777" i="3"/>
  <c r="P1777" i="3"/>
  <c r="T1776" i="3"/>
  <c r="R1776" i="3"/>
  <c r="S1776" i="3" s="1"/>
  <c r="Q1776" i="3"/>
  <c r="P1776" i="3"/>
  <c r="T1775" i="3"/>
  <c r="R1775" i="3"/>
  <c r="S1775" i="3" s="1"/>
  <c r="Q1775" i="3"/>
  <c r="P1775" i="3"/>
  <c r="T1774" i="3"/>
  <c r="R1774" i="3"/>
  <c r="S1774" i="3" s="1"/>
  <c r="Q1774" i="3"/>
  <c r="P1774" i="3"/>
  <c r="T1773" i="3"/>
  <c r="R1773" i="3"/>
  <c r="S1773" i="3" s="1"/>
  <c r="Q1773" i="3"/>
  <c r="P1773" i="3"/>
  <c r="T1772" i="3"/>
  <c r="R1772" i="3"/>
  <c r="S1772" i="3" s="1"/>
  <c r="Q1772" i="3"/>
  <c r="P1772" i="3"/>
  <c r="T1771" i="3"/>
  <c r="R1771" i="3"/>
  <c r="S1771" i="3" s="1"/>
  <c r="Q1771" i="3"/>
  <c r="P1771" i="3"/>
  <c r="T1770" i="3"/>
  <c r="R1770" i="3"/>
  <c r="S1770" i="3" s="1"/>
  <c r="Q1770" i="3"/>
  <c r="P1770" i="3"/>
  <c r="T1769" i="3"/>
  <c r="R1769" i="3"/>
  <c r="S1769" i="3" s="1"/>
  <c r="Q1769" i="3"/>
  <c r="P1769" i="3"/>
  <c r="T1768" i="3"/>
  <c r="R1768" i="3"/>
  <c r="S1768" i="3" s="1"/>
  <c r="Q1768" i="3"/>
  <c r="P1768" i="3"/>
  <c r="T1767" i="3"/>
  <c r="R1767" i="3"/>
  <c r="S1767" i="3" s="1"/>
  <c r="Q1767" i="3"/>
  <c r="P1767" i="3"/>
  <c r="T1766" i="3"/>
  <c r="R1766" i="3"/>
  <c r="S1766" i="3" s="1"/>
  <c r="Q1766" i="3"/>
  <c r="P1766" i="3"/>
  <c r="T1765" i="3"/>
  <c r="R1765" i="3"/>
  <c r="S1765" i="3" s="1"/>
  <c r="Q1765" i="3"/>
  <c r="P1765" i="3"/>
  <c r="T1764" i="3"/>
  <c r="R1764" i="3"/>
  <c r="S1764" i="3" s="1"/>
  <c r="Q1764" i="3"/>
  <c r="P1764" i="3"/>
  <c r="T1763" i="3"/>
  <c r="R1763" i="3"/>
  <c r="S1763" i="3" s="1"/>
  <c r="Q1763" i="3"/>
  <c r="P1763" i="3"/>
  <c r="T1762" i="3"/>
  <c r="R1762" i="3"/>
  <c r="S1762" i="3" s="1"/>
  <c r="Q1762" i="3"/>
  <c r="P1762" i="3"/>
  <c r="T1761" i="3"/>
  <c r="R1761" i="3"/>
  <c r="S1761" i="3" s="1"/>
  <c r="Q1761" i="3"/>
  <c r="P1761" i="3"/>
  <c r="T1760" i="3"/>
  <c r="R1760" i="3"/>
  <c r="S1760" i="3" s="1"/>
  <c r="Q1760" i="3"/>
  <c r="P1760" i="3"/>
  <c r="T1759" i="3"/>
  <c r="R1759" i="3"/>
  <c r="S1759" i="3" s="1"/>
  <c r="Q1759" i="3"/>
  <c r="P1759" i="3"/>
  <c r="T1758" i="3"/>
  <c r="R1758" i="3"/>
  <c r="S1758" i="3" s="1"/>
  <c r="Q1758" i="3"/>
  <c r="P1758" i="3"/>
  <c r="T1757" i="3"/>
  <c r="R1757" i="3"/>
  <c r="S1757" i="3" s="1"/>
  <c r="Q1757" i="3"/>
  <c r="P1757" i="3"/>
  <c r="T1756" i="3"/>
  <c r="R1756" i="3"/>
  <c r="S1756" i="3" s="1"/>
  <c r="Q1756" i="3"/>
  <c r="P1756" i="3"/>
  <c r="T1755" i="3"/>
  <c r="R1755" i="3"/>
  <c r="S1755" i="3" s="1"/>
  <c r="Q1755" i="3"/>
  <c r="P1755" i="3"/>
  <c r="T1754" i="3"/>
  <c r="R1754" i="3"/>
  <c r="S1754" i="3" s="1"/>
  <c r="Q1754" i="3"/>
  <c r="P1754" i="3"/>
  <c r="T1753" i="3"/>
  <c r="R1753" i="3"/>
  <c r="S1753" i="3" s="1"/>
  <c r="Q1753" i="3"/>
  <c r="P1753" i="3"/>
  <c r="T1752" i="3"/>
  <c r="R1752" i="3"/>
  <c r="S1752" i="3" s="1"/>
  <c r="Q1752" i="3"/>
  <c r="P1752" i="3"/>
  <c r="T1751" i="3"/>
  <c r="R1751" i="3"/>
  <c r="S1751" i="3" s="1"/>
  <c r="Q1751" i="3"/>
  <c r="P1751" i="3"/>
  <c r="T1750" i="3"/>
  <c r="R1750" i="3"/>
  <c r="S1750" i="3" s="1"/>
  <c r="Q1750" i="3"/>
  <c r="P1750" i="3"/>
  <c r="T1749" i="3"/>
  <c r="R1749" i="3"/>
  <c r="S1749" i="3" s="1"/>
  <c r="Q1749" i="3"/>
  <c r="P1749" i="3"/>
  <c r="T1748" i="3"/>
  <c r="R1748" i="3"/>
  <c r="S1748" i="3" s="1"/>
  <c r="Q1748" i="3"/>
  <c r="P1748" i="3"/>
  <c r="T1747" i="3"/>
  <c r="R1747" i="3"/>
  <c r="S1747" i="3" s="1"/>
  <c r="Q1747" i="3"/>
  <c r="P1747" i="3"/>
  <c r="T1746" i="3"/>
  <c r="R1746" i="3"/>
  <c r="S1746" i="3" s="1"/>
  <c r="Q1746" i="3"/>
  <c r="P1746" i="3"/>
  <c r="T1745" i="3"/>
  <c r="R1745" i="3"/>
  <c r="S1745" i="3" s="1"/>
  <c r="Q1745" i="3"/>
  <c r="P1745" i="3"/>
  <c r="T1744" i="3"/>
  <c r="R1744" i="3"/>
  <c r="S1744" i="3" s="1"/>
  <c r="Q1744" i="3"/>
  <c r="P1744" i="3"/>
  <c r="T1743" i="3"/>
  <c r="R1743" i="3"/>
  <c r="S1743" i="3" s="1"/>
  <c r="Q1743" i="3"/>
  <c r="P1743" i="3"/>
  <c r="T1742" i="3"/>
  <c r="R1742" i="3"/>
  <c r="S1742" i="3" s="1"/>
  <c r="Q1742" i="3"/>
  <c r="P1742" i="3"/>
  <c r="T1741" i="3"/>
  <c r="R1741" i="3"/>
  <c r="S1741" i="3" s="1"/>
  <c r="Q1741" i="3"/>
  <c r="P1741" i="3"/>
  <c r="T1740" i="3"/>
  <c r="R1740" i="3"/>
  <c r="S1740" i="3" s="1"/>
  <c r="Q1740" i="3"/>
  <c r="P1740" i="3"/>
  <c r="T1739" i="3"/>
  <c r="R1739" i="3"/>
  <c r="S1739" i="3" s="1"/>
  <c r="Q1739" i="3"/>
  <c r="P1739" i="3"/>
  <c r="T1738" i="3"/>
  <c r="R1738" i="3"/>
  <c r="S1738" i="3" s="1"/>
  <c r="Q1738" i="3"/>
  <c r="P1738" i="3"/>
  <c r="T1737" i="3"/>
  <c r="R1737" i="3"/>
  <c r="S1737" i="3" s="1"/>
  <c r="Q1737" i="3"/>
  <c r="P1737" i="3"/>
  <c r="T1736" i="3"/>
  <c r="R1736" i="3"/>
  <c r="S1736" i="3" s="1"/>
  <c r="Q1736" i="3"/>
  <c r="P1736" i="3"/>
  <c r="T1735" i="3"/>
  <c r="R1735" i="3"/>
  <c r="S1735" i="3" s="1"/>
  <c r="Q1735" i="3"/>
  <c r="P1735" i="3"/>
  <c r="T1734" i="3"/>
  <c r="R1734" i="3"/>
  <c r="S1734" i="3" s="1"/>
  <c r="Q1734" i="3"/>
  <c r="P1734" i="3"/>
  <c r="T1733" i="3"/>
  <c r="R1733" i="3"/>
  <c r="S1733" i="3" s="1"/>
  <c r="Q1733" i="3"/>
  <c r="P1733" i="3"/>
  <c r="T1732" i="3"/>
  <c r="R1732" i="3"/>
  <c r="S1732" i="3" s="1"/>
  <c r="Q1732" i="3"/>
  <c r="P1732" i="3"/>
  <c r="T1731" i="3"/>
  <c r="R1731" i="3"/>
  <c r="S1731" i="3" s="1"/>
  <c r="Q1731" i="3"/>
  <c r="P1731" i="3"/>
  <c r="T1730" i="3"/>
  <c r="R1730" i="3"/>
  <c r="S1730" i="3" s="1"/>
  <c r="Q1730" i="3"/>
  <c r="P1730" i="3"/>
  <c r="T1729" i="3"/>
  <c r="R1729" i="3"/>
  <c r="S1729" i="3" s="1"/>
  <c r="Q1729" i="3"/>
  <c r="P1729" i="3"/>
  <c r="T1728" i="3"/>
  <c r="R1728" i="3"/>
  <c r="S1728" i="3" s="1"/>
  <c r="Q1728" i="3"/>
  <c r="P1728" i="3"/>
  <c r="T1727" i="3"/>
  <c r="R1727" i="3"/>
  <c r="S1727" i="3" s="1"/>
  <c r="Q1727" i="3"/>
  <c r="P1727" i="3"/>
  <c r="T1726" i="3"/>
  <c r="R1726" i="3"/>
  <c r="S1726" i="3" s="1"/>
  <c r="Q1726" i="3"/>
  <c r="P1726" i="3"/>
  <c r="T1725" i="3"/>
  <c r="R1725" i="3"/>
  <c r="S1725" i="3" s="1"/>
  <c r="Q1725" i="3"/>
  <c r="P1725" i="3"/>
  <c r="T1724" i="3"/>
  <c r="R1724" i="3"/>
  <c r="S1724" i="3" s="1"/>
  <c r="Q1724" i="3"/>
  <c r="P1724" i="3"/>
  <c r="T1723" i="3"/>
  <c r="R1723" i="3"/>
  <c r="S1723" i="3" s="1"/>
  <c r="Q1723" i="3"/>
  <c r="P1723" i="3"/>
  <c r="T1722" i="3"/>
  <c r="R1722" i="3"/>
  <c r="S1722" i="3" s="1"/>
  <c r="Q1722" i="3"/>
  <c r="P1722" i="3"/>
  <c r="T1721" i="3"/>
  <c r="R1721" i="3"/>
  <c r="S1721" i="3" s="1"/>
  <c r="Q1721" i="3"/>
  <c r="P1721" i="3"/>
  <c r="T1720" i="3"/>
  <c r="R1720" i="3"/>
  <c r="S1720" i="3" s="1"/>
  <c r="Q1720" i="3"/>
  <c r="P1720" i="3"/>
  <c r="T1719" i="3"/>
  <c r="R1719" i="3"/>
  <c r="S1719" i="3" s="1"/>
  <c r="Q1719" i="3"/>
  <c r="P1719" i="3"/>
  <c r="T1718" i="3"/>
  <c r="R1718" i="3"/>
  <c r="S1718" i="3" s="1"/>
  <c r="Q1718" i="3"/>
  <c r="P1718" i="3"/>
  <c r="T1717" i="3"/>
  <c r="R1717" i="3"/>
  <c r="S1717" i="3" s="1"/>
  <c r="Q1717" i="3"/>
  <c r="P1717" i="3"/>
  <c r="T1716" i="3"/>
  <c r="R1716" i="3"/>
  <c r="S1716" i="3" s="1"/>
  <c r="Q1716" i="3"/>
  <c r="P1716" i="3"/>
  <c r="T1715" i="3"/>
  <c r="R1715" i="3"/>
  <c r="S1715" i="3" s="1"/>
  <c r="Q1715" i="3"/>
  <c r="P1715" i="3"/>
  <c r="T1714" i="3"/>
  <c r="R1714" i="3"/>
  <c r="S1714" i="3" s="1"/>
  <c r="Q1714" i="3"/>
  <c r="P1714" i="3"/>
  <c r="T1713" i="3"/>
  <c r="R1713" i="3"/>
  <c r="S1713" i="3" s="1"/>
  <c r="Q1713" i="3"/>
  <c r="P1713" i="3"/>
  <c r="T1712" i="3"/>
  <c r="R1712" i="3"/>
  <c r="S1712" i="3" s="1"/>
  <c r="Q1712" i="3"/>
  <c r="P1712" i="3"/>
  <c r="T1711" i="3"/>
  <c r="R1711" i="3"/>
  <c r="S1711" i="3" s="1"/>
  <c r="Q1711" i="3"/>
  <c r="P1711" i="3"/>
  <c r="T1710" i="3"/>
  <c r="R1710" i="3"/>
  <c r="S1710" i="3" s="1"/>
  <c r="Q1710" i="3"/>
  <c r="P1710" i="3"/>
  <c r="T1709" i="3"/>
  <c r="R1709" i="3"/>
  <c r="S1709" i="3" s="1"/>
  <c r="Q1709" i="3"/>
  <c r="P1709" i="3"/>
  <c r="T1708" i="3"/>
  <c r="R1708" i="3"/>
  <c r="S1708" i="3" s="1"/>
  <c r="Q1708" i="3"/>
  <c r="P1708" i="3"/>
  <c r="T1707" i="3"/>
  <c r="R1707" i="3"/>
  <c r="S1707" i="3" s="1"/>
  <c r="Q1707" i="3"/>
  <c r="P1707" i="3"/>
  <c r="T1706" i="3"/>
  <c r="R1706" i="3"/>
  <c r="S1706" i="3" s="1"/>
  <c r="Q1706" i="3"/>
  <c r="P1706" i="3"/>
  <c r="T1705" i="3"/>
  <c r="R1705" i="3"/>
  <c r="S1705" i="3" s="1"/>
  <c r="Q1705" i="3"/>
  <c r="P1705" i="3"/>
  <c r="T1704" i="3"/>
  <c r="R1704" i="3"/>
  <c r="S1704" i="3" s="1"/>
  <c r="Q1704" i="3"/>
  <c r="P1704" i="3"/>
  <c r="T1703" i="3"/>
  <c r="R1703" i="3"/>
  <c r="S1703" i="3" s="1"/>
  <c r="Q1703" i="3"/>
  <c r="P1703" i="3"/>
  <c r="T1702" i="3"/>
  <c r="R1702" i="3"/>
  <c r="S1702" i="3" s="1"/>
  <c r="Q1702" i="3"/>
  <c r="P1702" i="3"/>
  <c r="T1701" i="3"/>
  <c r="R1701" i="3"/>
  <c r="S1701" i="3" s="1"/>
  <c r="Q1701" i="3"/>
  <c r="P1701" i="3"/>
  <c r="T1700" i="3"/>
  <c r="R1700" i="3"/>
  <c r="S1700" i="3" s="1"/>
  <c r="Q1700" i="3"/>
  <c r="P1700" i="3"/>
  <c r="T1699" i="3"/>
  <c r="R1699" i="3"/>
  <c r="S1699" i="3" s="1"/>
  <c r="Q1699" i="3"/>
  <c r="P1699" i="3"/>
  <c r="T1698" i="3"/>
  <c r="R1698" i="3"/>
  <c r="S1698" i="3" s="1"/>
  <c r="Q1698" i="3"/>
  <c r="P1698" i="3"/>
  <c r="T1697" i="3"/>
  <c r="R1697" i="3"/>
  <c r="S1697" i="3" s="1"/>
  <c r="Q1697" i="3"/>
  <c r="P1697" i="3"/>
  <c r="T1696" i="3"/>
  <c r="R1696" i="3"/>
  <c r="S1696" i="3" s="1"/>
  <c r="Q1696" i="3"/>
  <c r="P1696" i="3"/>
  <c r="T1695" i="3"/>
  <c r="R1695" i="3"/>
  <c r="S1695" i="3" s="1"/>
  <c r="Q1695" i="3"/>
  <c r="P1695" i="3"/>
  <c r="T1694" i="3"/>
  <c r="R1694" i="3"/>
  <c r="S1694" i="3" s="1"/>
  <c r="Q1694" i="3"/>
  <c r="P1694" i="3"/>
  <c r="T1693" i="3"/>
  <c r="R1693" i="3"/>
  <c r="S1693" i="3" s="1"/>
  <c r="Q1693" i="3"/>
  <c r="P1693" i="3"/>
  <c r="T1692" i="3"/>
  <c r="R1692" i="3"/>
  <c r="S1692" i="3" s="1"/>
  <c r="Q1692" i="3"/>
  <c r="P1692" i="3"/>
  <c r="T1691" i="3"/>
  <c r="R1691" i="3"/>
  <c r="S1691" i="3" s="1"/>
  <c r="Q1691" i="3"/>
  <c r="P1691" i="3"/>
  <c r="T1690" i="3"/>
  <c r="R1690" i="3"/>
  <c r="S1690" i="3" s="1"/>
  <c r="Q1690" i="3"/>
  <c r="P1690" i="3"/>
  <c r="T1689" i="3"/>
  <c r="R1689" i="3"/>
  <c r="S1689" i="3" s="1"/>
  <c r="Q1689" i="3"/>
  <c r="P1689" i="3"/>
  <c r="T1688" i="3"/>
  <c r="R1688" i="3"/>
  <c r="S1688" i="3" s="1"/>
  <c r="Q1688" i="3"/>
  <c r="P1688" i="3"/>
  <c r="T1687" i="3"/>
  <c r="R1687" i="3"/>
  <c r="S1687" i="3" s="1"/>
  <c r="Q1687" i="3"/>
  <c r="P1687" i="3"/>
  <c r="T1686" i="3"/>
  <c r="R1686" i="3"/>
  <c r="S1686" i="3" s="1"/>
  <c r="Q1686" i="3"/>
  <c r="P1686" i="3"/>
  <c r="T1685" i="3"/>
  <c r="R1685" i="3"/>
  <c r="S1685" i="3" s="1"/>
  <c r="Q1685" i="3"/>
  <c r="P1685" i="3"/>
  <c r="T1684" i="3"/>
  <c r="R1684" i="3"/>
  <c r="S1684" i="3" s="1"/>
  <c r="Q1684" i="3"/>
  <c r="P1684" i="3"/>
  <c r="T1683" i="3"/>
  <c r="R1683" i="3"/>
  <c r="S1683" i="3" s="1"/>
  <c r="Q1683" i="3"/>
  <c r="P1683" i="3"/>
  <c r="T1682" i="3"/>
  <c r="R1682" i="3"/>
  <c r="S1682" i="3" s="1"/>
  <c r="Q1682" i="3"/>
  <c r="P1682" i="3"/>
  <c r="T1681" i="3"/>
  <c r="R1681" i="3"/>
  <c r="S1681" i="3" s="1"/>
  <c r="Q1681" i="3"/>
  <c r="P1681" i="3"/>
  <c r="T1680" i="3"/>
  <c r="R1680" i="3"/>
  <c r="S1680" i="3" s="1"/>
  <c r="Q1680" i="3"/>
  <c r="P1680" i="3"/>
  <c r="T1679" i="3"/>
  <c r="R1679" i="3"/>
  <c r="S1679" i="3" s="1"/>
  <c r="Q1679" i="3"/>
  <c r="P1679" i="3"/>
  <c r="T1678" i="3"/>
  <c r="R1678" i="3"/>
  <c r="S1678" i="3" s="1"/>
  <c r="Q1678" i="3"/>
  <c r="P1678" i="3"/>
  <c r="T1677" i="3"/>
  <c r="R1677" i="3"/>
  <c r="S1677" i="3" s="1"/>
  <c r="Q1677" i="3"/>
  <c r="P1677" i="3"/>
  <c r="T1676" i="3"/>
  <c r="R1676" i="3"/>
  <c r="S1676" i="3" s="1"/>
  <c r="Q1676" i="3"/>
  <c r="P1676" i="3"/>
  <c r="T1675" i="3"/>
  <c r="R1675" i="3"/>
  <c r="S1675" i="3" s="1"/>
  <c r="Q1675" i="3"/>
  <c r="P1675" i="3"/>
  <c r="T1674" i="3"/>
  <c r="R1674" i="3"/>
  <c r="S1674" i="3" s="1"/>
  <c r="Q1674" i="3"/>
  <c r="P1674" i="3"/>
  <c r="T1673" i="3"/>
  <c r="R1673" i="3"/>
  <c r="S1673" i="3" s="1"/>
  <c r="Q1673" i="3"/>
  <c r="P1673" i="3"/>
  <c r="T1672" i="3"/>
  <c r="R1672" i="3"/>
  <c r="S1672" i="3" s="1"/>
  <c r="Q1672" i="3"/>
  <c r="P1672" i="3"/>
  <c r="T1671" i="3"/>
  <c r="R1671" i="3"/>
  <c r="S1671" i="3" s="1"/>
  <c r="Q1671" i="3"/>
  <c r="P1671" i="3"/>
  <c r="T1670" i="3"/>
  <c r="R1670" i="3"/>
  <c r="S1670" i="3" s="1"/>
  <c r="Q1670" i="3"/>
  <c r="P1670" i="3"/>
  <c r="T1669" i="3"/>
  <c r="R1669" i="3"/>
  <c r="S1669" i="3" s="1"/>
  <c r="Q1669" i="3"/>
  <c r="P1669" i="3"/>
  <c r="T1668" i="3"/>
  <c r="R1668" i="3"/>
  <c r="S1668" i="3" s="1"/>
  <c r="Q1668" i="3"/>
  <c r="P1668" i="3"/>
  <c r="T1667" i="3"/>
  <c r="R1667" i="3"/>
  <c r="S1667" i="3" s="1"/>
  <c r="Q1667" i="3"/>
  <c r="P1667" i="3"/>
  <c r="T1666" i="3"/>
  <c r="R1666" i="3"/>
  <c r="S1666" i="3" s="1"/>
  <c r="Q1666" i="3"/>
  <c r="P1666" i="3"/>
  <c r="T1665" i="3"/>
  <c r="R1665" i="3"/>
  <c r="S1665" i="3" s="1"/>
  <c r="Q1665" i="3"/>
  <c r="P1665" i="3"/>
  <c r="T1664" i="3"/>
  <c r="R1664" i="3"/>
  <c r="S1664" i="3" s="1"/>
  <c r="Q1664" i="3"/>
  <c r="P1664" i="3"/>
  <c r="T1663" i="3"/>
  <c r="R1663" i="3"/>
  <c r="S1663" i="3" s="1"/>
  <c r="Q1663" i="3"/>
  <c r="P1663" i="3"/>
  <c r="T1662" i="3"/>
  <c r="R1662" i="3"/>
  <c r="S1662" i="3" s="1"/>
  <c r="Q1662" i="3"/>
  <c r="P1662" i="3"/>
  <c r="T1661" i="3"/>
  <c r="R1661" i="3"/>
  <c r="S1661" i="3" s="1"/>
  <c r="Q1661" i="3"/>
  <c r="P1661" i="3"/>
  <c r="T1660" i="3"/>
  <c r="R1660" i="3"/>
  <c r="S1660" i="3" s="1"/>
  <c r="Q1660" i="3"/>
  <c r="P1660" i="3"/>
  <c r="T1659" i="3"/>
  <c r="R1659" i="3"/>
  <c r="S1659" i="3" s="1"/>
  <c r="Q1659" i="3"/>
  <c r="P1659" i="3"/>
  <c r="T1658" i="3"/>
  <c r="R1658" i="3"/>
  <c r="S1658" i="3" s="1"/>
  <c r="Q1658" i="3"/>
  <c r="P1658" i="3"/>
  <c r="T1657" i="3"/>
  <c r="R1657" i="3"/>
  <c r="S1657" i="3" s="1"/>
  <c r="Q1657" i="3"/>
  <c r="P1657" i="3"/>
  <c r="T1656" i="3"/>
  <c r="R1656" i="3"/>
  <c r="S1656" i="3" s="1"/>
  <c r="Q1656" i="3"/>
  <c r="P1656" i="3"/>
  <c r="T1655" i="3"/>
  <c r="R1655" i="3"/>
  <c r="S1655" i="3" s="1"/>
  <c r="Q1655" i="3"/>
  <c r="P1655" i="3"/>
  <c r="T1654" i="3"/>
  <c r="R1654" i="3"/>
  <c r="S1654" i="3" s="1"/>
  <c r="Q1654" i="3"/>
  <c r="P1654" i="3"/>
  <c r="T1653" i="3"/>
  <c r="R1653" i="3"/>
  <c r="S1653" i="3" s="1"/>
  <c r="Q1653" i="3"/>
  <c r="P1653" i="3"/>
  <c r="T1652" i="3"/>
  <c r="R1652" i="3"/>
  <c r="S1652" i="3" s="1"/>
  <c r="Q1652" i="3"/>
  <c r="P1652" i="3"/>
  <c r="T1651" i="3"/>
  <c r="R1651" i="3"/>
  <c r="S1651" i="3" s="1"/>
  <c r="Q1651" i="3"/>
  <c r="P1651" i="3"/>
  <c r="T1650" i="3"/>
  <c r="R1650" i="3"/>
  <c r="S1650" i="3" s="1"/>
  <c r="Q1650" i="3"/>
  <c r="P1650" i="3"/>
  <c r="T1649" i="3"/>
  <c r="R1649" i="3"/>
  <c r="S1649" i="3" s="1"/>
  <c r="Q1649" i="3"/>
  <c r="P1649" i="3"/>
  <c r="T1648" i="3"/>
  <c r="R1648" i="3"/>
  <c r="S1648" i="3" s="1"/>
  <c r="Q1648" i="3"/>
  <c r="P1648" i="3"/>
  <c r="T1647" i="3"/>
  <c r="R1647" i="3"/>
  <c r="S1647" i="3" s="1"/>
  <c r="Q1647" i="3"/>
  <c r="P1647" i="3"/>
  <c r="T1646" i="3"/>
  <c r="R1646" i="3"/>
  <c r="S1646" i="3" s="1"/>
  <c r="Q1646" i="3"/>
  <c r="P1646" i="3"/>
  <c r="T1645" i="3"/>
  <c r="R1645" i="3"/>
  <c r="S1645" i="3" s="1"/>
  <c r="Q1645" i="3"/>
  <c r="P1645" i="3"/>
  <c r="T1644" i="3"/>
  <c r="R1644" i="3"/>
  <c r="S1644" i="3" s="1"/>
  <c r="Q1644" i="3"/>
  <c r="P1644" i="3"/>
  <c r="T1643" i="3"/>
  <c r="R1643" i="3"/>
  <c r="S1643" i="3" s="1"/>
  <c r="Q1643" i="3"/>
  <c r="P1643" i="3"/>
  <c r="T1642" i="3"/>
  <c r="R1642" i="3"/>
  <c r="S1642" i="3" s="1"/>
  <c r="Q1642" i="3"/>
  <c r="P1642" i="3"/>
  <c r="T1641" i="3"/>
  <c r="R1641" i="3"/>
  <c r="S1641" i="3" s="1"/>
  <c r="Q1641" i="3"/>
  <c r="P1641" i="3"/>
  <c r="T1640" i="3"/>
  <c r="R1640" i="3"/>
  <c r="S1640" i="3" s="1"/>
  <c r="Q1640" i="3"/>
  <c r="P1640" i="3"/>
  <c r="T1639" i="3"/>
  <c r="R1639" i="3"/>
  <c r="S1639" i="3" s="1"/>
  <c r="Q1639" i="3"/>
  <c r="P1639" i="3"/>
  <c r="T1638" i="3"/>
  <c r="R1638" i="3"/>
  <c r="S1638" i="3" s="1"/>
  <c r="Q1638" i="3"/>
  <c r="P1638" i="3"/>
  <c r="T1637" i="3"/>
  <c r="R1637" i="3"/>
  <c r="S1637" i="3" s="1"/>
  <c r="Q1637" i="3"/>
  <c r="P1637" i="3"/>
  <c r="T1636" i="3"/>
  <c r="R1636" i="3"/>
  <c r="S1636" i="3" s="1"/>
  <c r="Q1636" i="3"/>
  <c r="P1636" i="3"/>
  <c r="T1635" i="3"/>
  <c r="R1635" i="3"/>
  <c r="S1635" i="3" s="1"/>
  <c r="Q1635" i="3"/>
  <c r="P1635" i="3"/>
  <c r="T1634" i="3"/>
  <c r="R1634" i="3"/>
  <c r="S1634" i="3" s="1"/>
  <c r="Q1634" i="3"/>
  <c r="P1634" i="3"/>
  <c r="T1633" i="3"/>
  <c r="R1633" i="3"/>
  <c r="S1633" i="3" s="1"/>
  <c r="Q1633" i="3"/>
  <c r="P1633" i="3"/>
  <c r="T1632" i="3"/>
  <c r="R1632" i="3"/>
  <c r="S1632" i="3" s="1"/>
  <c r="Q1632" i="3"/>
  <c r="P1632" i="3"/>
  <c r="T1631" i="3"/>
  <c r="R1631" i="3"/>
  <c r="S1631" i="3" s="1"/>
  <c r="Q1631" i="3"/>
  <c r="P1631" i="3"/>
  <c r="T1630" i="3"/>
  <c r="R1630" i="3"/>
  <c r="S1630" i="3" s="1"/>
  <c r="Q1630" i="3"/>
  <c r="P1630" i="3"/>
  <c r="T1629" i="3"/>
  <c r="R1629" i="3"/>
  <c r="S1629" i="3" s="1"/>
  <c r="Q1629" i="3"/>
  <c r="P1629" i="3"/>
  <c r="T1628" i="3"/>
  <c r="R1628" i="3"/>
  <c r="S1628" i="3" s="1"/>
  <c r="Q1628" i="3"/>
  <c r="P1628" i="3"/>
  <c r="T1627" i="3"/>
  <c r="R1627" i="3"/>
  <c r="S1627" i="3" s="1"/>
  <c r="Q1627" i="3"/>
  <c r="P1627" i="3"/>
  <c r="T1626" i="3"/>
  <c r="R1626" i="3"/>
  <c r="S1626" i="3" s="1"/>
  <c r="Q1626" i="3"/>
  <c r="P1626" i="3"/>
  <c r="T1625" i="3"/>
  <c r="R1625" i="3"/>
  <c r="S1625" i="3" s="1"/>
  <c r="Q1625" i="3"/>
  <c r="P1625" i="3"/>
  <c r="T1624" i="3"/>
  <c r="R1624" i="3"/>
  <c r="S1624" i="3" s="1"/>
  <c r="Q1624" i="3"/>
  <c r="P1624" i="3"/>
  <c r="T1623" i="3"/>
  <c r="R1623" i="3"/>
  <c r="S1623" i="3" s="1"/>
  <c r="Q1623" i="3"/>
  <c r="P1623" i="3"/>
  <c r="T1622" i="3"/>
  <c r="R1622" i="3"/>
  <c r="S1622" i="3" s="1"/>
  <c r="Q1622" i="3"/>
  <c r="P1622" i="3"/>
  <c r="T1621" i="3"/>
  <c r="R1621" i="3"/>
  <c r="S1621" i="3" s="1"/>
  <c r="Q1621" i="3"/>
  <c r="P1621" i="3"/>
  <c r="T1620" i="3"/>
  <c r="R1620" i="3"/>
  <c r="S1620" i="3" s="1"/>
  <c r="Q1620" i="3"/>
  <c r="P1620" i="3"/>
  <c r="T1619" i="3"/>
  <c r="R1619" i="3"/>
  <c r="S1619" i="3" s="1"/>
  <c r="Q1619" i="3"/>
  <c r="P1619" i="3"/>
  <c r="T1618" i="3"/>
  <c r="R1618" i="3"/>
  <c r="S1618" i="3" s="1"/>
  <c r="Q1618" i="3"/>
  <c r="P1618" i="3"/>
  <c r="T1617" i="3"/>
  <c r="R1617" i="3"/>
  <c r="S1617" i="3" s="1"/>
  <c r="Q1617" i="3"/>
  <c r="P1617" i="3"/>
  <c r="T1616" i="3"/>
  <c r="R1616" i="3"/>
  <c r="S1616" i="3" s="1"/>
  <c r="Q1616" i="3"/>
  <c r="P1616" i="3"/>
  <c r="T1615" i="3"/>
  <c r="R1615" i="3"/>
  <c r="S1615" i="3" s="1"/>
  <c r="Q1615" i="3"/>
  <c r="P1615" i="3"/>
  <c r="T1614" i="3"/>
  <c r="R1614" i="3"/>
  <c r="S1614" i="3" s="1"/>
  <c r="Q1614" i="3"/>
  <c r="P1614" i="3"/>
  <c r="T1613" i="3"/>
  <c r="R1613" i="3"/>
  <c r="S1613" i="3" s="1"/>
  <c r="Q1613" i="3"/>
  <c r="P1613" i="3"/>
  <c r="T1612" i="3"/>
  <c r="R1612" i="3"/>
  <c r="S1612" i="3" s="1"/>
  <c r="Q1612" i="3"/>
  <c r="P1612" i="3"/>
  <c r="T1611" i="3"/>
  <c r="R1611" i="3"/>
  <c r="S1611" i="3" s="1"/>
  <c r="Q1611" i="3"/>
  <c r="P1611" i="3"/>
  <c r="T1610" i="3"/>
  <c r="R1610" i="3"/>
  <c r="S1610" i="3" s="1"/>
  <c r="Q1610" i="3"/>
  <c r="P1610" i="3"/>
  <c r="T1609" i="3"/>
  <c r="R1609" i="3"/>
  <c r="S1609" i="3" s="1"/>
  <c r="Q1609" i="3"/>
  <c r="P1609" i="3"/>
  <c r="T1608" i="3"/>
  <c r="R1608" i="3"/>
  <c r="S1608" i="3" s="1"/>
  <c r="Q1608" i="3"/>
  <c r="P1608" i="3"/>
  <c r="T1607" i="3"/>
  <c r="R1607" i="3"/>
  <c r="S1607" i="3" s="1"/>
  <c r="Q1607" i="3"/>
  <c r="P1607" i="3"/>
  <c r="T1606" i="3"/>
  <c r="R1606" i="3"/>
  <c r="S1606" i="3" s="1"/>
  <c r="Q1606" i="3"/>
  <c r="P1606" i="3"/>
  <c r="T1605" i="3"/>
  <c r="R1605" i="3"/>
  <c r="S1605" i="3" s="1"/>
  <c r="Q1605" i="3"/>
  <c r="P1605" i="3"/>
  <c r="T1604" i="3"/>
  <c r="R1604" i="3"/>
  <c r="S1604" i="3" s="1"/>
  <c r="Q1604" i="3"/>
  <c r="P1604" i="3"/>
  <c r="T1603" i="3"/>
  <c r="R1603" i="3"/>
  <c r="S1603" i="3" s="1"/>
  <c r="Q1603" i="3"/>
  <c r="P1603" i="3"/>
  <c r="T1602" i="3"/>
  <c r="R1602" i="3"/>
  <c r="S1602" i="3" s="1"/>
  <c r="Q1602" i="3"/>
  <c r="P1602" i="3"/>
  <c r="T1601" i="3"/>
  <c r="R1601" i="3"/>
  <c r="S1601" i="3" s="1"/>
  <c r="Q1601" i="3"/>
  <c r="P1601" i="3"/>
  <c r="T1600" i="3"/>
  <c r="R1600" i="3"/>
  <c r="S1600" i="3" s="1"/>
  <c r="Q1600" i="3"/>
  <c r="P1600" i="3"/>
  <c r="T1599" i="3"/>
  <c r="R1599" i="3"/>
  <c r="S1599" i="3" s="1"/>
  <c r="Q1599" i="3"/>
  <c r="P1599" i="3"/>
  <c r="T1598" i="3"/>
  <c r="R1598" i="3"/>
  <c r="S1598" i="3" s="1"/>
  <c r="Q1598" i="3"/>
  <c r="P1598" i="3"/>
  <c r="T1597" i="3"/>
  <c r="R1597" i="3"/>
  <c r="S1597" i="3" s="1"/>
  <c r="Q1597" i="3"/>
  <c r="P1597" i="3"/>
  <c r="T1596" i="3"/>
  <c r="R1596" i="3"/>
  <c r="S1596" i="3" s="1"/>
  <c r="Q1596" i="3"/>
  <c r="P1596" i="3"/>
  <c r="T1595" i="3"/>
  <c r="R1595" i="3"/>
  <c r="S1595" i="3" s="1"/>
  <c r="Q1595" i="3"/>
  <c r="P1595" i="3"/>
  <c r="T1594" i="3"/>
  <c r="R1594" i="3"/>
  <c r="S1594" i="3" s="1"/>
  <c r="Q1594" i="3"/>
  <c r="P1594" i="3"/>
  <c r="T1593" i="3"/>
  <c r="R1593" i="3"/>
  <c r="S1593" i="3" s="1"/>
  <c r="Q1593" i="3"/>
  <c r="P1593" i="3"/>
  <c r="T1592" i="3"/>
  <c r="R1592" i="3"/>
  <c r="S1592" i="3" s="1"/>
  <c r="Q1592" i="3"/>
  <c r="P1592" i="3"/>
  <c r="T1591" i="3"/>
  <c r="R1591" i="3"/>
  <c r="S1591" i="3" s="1"/>
  <c r="Q1591" i="3"/>
  <c r="P1591" i="3"/>
  <c r="T1590" i="3"/>
  <c r="R1590" i="3"/>
  <c r="S1590" i="3" s="1"/>
  <c r="Q1590" i="3"/>
  <c r="P1590" i="3"/>
  <c r="T1589" i="3"/>
  <c r="R1589" i="3"/>
  <c r="S1589" i="3" s="1"/>
  <c r="Q1589" i="3"/>
  <c r="P1589" i="3"/>
  <c r="T1588" i="3"/>
  <c r="R1588" i="3"/>
  <c r="S1588" i="3" s="1"/>
  <c r="Q1588" i="3"/>
  <c r="P1588" i="3"/>
  <c r="T1587" i="3"/>
  <c r="R1587" i="3"/>
  <c r="S1587" i="3" s="1"/>
  <c r="Q1587" i="3"/>
  <c r="P1587" i="3"/>
  <c r="T1586" i="3"/>
  <c r="R1586" i="3"/>
  <c r="S1586" i="3" s="1"/>
  <c r="Q1586" i="3"/>
  <c r="P1586" i="3"/>
  <c r="T1585" i="3"/>
  <c r="R1585" i="3"/>
  <c r="S1585" i="3" s="1"/>
  <c r="Q1585" i="3"/>
  <c r="P1585" i="3"/>
  <c r="T1584" i="3"/>
  <c r="R1584" i="3"/>
  <c r="S1584" i="3" s="1"/>
  <c r="Q1584" i="3"/>
  <c r="P1584" i="3"/>
  <c r="T1583" i="3"/>
  <c r="R1583" i="3"/>
  <c r="S1583" i="3" s="1"/>
  <c r="Q1583" i="3"/>
  <c r="P1583" i="3"/>
  <c r="T1582" i="3"/>
  <c r="R1582" i="3"/>
  <c r="S1582" i="3" s="1"/>
  <c r="Q1582" i="3"/>
  <c r="P1582" i="3"/>
  <c r="T1581" i="3"/>
  <c r="R1581" i="3"/>
  <c r="S1581" i="3" s="1"/>
  <c r="Q1581" i="3"/>
  <c r="P1581" i="3"/>
  <c r="T1580" i="3"/>
  <c r="R1580" i="3"/>
  <c r="S1580" i="3" s="1"/>
  <c r="Q1580" i="3"/>
  <c r="P1580" i="3"/>
  <c r="T1579" i="3"/>
  <c r="R1579" i="3"/>
  <c r="S1579" i="3" s="1"/>
  <c r="Q1579" i="3"/>
  <c r="P1579" i="3"/>
  <c r="T1578" i="3"/>
  <c r="R1578" i="3"/>
  <c r="S1578" i="3" s="1"/>
  <c r="Q1578" i="3"/>
  <c r="P1578" i="3"/>
  <c r="T1577" i="3"/>
  <c r="R1577" i="3"/>
  <c r="S1577" i="3" s="1"/>
  <c r="Q1577" i="3"/>
  <c r="P1577" i="3"/>
  <c r="T1576" i="3"/>
  <c r="R1576" i="3"/>
  <c r="S1576" i="3" s="1"/>
  <c r="Q1576" i="3"/>
  <c r="P1576" i="3"/>
  <c r="T1575" i="3"/>
  <c r="R1575" i="3"/>
  <c r="S1575" i="3" s="1"/>
  <c r="Q1575" i="3"/>
  <c r="P1575" i="3"/>
  <c r="T1574" i="3"/>
  <c r="R1574" i="3"/>
  <c r="S1574" i="3" s="1"/>
  <c r="Q1574" i="3"/>
  <c r="P1574" i="3"/>
  <c r="T1573" i="3"/>
  <c r="R1573" i="3"/>
  <c r="S1573" i="3" s="1"/>
  <c r="Q1573" i="3"/>
  <c r="P1573" i="3"/>
  <c r="T1572" i="3"/>
  <c r="R1572" i="3"/>
  <c r="S1572" i="3" s="1"/>
  <c r="Q1572" i="3"/>
  <c r="P1572" i="3"/>
  <c r="T1571" i="3"/>
  <c r="R1571" i="3"/>
  <c r="S1571" i="3" s="1"/>
  <c r="Q1571" i="3"/>
  <c r="P1571" i="3"/>
  <c r="T1570" i="3"/>
  <c r="R1570" i="3"/>
  <c r="S1570" i="3" s="1"/>
  <c r="Q1570" i="3"/>
  <c r="P1570" i="3"/>
  <c r="T1569" i="3"/>
  <c r="R1569" i="3"/>
  <c r="S1569" i="3" s="1"/>
  <c r="Q1569" i="3"/>
  <c r="P1569" i="3"/>
  <c r="T1568" i="3"/>
  <c r="R1568" i="3"/>
  <c r="S1568" i="3" s="1"/>
  <c r="Q1568" i="3"/>
  <c r="P1568" i="3"/>
  <c r="T1567" i="3"/>
  <c r="R1567" i="3"/>
  <c r="S1567" i="3" s="1"/>
  <c r="Q1567" i="3"/>
  <c r="P1567" i="3"/>
  <c r="T1566" i="3"/>
  <c r="R1566" i="3"/>
  <c r="S1566" i="3" s="1"/>
  <c r="Q1566" i="3"/>
  <c r="P1566" i="3"/>
  <c r="T1565" i="3"/>
  <c r="R1565" i="3"/>
  <c r="S1565" i="3" s="1"/>
  <c r="Q1565" i="3"/>
  <c r="P1565" i="3"/>
  <c r="T1564" i="3"/>
  <c r="R1564" i="3"/>
  <c r="S1564" i="3" s="1"/>
  <c r="Q1564" i="3"/>
  <c r="P1564" i="3"/>
  <c r="T1563" i="3"/>
  <c r="R1563" i="3"/>
  <c r="S1563" i="3" s="1"/>
  <c r="Q1563" i="3"/>
  <c r="P1563" i="3"/>
  <c r="T1562" i="3"/>
  <c r="R1562" i="3"/>
  <c r="S1562" i="3" s="1"/>
  <c r="Q1562" i="3"/>
  <c r="P1562" i="3"/>
  <c r="T1561" i="3"/>
  <c r="R1561" i="3"/>
  <c r="S1561" i="3" s="1"/>
  <c r="Q1561" i="3"/>
  <c r="P1561" i="3"/>
  <c r="T1560" i="3"/>
  <c r="R1560" i="3"/>
  <c r="S1560" i="3" s="1"/>
  <c r="Q1560" i="3"/>
  <c r="P1560" i="3"/>
  <c r="T1559" i="3"/>
  <c r="R1559" i="3"/>
  <c r="S1559" i="3" s="1"/>
  <c r="Q1559" i="3"/>
  <c r="P1559" i="3"/>
  <c r="T1558" i="3"/>
  <c r="R1558" i="3"/>
  <c r="S1558" i="3" s="1"/>
  <c r="Q1558" i="3"/>
  <c r="P1558" i="3"/>
  <c r="T1557" i="3"/>
  <c r="R1557" i="3"/>
  <c r="S1557" i="3" s="1"/>
  <c r="Q1557" i="3"/>
  <c r="P1557" i="3"/>
  <c r="T1556" i="3"/>
  <c r="R1556" i="3"/>
  <c r="S1556" i="3" s="1"/>
  <c r="Q1556" i="3"/>
  <c r="P1556" i="3"/>
  <c r="T1555" i="3"/>
  <c r="R1555" i="3"/>
  <c r="S1555" i="3" s="1"/>
  <c r="Q1555" i="3"/>
  <c r="P1555" i="3"/>
  <c r="T1554" i="3"/>
  <c r="R1554" i="3"/>
  <c r="S1554" i="3" s="1"/>
  <c r="Q1554" i="3"/>
  <c r="P1554" i="3"/>
  <c r="T1553" i="3"/>
  <c r="R1553" i="3"/>
  <c r="S1553" i="3" s="1"/>
  <c r="Q1553" i="3"/>
  <c r="P1553" i="3"/>
  <c r="T1552" i="3"/>
  <c r="R1552" i="3"/>
  <c r="S1552" i="3" s="1"/>
  <c r="Q1552" i="3"/>
  <c r="P1552" i="3"/>
  <c r="T1551" i="3"/>
  <c r="R1551" i="3"/>
  <c r="S1551" i="3" s="1"/>
  <c r="Q1551" i="3"/>
  <c r="P1551" i="3"/>
  <c r="T1550" i="3"/>
  <c r="R1550" i="3"/>
  <c r="S1550" i="3" s="1"/>
  <c r="Q1550" i="3"/>
  <c r="P1550" i="3"/>
  <c r="T1549" i="3"/>
  <c r="R1549" i="3"/>
  <c r="S1549" i="3" s="1"/>
  <c r="Q1549" i="3"/>
  <c r="P1549" i="3"/>
  <c r="T1548" i="3"/>
  <c r="R1548" i="3"/>
  <c r="S1548" i="3" s="1"/>
  <c r="Q1548" i="3"/>
  <c r="P1548" i="3"/>
  <c r="T1547" i="3"/>
  <c r="R1547" i="3"/>
  <c r="S1547" i="3" s="1"/>
  <c r="Q1547" i="3"/>
  <c r="P1547" i="3"/>
  <c r="T1546" i="3"/>
  <c r="R1546" i="3"/>
  <c r="S1546" i="3" s="1"/>
  <c r="Q1546" i="3"/>
  <c r="P1546" i="3"/>
  <c r="T1545" i="3"/>
  <c r="R1545" i="3"/>
  <c r="S1545" i="3" s="1"/>
  <c r="Q1545" i="3"/>
  <c r="P1545" i="3"/>
  <c r="T1544" i="3"/>
  <c r="R1544" i="3"/>
  <c r="S1544" i="3" s="1"/>
  <c r="Q1544" i="3"/>
  <c r="P1544" i="3"/>
  <c r="T1543" i="3"/>
  <c r="R1543" i="3"/>
  <c r="S1543" i="3" s="1"/>
  <c r="Q1543" i="3"/>
  <c r="P1543" i="3"/>
  <c r="T1542" i="3"/>
  <c r="R1542" i="3"/>
  <c r="S1542" i="3" s="1"/>
  <c r="Q1542" i="3"/>
  <c r="P1542" i="3"/>
  <c r="T1541" i="3"/>
  <c r="R1541" i="3"/>
  <c r="S1541" i="3" s="1"/>
  <c r="Q1541" i="3"/>
  <c r="P1541" i="3"/>
  <c r="T1540" i="3"/>
  <c r="R1540" i="3"/>
  <c r="S1540" i="3" s="1"/>
  <c r="Q1540" i="3"/>
  <c r="P1540" i="3"/>
  <c r="T1539" i="3"/>
  <c r="R1539" i="3"/>
  <c r="S1539" i="3" s="1"/>
  <c r="Q1539" i="3"/>
  <c r="P1539" i="3"/>
  <c r="T1538" i="3"/>
  <c r="R1538" i="3"/>
  <c r="S1538" i="3" s="1"/>
  <c r="Q1538" i="3"/>
  <c r="P1538" i="3"/>
  <c r="T1537" i="3"/>
  <c r="R1537" i="3"/>
  <c r="S1537" i="3" s="1"/>
  <c r="Q1537" i="3"/>
  <c r="P1537" i="3"/>
  <c r="T1536" i="3"/>
  <c r="R1536" i="3"/>
  <c r="S1536" i="3" s="1"/>
  <c r="Q1536" i="3"/>
  <c r="P1536" i="3"/>
  <c r="T1535" i="3"/>
  <c r="R1535" i="3"/>
  <c r="S1535" i="3" s="1"/>
  <c r="Q1535" i="3"/>
  <c r="P1535" i="3"/>
  <c r="T1534" i="3"/>
  <c r="R1534" i="3"/>
  <c r="S1534" i="3" s="1"/>
  <c r="Q1534" i="3"/>
  <c r="P1534" i="3"/>
  <c r="T1533" i="3"/>
  <c r="R1533" i="3"/>
  <c r="S1533" i="3" s="1"/>
  <c r="Q1533" i="3"/>
  <c r="P1533" i="3"/>
  <c r="T1532" i="3"/>
  <c r="R1532" i="3"/>
  <c r="S1532" i="3" s="1"/>
  <c r="Q1532" i="3"/>
  <c r="P1532" i="3"/>
  <c r="T1531" i="3"/>
  <c r="R1531" i="3"/>
  <c r="S1531" i="3" s="1"/>
  <c r="Q1531" i="3"/>
  <c r="P1531" i="3"/>
  <c r="T1530" i="3"/>
  <c r="R1530" i="3"/>
  <c r="S1530" i="3" s="1"/>
  <c r="Q1530" i="3"/>
  <c r="P1530" i="3"/>
  <c r="T1529" i="3"/>
  <c r="R1529" i="3"/>
  <c r="S1529" i="3" s="1"/>
  <c r="Q1529" i="3"/>
  <c r="P1529" i="3"/>
  <c r="T1528" i="3"/>
  <c r="R1528" i="3"/>
  <c r="S1528" i="3" s="1"/>
  <c r="Q1528" i="3"/>
  <c r="P1528" i="3"/>
  <c r="T1527" i="3"/>
  <c r="R1527" i="3"/>
  <c r="S1527" i="3" s="1"/>
  <c r="Q1527" i="3"/>
  <c r="P1527" i="3"/>
  <c r="T1526" i="3"/>
  <c r="R1526" i="3"/>
  <c r="S1526" i="3" s="1"/>
  <c r="Q1526" i="3"/>
  <c r="P1526" i="3"/>
  <c r="T1525" i="3"/>
  <c r="R1525" i="3"/>
  <c r="S1525" i="3" s="1"/>
  <c r="Q1525" i="3"/>
  <c r="P1525" i="3"/>
  <c r="T1524" i="3"/>
  <c r="R1524" i="3"/>
  <c r="S1524" i="3" s="1"/>
  <c r="Q1524" i="3"/>
  <c r="P1524" i="3"/>
  <c r="T1523" i="3"/>
  <c r="R1523" i="3"/>
  <c r="S1523" i="3" s="1"/>
  <c r="Q1523" i="3"/>
  <c r="P1523" i="3"/>
  <c r="T1522" i="3"/>
  <c r="R1522" i="3"/>
  <c r="S1522" i="3" s="1"/>
  <c r="Q1522" i="3"/>
  <c r="P1522" i="3"/>
  <c r="T1521" i="3"/>
  <c r="R1521" i="3"/>
  <c r="S1521" i="3" s="1"/>
  <c r="Q1521" i="3"/>
  <c r="P1521" i="3"/>
  <c r="T1520" i="3"/>
  <c r="R1520" i="3"/>
  <c r="S1520" i="3" s="1"/>
  <c r="Q1520" i="3"/>
  <c r="P1520" i="3"/>
  <c r="T1519" i="3"/>
  <c r="R1519" i="3"/>
  <c r="S1519" i="3" s="1"/>
  <c r="Q1519" i="3"/>
  <c r="P1519" i="3"/>
  <c r="T1518" i="3"/>
  <c r="R1518" i="3"/>
  <c r="S1518" i="3" s="1"/>
  <c r="Q1518" i="3"/>
  <c r="P1518" i="3"/>
  <c r="T1517" i="3"/>
  <c r="R1517" i="3"/>
  <c r="S1517" i="3" s="1"/>
  <c r="Q1517" i="3"/>
  <c r="P1517" i="3"/>
  <c r="T1516" i="3"/>
  <c r="R1516" i="3"/>
  <c r="S1516" i="3" s="1"/>
  <c r="Q1516" i="3"/>
  <c r="P1516" i="3"/>
  <c r="T1515" i="3"/>
  <c r="R1515" i="3"/>
  <c r="S1515" i="3" s="1"/>
  <c r="Q1515" i="3"/>
  <c r="P1515" i="3"/>
  <c r="T1514" i="3"/>
  <c r="R1514" i="3"/>
  <c r="S1514" i="3" s="1"/>
  <c r="Q1514" i="3"/>
  <c r="P1514" i="3"/>
  <c r="T1513" i="3"/>
  <c r="R1513" i="3"/>
  <c r="S1513" i="3" s="1"/>
  <c r="Q1513" i="3"/>
  <c r="P1513" i="3"/>
  <c r="T1512" i="3"/>
  <c r="R1512" i="3"/>
  <c r="S1512" i="3" s="1"/>
  <c r="Q1512" i="3"/>
  <c r="P1512" i="3"/>
  <c r="T1511" i="3"/>
  <c r="R1511" i="3"/>
  <c r="S1511" i="3" s="1"/>
  <c r="Q1511" i="3"/>
  <c r="P1511" i="3"/>
  <c r="T1510" i="3"/>
  <c r="R1510" i="3"/>
  <c r="S1510" i="3" s="1"/>
  <c r="Q1510" i="3"/>
  <c r="P1510" i="3"/>
  <c r="T1509" i="3"/>
  <c r="R1509" i="3"/>
  <c r="S1509" i="3" s="1"/>
  <c r="Q1509" i="3"/>
  <c r="P1509" i="3"/>
  <c r="T1508" i="3"/>
  <c r="R1508" i="3"/>
  <c r="S1508" i="3" s="1"/>
  <c r="Q1508" i="3"/>
  <c r="P1508" i="3"/>
  <c r="T1507" i="3"/>
  <c r="R1507" i="3"/>
  <c r="S1507" i="3" s="1"/>
  <c r="Q1507" i="3"/>
  <c r="P1507" i="3"/>
  <c r="T1506" i="3"/>
  <c r="R1506" i="3"/>
  <c r="S1506" i="3" s="1"/>
  <c r="Q1506" i="3"/>
  <c r="P1506" i="3"/>
  <c r="T1505" i="3"/>
  <c r="R1505" i="3"/>
  <c r="S1505" i="3" s="1"/>
  <c r="Q1505" i="3"/>
  <c r="P1505" i="3"/>
  <c r="T1504" i="3"/>
  <c r="R1504" i="3"/>
  <c r="S1504" i="3" s="1"/>
  <c r="Q1504" i="3"/>
  <c r="P1504" i="3"/>
  <c r="T1503" i="3"/>
  <c r="R1503" i="3"/>
  <c r="S1503" i="3" s="1"/>
  <c r="Q1503" i="3"/>
  <c r="P1503" i="3"/>
  <c r="T1502" i="3"/>
  <c r="R1502" i="3"/>
  <c r="S1502" i="3" s="1"/>
  <c r="Q1502" i="3"/>
  <c r="P1502" i="3"/>
  <c r="T1501" i="3"/>
  <c r="R1501" i="3"/>
  <c r="S1501" i="3" s="1"/>
  <c r="Q1501" i="3"/>
  <c r="P1501" i="3"/>
  <c r="T1500" i="3"/>
  <c r="R1500" i="3"/>
  <c r="S1500" i="3" s="1"/>
  <c r="Q1500" i="3"/>
  <c r="P1500" i="3"/>
  <c r="T1499" i="3"/>
  <c r="R1499" i="3"/>
  <c r="S1499" i="3" s="1"/>
  <c r="Q1499" i="3"/>
  <c r="P1499" i="3"/>
  <c r="T1498" i="3"/>
  <c r="R1498" i="3"/>
  <c r="S1498" i="3" s="1"/>
  <c r="Q1498" i="3"/>
  <c r="P1498" i="3"/>
  <c r="T1497" i="3"/>
  <c r="R1497" i="3"/>
  <c r="S1497" i="3" s="1"/>
  <c r="Q1497" i="3"/>
  <c r="P1497" i="3"/>
  <c r="T1496" i="3"/>
  <c r="R1496" i="3"/>
  <c r="S1496" i="3" s="1"/>
  <c r="Q1496" i="3"/>
  <c r="P1496" i="3"/>
  <c r="T1495" i="3"/>
  <c r="R1495" i="3"/>
  <c r="S1495" i="3" s="1"/>
  <c r="Q1495" i="3"/>
  <c r="P1495" i="3"/>
  <c r="T1494" i="3"/>
  <c r="R1494" i="3"/>
  <c r="S1494" i="3" s="1"/>
  <c r="Q1494" i="3"/>
  <c r="P1494" i="3"/>
  <c r="T1493" i="3"/>
  <c r="R1493" i="3"/>
  <c r="S1493" i="3" s="1"/>
  <c r="Q1493" i="3"/>
  <c r="P1493" i="3"/>
  <c r="T1492" i="3"/>
  <c r="R1492" i="3"/>
  <c r="S1492" i="3" s="1"/>
  <c r="Q1492" i="3"/>
  <c r="P1492" i="3"/>
  <c r="T1491" i="3"/>
  <c r="R1491" i="3"/>
  <c r="S1491" i="3" s="1"/>
  <c r="Q1491" i="3"/>
  <c r="P1491" i="3"/>
  <c r="T1490" i="3"/>
  <c r="R1490" i="3"/>
  <c r="S1490" i="3" s="1"/>
  <c r="Q1490" i="3"/>
  <c r="P1490" i="3"/>
  <c r="T1489" i="3"/>
  <c r="R1489" i="3"/>
  <c r="S1489" i="3" s="1"/>
  <c r="Q1489" i="3"/>
  <c r="P1489" i="3"/>
  <c r="T1488" i="3"/>
  <c r="R1488" i="3"/>
  <c r="S1488" i="3" s="1"/>
  <c r="Q1488" i="3"/>
  <c r="P1488" i="3"/>
  <c r="T1487" i="3"/>
  <c r="R1487" i="3"/>
  <c r="S1487" i="3" s="1"/>
  <c r="Q1487" i="3"/>
  <c r="P1487" i="3"/>
  <c r="T1486" i="3"/>
  <c r="R1486" i="3"/>
  <c r="S1486" i="3" s="1"/>
  <c r="Q1486" i="3"/>
  <c r="P1486" i="3"/>
  <c r="T1485" i="3"/>
  <c r="R1485" i="3"/>
  <c r="S1485" i="3" s="1"/>
  <c r="Q1485" i="3"/>
  <c r="P1485" i="3"/>
  <c r="T1484" i="3"/>
  <c r="R1484" i="3"/>
  <c r="S1484" i="3" s="1"/>
  <c r="Q1484" i="3"/>
  <c r="P1484" i="3"/>
  <c r="T1483" i="3"/>
  <c r="R1483" i="3"/>
  <c r="S1483" i="3" s="1"/>
  <c r="Q1483" i="3"/>
  <c r="P1483" i="3"/>
  <c r="T1482" i="3"/>
  <c r="R1482" i="3"/>
  <c r="S1482" i="3" s="1"/>
  <c r="Q1482" i="3"/>
  <c r="P1482" i="3"/>
  <c r="T1481" i="3"/>
  <c r="R1481" i="3"/>
  <c r="S1481" i="3" s="1"/>
  <c r="Q1481" i="3"/>
  <c r="P1481" i="3"/>
  <c r="T1480" i="3"/>
  <c r="R1480" i="3"/>
  <c r="S1480" i="3" s="1"/>
  <c r="Q1480" i="3"/>
  <c r="P1480" i="3"/>
  <c r="T1479" i="3"/>
  <c r="R1479" i="3"/>
  <c r="S1479" i="3" s="1"/>
  <c r="Q1479" i="3"/>
  <c r="P1479" i="3"/>
  <c r="T1478" i="3"/>
  <c r="R1478" i="3"/>
  <c r="S1478" i="3" s="1"/>
  <c r="Q1478" i="3"/>
  <c r="P1478" i="3"/>
  <c r="T1477" i="3"/>
  <c r="R1477" i="3"/>
  <c r="S1477" i="3" s="1"/>
  <c r="Q1477" i="3"/>
  <c r="P1477" i="3"/>
  <c r="T1476" i="3"/>
  <c r="R1476" i="3"/>
  <c r="S1476" i="3" s="1"/>
  <c r="Q1476" i="3"/>
  <c r="P1476" i="3"/>
  <c r="T1475" i="3"/>
  <c r="R1475" i="3"/>
  <c r="S1475" i="3" s="1"/>
  <c r="Q1475" i="3"/>
  <c r="P1475" i="3"/>
  <c r="T1474" i="3"/>
  <c r="R1474" i="3"/>
  <c r="S1474" i="3" s="1"/>
  <c r="Q1474" i="3"/>
  <c r="P1474" i="3"/>
  <c r="T1473" i="3"/>
  <c r="R1473" i="3"/>
  <c r="S1473" i="3" s="1"/>
  <c r="Q1473" i="3"/>
  <c r="P1473" i="3"/>
  <c r="T1472" i="3"/>
  <c r="R1472" i="3"/>
  <c r="S1472" i="3" s="1"/>
  <c r="Q1472" i="3"/>
  <c r="P1472" i="3"/>
  <c r="T1471" i="3"/>
  <c r="R1471" i="3"/>
  <c r="S1471" i="3" s="1"/>
  <c r="Q1471" i="3"/>
  <c r="P1471" i="3"/>
  <c r="T1470" i="3"/>
  <c r="R1470" i="3"/>
  <c r="S1470" i="3" s="1"/>
  <c r="Q1470" i="3"/>
  <c r="P1470" i="3"/>
  <c r="T1469" i="3"/>
  <c r="R1469" i="3"/>
  <c r="S1469" i="3" s="1"/>
  <c r="Q1469" i="3"/>
  <c r="P1469" i="3"/>
  <c r="T1468" i="3"/>
  <c r="R1468" i="3"/>
  <c r="S1468" i="3" s="1"/>
  <c r="Q1468" i="3"/>
  <c r="P1468" i="3"/>
  <c r="T1467" i="3"/>
  <c r="R1467" i="3"/>
  <c r="S1467" i="3" s="1"/>
  <c r="Q1467" i="3"/>
  <c r="P1467" i="3"/>
  <c r="T1466" i="3"/>
  <c r="R1466" i="3"/>
  <c r="S1466" i="3" s="1"/>
  <c r="Q1466" i="3"/>
  <c r="P1466" i="3"/>
  <c r="T1465" i="3"/>
  <c r="R1465" i="3"/>
  <c r="S1465" i="3" s="1"/>
  <c r="Q1465" i="3"/>
  <c r="P1465" i="3"/>
  <c r="T1464" i="3"/>
  <c r="R1464" i="3"/>
  <c r="S1464" i="3" s="1"/>
  <c r="Q1464" i="3"/>
  <c r="P1464" i="3"/>
  <c r="T1463" i="3"/>
  <c r="R1463" i="3"/>
  <c r="S1463" i="3" s="1"/>
  <c r="Q1463" i="3"/>
  <c r="P1463" i="3"/>
  <c r="T1462" i="3"/>
  <c r="R1462" i="3"/>
  <c r="S1462" i="3" s="1"/>
  <c r="Q1462" i="3"/>
  <c r="P1462" i="3"/>
  <c r="T1461" i="3"/>
  <c r="R1461" i="3"/>
  <c r="S1461" i="3" s="1"/>
  <c r="Q1461" i="3"/>
  <c r="P1461" i="3"/>
  <c r="T1460" i="3"/>
  <c r="R1460" i="3"/>
  <c r="S1460" i="3" s="1"/>
  <c r="Q1460" i="3"/>
  <c r="P1460" i="3"/>
  <c r="T1459" i="3"/>
  <c r="R1459" i="3"/>
  <c r="S1459" i="3" s="1"/>
  <c r="Q1459" i="3"/>
  <c r="P1459" i="3"/>
  <c r="T1458" i="3"/>
  <c r="R1458" i="3"/>
  <c r="S1458" i="3" s="1"/>
  <c r="Q1458" i="3"/>
  <c r="P1458" i="3"/>
  <c r="T1457" i="3"/>
  <c r="R1457" i="3"/>
  <c r="S1457" i="3" s="1"/>
  <c r="Q1457" i="3"/>
  <c r="P1457" i="3"/>
  <c r="T1456" i="3"/>
  <c r="R1456" i="3"/>
  <c r="S1456" i="3" s="1"/>
  <c r="Q1456" i="3"/>
  <c r="P1456" i="3"/>
  <c r="T1455" i="3"/>
  <c r="R1455" i="3"/>
  <c r="S1455" i="3" s="1"/>
  <c r="Q1455" i="3"/>
  <c r="P1455" i="3"/>
  <c r="T1454" i="3"/>
  <c r="R1454" i="3"/>
  <c r="S1454" i="3" s="1"/>
  <c r="Q1454" i="3"/>
  <c r="P1454" i="3"/>
  <c r="T1453" i="3"/>
  <c r="R1453" i="3"/>
  <c r="S1453" i="3" s="1"/>
  <c r="Q1453" i="3"/>
  <c r="P1453" i="3"/>
  <c r="T1452" i="3"/>
  <c r="R1452" i="3"/>
  <c r="S1452" i="3" s="1"/>
  <c r="Q1452" i="3"/>
  <c r="P1452" i="3"/>
  <c r="T1451" i="3"/>
  <c r="R1451" i="3"/>
  <c r="S1451" i="3" s="1"/>
  <c r="Q1451" i="3"/>
  <c r="P1451" i="3"/>
  <c r="T1450" i="3"/>
  <c r="R1450" i="3"/>
  <c r="S1450" i="3" s="1"/>
  <c r="Q1450" i="3"/>
  <c r="P1450" i="3"/>
  <c r="T1449" i="3"/>
  <c r="R1449" i="3"/>
  <c r="S1449" i="3" s="1"/>
  <c r="Q1449" i="3"/>
  <c r="P1449" i="3"/>
  <c r="T1448" i="3"/>
  <c r="R1448" i="3"/>
  <c r="S1448" i="3" s="1"/>
  <c r="Q1448" i="3"/>
  <c r="P1448" i="3"/>
  <c r="T1447" i="3"/>
  <c r="R1447" i="3"/>
  <c r="S1447" i="3" s="1"/>
  <c r="Q1447" i="3"/>
  <c r="P1447" i="3"/>
  <c r="T1446" i="3"/>
  <c r="R1446" i="3"/>
  <c r="S1446" i="3" s="1"/>
  <c r="Q1446" i="3"/>
  <c r="P1446" i="3"/>
  <c r="T1445" i="3"/>
  <c r="R1445" i="3"/>
  <c r="S1445" i="3" s="1"/>
  <c r="Q1445" i="3"/>
  <c r="P1445" i="3"/>
  <c r="T1444" i="3"/>
  <c r="R1444" i="3"/>
  <c r="S1444" i="3" s="1"/>
  <c r="Q1444" i="3"/>
  <c r="P1444" i="3"/>
  <c r="T1443" i="3"/>
  <c r="R1443" i="3"/>
  <c r="S1443" i="3" s="1"/>
  <c r="Q1443" i="3"/>
  <c r="P1443" i="3"/>
  <c r="T1442" i="3"/>
  <c r="R1442" i="3"/>
  <c r="S1442" i="3" s="1"/>
  <c r="Q1442" i="3"/>
  <c r="P1442" i="3"/>
  <c r="T1441" i="3"/>
  <c r="R1441" i="3"/>
  <c r="S1441" i="3" s="1"/>
  <c r="Q1441" i="3"/>
  <c r="P1441" i="3"/>
  <c r="T1440" i="3"/>
  <c r="R1440" i="3"/>
  <c r="S1440" i="3" s="1"/>
  <c r="Q1440" i="3"/>
  <c r="P1440" i="3"/>
  <c r="T1439" i="3"/>
  <c r="R1439" i="3"/>
  <c r="S1439" i="3" s="1"/>
  <c r="Q1439" i="3"/>
  <c r="P1439" i="3"/>
  <c r="T1438" i="3"/>
  <c r="R1438" i="3"/>
  <c r="S1438" i="3" s="1"/>
  <c r="Q1438" i="3"/>
  <c r="P1438" i="3"/>
  <c r="T1437" i="3"/>
  <c r="R1437" i="3"/>
  <c r="S1437" i="3" s="1"/>
  <c r="Q1437" i="3"/>
  <c r="P1437" i="3"/>
  <c r="T1436" i="3"/>
  <c r="R1436" i="3"/>
  <c r="S1436" i="3" s="1"/>
  <c r="Q1436" i="3"/>
  <c r="P1436" i="3"/>
  <c r="T1435" i="3"/>
  <c r="R1435" i="3"/>
  <c r="S1435" i="3" s="1"/>
  <c r="Q1435" i="3"/>
  <c r="P1435" i="3"/>
  <c r="T1434" i="3"/>
  <c r="R1434" i="3"/>
  <c r="S1434" i="3" s="1"/>
  <c r="Q1434" i="3"/>
  <c r="P1434" i="3"/>
  <c r="T1433" i="3"/>
  <c r="R1433" i="3"/>
  <c r="S1433" i="3" s="1"/>
  <c r="Q1433" i="3"/>
  <c r="P1433" i="3"/>
  <c r="T1432" i="3"/>
  <c r="R1432" i="3"/>
  <c r="S1432" i="3" s="1"/>
  <c r="Q1432" i="3"/>
  <c r="P1432" i="3"/>
  <c r="T1431" i="3"/>
  <c r="R1431" i="3"/>
  <c r="S1431" i="3" s="1"/>
  <c r="Q1431" i="3"/>
  <c r="P1431" i="3"/>
  <c r="T1430" i="3"/>
  <c r="R1430" i="3"/>
  <c r="S1430" i="3" s="1"/>
  <c r="Q1430" i="3"/>
  <c r="P1430" i="3"/>
  <c r="T1429" i="3"/>
  <c r="R1429" i="3"/>
  <c r="S1429" i="3" s="1"/>
  <c r="Q1429" i="3"/>
  <c r="P1429" i="3"/>
  <c r="T1428" i="3"/>
  <c r="R1428" i="3"/>
  <c r="S1428" i="3" s="1"/>
  <c r="Q1428" i="3"/>
  <c r="P1428" i="3"/>
  <c r="T1427" i="3"/>
  <c r="R1427" i="3"/>
  <c r="S1427" i="3" s="1"/>
  <c r="Q1427" i="3"/>
  <c r="P1427" i="3"/>
  <c r="T1426" i="3"/>
  <c r="R1426" i="3"/>
  <c r="S1426" i="3" s="1"/>
  <c r="Q1426" i="3"/>
  <c r="P1426" i="3"/>
  <c r="T1425" i="3"/>
  <c r="R1425" i="3"/>
  <c r="S1425" i="3" s="1"/>
  <c r="Q1425" i="3"/>
  <c r="P1425" i="3"/>
  <c r="T1424" i="3"/>
  <c r="R1424" i="3"/>
  <c r="S1424" i="3" s="1"/>
  <c r="Q1424" i="3"/>
  <c r="P1424" i="3"/>
  <c r="T1423" i="3"/>
  <c r="R1423" i="3"/>
  <c r="S1423" i="3" s="1"/>
  <c r="Q1423" i="3"/>
  <c r="P1423" i="3"/>
  <c r="T1422" i="3"/>
  <c r="R1422" i="3"/>
  <c r="S1422" i="3" s="1"/>
  <c r="Q1422" i="3"/>
  <c r="P1422" i="3"/>
  <c r="T1421" i="3"/>
  <c r="R1421" i="3"/>
  <c r="S1421" i="3" s="1"/>
  <c r="Q1421" i="3"/>
  <c r="P1421" i="3"/>
  <c r="T1420" i="3"/>
  <c r="R1420" i="3"/>
  <c r="S1420" i="3" s="1"/>
  <c r="Q1420" i="3"/>
  <c r="P1420" i="3"/>
  <c r="T1419" i="3"/>
  <c r="R1419" i="3"/>
  <c r="S1419" i="3" s="1"/>
  <c r="Q1419" i="3"/>
  <c r="P1419" i="3"/>
  <c r="T1418" i="3"/>
  <c r="R1418" i="3"/>
  <c r="S1418" i="3" s="1"/>
  <c r="Q1418" i="3"/>
  <c r="P1418" i="3"/>
  <c r="T1417" i="3"/>
  <c r="R1417" i="3"/>
  <c r="S1417" i="3" s="1"/>
  <c r="Q1417" i="3"/>
  <c r="P1417" i="3"/>
  <c r="T1416" i="3"/>
  <c r="R1416" i="3"/>
  <c r="S1416" i="3" s="1"/>
  <c r="Q1416" i="3"/>
  <c r="P1416" i="3"/>
  <c r="T1415" i="3"/>
  <c r="R1415" i="3"/>
  <c r="S1415" i="3" s="1"/>
  <c r="Q1415" i="3"/>
  <c r="P1415" i="3"/>
  <c r="T1414" i="3"/>
  <c r="R1414" i="3"/>
  <c r="S1414" i="3" s="1"/>
  <c r="Q1414" i="3"/>
  <c r="P1414" i="3"/>
  <c r="T1413" i="3"/>
  <c r="R1413" i="3"/>
  <c r="S1413" i="3" s="1"/>
  <c r="Q1413" i="3"/>
  <c r="P1413" i="3"/>
  <c r="T1412" i="3"/>
  <c r="R1412" i="3"/>
  <c r="S1412" i="3" s="1"/>
  <c r="Q1412" i="3"/>
  <c r="P1412" i="3"/>
  <c r="T1411" i="3"/>
  <c r="R1411" i="3"/>
  <c r="S1411" i="3" s="1"/>
  <c r="Q1411" i="3"/>
  <c r="P1411" i="3"/>
  <c r="T1410" i="3"/>
  <c r="R1410" i="3"/>
  <c r="S1410" i="3" s="1"/>
  <c r="Q1410" i="3"/>
  <c r="P1410" i="3"/>
  <c r="T1409" i="3"/>
  <c r="R1409" i="3"/>
  <c r="S1409" i="3" s="1"/>
  <c r="Q1409" i="3"/>
  <c r="P1409" i="3"/>
  <c r="T1408" i="3"/>
  <c r="R1408" i="3"/>
  <c r="S1408" i="3" s="1"/>
  <c r="Q1408" i="3"/>
  <c r="P1408" i="3"/>
  <c r="T1407" i="3"/>
  <c r="R1407" i="3"/>
  <c r="S1407" i="3" s="1"/>
  <c r="Q1407" i="3"/>
  <c r="P1407" i="3"/>
  <c r="T1406" i="3"/>
  <c r="R1406" i="3"/>
  <c r="S1406" i="3" s="1"/>
  <c r="Q1406" i="3"/>
  <c r="P1406" i="3"/>
  <c r="T1405" i="3"/>
  <c r="R1405" i="3"/>
  <c r="S1405" i="3" s="1"/>
  <c r="Q1405" i="3"/>
  <c r="P1405" i="3"/>
  <c r="T1404" i="3"/>
  <c r="R1404" i="3"/>
  <c r="S1404" i="3" s="1"/>
  <c r="Q1404" i="3"/>
  <c r="P1404" i="3"/>
  <c r="T1403" i="3"/>
  <c r="R1403" i="3"/>
  <c r="S1403" i="3" s="1"/>
  <c r="Q1403" i="3"/>
  <c r="P1403" i="3"/>
  <c r="T1402" i="3"/>
  <c r="R1402" i="3"/>
  <c r="S1402" i="3" s="1"/>
  <c r="Q1402" i="3"/>
  <c r="P1402" i="3"/>
  <c r="T1401" i="3"/>
  <c r="R1401" i="3"/>
  <c r="S1401" i="3" s="1"/>
  <c r="Q1401" i="3"/>
  <c r="P1401" i="3"/>
  <c r="T1400" i="3"/>
  <c r="R1400" i="3"/>
  <c r="S1400" i="3" s="1"/>
  <c r="Q1400" i="3"/>
  <c r="P1400" i="3"/>
  <c r="T1399" i="3"/>
  <c r="R1399" i="3"/>
  <c r="S1399" i="3" s="1"/>
  <c r="Q1399" i="3"/>
  <c r="P1399" i="3"/>
  <c r="T1398" i="3"/>
  <c r="R1398" i="3"/>
  <c r="S1398" i="3" s="1"/>
  <c r="Q1398" i="3"/>
  <c r="P1398" i="3"/>
  <c r="T1397" i="3"/>
  <c r="R1397" i="3"/>
  <c r="S1397" i="3" s="1"/>
  <c r="Q1397" i="3"/>
  <c r="P1397" i="3"/>
  <c r="T1396" i="3"/>
  <c r="R1396" i="3"/>
  <c r="S1396" i="3" s="1"/>
  <c r="Q1396" i="3"/>
  <c r="P1396" i="3"/>
  <c r="T1395" i="3"/>
  <c r="R1395" i="3"/>
  <c r="S1395" i="3" s="1"/>
  <c r="Q1395" i="3"/>
  <c r="P1395" i="3"/>
  <c r="T1394" i="3"/>
  <c r="R1394" i="3"/>
  <c r="S1394" i="3" s="1"/>
  <c r="Q1394" i="3"/>
  <c r="P1394" i="3"/>
  <c r="T1393" i="3"/>
  <c r="R1393" i="3"/>
  <c r="S1393" i="3" s="1"/>
  <c r="Q1393" i="3"/>
  <c r="P1393" i="3"/>
  <c r="T1392" i="3"/>
  <c r="R1392" i="3"/>
  <c r="S1392" i="3" s="1"/>
  <c r="Q1392" i="3"/>
  <c r="P1392" i="3"/>
  <c r="T1391" i="3"/>
  <c r="R1391" i="3"/>
  <c r="S1391" i="3" s="1"/>
  <c r="Q1391" i="3"/>
  <c r="P1391" i="3"/>
  <c r="T1390" i="3"/>
  <c r="R1390" i="3"/>
  <c r="S1390" i="3" s="1"/>
  <c r="Q1390" i="3"/>
  <c r="P1390" i="3"/>
  <c r="T1389" i="3"/>
  <c r="R1389" i="3"/>
  <c r="S1389" i="3" s="1"/>
  <c r="Q1389" i="3"/>
  <c r="P1389" i="3"/>
  <c r="T1388" i="3"/>
  <c r="R1388" i="3"/>
  <c r="S1388" i="3" s="1"/>
  <c r="Q1388" i="3"/>
  <c r="P1388" i="3"/>
  <c r="T1387" i="3"/>
  <c r="R1387" i="3"/>
  <c r="S1387" i="3" s="1"/>
  <c r="Q1387" i="3"/>
  <c r="P1387" i="3"/>
  <c r="T1386" i="3"/>
  <c r="R1386" i="3"/>
  <c r="S1386" i="3" s="1"/>
  <c r="Q1386" i="3"/>
  <c r="P1386" i="3"/>
  <c r="T1385" i="3"/>
  <c r="R1385" i="3"/>
  <c r="S1385" i="3" s="1"/>
  <c r="Q1385" i="3"/>
  <c r="P1385" i="3"/>
  <c r="T1384" i="3"/>
  <c r="R1384" i="3"/>
  <c r="S1384" i="3" s="1"/>
  <c r="Q1384" i="3"/>
  <c r="P1384" i="3"/>
  <c r="T1383" i="3"/>
  <c r="R1383" i="3"/>
  <c r="S1383" i="3" s="1"/>
  <c r="Q1383" i="3"/>
  <c r="P1383" i="3"/>
  <c r="T1382" i="3"/>
  <c r="R1382" i="3"/>
  <c r="S1382" i="3" s="1"/>
  <c r="Q1382" i="3"/>
  <c r="P1382" i="3"/>
  <c r="T1381" i="3"/>
  <c r="R1381" i="3"/>
  <c r="S1381" i="3" s="1"/>
  <c r="Q1381" i="3"/>
  <c r="P1381" i="3"/>
  <c r="T1380" i="3"/>
  <c r="R1380" i="3"/>
  <c r="S1380" i="3" s="1"/>
  <c r="Q1380" i="3"/>
  <c r="P1380" i="3"/>
  <c r="T1379" i="3"/>
  <c r="R1379" i="3"/>
  <c r="S1379" i="3" s="1"/>
  <c r="Q1379" i="3"/>
  <c r="P1379" i="3"/>
  <c r="T1378" i="3"/>
  <c r="R1378" i="3"/>
  <c r="S1378" i="3" s="1"/>
  <c r="Q1378" i="3"/>
  <c r="P1378" i="3"/>
  <c r="T1377" i="3"/>
  <c r="R1377" i="3"/>
  <c r="S1377" i="3" s="1"/>
  <c r="Q1377" i="3"/>
  <c r="P1377" i="3"/>
  <c r="T1376" i="3"/>
  <c r="R1376" i="3"/>
  <c r="S1376" i="3" s="1"/>
  <c r="Q1376" i="3"/>
  <c r="P1376" i="3"/>
  <c r="T1375" i="3"/>
  <c r="R1375" i="3"/>
  <c r="S1375" i="3" s="1"/>
  <c r="Q1375" i="3"/>
  <c r="P1375" i="3"/>
  <c r="T1374" i="3"/>
  <c r="R1374" i="3"/>
  <c r="S1374" i="3" s="1"/>
  <c r="Q1374" i="3"/>
  <c r="P1374" i="3"/>
  <c r="T1373" i="3"/>
  <c r="R1373" i="3"/>
  <c r="S1373" i="3" s="1"/>
  <c r="Q1373" i="3"/>
  <c r="P1373" i="3"/>
  <c r="T1372" i="3"/>
  <c r="R1372" i="3"/>
  <c r="S1372" i="3" s="1"/>
  <c r="Q1372" i="3"/>
  <c r="P1372" i="3"/>
  <c r="T1371" i="3"/>
  <c r="R1371" i="3"/>
  <c r="S1371" i="3" s="1"/>
  <c r="Q1371" i="3"/>
  <c r="P1371" i="3"/>
  <c r="T1370" i="3"/>
  <c r="R1370" i="3"/>
  <c r="S1370" i="3" s="1"/>
  <c r="Q1370" i="3"/>
  <c r="P1370" i="3"/>
  <c r="T1369" i="3"/>
  <c r="R1369" i="3"/>
  <c r="S1369" i="3" s="1"/>
  <c r="Q1369" i="3"/>
  <c r="P1369" i="3"/>
  <c r="T1368" i="3"/>
  <c r="R1368" i="3"/>
  <c r="S1368" i="3" s="1"/>
  <c r="Q1368" i="3"/>
  <c r="P1368" i="3"/>
  <c r="T1367" i="3"/>
  <c r="R1367" i="3"/>
  <c r="S1367" i="3" s="1"/>
  <c r="Q1367" i="3"/>
  <c r="P1367" i="3"/>
  <c r="T1366" i="3"/>
  <c r="R1366" i="3"/>
  <c r="S1366" i="3" s="1"/>
  <c r="Q1366" i="3"/>
  <c r="P1366" i="3"/>
  <c r="T1365" i="3"/>
  <c r="R1365" i="3"/>
  <c r="S1365" i="3" s="1"/>
  <c r="Q1365" i="3"/>
  <c r="P1365" i="3"/>
  <c r="T1364" i="3"/>
  <c r="R1364" i="3"/>
  <c r="S1364" i="3" s="1"/>
  <c r="Q1364" i="3"/>
  <c r="P1364" i="3"/>
  <c r="T1363" i="3"/>
  <c r="R1363" i="3"/>
  <c r="S1363" i="3" s="1"/>
  <c r="Q1363" i="3"/>
  <c r="P1363" i="3"/>
  <c r="T1362" i="3"/>
  <c r="R1362" i="3"/>
  <c r="S1362" i="3" s="1"/>
  <c r="Q1362" i="3"/>
  <c r="P1362" i="3"/>
  <c r="T1361" i="3"/>
  <c r="R1361" i="3"/>
  <c r="S1361" i="3" s="1"/>
  <c r="Q1361" i="3"/>
  <c r="P1361" i="3"/>
  <c r="T1360" i="3"/>
  <c r="R1360" i="3"/>
  <c r="S1360" i="3" s="1"/>
  <c r="Q1360" i="3"/>
  <c r="P1360" i="3"/>
  <c r="T1359" i="3"/>
  <c r="R1359" i="3"/>
  <c r="S1359" i="3" s="1"/>
  <c r="Q1359" i="3"/>
  <c r="P1359" i="3"/>
  <c r="T1358" i="3"/>
  <c r="R1358" i="3"/>
  <c r="S1358" i="3" s="1"/>
  <c r="Q1358" i="3"/>
  <c r="P1358" i="3"/>
  <c r="T1357" i="3"/>
  <c r="R1357" i="3"/>
  <c r="S1357" i="3" s="1"/>
  <c r="Q1357" i="3"/>
  <c r="P1357" i="3"/>
  <c r="T1356" i="3"/>
  <c r="R1356" i="3"/>
  <c r="S1356" i="3" s="1"/>
  <c r="Q1356" i="3"/>
  <c r="P1356" i="3"/>
  <c r="T1355" i="3"/>
  <c r="R1355" i="3"/>
  <c r="S1355" i="3" s="1"/>
  <c r="Q1355" i="3"/>
  <c r="P1355" i="3"/>
  <c r="T1354" i="3"/>
  <c r="R1354" i="3"/>
  <c r="S1354" i="3" s="1"/>
  <c r="Q1354" i="3"/>
  <c r="P1354" i="3"/>
  <c r="T1353" i="3"/>
  <c r="R1353" i="3"/>
  <c r="S1353" i="3" s="1"/>
  <c r="Q1353" i="3"/>
  <c r="P1353" i="3"/>
  <c r="T1352" i="3"/>
  <c r="R1352" i="3"/>
  <c r="S1352" i="3" s="1"/>
  <c r="Q1352" i="3"/>
  <c r="P1352" i="3"/>
  <c r="T1351" i="3"/>
  <c r="R1351" i="3"/>
  <c r="S1351" i="3" s="1"/>
  <c r="Q1351" i="3"/>
  <c r="P1351" i="3"/>
  <c r="T1350" i="3"/>
  <c r="R1350" i="3"/>
  <c r="S1350" i="3" s="1"/>
  <c r="Q1350" i="3"/>
  <c r="P1350" i="3"/>
  <c r="T1349" i="3"/>
  <c r="R1349" i="3"/>
  <c r="S1349" i="3" s="1"/>
  <c r="Q1349" i="3"/>
  <c r="P1349" i="3"/>
  <c r="T1348" i="3"/>
  <c r="R1348" i="3"/>
  <c r="S1348" i="3" s="1"/>
  <c r="Q1348" i="3"/>
  <c r="P1348" i="3"/>
  <c r="T1347" i="3"/>
  <c r="R1347" i="3"/>
  <c r="S1347" i="3" s="1"/>
  <c r="Q1347" i="3"/>
  <c r="P1347" i="3"/>
  <c r="T1346" i="3"/>
  <c r="R1346" i="3"/>
  <c r="S1346" i="3" s="1"/>
  <c r="Q1346" i="3"/>
  <c r="P1346" i="3"/>
  <c r="T1345" i="3"/>
  <c r="R1345" i="3"/>
  <c r="S1345" i="3" s="1"/>
  <c r="Q1345" i="3"/>
  <c r="P1345" i="3"/>
  <c r="T1344" i="3"/>
  <c r="R1344" i="3"/>
  <c r="S1344" i="3" s="1"/>
  <c r="Q1344" i="3"/>
  <c r="P1344" i="3"/>
  <c r="T1343" i="3"/>
  <c r="R1343" i="3"/>
  <c r="S1343" i="3" s="1"/>
  <c r="Q1343" i="3"/>
  <c r="P1343" i="3"/>
  <c r="T1342" i="3"/>
  <c r="R1342" i="3"/>
  <c r="S1342" i="3" s="1"/>
  <c r="Q1342" i="3"/>
  <c r="P1342" i="3"/>
  <c r="T1341" i="3"/>
  <c r="R1341" i="3"/>
  <c r="S1341" i="3" s="1"/>
  <c r="Q1341" i="3"/>
  <c r="P1341" i="3"/>
  <c r="T1340" i="3"/>
  <c r="R1340" i="3"/>
  <c r="S1340" i="3" s="1"/>
  <c r="Q1340" i="3"/>
  <c r="P1340" i="3"/>
  <c r="T1339" i="3"/>
  <c r="R1339" i="3"/>
  <c r="S1339" i="3" s="1"/>
  <c r="Q1339" i="3"/>
  <c r="P1339" i="3"/>
  <c r="T1338" i="3"/>
  <c r="R1338" i="3"/>
  <c r="S1338" i="3" s="1"/>
  <c r="Q1338" i="3"/>
  <c r="P1338" i="3"/>
  <c r="T1337" i="3"/>
  <c r="R1337" i="3"/>
  <c r="S1337" i="3" s="1"/>
  <c r="Q1337" i="3"/>
  <c r="P1337" i="3"/>
  <c r="T1336" i="3"/>
  <c r="R1336" i="3"/>
  <c r="S1336" i="3" s="1"/>
  <c r="Q1336" i="3"/>
  <c r="P1336" i="3"/>
  <c r="T1335" i="3"/>
  <c r="R1335" i="3"/>
  <c r="S1335" i="3" s="1"/>
  <c r="Q1335" i="3"/>
  <c r="P1335" i="3"/>
  <c r="T1334" i="3"/>
  <c r="R1334" i="3"/>
  <c r="S1334" i="3" s="1"/>
  <c r="Q1334" i="3"/>
  <c r="P1334" i="3"/>
  <c r="T1333" i="3"/>
  <c r="R1333" i="3"/>
  <c r="S1333" i="3" s="1"/>
  <c r="Q1333" i="3"/>
  <c r="P1333" i="3"/>
  <c r="T1332" i="3"/>
  <c r="R1332" i="3"/>
  <c r="S1332" i="3" s="1"/>
  <c r="Q1332" i="3"/>
  <c r="P1332" i="3"/>
  <c r="T1331" i="3"/>
  <c r="R1331" i="3"/>
  <c r="S1331" i="3" s="1"/>
  <c r="Q1331" i="3"/>
  <c r="P1331" i="3"/>
  <c r="T1330" i="3"/>
  <c r="R1330" i="3"/>
  <c r="S1330" i="3" s="1"/>
  <c r="Q1330" i="3"/>
  <c r="P1330" i="3"/>
  <c r="T1329" i="3"/>
  <c r="R1329" i="3"/>
  <c r="S1329" i="3" s="1"/>
  <c r="Q1329" i="3"/>
  <c r="P1329" i="3"/>
  <c r="T1328" i="3"/>
  <c r="R1328" i="3"/>
  <c r="S1328" i="3" s="1"/>
  <c r="Q1328" i="3"/>
  <c r="P1328" i="3"/>
  <c r="T1327" i="3"/>
  <c r="R1327" i="3"/>
  <c r="S1327" i="3" s="1"/>
  <c r="Q1327" i="3"/>
  <c r="P1327" i="3"/>
  <c r="T1326" i="3"/>
  <c r="R1326" i="3"/>
  <c r="S1326" i="3" s="1"/>
  <c r="Q1326" i="3"/>
  <c r="P1326" i="3"/>
  <c r="T1325" i="3"/>
  <c r="R1325" i="3"/>
  <c r="S1325" i="3" s="1"/>
  <c r="Q1325" i="3"/>
  <c r="P1325" i="3"/>
  <c r="T1324" i="3"/>
  <c r="R1324" i="3"/>
  <c r="S1324" i="3" s="1"/>
  <c r="Q1324" i="3"/>
  <c r="P1324" i="3"/>
  <c r="T1323" i="3"/>
  <c r="R1323" i="3"/>
  <c r="S1323" i="3" s="1"/>
  <c r="Q1323" i="3"/>
  <c r="P1323" i="3"/>
  <c r="T1322" i="3"/>
  <c r="R1322" i="3"/>
  <c r="S1322" i="3" s="1"/>
  <c r="Q1322" i="3"/>
  <c r="P1322" i="3"/>
  <c r="T1321" i="3"/>
  <c r="R1321" i="3"/>
  <c r="S1321" i="3" s="1"/>
  <c r="Q1321" i="3"/>
  <c r="P1321" i="3"/>
  <c r="T1320" i="3"/>
  <c r="R1320" i="3"/>
  <c r="S1320" i="3" s="1"/>
  <c r="Q1320" i="3"/>
  <c r="P1320" i="3"/>
  <c r="T1319" i="3"/>
  <c r="R1319" i="3"/>
  <c r="S1319" i="3" s="1"/>
  <c r="Q1319" i="3"/>
  <c r="P1319" i="3"/>
  <c r="T1318" i="3"/>
  <c r="R1318" i="3"/>
  <c r="S1318" i="3" s="1"/>
  <c r="Q1318" i="3"/>
  <c r="P1318" i="3"/>
  <c r="T1317" i="3"/>
  <c r="R1317" i="3"/>
  <c r="S1317" i="3" s="1"/>
  <c r="Q1317" i="3"/>
  <c r="P1317" i="3"/>
  <c r="T1316" i="3"/>
  <c r="R1316" i="3"/>
  <c r="S1316" i="3" s="1"/>
  <c r="Q1316" i="3"/>
  <c r="P1316" i="3"/>
  <c r="T1315" i="3"/>
  <c r="R1315" i="3"/>
  <c r="S1315" i="3" s="1"/>
  <c r="Q1315" i="3"/>
  <c r="P1315" i="3"/>
  <c r="T1314" i="3"/>
  <c r="R1314" i="3"/>
  <c r="S1314" i="3" s="1"/>
  <c r="Q1314" i="3"/>
  <c r="P1314" i="3"/>
  <c r="T1313" i="3"/>
  <c r="R1313" i="3"/>
  <c r="S1313" i="3" s="1"/>
  <c r="Q1313" i="3"/>
  <c r="P1313" i="3"/>
  <c r="T1312" i="3"/>
  <c r="R1312" i="3"/>
  <c r="S1312" i="3" s="1"/>
  <c r="Q1312" i="3"/>
  <c r="P1312" i="3"/>
  <c r="T1311" i="3"/>
  <c r="R1311" i="3"/>
  <c r="S1311" i="3" s="1"/>
  <c r="Q1311" i="3"/>
  <c r="P1311" i="3"/>
  <c r="T1310" i="3"/>
  <c r="R1310" i="3"/>
  <c r="S1310" i="3" s="1"/>
  <c r="Q1310" i="3"/>
  <c r="P1310" i="3"/>
  <c r="T1309" i="3"/>
  <c r="R1309" i="3"/>
  <c r="S1309" i="3" s="1"/>
  <c r="Q1309" i="3"/>
  <c r="P1309" i="3"/>
  <c r="T1308" i="3"/>
  <c r="R1308" i="3"/>
  <c r="S1308" i="3" s="1"/>
  <c r="Q1308" i="3"/>
  <c r="P1308" i="3"/>
  <c r="T1307" i="3"/>
  <c r="R1307" i="3"/>
  <c r="S1307" i="3" s="1"/>
  <c r="Q1307" i="3"/>
  <c r="P1307" i="3"/>
  <c r="T1306" i="3"/>
  <c r="R1306" i="3"/>
  <c r="S1306" i="3" s="1"/>
  <c r="Q1306" i="3"/>
  <c r="P1306" i="3"/>
  <c r="T1305" i="3"/>
  <c r="R1305" i="3"/>
  <c r="S1305" i="3" s="1"/>
  <c r="Q1305" i="3"/>
  <c r="P1305" i="3"/>
  <c r="T1304" i="3"/>
  <c r="R1304" i="3"/>
  <c r="S1304" i="3" s="1"/>
  <c r="Q1304" i="3"/>
  <c r="P1304" i="3"/>
  <c r="T1303" i="3"/>
  <c r="R1303" i="3"/>
  <c r="S1303" i="3" s="1"/>
  <c r="Q1303" i="3"/>
  <c r="P1303" i="3"/>
  <c r="T1302" i="3"/>
  <c r="R1302" i="3"/>
  <c r="S1302" i="3" s="1"/>
  <c r="Q1302" i="3"/>
  <c r="P1302" i="3"/>
  <c r="T1301" i="3"/>
  <c r="R1301" i="3"/>
  <c r="S1301" i="3" s="1"/>
  <c r="Q1301" i="3"/>
  <c r="P1301" i="3"/>
  <c r="T1300" i="3"/>
  <c r="R1300" i="3"/>
  <c r="S1300" i="3" s="1"/>
  <c r="Q1300" i="3"/>
  <c r="P1300" i="3"/>
  <c r="T1299" i="3"/>
  <c r="R1299" i="3"/>
  <c r="S1299" i="3" s="1"/>
  <c r="Q1299" i="3"/>
  <c r="P1299" i="3"/>
  <c r="T1298" i="3"/>
  <c r="R1298" i="3"/>
  <c r="S1298" i="3" s="1"/>
  <c r="Q1298" i="3"/>
  <c r="P1298" i="3"/>
  <c r="T1297" i="3"/>
  <c r="R1297" i="3"/>
  <c r="S1297" i="3" s="1"/>
  <c r="Q1297" i="3"/>
  <c r="P1297" i="3"/>
  <c r="T1296" i="3"/>
  <c r="R1296" i="3"/>
  <c r="S1296" i="3" s="1"/>
  <c r="Q1296" i="3"/>
  <c r="P1296" i="3"/>
  <c r="T1295" i="3"/>
  <c r="R1295" i="3"/>
  <c r="S1295" i="3" s="1"/>
  <c r="Q1295" i="3"/>
  <c r="P1295" i="3"/>
  <c r="T1294" i="3"/>
  <c r="R1294" i="3"/>
  <c r="S1294" i="3" s="1"/>
  <c r="Q1294" i="3"/>
  <c r="P1294" i="3"/>
  <c r="T1293" i="3"/>
  <c r="R1293" i="3"/>
  <c r="S1293" i="3" s="1"/>
  <c r="Q1293" i="3"/>
  <c r="P1293" i="3"/>
  <c r="T1292" i="3"/>
  <c r="R1292" i="3"/>
  <c r="S1292" i="3" s="1"/>
  <c r="Q1292" i="3"/>
  <c r="P1292" i="3"/>
  <c r="T1291" i="3"/>
  <c r="R1291" i="3"/>
  <c r="S1291" i="3" s="1"/>
  <c r="Q1291" i="3"/>
  <c r="P1291" i="3"/>
  <c r="T1290" i="3"/>
  <c r="R1290" i="3"/>
  <c r="S1290" i="3" s="1"/>
  <c r="Q1290" i="3"/>
  <c r="P1290" i="3"/>
  <c r="T1289" i="3"/>
  <c r="R1289" i="3"/>
  <c r="S1289" i="3" s="1"/>
  <c r="Q1289" i="3"/>
  <c r="P1289" i="3"/>
  <c r="T1288" i="3"/>
  <c r="R1288" i="3"/>
  <c r="S1288" i="3" s="1"/>
  <c r="Q1288" i="3"/>
  <c r="P1288" i="3"/>
  <c r="T1287" i="3"/>
  <c r="R1287" i="3"/>
  <c r="S1287" i="3" s="1"/>
  <c r="Q1287" i="3"/>
  <c r="P1287" i="3"/>
  <c r="T1286" i="3"/>
  <c r="R1286" i="3"/>
  <c r="S1286" i="3" s="1"/>
  <c r="Q1286" i="3"/>
  <c r="P1286" i="3"/>
  <c r="T1285" i="3"/>
  <c r="R1285" i="3"/>
  <c r="S1285" i="3" s="1"/>
  <c r="Q1285" i="3"/>
  <c r="P1285" i="3"/>
  <c r="T1284" i="3"/>
  <c r="R1284" i="3"/>
  <c r="S1284" i="3" s="1"/>
  <c r="Q1284" i="3"/>
  <c r="P1284" i="3"/>
  <c r="T1283" i="3"/>
  <c r="R1283" i="3"/>
  <c r="S1283" i="3" s="1"/>
  <c r="Q1283" i="3"/>
  <c r="P1283" i="3"/>
  <c r="T1282" i="3"/>
  <c r="R1282" i="3"/>
  <c r="S1282" i="3" s="1"/>
  <c r="Q1282" i="3"/>
  <c r="P1282" i="3"/>
  <c r="T1281" i="3"/>
  <c r="R1281" i="3"/>
  <c r="S1281" i="3" s="1"/>
  <c r="Q1281" i="3"/>
  <c r="P1281" i="3"/>
  <c r="T1280" i="3"/>
  <c r="R1280" i="3"/>
  <c r="S1280" i="3" s="1"/>
  <c r="Q1280" i="3"/>
  <c r="P1280" i="3"/>
  <c r="T1279" i="3"/>
  <c r="R1279" i="3"/>
  <c r="S1279" i="3" s="1"/>
  <c r="Q1279" i="3"/>
  <c r="P1279" i="3"/>
  <c r="T1278" i="3"/>
  <c r="R1278" i="3"/>
  <c r="S1278" i="3" s="1"/>
  <c r="Q1278" i="3"/>
  <c r="P1278" i="3"/>
  <c r="T1277" i="3"/>
  <c r="R1277" i="3"/>
  <c r="S1277" i="3" s="1"/>
  <c r="Q1277" i="3"/>
  <c r="P1277" i="3"/>
  <c r="T1276" i="3"/>
  <c r="R1276" i="3"/>
  <c r="S1276" i="3" s="1"/>
  <c r="Q1276" i="3"/>
  <c r="P1276" i="3"/>
  <c r="T1275" i="3"/>
  <c r="R1275" i="3"/>
  <c r="S1275" i="3" s="1"/>
  <c r="Q1275" i="3"/>
  <c r="P1275" i="3"/>
  <c r="T1274" i="3"/>
  <c r="R1274" i="3"/>
  <c r="S1274" i="3" s="1"/>
  <c r="Q1274" i="3"/>
  <c r="P1274" i="3"/>
  <c r="T1273" i="3"/>
  <c r="R1273" i="3"/>
  <c r="S1273" i="3" s="1"/>
  <c r="Q1273" i="3"/>
  <c r="P1273" i="3"/>
  <c r="T1272" i="3"/>
  <c r="R1272" i="3"/>
  <c r="S1272" i="3" s="1"/>
  <c r="Q1272" i="3"/>
  <c r="P1272" i="3"/>
  <c r="T1271" i="3"/>
  <c r="R1271" i="3"/>
  <c r="S1271" i="3" s="1"/>
  <c r="Q1271" i="3"/>
  <c r="P1271" i="3"/>
  <c r="T1270" i="3"/>
  <c r="R1270" i="3"/>
  <c r="S1270" i="3" s="1"/>
  <c r="Q1270" i="3"/>
  <c r="P1270" i="3"/>
  <c r="T1269" i="3"/>
  <c r="R1269" i="3"/>
  <c r="S1269" i="3" s="1"/>
  <c r="Q1269" i="3"/>
  <c r="P1269" i="3"/>
  <c r="T1268" i="3"/>
  <c r="R1268" i="3"/>
  <c r="S1268" i="3" s="1"/>
  <c r="Q1268" i="3"/>
  <c r="P1268" i="3"/>
  <c r="T1267" i="3"/>
  <c r="R1267" i="3"/>
  <c r="S1267" i="3" s="1"/>
  <c r="Q1267" i="3"/>
  <c r="P1267" i="3"/>
  <c r="T1266" i="3"/>
  <c r="R1266" i="3"/>
  <c r="S1266" i="3" s="1"/>
  <c r="Q1266" i="3"/>
  <c r="P1266" i="3"/>
  <c r="T1265" i="3"/>
  <c r="R1265" i="3"/>
  <c r="S1265" i="3" s="1"/>
  <c r="Q1265" i="3"/>
  <c r="P1265" i="3"/>
  <c r="T1264" i="3"/>
  <c r="R1264" i="3"/>
  <c r="S1264" i="3" s="1"/>
  <c r="Q1264" i="3"/>
  <c r="P1264" i="3"/>
  <c r="T1263" i="3"/>
  <c r="R1263" i="3"/>
  <c r="S1263" i="3" s="1"/>
  <c r="Q1263" i="3"/>
  <c r="P1263" i="3"/>
  <c r="T1262" i="3"/>
  <c r="R1262" i="3"/>
  <c r="S1262" i="3" s="1"/>
  <c r="Q1262" i="3"/>
  <c r="P1262" i="3"/>
  <c r="T1261" i="3"/>
  <c r="R1261" i="3"/>
  <c r="S1261" i="3" s="1"/>
  <c r="Q1261" i="3"/>
  <c r="P1261" i="3"/>
  <c r="T1260" i="3"/>
  <c r="R1260" i="3"/>
  <c r="S1260" i="3" s="1"/>
  <c r="Q1260" i="3"/>
  <c r="P1260" i="3"/>
  <c r="T1259" i="3"/>
  <c r="R1259" i="3"/>
  <c r="S1259" i="3" s="1"/>
  <c r="Q1259" i="3"/>
  <c r="P1259" i="3"/>
  <c r="T1258" i="3"/>
  <c r="R1258" i="3"/>
  <c r="S1258" i="3" s="1"/>
  <c r="Q1258" i="3"/>
  <c r="P1258" i="3"/>
  <c r="T1257" i="3"/>
  <c r="R1257" i="3"/>
  <c r="S1257" i="3" s="1"/>
  <c r="Q1257" i="3"/>
  <c r="P1257" i="3"/>
  <c r="T1256" i="3"/>
  <c r="R1256" i="3"/>
  <c r="S1256" i="3" s="1"/>
  <c r="Q1256" i="3"/>
  <c r="P1256" i="3"/>
  <c r="T1255" i="3"/>
  <c r="R1255" i="3"/>
  <c r="S1255" i="3" s="1"/>
  <c r="Q1255" i="3"/>
  <c r="P1255" i="3"/>
  <c r="T1254" i="3"/>
  <c r="R1254" i="3"/>
  <c r="S1254" i="3" s="1"/>
  <c r="Q1254" i="3"/>
  <c r="P1254" i="3"/>
  <c r="T1253" i="3"/>
  <c r="R1253" i="3"/>
  <c r="S1253" i="3" s="1"/>
  <c r="Q1253" i="3"/>
  <c r="P1253" i="3"/>
  <c r="T1252" i="3"/>
  <c r="R1252" i="3"/>
  <c r="S1252" i="3" s="1"/>
  <c r="Q1252" i="3"/>
  <c r="P1252" i="3"/>
  <c r="T1251" i="3"/>
  <c r="R1251" i="3"/>
  <c r="S1251" i="3" s="1"/>
  <c r="Q1251" i="3"/>
  <c r="P1251" i="3"/>
  <c r="T1250" i="3"/>
  <c r="R1250" i="3"/>
  <c r="S1250" i="3" s="1"/>
  <c r="Q1250" i="3"/>
  <c r="P1250" i="3"/>
  <c r="T1249" i="3"/>
  <c r="R1249" i="3"/>
  <c r="S1249" i="3" s="1"/>
  <c r="Q1249" i="3"/>
  <c r="P1249" i="3"/>
  <c r="T1248" i="3"/>
  <c r="R1248" i="3"/>
  <c r="S1248" i="3" s="1"/>
  <c r="Q1248" i="3"/>
  <c r="P1248" i="3"/>
  <c r="T1247" i="3"/>
  <c r="R1247" i="3"/>
  <c r="S1247" i="3" s="1"/>
  <c r="Q1247" i="3"/>
  <c r="P1247" i="3"/>
  <c r="T1246" i="3"/>
  <c r="R1246" i="3"/>
  <c r="S1246" i="3" s="1"/>
  <c r="Q1246" i="3"/>
  <c r="P1246" i="3"/>
  <c r="T1245" i="3"/>
  <c r="R1245" i="3"/>
  <c r="S1245" i="3" s="1"/>
  <c r="Q1245" i="3"/>
  <c r="P1245" i="3"/>
  <c r="T1244" i="3"/>
  <c r="R1244" i="3"/>
  <c r="S1244" i="3" s="1"/>
  <c r="Q1244" i="3"/>
  <c r="P1244" i="3"/>
  <c r="T1243" i="3"/>
  <c r="R1243" i="3"/>
  <c r="S1243" i="3" s="1"/>
  <c r="Q1243" i="3"/>
  <c r="P1243" i="3"/>
  <c r="T1242" i="3"/>
  <c r="R1242" i="3"/>
  <c r="S1242" i="3" s="1"/>
  <c r="Q1242" i="3"/>
  <c r="P1242" i="3"/>
  <c r="T1241" i="3"/>
  <c r="R1241" i="3"/>
  <c r="S1241" i="3" s="1"/>
  <c r="Q1241" i="3"/>
  <c r="P1241" i="3"/>
  <c r="T1240" i="3"/>
  <c r="R1240" i="3"/>
  <c r="S1240" i="3" s="1"/>
  <c r="Q1240" i="3"/>
  <c r="P1240" i="3"/>
  <c r="T1239" i="3"/>
  <c r="R1239" i="3"/>
  <c r="S1239" i="3" s="1"/>
  <c r="Q1239" i="3"/>
  <c r="P1239" i="3"/>
  <c r="T1238" i="3"/>
  <c r="R1238" i="3"/>
  <c r="S1238" i="3" s="1"/>
  <c r="Q1238" i="3"/>
  <c r="P1238" i="3"/>
  <c r="T1237" i="3"/>
  <c r="R1237" i="3"/>
  <c r="S1237" i="3" s="1"/>
  <c r="Q1237" i="3"/>
  <c r="P1237" i="3"/>
  <c r="T1236" i="3"/>
  <c r="R1236" i="3"/>
  <c r="S1236" i="3" s="1"/>
  <c r="Q1236" i="3"/>
  <c r="P1236" i="3"/>
  <c r="T1235" i="3"/>
  <c r="R1235" i="3"/>
  <c r="S1235" i="3" s="1"/>
  <c r="Q1235" i="3"/>
  <c r="P1235" i="3"/>
  <c r="T1234" i="3"/>
  <c r="R1234" i="3"/>
  <c r="S1234" i="3" s="1"/>
  <c r="Q1234" i="3"/>
  <c r="P1234" i="3"/>
  <c r="T1233" i="3"/>
  <c r="R1233" i="3"/>
  <c r="S1233" i="3" s="1"/>
  <c r="Q1233" i="3"/>
  <c r="P1233" i="3"/>
  <c r="T1232" i="3"/>
  <c r="R1232" i="3"/>
  <c r="S1232" i="3" s="1"/>
  <c r="Q1232" i="3"/>
  <c r="P1232" i="3"/>
  <c r="T1231" i="3"/>
  <c r="R1231" i="3"/>
  <c r="S1231" i="3" s="1"/>
  <c r="Q1231" i="3"/>
  <c r="P1231" i="3"/>
  <c r="T1230" i="3"/>
  <c r="R1230" i="3"/>
  <c r="S1230" i="3" s="1"/>
  <c r="Q1230" i="3"/>
  <c r="P1230" i="3"/>
  <c r="T1229" i="3"/>
  <c r="R1229" i="3"/>
  <c r="S1229" i="3" s="1"/>
  <c r="Q1229" i="3"/>
  <c r="P1229" i="3"/>
  <c r="T1228" i="3"/>
  <c r="R1228" i="3"/>
  <c r="S1228" i="3" s="1"/>
  <c r="Q1228" i="3"/>
  <c r="P1228" i="3"/>
  <c r="T1227" i="3"/>
  <c r="R1227" i="3"/>
  <c r="S1227" i="3" s="1"/>
  <c r="Q1227" i="3"/>
  <c r="P1227" i="3"/>
  <c r="T1226" i="3"/>
  <c r="R1226" i="3"/>
  <c r="S1226" i="3" s="1"/>
  <c r="Q1226" i="3"/>
  <c r="P1226" i="3"/>
  <c r="T1225" i="3"/>
  <c r="R1225" i="3"/>
  <c r="S1225" i="3" s="1"/>
  <c r="Q1225" i="3"/>
  <c r="P1225" i="3"/>
  <c r="T1224" i="3"/>
  <c r="R1224" i="3"/>
  <c r="S1224" i="3" s="1"/>
  <c r="Q1224" i="3"/>
  <c r="P1224" i="3"/>
  <c r="T1223" i="3"/>
  <c r="R1223" i="3"/>
  <c r="S1223" i="3" s="1"/>
  <c r="Q1223" i="3"/>
  <c r="P1223" i="3"/>
  <c r="T1222" i="3"/>
  <c r="R1222" i="3"/>
  <c r="S1222" i="3" s="1"/>
  <c r="Q1222" i="3"/>
  <c r="P1222" i="3"/>
  <c r="T1221" i="3"/>
  <c r="R1221" i="3"/>
  <c r="S1221" i="3" s="1"/>
  <c r="Q1221" i="3"/>
  <c r="P1221" i="3"/>
  <c r="T1220" i="3"/>
  <c r="R1220" i="3"/>
  <c r="S1220" i="3" s="1"/>
  <c r="Q1220" i="3"/>
  <c r="P1220" i="3"/>
  <c r="T1219" i="3"/>
  <c r="R1219" i="3"/>
  <c r="S1219" i="3" s="1"/>
  <c r="Q1219" i="3"/>
  <c r="P1219" i="3"/>
  <c r="T1218" i="3"/>
  <c r="R1218" i="3"/>
  <c r="S1218" i="3" s="1"/>
  <c r="Q1218" i="3"/>
  <c r="P1218" i="3"/>
  <c r="T1217" i="3"/>
  <c r="R1217" i="3"/>
  <c r="S1217" i="3" s="1"/>
  <c r="Q1217" i="3"/>
  <c r="P1217" i="3"/>
  <c r="T1216" i="3"/>
  <c r="R1216" i="3"/>
  <c r="S1216" i="3" s="1"/>
  <c r="Q1216" i="3"/>
  <c r="P1216" i="3"/>
  <c r="T1215" i="3"/>
  <c r="R1215" i="3"/>
  <c r="S1215" i="3" s="1"/>
  <c r="Q1215" i="3"/>
  <c r="P1215" i="3"/>
  <c r="T1214" i="3"/>
  <c r="R1214" i="3"/>
  <c r="S1214" i="3" s="1"/>
  <c r="Q1214" i="3"/>
  <c r="P1214" i="3"/>
  <c r="T1213" i="3"/>
  <c r="R1213" i="3"/>
  <c r="S1213" i="3" s="1"/>
  <c r="Q1213" i="3"/>
  <c r="P1213" i="3"/>
  <c r="T1212" i="3"/>
  <c r="R1212" i="3"/>
  <c r="S1212" i="3" s="1"/>
  <c r="Q1212" i="3"/>
  <c r="P1212" i="3"/>
  <c r="T1211" i="3"/>
  <c r="R1211" i="3"/>
  <c r="S1211" i="3" s="1"/>
  <c r="Q1211" i="3"/>
  <c r="P1211" i="3"/>
  <c r="T1210" i="3"/>
  <c r="R1210" i="3"/>
  <c r="S1210" i="3" s="1"/>
  <c r="Q1210" i="3"/>
  <c r="P1210" i="3"/>
  <c r="T1209" i="3"/>
  <c r="R1209" i="3"/>
  <c r="S1209" i="3" s="1"/>
  <c r="Q1209" i="3"/>
  <c r="P1209" i="3"/>
  <c r="T1208" i="3"/>
  <c r="R1208" i="3"/>
  <c r="S1208" i="3" s="1"/>
  <c r="Q1208" i="3"/>
  <c r="P1208" i="3"/>
  <c r="T1207" i="3"/>
  <c r="R1207" i="3"/>
  <c r="S1207" i="3" s="1"/>
  <c r="Q1207" i="3"/>
  <c r="P1207" i="3"/>
  <c r="T1206" i="3"/>
  <c r="R1206" i="3"/>
  <c r="S1206" i="3" s="1"/>
  <c r="Q1206" i="3"/>
  <c r="P1206" i="3"/>
  <c r="T1205" i="3"/>
  <c r="R1205" i="3"/>
  <c r="S1205" i="3" s="1"/>
  <c r="Q1205" i="3"/>
  <c r="P1205" i="3"/>
  <c r="T1204" i="3"/>
  <c r="R1204" i="3"/>
  <c r="S1204" i="3" s="1"/>
  <c r="Q1204" i="3"/>
  <c r="P1204" i="3"/>
  <c r="T1203" i="3"/>
  <c r="R1203" i="3"/>
  <c r="S1203" i="3" s="1"/>
  <c r="Q1203" i="3"/>
  <c r="P1203" i="3"/>
  <c r="T1202" i="3"/>
  <c r="R1202" i="3"/>
  <c r="S1202" i="3" s="1"/>
  <c r="Q1202" i="3"/>
  <c r="P1202" i="3"/>
  <c r="T1201" i="3"/>
  <c r="R1201" i="3"/>
  <c r="S1201" i="3" s="1"/>
  <c r="Q1201" i="3"/>
  <c r="P1201" i="3"/>
  <c r="T1200" i="3"/>
  <c r="R1200" i="3"/>
  <c r="S1200" i="3" s="1"/>
  <c r="Q1200" i="3"/>
  <c r="P1200" i="3"/>
  <c r="T1199" i="3"/>
  <c r="R1199" i="3"/>
  <c r="S1199" i="3" s="1"/>
  <c r="Q1199" i="3"/>
  <c r="P1199" i="3"/>
  <c r="T1198" i="3"/>
  <c r="R1198" i="3"/>
  <c r="S1198" i="3" s="1"/>
  <c r="Q1198" i="3"/>
  <c r="P1198" i="3"/>
  <c r="T1197" i="3"/>
  <c r="R1197" i="3"/>
  <c r="S1197" i="3" s="1"/>
  <c r="Q1197" i="3"/>
  <c r="P1197" i="3"/>
  <c r="T1196" i="3"/>
  <c r="R1196" i="3"/>
  <c r="S1196" i="3" s="1"/>
  <c r="Q1196" i="3"/>
  <c r="P1196" i="3"/>
  <c r="T1195" i="3"/>
  <c r="R1195" i="3"/>
  <c r="S1195" i="3" s="1"/>
  <c r="Q1195" i="3"/>
  <c r="P1195" i="3"/>
  <c r="T1194" i="3"/>
  <c r="R1194" i="3"/>
  <c r="S1194" i="3" s="1"/>
  <c r="Q1194" i="3"/>
  <c r="P1194" i="3"/>
  <c r="T1193" i="3"/>
  <c r="R1193" i="3"/>
  <c r="S1193" i="3" s="1"/>
  <c r="Q1193" i="3"/>
  <c r="P1193" i="3"/>
  <c r="T1192" i="3"/>
  <c r="R1192" i="3"/>
  <c r="S1192" i="3" s="1"/>
  <c r="Q1192" i="3"/>
  <c r="P1192" i="3"/>
  <c r="T1191" i="3"/>
  <c r="R1191" i="3"/>
  <c r="S1191" i="3" s="1"/>
  <c r="Q1191" i="3"/>
  <c r="P1191" i="3"/>
  <c r="T1190" i="3"/>
  <c r="R1190" i="3"/>
  <c r="S1190" i="3" s="1"/>
  <c r="Q1190" i="3"/>
  <c r="P1190" i="3"/>
  <c r="T1189" i="3"/>
  <c r="R1189" i="3"/>
  <c r="S1189" i="3" s="1"/>
  <c r="Q1189" i="3"/>
  <c r="P1189" i="3"/>
  <c r="T1188" i="3"/>
  <c r="R1188" i="3"/>
  <c r="S1188" i="3" s="1"/>
  <c r="Q1188" i="3"/>
  <c r="P1188" i="3"/>
  <c r="T1187" i="3"/>
  <c r="R1187" i="3"/>
  <c r="S1187" i="3" s="1"/>
  <c r="Q1187" i="3"/>
  <c r="P1187" i="3"/>
  <c r="T1186" i="3"/>
  <c r="R1186" i="3"/>
  <c r="S1186" i="3" s="1"/>
  <c r="Q1186" i="3"/>
  <c r="P1186" i="3"/>
  <c r="T1185" i="3"/>
  <c r="R1185" i="3"/>
  <c r="S1185" i="3" s="1"/>
  <c r="Q1185" i="3"/>
  <c r="P1185" i="3"/>
  <c r="T1184" i="3"/>
  <c r="R1184" i="3"/>
  <c r="S1184" i="3" s="1"/>
  <c r="Q1184" i="3"/>
  <c r="P1184" i="3"/>
  <c r="T1183" i="3"/>
  <c r="R1183" i="3"/>
  <c r="S1183" i="3" s="1"/>
  <c r="Q1183" i="3"/>
  <c r="P1183" i="3"/>
  <c r="T1182" i="3"/>
  <c r="R1182" i="3"/>
  <c r="S1182" i="3" s="1"/>
  <c r="Q1182" i="3"/>
  <c r="P1182" i="3"/>
  <c r="T1181" i="3"/>
  <c r="R1181" i="3"/>
  <c r="S1181" i="3" s="1"/>
  <c r="Q1181" i="3"/>
  <c r="P1181" i="3"/>
  <c r="T1180" i="3"/>
  <c r="R1180" i="3"/>
  <c r="S1180" i="3" s="1"/>
  <c r="Q1180" i="3"/>
  <c r="P1180" i="3"/>
  <c r="T1179" i="3"/>
  <c r="R1179" i="3"/>
  <c r="S1179" i="3" s="1"/>
  <c r="Q1179" i="3"/>
  <c r="P1179" i="3"/>
  <c r="T1178" i="3"/>
  <c r="R1178" i="3"/>
  <c r="S1178" i="3" s="1"/>
  <c r="Q1178" i="3"/>
  <c r="P1178" i="3"/>
  <c r="T1177" i="3"/>
  <c r="R1177" i="3"/>
  <c r="S1177" i="3" s="1"/>
  <c r="Q1177" i="3"/>
  <c r="P1177" i="3"/>
  <c r="T1176" i="3"/>
  <c r="R1176" i="3"/>
  <c r="S1176" i="3" s="1"/>
  <c r="Q1176" i="3"/>
  <c r="P1176" i="3"/>
  <c r="T1175" i="3"/>
  <c r="R1175" i="3"/>
  <c r="S1175" i="3" s="1"/>
  <c r="Q1175" i="3"/>
  <c r="P1175" i="3"/>
  <c r="T1174" i="3"/>
  <c r="R1174" i="3"/>
  <c r="S1174" i="3" s="1"/>
  <c r="Q1174" i="3"/>
  <c r="P1174" i="3"/>
  <c r="T1173" i="3"/>
  <c r="R1173" i="3"/>
  <c r="S1173" i="3" s="1"/>
  <c r="Q1173" i="3"/>
  <c r="P1173" i="3"/>
  <c r="T1172" i="3"/>
  <c r="R1172" i="3"/>
  <c r="S1172" i="3" s="1"/>
  <c r="Q1172" i="3"/>
  <c r="P1172" i="3"/>
  <c r="T1171" i="3"/>
  <c r="R1171" i="3"/>
  <c r="S1171" i="3" s="1"/>
  <c r="Q1171" i="3"/>
  <c r="P1171" i="3"/>
  <c r="T1170" i="3"/>
  <c r="R1170" i="3"/>
  <c r="S1170" i="3" s="1"/>
  <c r="Q1170" i="3"/>
  <c r="P1170" i="3"/>
  <c r="T1169" i="3"/>
  <c r="R1169" i="3"/>
  <c r="S1169" i="3" s="1"/>
  <c r="Q1169" i="3"/>
  <c r="P1169" i="3"/>
  <c r="T1168" i="3"/>
  <c r="R1168" i="3"/>
  <c r="S1168" i="3" s="1"/>
  <c r="Q1168" i="3"/>
  <c r="P1168" i="3"/>
  <c r="T1167" i="3"/>
  <c r="R1167" i="3"/>
  <c r="S1167" i="3" s="1"/>
  <c r="Q1167" i="3"/>
  <c r="P1167" i="3"/>
  <c r="T1166" i="3"/>
  <c r="R1166" i="3"/>
  <c r="S1166" i="3" s="1"/>
  <c r="Q1166" i="3"/>
  <c r="P1166" i="3"/>
  <c r="T1165" i="3"/>
  <c r="R1165" i="3"/>
  <c r="S1165" i="3" s="1"/>
  <c r="Q1165" i="3"/>
  <c r="P1165" i="3"/>
  <c r="T1164" i="3"/>
  <c r="R1164" i="3"/>
  <c r="S1164" i="3" s="1"/>
  <c r="Q1164" i="3"/>
  <c r="P1164" i="3"/>
  <c r="T1163" i="3"/>
  <c r="R1163" i="3"/>
  <c r="S1163" i="3" s="1"/>
  <c r="Q1163" i="3"/>
  <c r="P1163" i="3"/>
  <c r="T1162" i="3"/>
  <c r="R1162" i="3"/>
  <c r="S1162" i="3" s="1"/>
  <c r="Q1162" i="3"/>
  <c r="P1162" i="3"/>
  <c r="T1161" i="3"/>
  <c r="R1161" i="3"/>
  <c r="S1161" i="3" s="1"/>
  <c r="Q1161" i="3"/>
  <c r="P1161" i="3"/>
  <c r="T1160" i="3"/>
  <c r="R1160" i="3"/>
  <c r="S1160" i="3" s="1"/>
  <c r="Q1160" i="3"/>
  <c r="P1160" i="3"/>
  <c r="T1159" i="3"/>
  <c r="R1159" i="3"/>
  <c r="S1159" i="3" s="1"/>
  <c r="Q1159" i="3"/>
  <c r="P1159" i="3"/>
  <c r="T1158" i="3"/>
  <c r="R1158" i="3"/>
  <c r="S1158" i="3" s="1"/>
  <c r="Q1158" i="3"/>
  <c r="P1158" i="3"/>
  <c r="T1157" i="3"/>
  <c r="R1157" i="3"/>
  <c r="S1157" i="3" s="1"/>
  <c r="Q1157" i="3"/>
  <c r="P1157" i="3"/>
  <c r="T1156" i="3"/>
  <c r="R1156" i="3"/>
  <c r="S1156" i="3" s="1"/>
  <c r="Q1156" i="3"/>
  <c r="P1156" i="3"/>
  <c r="T1155" i="3"/>
  <c r="R1155" i="3"/>
  <c r="S1155" i="3" s="1"/>
  <c r="Q1155" i="3"/>
  <c r="P1155" i="3"/>
  <c r="T1154" i="3"/>
  <c r="R1154" i="3"/>
  <c r="S1154" i="3" s="1"/>
  <c r="Q1154" i="3"/>
  <c r="P1154" i="3"/>
  <c r="T1153" i="3"/>
  <c r="R1153" i="3"/>
  <c r="S1153" i="3" s="1"/>
  <c r="Q1153" i="3"/>
  <c r="P1153" i="3"/>
  <c r="T1152" i="3"/>
  <c r="R1152" i="3"/>
  <c r="S1152" i="3" s="1"/>
  <c r="Q1152" i="3"/>
  <c r="P1152" i="3"/>
  <c r="T1151" i="3"/>
  <c r="R1151" i="3"/>
  <c r="S1151" i="3" s="1"/>
  <c r="Q1151" i="3"/>
  <c r="P1151" i="3"/>
  <c r="T1150" i="3"/>
  <c r="R1150" i="3"/>
  <c r="S1150" i="3" s="1"/>
  <c r="Q1150" i="3"/>
  <c r="P1150" i="3"/>
  <c r="T1149" i="3"/>
  <c r="R1149" i="3"/>
  <c r="S1149" i="3" s="1"/>
  <c r="Q1149" i="3"/>
  <c r="P1149" i="3"/>
  <c r="T1148" i="3"/>
  <c r="R1148" i="3"/>
  <c r="S1148" i="3" s="1"/>
  <c r="Q1148" i="3"/>
  <c r="P1148" i="3"/>
  <c r="T1147" i="3"/>
  <c r="R1147" i="3"/>
  <c r="S1147" i="3" s="1"/>
  <c r="Q1147" i="3"/>
  <c r="P1147" i="3"/>
  <c r="T1146" i="3"/>
  <c r="R1146" i="3"/>
  <c r="S1146" i="3" s="1"/>
  <c r="Q1146" i="3"/>
  <c r="P1146" i="3"/>
  <c r="T1145" i="3"/>
  <c r="R1145" i="3"/>
  <c r="S1145" i="3" s="1"/>
  <c r="Q1145" i="3"/>
  <c r="P1145" i="3"/>
  <c r="T1144" i="3"/>
  <c r="R1144" i="3"/>
  <c r="S1144" i="3" s="1"/>
  <c r="Q1144" i="3"/>
  <c r="P1144" i="3"/>
  <c r="T1143" i="3"/>
  <c r="R1143" i="3"/>
  <c r="S1143" i="3" s="1"/>
  <c r="Q1143" i="3"/>
  <c r="P1143" i="3"/>
  <c r="T1142" i="3"/>
  <c r="R1142" i="3"/>
  <c r="S1142" i="3" s="1"/>
  <c r="Q1142" i="3"/>
  <c r="P1142" i="3"/>
  <c r="T1141" i="3"/>
  <c r="R1141" i="3"/>
  <c r="S1141" i="3" s="1"/>
  <c r="Q1141" i="3"/>
  <c r="P1141" i="3"/>
  <c r="T1140" i="3"/>
  <c r="R1140" i="3"/>
  <c r="S1140" i="3" s="1"/>
  <c r="Q1140" i="3"/>
  <c r="P1140" i="3"/>
  <c r="T1139" i="3"/>
  <c r="R1139" i="3"/>
  <c r="S1139" i="3" s="1"/>
  <c r="Q1139" i="3"/>
  <c r="P1139" i="3"/>
  <c r="T1138" i="3"/>
  <c r="R1138" i="3"/>
  <c r="S1138" i="3" s="1"/>
  <c r="Q1138" i="3"/>
  <c r="P1138" i="3"/>
  <c r="T1137" i="3"/>
  <c r="R1137" i="3"/>
  <c r="S1137" i="3" s="1"/>
  <c r="Q1137" i="3"/>
  <c r="P1137" i="3"/>
  <c r="T1136" i="3"/>
  <c r="R1136" i="3"/>
  <c r="S1136" i="3" s="1"/>
  <c r="Q1136" i="3"/>
  <c r="P1136" i="3"/>
  <c r="T1135" i="3"/>
  <c r="R1135" i="3"/>
  <c r="S1135" i="3" s="1"/>
  <c r="Q1135" i="3"/>
  <c r="P1135" i="3"/>
  <c r="T1134" i="3"/>
  <c r="R1134" i="3"/>
  <c r="S1134" i="3" s="1"/>
  <c r="Q1134" i="3"/>
  <c r="P1134" i="3"/>
  <c r="T1133" i="3"/>
  <c r="R1133" i="3"/>
  <c r="S1133" i="3" s="1"/>
  <c r="Q1133" i="3"/>
  <c r="P1133" i="3"/>
  <c r="T1132" i="3"/>
  <c r="R1132" i="3"/>
  <c r="S1132" i="3" s="1"/>
  <c r="Q1132" i="3"/>
  <c r="P1132" i="3"/>
  <c r="T1131" i="3"/>
  <c r="R1131" i="3"/>
  <c r="S1131" i="3" s="1"/>
  <c r="Q1131" i="3"/>
  <c r="P1131" i="3"/>
  <c r="T1130" i="3"/>
  <c r="R1130" i="3"/>
  <c r="S1130" i="3" s="1"/>
  <c r="Q1130" i="3"/>
  <c r="P1130" i="3"/>
  <c r="T1129" i="3"/>
  <c r="R1129" i="3"/>
  <c r="S1129" i="3" s="1"/>
  <c r="Q1129" i="3"/>
  <c r="P1129" i="3"/>
  <c r="T1128" i="3"/>
  <c r="R1128" i="3"/>
  <c r="S1128" i="3" s="1"/>
  <c r="Q1128" i="3"/>
  <c r="P1128" i="3"/>
  <c r="T1127" i="3"/>
  <c r="R1127" i="3"/>
  <c r="S1127" i="3" s="1"/>
  <c r="Q1127" i="3"/>
  <c r="P1127" i="3"/>
  <c r="T1126" i="3"/>
  <c r="R1126" i="3"/>
  <c r="S1126" i="3" s="1"/>
  <c r="Q1126" i="3"/>
  <c r="P1126" i="3"/>
  <c r="T1125" i="3"/>
  <c r="R1125" i="3"/>
  <c r="S1125" i="3" s="1"/>
  <c r="Q1125" i="3"/>
  <c r="P1125" i="3"/>
  <c r="T1124" i="3"/>
  <c r="R1124" i="3"/>
  <c r="S1124" i="3" s="1"/>
  <c r="Q1124" i="3"/>
  <c r="P1124" i="3"/>
  <c r="T1123" i="3"/>
  <c r="R1123" i="3"/>
  <c r="S1123" i="3" s="1"/>
  <c r="Q1123" i="3"/>
  <c r="P1123" i="3"/>
  <c r="T1122" i="3"/>
  <c r="R1122" i="3"/>
  <c r="S1122" i="3" s="1"/>
  <c r="Q1122" i="3"/>
  <c r="P1122" i="3"/>
  <c r="T1121" i="3"/>
  <c r="R1121" i="3"/>
  <c r="S1121" i="3" s="1"/>
  <c r="Q1121" i="3"/>
  <c r="P1121" i="3"/>
  <c r="T1120" i="3"/>
  <c r="R1120" i="3"/>
  <c r="S1120" i="3" s="1"/>
  <c r="Q1120" i="3"/>
  <c r="P1120" i="3"/>
  <c r="T1119" i="3"/>
  <c r="R1119" i="3"/>
  <c r="S1119" i="3" s="1"/>
  <c r="Q1119" i="3"/>
  <c r="P1119" i="3"/>
  <c r="T1118" i="3"/>
  <c r="R1118" i="3"/>
  <c r="S1118" i="3" s="1"/>
  <c r="Q1118" i="3"/>
  <c r="P1118" i="3"/>
  <c r="T1117" i="3"/>
  <c r="R1117" i="3"/>
  <c r="S1117" i="3" s="1"/>
  <c r="Q1117" i="3"/>
  <c r="P1117" i="3"/>
  <c r="T1116" i="3"/>
  <c r="R1116" i="3"/>
  <c r="S1116" i="3" s="1"/>
  <c r="Q1116" i="3"/>
  <c r="P1116" i="3"/>
  <c r="T1115" i="3"/>
  <c r="R1115" i="3"/>
  <c r="S1115" i="3" s="1"/>
  <c r="Q1115" i="3"/>
  <c r="P1115" i="3"/>
  <c r="T1114" i="3"/>
  <c r="R1114" i="3"/>
  <c r="S1114" i="3" s="1"/>
  <c r="Q1114" i="3"/>
  <c r="P1114" i="3"/>
  <c r="T1113" i="3"/>
  <c r="R1113" i="3"/>
  <c r="S1113" i="3" s="1"/>
  <c r="Q1113" i="3"/>
  <c r="P1113" i="3"/>
  <c r="T1112" i="3"/>
  <c r="R1112" i="3"/>
  <c r="S1112" i="3" s="1"/>
  <c r="Q1112" i="3"/>
  <c r="P1112" i="3"/>
  <c r="T1111" i="3"/>
  <c r="R1111" i="3"/>
  <c r="S1111" i="3" s="1"/>
  <c r="Q1111" i="3"/>
  <c r="P1111" i="3"/>
  <c r="T1110" i="3"/>
  <c r="R1110" i="3"/>
  <c r="S1110" i="3" s="1"/>
  <c r="Q1110" i="3"/>
  <c r="P1110" i="3"/>
  <c r="T1109" i="3"/>
  <c r="R1109" i="3"/>
  <c r="S1109" i="3" s="1"/>
  <c r="Q1109" i="3"/>
  <c r="P1109" i="3"/>
  <c r="T1108" i="3"/>
  <c r="R1108" i="3"/>
  <c r="S1108" i="3" s="1"/>
  <c r="Q1108" i="3"/>
  <c r="P1108" i="3"/>
  <c r="T1107" i="3"/>
  <c r="R1107" i="3"/>
  <c r="S1107" i="3" s="1"/>
  <c r="Q1107" i="3"/>
  <c r="P1107" i="3"/>
  <c r="T1106" i="3"/>
  <c r="R1106" i="3"/>
  <c r="S1106" i="3" s="1"/>
  <c r="Q1106" i="3"/>
  <c r="P1106" i="3"/>
  <c r="T1105" i="3"/>
  <c r="R1105" i="3"/>
  <c r="S1105" i="3" s="1"/>
  <c r="Q1105" i="3"/>
  <c r="P1105" i="3"/>
  <c r="T1104" i="3"/>
  <c r="R1104" i="3"/>
  <c r="S1104" i="3" s="1"/>
  <c r="Q1104" i="3"/>
  <c r="P1104" i="3"/>
  <c r="T1103" i="3"/>
  <c r="R1103" i="3"/>
  <c r="S1103" i="3" s="1"/>
  <c r="Q1103" i="3"/>
  <c r="P1103" i="3"/>
  <c r="T1102" i="3"/>
  <c r="R1102" i="3"/>
  <c r="S1102" i="3" s="1"/>
  <c r="Q1102" i="3"/>
  <c r="P1102" i="3"/>
  <c r="T1101" i="3"/>
  <c r="R1101" i="3"/>
  <c r="S1101" i="3" s="1"/>
  <c r="Q1101" i="3"/>
  <c r="P1101" i="3"/>
  <c r="T1100" i="3"/>
  <c r="R1100" i="3"/>
  <c r="S1100" i="3" s="1"/>
  <c r="Q1100" i="3"/>
  <c r="P1100" i="3"/>
  <c r="T1099" i="3"/>
  <c r="R1099" i="3"/>
  <c r="S1099" i="3" s="1"/>
  <c r="Q1099" i="3"/>
  <c r="P1099" i="3"/>
  <c r="T1098" i="3"/>
  <c r="R1098" i="3"/>
  <c r="S1098" i="3" s="1"/>
  <c r="Q1098" i="3"/>
  <c r="P1098" i="3"/>
  <c r="T1097" i="3"/>
  <c r="R1097" i="3"/>
  <c r="S1097" i="3" s="1"/>
  <c r="Q1097" i="3"/>
  <c r="P1097" i="3"/>
  <c r="T1096" i="3"/>
  <c r="R1096" i="3"/>
  <c r="S1096" i="3" s="1"/>
  <c r="Q1096" i="3"/>
  <c r="P1096" i="3"/>
  <c r="T1095" i="3"/>
  <c r="R1095" i="3"/>
  <c r="S1095" i="3" s="1"/>
  <c r="Q1095" i="3"/>
  <c r="P1095" i="3"/>
  <c r="T1094" i="3"/>
  <c r="R1094" i="3"/>
  <c r="S1094" i="3" s="1"/>
  <c r="Q1094" i="3"/>
  <c r="P1094" i="3"/>
  <c r="T1093" i="3"/>
  <c r="R1093" i="3"/>
  <c r="S1093" i="3" s="1"/>
  <c r="Q1093" i="3"/>
  <c r="P1093" i="3"/>
  <c r="T1092" i="3"/>
  <c r="R1092" i="3"/>
  <c r="S1092" i="3" s="1"/>
  <c r="Q1092" i="3"/>
  <c r="P1092" i="3"/>
  <c r="T1091" i="3"/>
  <c r="R1091" i="3"/>
  <c r="S1091" i="3" s="1"/>
  <c r="Q1091" i="3"/>
  <c r="P1091" i="3"/>
  <c r="T1090" i="3"/>
  <c r="R1090" i="3"/>
  <c r="S1090" i="3" s="1"/>
  <c r="Q1090" i="3"/>
  <c r="P1090" i="3"/>
  <c r="T1089" i="3"/>
  <c r="R1089" i="3"/>
  <c r="S1089" i="3" s="1"/>
  <c r="Q1089" i="3"/>
  <c r="P1089" i="3"/>
  <c r="T1088" i="3"/>
  <c r="R1088" i="3"/>
  <c r="S1088" i="3" s="1"/>
  <c r="Q1088" i="3"/>
  <c r="P1088" i="3"/>
  <c r="T1087" i="3"/>
  <c r="R1087" i="3"/>
  <c r="S1087" i="3" s="1"/>
  <c r="Q1087" i="3"/>
  <c r="P1087" i="3"/>
  <c r="T1086" i="3"/>
  <c r="R1086" i="3"/>
  <c r="S1086" i="3" s="1"/>
  <c r="Q1086" i="3"/>
  <c r="P1086" i="3"/>
  <c r="T1085" i="3"/>
  <c r="R1085" i="3"/>
  <c r="S1085" i="3" s="1"/>
  <c r="Q1085" i="3"/>
  <c r="P1085" i="3"/>
  <c r="T1084" i="3"/>
  <c r="R1084" i="3"/>
  <c r="S1084" i="3" s="1"/>
  <c r="Q1084" i="3"/>
  <c r="P1084" i="3"/>
  <c r="T1083" i="3"/>
  <c r="R1083" i="3"/>
  <c r="S1083" i="3" s="1"/>
  <c r="Q1083" i="3"/>
  <c r="P1083" i="3"/>
  <c r="T1082" i="3"/>
  <c r="R1082" i="3"/>
  <c r="S1082" i="3" s="1"/>
  <c r="Q1082" i="3"/>
  <c r="P1082" i="3"/>
  <c r="T1081" i="3"/>
  <c r="R1081" i="3"/>
  <c r="S1081" i="3" s="1"/>
  <c r="Q1081" i="3"/>
  <c r="P1081" i="3"/>
  <c r="T1080" i="3"/>
  <c r="R1080" i="3"/>
  <c r="S1080" i="3" s="1"/>
  <c r="Q1080" i="3"/>
  <c r="P1080" i="3"/>
  <c r="T1079" i="3"/>
  <c r="R1079" i="3"/>
  <c r="S1079" i="3" s="1"/>
  <c r="Q1079" i="3"/>
  <c r="P1079" i="3"/>
  <c r="T1078" i="3"/>
  <c r="R1078" i="3"/>
  <c r="S1078" i="3" s="1"/>
  <c r="Q1078" i="3"/>
  <c r="P1078" i="3"/>
  <c r="T1077" i="3"/>
  <c r="R1077" i="3"/>
  <c r="S1077" i="3" s="1"/>
  <c r="Q1077" i="3"/>
  <c r="P1077" i="3"/>
  <c r="T1076" i="3"/>
  <c r="R1076" i="3"/>
  <c r="S1076" i="3" s="1"/>
  <c r="Q1076" i="3"/>
  <c r="P1076" i="3"/>
  <c r="T1075" i="3"/>
  <c r="R1075" i="3"/>
  <c r="S1075" i="3" s="1"/>
  <c r="Q1075" i="3"/>
  <c r="P1075" i="3"/>
  <c r="T1074" i="3"/>
  <c r="R1074" i="3"/>
  <c r="S1074" i="3" s="1"/>
  <c r="Q1074" i="3"/>
  <c r="P1074" i="3"/>
  <c r="T1073" i="3"/>
  <c r="R1073" i="3"/>
  <c r="S1073" i="3" s="1"/>
  <c r="Q1073" i="3"/>
  <c r="P1073" i="3"/>
  <c r="T1072" i="3"/>
  <c r="R1072" i="3"/>
  <c r="S1072" i="3" s="1"/>
  <c r="Q1072" i="3"/>
  <c r="P1072" i="3"/>
  <c r="T1071" i="3"/>
  <c r="R1071" i="3"/>
  <c r="S1071" i="3" s="1"/>
  <c r="Q1071" i="3"/>
  <c r="P1071" i="3"/>
  <c r="T1070" i="3"/>
  <c r="R1070" i="3"/>
  <c r="S1070" i="3" s="1"/>
  <c r="Q1070" i="3"/>
  <c r="P1070" i="3"/>
  <c r="T1069" i="3"/>
  <c r="R1069" i="3"/>
  <c r="S1069" i="3" s="1"/>
  <c r="Q1069" i="3"/>
  <c r="P1069" i="3"/>
  <c r="T1068" i="3"/>
  <c r="R1068" i="3"/>
  <c r="S1068" i="3" s="1"/>
  <c r="Q1068" i="3"/>
  <c r="P1068" i="3"/>
  <c r="T1067" i="3"/>
  <c r="R1067" i="3"/>
  <c r="S1067" i="3" s="1"/>
  <c r="Q1067" i="3"/>
  <c r="P1067" i="3"/>
  <c r="T1066" i="3"/>
  <c r="R1066" i="3"/>
  <c r="S1066" i="3" s="1"/>
  <c r="Q1066" i="3"/>
  <c r="P1066" i="3"/>
  <c r="T1065" i="3"/>
  <c r="R1065" i="3"/>
  <c r="S1065" i="3" s="1"/>
  <c r="Q1065" i="3"/>
  <c r="P1065" i="3"/>
  <c r="T1064" i="3"/>
  <c r="R1064" i="3"/>
  <c r="S1064" i="3" s="1"/>
  <c r="Q1064" i="3"/>
  <c r="P1064" i="3"/>
  <c r="T1063" i="3"/>
  <c r="R1063" i="3"/>
  <c r="S1063" i="3" s="1"/>
  <c r="Q1063" i="3"/>
  <c r="P1063" i="3"/>
  <c r="T1062" i="3"/>
  <c r="R1062" i="3"/>
  <c r="S1062" i="3" s="1"/>
  <c r="Q1062" i="3"/>
  <c r="P1062" i="3"/>
  <c r="T1061" i="3"/>
  <c r="R1061" i="3"/>
  <c r="S1061" i="3" s="1"/>
  <c r="Q1061" i="3"/>
  <c r="P1061" i="3"/>
  <c r="T1060" i="3"/>
  <c r="R1060" i="3"/>
  <c r="S1060" i="3" s="1"/>
  <c r="Q1060" i="3"/>
  <c r="P1060" i="3"/>
  <c r="T1059" i="3"/>
  <c r="R1059" i="3"/>
  <c r="S1059" i="3" s="1"/>
  <c r="Q1059" i="3"/>
  <c r="P1059" i="3"/>
  <c r="T1058" i="3"/>
  <c r="R1058" i="3"/>
  <c r="S1058" i="3" s="1"/>
  <c r="Q1058" i="3"/>
  <c r="P1058" i="3"/>
  <c r="T1057" i="3"/>
  <c r="R1057" i="3"/>
  <c r="S1057" i="3" s="1"/>
  <c r="Q1057" i="3"/>
  <c r="P1057" i="3"/>
  <c r="T1056" i="3"/>
  <c r="R1056" i="3"/>
  <c r="S1056" i="3" s="1"/>
  <c r="Q1056" i="3"/>
  <c r="P1056" i="3"/>
  <c r="T1055" i="3"/>
  <c r="R1055" i="3"/>
  <c r="S1055" i="3" s="1"/>
  <c r="Q1055" i="3"/>
  <c r="P1055" i="3"/>
  <c r="T1054" i="3"/>
  <c r="R1054" i="3"/>
  <c r="S1054" i="3" s="1"/>
  <c r="Q1054" i="3"/>
  <c r="P1054" i="3"/>
  <c r="T1053" i="3"/>
  <c r="R1053" i="3"/>
  <c r="S1053" i="3" s="1"/>
  <c r="Q1053" i="3"/>
  <c r="P1053" i="3"/>
  <c r="T1052" i="3"/>
  <c r="R1052" i="3"/>
  <c r="S1052" i="3" s="1"/>
  <c r="Q1052" i="3"/>
  <c r="P1052" i="3"/>
  <c r="T1051" i="3"/>
  <c r="R1051" i="3"/>
  <c r="S1051" i="3" s="1"/>
  <c r="Q1051" i="3"/>
  <c r="P1051" i="3"/>
  <c r="T1050" i="3"/>
  <c r="R1050" i="3"/>
  <c r="S1050" i="3" s="1"/>
  <c r="Q1050" i="3"/>
  <c r="P1050" i="3"/>
  <c r="T1049" i="3"/>
  <c r="R1049" i="3"/>
  <c r="S1049" i="3" s="1"/>
  <c r="Q1049" i="3"/>
  <c r="P1049" i="3"/>
  <c r="T1048" i="3"/>
  <c r="R1048" i="3"/>
  <c r="S1048" i="3" s="1"/>
  <c r="Q1048" i="3"/>
  <c r="P1048" i="3"/>
  <c r="T1047" i="3"/>
  <c r="R1047" i="3"/>
  <c r="S1047" i="3" s="1"/>
  <c r="Q1047" i="3"/>
  <c r="P1047" i="3"/>
  <c r="T1046" i="3"/>
  <c r="R1046" i="3"/>
  <c r="S1046" i="3" s="1"/>
  <c r="Q1046" i="3"/>
  <c r="P1046" i="3"/>
  <c r="T1045" i="3"/>
  <c r="R1045" i="3"/>
  <c r="S1045" i="3" s="1"/>
  <c r="Q1045" i="3"/>
  <c r="P1045" i="3"/>
  <c r="T1044" i="3"/>
  <c r="R1044" i="3"/>
  <c r="S1044" i="3" s="1"/>
  <c r="Q1044" i="3"/>
  <c r="P1044" i="3"/>
  <c r="T1043" i="3"/>
  <c r="R1043" i="3"/>
  <c r="S1043" i="3" s="1"/>
  <c r="Q1043" i="3"/>
  <c r="P1043" i="3"/>
  <c r="T1042" i="3"/>
  <c r="R1042" i="3"/>
  <c r="S1042" i="3" s="1"/>
  <c r="Q1042" i="3"/>
  <c r="P1042" i="3"/>
  <c r="T1041" i="3"/>
  <c r="R1041" i="3"/>
  <c r="S1041" i="3" s="1"/>
  <c r="Q1041" i="3"/>
  <c r="P1041" i="3"/>
  <c r="T1040" i="3"/>
  <c r="R1040" i="3"/>
  <c r="S1040" i="3" s="1"/>
  <c r="Q1040" i="3"/>
  <c r="P1040" i="3"/>
  <c r="T1039" i="3"/>
  <c r="R1039" i="3"/>
  <c r="S1039" i="3" s="1"/>
  <c r="Q1039" i="3"/>
  <c r="P1039" i="3"/>
  <c r="T1038" i="3"/>
  <c r="R1038" i="3"/>
  <c r="S1038" i="3" s="1"/>
  <c r="Q1038" i="3"/>
  <c r="P1038" i="3"/>
  <c r="T1037" i="3"/>
  <c r="R1037" i="3"/>
  <c r="S1037" i="3" s="1"/>
  <c r="Q1037" i="3"/>
  <c r="P1037" i="3"/>
  <c r="T1036" i="3"/>
  <c r="R1036" i="3"/>
  <c r="S1036" i="3" s="1"/>
  <c r="Q1036" i="3"/>
  <c r="P1036" i="3"/>
  <c r="T1035" i="3"/>
  <c r="R1035" i="3"/>
  <c r="S1035" i="3" s="1"/>
  <c r="Q1035" i="3"/>
  <c r="P1035" i="3"/>
  <c r="T1034" i="3"/>
  <c r="R1034" i="3"/>
  <c r="S1034" i="3" s="1"/>
  <c r="Q1034" i="3"/>
  <c r="P1034" i="3"/>
  <c r="T1033" i="3"/>
  <c r="R1033" i="3"/>
  <c r="S1033" i="3" s="1"/>
  <c r="Q1033" i="3"/>
  <c r="P1033" i="3"/>
  <c r="T1032" i="3"/>
  <c r="R1032" i="3"/>
  <c r="S1032" i="3" s="1"/>
  <c r="Q1032" i="3"/>
  <c r="P1032" i="3"/>
  <c r="T1031" i="3"/>
  <c r="R1031" i="3"/>
  <c r="S1031" i="3" s="1"/>
  <c r="Q1031" i="3"/>
  <c r="P1031" i="3"/>
  <c r="T1030" i="3"/>
  <c r="R1030" i="3"/>
  <c r="S1030" i="3" s="1"/>
  <c r="Q1030" i="3"/>
  <c r="P1030" i="3"/>
  <c r="T1029" i="3"/>
  <c r="R1029" i="3"/>
  <c r="S1029" i="3" s="1"/>
  <c r="Q1029" i="3"/>
  <c r="P1029" i="3"/>
  <c r="T1028" i="3"/>
  <c r="R1028" i="3"/>
  <c r="S1028" i="3" s="1"/>
  <c r="Q1028" i="3"/>
  <c r="P1028" i="3"/>
  <c r="T1027" i="3"/>
  <c r="R1027" i="3"/>
  <c r="S1027" i="3" s="1"/>
  <c r="Q1027" i="3"/>
  <c r="P1027" i="3"/>
  <c r="T1026" i="3"/>
  <c r="R1026" i="3"/>
  <c r="S1026" i="3" s="1"/>
  <c r="Q1026" i="3"/>
  <c r="P1026" i="3"/>
  <c r="T1025" i="3"/>
  <c r="R1025" i="3"/>
  <c r="S1025" i="3" s="1"/>
  <c r="Q1025" i="3"/>
  <c r="P1025" i="3"/>
  <c r="T1024" i="3"/>
  <c r="R1024" i="3"/>
  <c r="S1024" i="3" s="1"/>
  <c r="Q1024" i="3"/>
  <c r="P1024" i="3"/>
  <c r="T1023" i="3"/>
  <c r="R1023" i="3"/>
  <c r="S1023" i="3" s="1"/>
  <c r="Q1023" i="3"/>
  <c r="P1023" i="3"/>
  <c r="T1022" i="3"/>
  <c r="R1022" i="3"/>
  <c r="S1022" i="3" s="1"/>
  <c r="Q1022" i="3"/>
  <c r="P1022" i="3"/>
  <c r="T1021" i="3"/>
  <c r="R1021" i="3"/>
  <c r="S1021" i="3" s="1"/>
  <c r="Q1021" i="3"/>
  <c r="P1021" i="3"/>
  <c r="T1020" i="3"/>
  <c r="R1020" i="3"/>
  <c r="S1020" i="3" s="1"/>
  <c r="Q1020" i="3"/>
  <c r="P1020" i="3"/>
  <c r="T1019" i="3"/>
  <c r="R1019" i="3"/>
  <c r="S1019" i="3" s="1"/>
  <c r="Q1019" i="3"/>
  <c r="P1019" i="3"/>
  <c r="T1018" i="3"/>
  <c r="R1018" i="3"/>
  <c r="S1018" i="3" s="1"/>
  <c r="Q1018" i="3"/>
  <c r="P1018" i="3"/>
  <c r="T1017" i="3"/>
  <c r="R1017" i="3"/>
  <c r="S1017" i="3" s="1"/>
  <c r="Q1017" i="3"/>
  <c r="P1017" i="3"/>
  <c r="T1016" i="3"/>
  <c r="R1016" i="3"/>
  <c r="S1016" i="3" s="1"/>
  <c r="Q1016" i="3"/>
  <c r="P1016" i="3"/>
  <c r="T1015" i="3"/>
  <c r="R1015" i="3"/>
  <c r="S1015" i="3" s="1"/>
  <c r="Q1015" i="3"/>
  <c r="P1015" i="3"/>
  <c r="T1014" i="3"/>
  <c r="R1014" i="3"/>
  <c r="S1014" i="3" s="1"/>
  <c r="Q1014" i="3"/>
  <c r="P1014" i="3"/>
  <c r="T1013" i="3"/>
  <c r="R1013" i="3"/>
  <c r="S1013" i="3" s="1"/>
  <c r="Q1013" i="3"/>
  <c r="P1013" i="3"/>
  <c r="T1012" i="3"/>
  <c r="R1012" i="3"/>
  <c r="S1012" i="3" s="1"/>
  <c r="Q1012" i="3"/>
  <c r="P1012" i="3"/>
  <c r="T1011" i="3"/>
  <c r="R1011" i="3"/>
  <c r="S1011" i="3" s="1"/>
  <c r="Q1011" i="3"/>
  <c r="P1011" i="3"/>
  <c r="T1010" i="3"/>
  <c r="R1010" i="3"/>
  <c r="S1010" i="3" s="1"/>
  <c r="Q1010" i="3"/>
  <c r="P1010" i="3"/>
  <c r="T1009" i="3"/>
  <c r="R1009" i="3"/>
  <c r="S1009" i="3" s="1"/>
  <c r="Q1009" i="3"/>
  <c r="P1009" i="3"/>
  <c r="T1008" i="3"/>
  <c r="R1008" i="3"/>
  <c r="S1008" i="3" s="1"/>
  <c r="Q1008" i="3"/>
  <c r="P1008" i="3"/>
  <c r="T1007" i="3"/>
  <c r="R1007" i="3"/>
  <c r="S1007" i="3" s="1"/>
  <c r="Q1007" i="3"/>
  <c r="P1007" i="3"/>
  <c r="T1006" i="3"/>
  <c r="R1006" i="3"/>
  <c r="S1006" i="3" s="1"/>
  <c r="Q1006" i="3"/>
  <c r="P1006" i="3"/>
  <c r="T1005" i="3"/>
  <c r="R1005" i="3"/>
  <c r="S1005" i="3" s="1"/>
  <c r="Q1005" i="3"/>
  <c r="P1005" i="3"/>
  <c r="T1004" i="3"/>
  <c r="R1004" i="3"/>
  <c r="S1004" i="3" s="1"/>
  <c r="Q1004" i="3"/>
  <c r="P1004" i="3"/>
  <c r="T1003" i="3"/>
  <c r="R1003" i="3"/>
  <c r="S1003" i="3" s="1"/>
  <c r="Q1003" i="3"/>
  <c r="P1003" i="3"/>
  <c r="T1002" i="3"/>
  <c r="R1002" i="3"/>
  <c r="S1002" i="3" s="1"/>
  <c r="Q1002" i="3"/>
  <c r="P1002" i="3"/>
  <c r="T1001" i="3"/>
  <c r="R1001" i="3"/>
  <c r="S1001" i="3" s="1"/>
  <c r="Q1001" i="3"/>
  <c r="P1001" i="3"/>
  <c r="T1000" i="3"/>
  <c r="R1000" i="3"/>
  <c r="S1000" i="3" s="1"/>
  <c r="Q1000" i="3"/>
  <c r="P1000" i="3"/>
  <c r="T999" i="3"/>
  <c r="R999" i="3"/>
  <c r="S999" i="3" s="1"/>
  <c r="Q999" i="3"/>
  <c r="P999" i="3"/>
  <c r="T998" i="3"/>
  <c r="R998" i="3"/>
  <c r="S998" i="3" s="1"/>
  <c r="Q998" i="3"/>
  <c r="P998" i="3"/>
  <c r="T997" i="3"/>
  <c r="R997" i="3"/>
  <c r="S997" i="3" s="1"/>
  <c r="Q997" i="3"/>
  <c r="P997" i="3"/>
  <c r="T996" i="3"/>
  <c r="R996" i="3"/>
  <c r="S996" i="3" s="1"/>
  <c r="Q996" i="3"/>
  <c r="P996" i="3"/>
  <c r="T995" i="3"/>
  <c r="R995" i="3"/>
  <c r="S995" i="3" s="1"/>
  <c r="Q995" i="3"/>
  <c r="P995" i="3"/>
  <c r="T994" i="3"/>
  <c r="R994" i="3"/>
  <c r="S994" i="3" s="1"/>
  <c r="Q994" i="3"/>
  <c r="P994" i="3"/>
  <c r="T993" i="3"/>
  <c r="R993" i="3"/>
  <c r="S993" i="3" s="1"/>
  <c r="Q993" i="3"/>
  <c r="P993" i="3"/>
  <c r="T992" i="3"/>
  <c r="R992" i="3"/>
  <c r="S992" i="3" s="1"/>
  <c r="Q992" i="3"/>
  <c r="P992" i="3"/>
  <c r="T991" i="3"/>
  <c r="R991" i="3"/>
  <c r="S991" i="3" s="1"/>
  <c r="Q991" i="3"/>
  <c r="P991" i="3"/>
  <c r="T990" i="3"/>
  <c r="R990" i="3"/>
  <c r="S990" i="3" s="1"/>
  <c r="Q990" i="3"/>
  <c r="P990" i="3"/>
  <c r="T989" i="3"/>
  <c r="R989" i="3"/>
  <c r="S989" i="3" s="1"/>
  <c r="Q989" i="3"/>
  <c r="P989" i="3"/>
  <c r="T988" i="3"/>
  <c r="R988" i="3"/>
  <c r="S988" i="3" s="1"/>
  <c r="Q988" i="3"/>
  <c r="P988" i="3"/>
  <c r="T987" i="3"/>
  <c r="R987" i="3"/>
  <c r="S987" i="3" s="1"/>
  <c r="Q987" i="3"/>
  <c r="P987" i="3"/>
  <c r="T986" i="3"/>
  <c r="R986" i="3"/>
  <c r="S986" i="3" s="1"/>
  <c r="Q986" i="3"/>
  <c r="P986" i="3"/>
  <c r="T985" i="3"/>
  <c r="R985" i="3"/>
  <c r="S985" i="3" s="1"/>
  <c r="Q985" i="3"/>
  <c r="P985" i="3"/>
  <c r="T984" i="3"/>
  <c r="R984" i="3"/>
  <c r="S984" i="3" s="1"/>
  <c r="Q984" i="3"/>
  <c r="P984" i="3"/>
  <c r="T983" i="3"/>
  <c r="R983" i="3"/>
  <c r="S983" i="3" s="1"/>
  <c r="Q983" i="3"/>
  <c r="P983" i="3"/>
  <c r="T982" i="3"/>
  <c r="R982" i="3"/>
  <c r="S982" i="3" s="1"/>
  <c r="Q982" i="3"/>
  <c r="P982" i="3"/>
  <c r="T981" i="3"/>
  <c r="R981" i="3"/>
  <c r="S981" i="3" s="1"/>
  <c r="Q981" i="3"/>
  <c r="P981" i="3"/>
  <c r="T980" i="3"/>
  <c r="R980" i="3"/>
  <c r="S980" i="3" s="1"/>
  <c r="Q980" i="3"/>
  <c r="P980" i="3"/>
  <c r="T979" i="3"/>
  <c r="R979" i="3"/>
  <c r="S979" i="3" s="1"/>
  <c r="Q979" i="3"/>
  <c r="P979" i="3"/>
  <c r="T978" i="3"/>
  <c r="R978" i="3"/>
  <c r="S978" i="3" s="1"/>
  <c r="Q978" i="3"/>
  <c r="P978" i="3"/>
  <c r="T977" i="3"/>
  <c r="R977" i="3"/>
  <c r="S977" i="3" s="1"/>
  <c r="Q977" i="3"/>
  <c r="P977" i="3"/>
  <c r="T976" i="3"/>
  <c r="R976" i="3"/>
  <c r="S976" i="3" s="1"/>
  <c r="Q976" i="3"/>
  <c r="P976" i="3"/>
  <c r="T975" i="3"/>
  <c r="R975" i="3"/>
  <c r="S975" i="3" s="1"/>
  <c r="Q975" i="3"/>
  <c r="P975" i="3"/>
  <c r="T974" i="3"/>
  <c r="R974" i="3"/>
  <c r="S974" i="3" s="1"/>
  <c r="Q974" i="3"/>
  <c r="P974" i="3"/>
  <c r="T973" i="3"/>
  <c r="R973" i="3"/>
  <c r="S973" i="3" s="1"/>
  <c r="Q973" i="3"/>
  <c r="P973" i="3"/>
  <c r="T972" i="3"/>
  <c r="R972" i="3"/>
  <c r="S972" i="3" s="1"/>
  <c r="Q972" i="3"/>
  <c r="P972" i="3"/>
  <c r="T971" i="3"/>
  <c r="R971" i="3"/>
  <c r="S971" i="3" s="1"/>
  <c r="Q971" i="3"/>
  <c r="P971" i="3"/>
  <c r="T970" i="3"/>
  <c r="R970" i="3"/>
  <c r="S970" i="3" s="1"/>
  <c r="Q970" i="3"/>
  <c r="P970" i="3"/>
  <c r="T969" i="3"/>
  <c r="R969" i="3"/>
  <c r="S969" i="3" s="1"/>
  <c r="Q969" i="3"/>
  <c r="P969" i="3"/>
  <c r="T968" i="3"/>
  <c r="R968" i="3"/>
  <c r="S968" i="3" s="1"/>
  <c r="Q968" i="3"/>
  <c r="P968" i="3"/>
  <c r="T967" i="3"/>
  <c r="R967" i="3"/>
  <c r="S967" i="3" s="1"/>
  <c r="Q967" i="3"/>
  <c r="P967" i="3"/>
  <c r="T966" i="3"/>
  <c r="R966" i="3"/>
  <c r="S966" i="3" s="1"/>
  <c r="Q966" i="3"/>
  <c r="P966" i="3"/>
  <c r="T965" i="3"/>
  <c r="R965" i="3"/>
  <c r="S965" i="3" s="1"/>
  <c r="Q965" i="3"/>
  <c r="P965" i="3"/>
  <c r="T964" i="3"/>
  <c r="R964" i="3"/>
  <c r="S964" i="3" s="1"/>
  <c r="Q964" i="3"/>
  <c r="P964" i="3"/>
  <c r="T963" i="3"/>
  <c r="R963" i="3"/>
  <c r="S963" i="3" s="1"/>
  <c r="Q963" i="3"/>
  <c r="P963" i="3"/>
  <c r="T962" i="3"/>
  <c r="R962" i="3"/>
  <c r="S962" i="3" s="1"/>
  <c r="Q962" i="3"/>
  <c r="P962" i="3"/>
  <c r="T961" i="3"/>
  <c r="R961" i="3"/>
  <c r="S961" i="3" s="1"/>
  <c r="Q961" i="3"/>
  <c r="P961" i="3"/>
  <c r="T960" i="3"/>
  <c r="R960" i="3"/>
  <c r="S960" i="3" s="1"/>
  <c r="Q960" i="3"/>
  <c r="P960" i="3"/>
  <c r="T959" i="3"/>
  <c r="R959" i="3"/>
  <c r="S959" i="3" s="1"/>
  <c r="Q959" i="3"/>
  <c r="P959" i="3"/>
  <c r="T958" i="3"/>
  <c r="R958" i="3"/>
  <c r="S958" i="3" s="1"/>
  <c r="Q958" i="3"/>
  <c r="P958" i="3"/>
  <c r="T957" i="3"/>
  <c r="R957" i="3"/>
  <c r="S957" i="3" s="1"/>
  <c r="Q957" i="3"/>
  <c r="P957" i="3"/>
  <c r="T956" i="3"/>
  <c r="R956" i="3"/>
  <c r="S956" i="3" s="1"/>
  <c r="Q956" i="3"/>
  <c r="P956" i="3"/>
  <c r="T955" i="3"/>
  <c r="R955" i="3"/>
  <c r="S955" i="3" s="1"/>
  <c r="Q955" i="3"/>
  <c r="P955" i="3"/>
  <c r="T954" i="3"/>
  <c r="R954" i="3"/>
  <c r="S954" i="3" s="1"/>
  <c r="Q954" i="3"/>
  <c r="P954" i="3"/>
  <c r="T953" i="3"/>
  <c r="R953" i="3"/>
  <c r="S953" i="3" s="1"/>
  <c r="Q953" i="3"/>
  <c r="P953" i="3"/>
  <c r="T952" i="3"/>
  <c r="R952" i="3"/>
  <c r="S952" i="3" s="1"/>
  <c r="Q952" i="3"/>
  <c r="P952" i="3"/>
  <c r="T951" i="3"/>
  <c r="R951" i="3"/>
  <c r="S951" i="3" s="1"/>
  <c r="Q951" i="3"/>
  <c r="P951" i="3"/>
  <c r="T950" i="3"/>
  <c r="R950" i="3"/>
  <c r="S950" i="3" s="1"/>
  <c r="Q950" i="3"/>
  <c r="P950" i="3"/>
  <c r="T949" i="3"/>
  <c r="R949" i="3"/>
  <c r="S949" i="3" s="1"/>
  <c r="Q949" i="3"/>
  <c r="P949" i="3"/>
  <c r="T948" i="3"/>
  <c r="R948" i="3"/>
  <c r="S948" i="3" s="1"/>
  <c r="Q948" i="3"/>
  <c r="P948" i="3"/>
  <c r="T947" i="3"/>
  <c r="R947" i="3"/>
  <c r="S947" i="3" s="1"/>
  <c r="Q947" i="3"/>
  <c r="P947" i="3"/>
  <c r="T946" i="3"/>
  <c r="R946" i="3"/>
  <c r="S946" i="3" s="1"/>
  <c r="Q946" i="3"/>
  <c r="P946" i="3"/>
  <c r="T945" i="3"/>
  <c r="R945" i="3"/>
  <c r="S945" i="3" s="1"/>
  <c r="Q945" i="3"/>
  <c r="P945" i="3"/>
  <c r="T944" i="3"/>
  <c r="R944" i="3"/>
  <c r="S944" i="3" s="1"/>
  <c r="Q944" i="3"/>
  <c r="P944" i="3"/>
  <c r="T943" i="3"/>
  <c r="R943" i="3"/>
  <c r="S943" i="3" s="1"/>
  <c r="Q943" i="3"/>
  <c r="P943" i="3"/>
  <c r="T942" i="3"/>
  <c r="R942" i="3"/>
  <c r="S942" i="3" s="1"/>
  <c r="Q942" i="3"/>
  <c r="P942" i="3"/>
  <c r="T941" i="3"/>
  <c r="R941" i="3"/>
  <c r="S941" i="3" s="1"/>
  <c r="Q941" i="3"/>
  <c r="P941" i="3"/>
  <c r="T940" i="3"/>
  <c r="R940" i="3"/>
  <c r="S940" i="3" s="1"/>
  <c r="Q940" i="3"/>
  <c r="P940" i="3"/>
  <c r="T939" i="3"/>
  <c r="R939" i="3"/>
  <c r="S939" i="3" s="1"/>
  <c r="Q939" i="3"/>
  <c r="P939" i="3"/>
  <c r="T938" i="3"/>
  <c r="R938" i="3"/>
  <c r="S938" i="3" s="1"/>
  <c r="Q938" i="3"/>
  <c r="P938" i="3"/>
  <c r="T937" i="3"/>
  <c r="R937" i="3"/>
  <c r="S937" i="3" s="1"/>
  <c r="Q937" i="3"/>
  <c r="P937" i="3"/>
  <c r="T936" i="3"/>
  <c r="R936" i="3"/>
  <c r="S936" i="3" s="1"/>
  <c r="Q936" i="3"/>
  <c r="P936" i="3"/>
  <c r="T935" i="3"/>
  <c r="R935" i="3"/>
  <c r="S935" i="3" s="1"/>
  <c r="Q935" i="3"/>
  <c r="P935" i="3"/>
  <c r="T934" i="3"/>
  <c r="R934" i="3"/>
  <c r="S934" i="3" s="1"/>
  <c r="Q934" i="3"/>
  <c r="P934" i="3"/>
  <c r="T933" i="3"/>
  <c r="R933" i="3"/>
  <c r="S933" i="3" s="1"/>
  <c r="Q933" i="3"/>
  <c r="P933" i="3"/>
  <c r="T932" i="3"/>
  <c r="R932" i="3"/>
  <c r="S932" i="3" s="1"/>
  <c r="Q932" i="3"/>
  <c r="P932" i="3"/>
  <c r="T931" i="3"/>
  <c r="R931" i="3"/>
  <c r="S931" i="3" s="1"/>
  <c r="Q931" i="3"/>
  <c r="P931" i="3"/>
  <c r="T930" i="3"/>
  <c r="R930" i="3"/>
  <c r="S930" i="3" s="1"/>
  <c r="Q930" i="3"/>
  <c r="P930" i="3"/>
  <c r="T929" i="3"/>
  <c r="R929" i="3"/>
  <c r="S929" i="3" s="1"/>
  <c r="Q929" i="3"/>
  <c r="P929" i="3"/>
  <c r="T928" i="3"/>
  <c r="R928" i="3"/>
  <c r="S928" i="3" s="1"/>
  <c r="Q928" i="3"/>
  <c r="P928" i="3"/>
  <c r="T927" i="3"/>
  <c r="R927" i="3"/>
  <c r="S927" i="3" s="1"/>
  <c r="Q927" i="3"/>
  <c r="P927" i="3"/>
  <c r="T926" i="3"/>
  <c r="R926" i="3"/>
  <c r="S926" i="3" s="1"/>
  <c r="Q926" i="3"/>
  <c r="P926" i="3"/>
  <c r="T925" i="3"/>
  <c r="R925" i="3"/>
  <c r="S925" i="3" s="1"/>
  <c r="Q925" i="3"/>
  <c r="P925" i="3"/>
  <c r="T924" i="3"/>
  <c r="R924" i="3"/>
  <c r="S924" i="3" s="1"/>
  <c r="Q924" i="3"/>
  <c r="P924" i="3"/>
  <c r="T923" i="3"/>
  <c r="R923" i="3"/>
  <c r="S923" i="3" s="1"/>
  <c r="Q923" i="3"/>
  <c r="P923" i="3"/>
  <c r="T922" i="3"/>
  <c r="R922" i="3"/>
  <c r="S922" i="3" s="1"/>
  <c r="Q922" i="3"/>
  <c r="P922" i="3"/>
  <c r="T921" i="3"/>
  <c r="R921" i="3"/>
  <c r="S921" i="3" s="1"/>
  <c r="Q921" i="3"/>
  <c r="P921" i="3"/>
  <c r="T920" i="3"/>
  <c r="R920" i="3"/>
  <c r="S920" i="3" s="1"/>
  <c r="Q920" i="3"/>
  <c r="P920" i="3"/>
  <c r="T919" i="3"/>
  <c r="R919" i="3"/>
  <c r="S919" i="3" s="1"/>
  <c r="Q919" i="3"/>
  <c r="P919" i="3"/>
  <c r="T918" i="3"/>
  <c r="R918" i="3"/>
  <c r="S918" i="3" s="1"/>
  <c r="Q918" i="3"/>
  <c r="P918" i="3"/>
  <c r="T917" i="3"/>
  <c r="R917" i="3"/>
  <c r="S917" i="3" s="1"/>
  <c r="Q917" i="3"/>
  <c r="P917" i="3"/>
  <c r="T916" i="3"/>
  <c r="R916" i="3"/>
  <c r="S916" i="3" s="1"/>
  <c r="Q916" i="3"/>
  <c r="P916" i="3"/>
  <c r="T915" i="3"/>
  <c r="R915" i="3"/>
  <c r="S915" i="3" s="1"/>
  <c r="Q915" i="3"/>
  <c r="P915" i="3"/>
  <c r="T914" i="3"/>
  <c r="R914" i="3"/>
  <c r="S914" i="3" s="1"/>
  <c r="Q914" i="3"/>
  <c r="P914" i="3"/>
  <c r="T913" i="3"/>
  <c r="R913" i="3"/>
  <c r="S913" i="3" s="1"/>
  <c r="Q913" i="3"/>
  <c r="P913" i="3"/>
  <c r="T912" i="3"/>
  <c r="R912" i="3"/>
  <c r="S912" i="3" s="1"/>
  <c r="Q912" i="3"/>
  <c r="P912" i="3"/>
  <c r="T911" i="3"/>
  <c r="R911" i="3"/>
  <c r="S911" i="3" s="1"/>
  <c r="Q911" i="3"/>
  <c r="P911" i="3"/>
  <c r="T910" i="3"/>
  <c r="R910" i="3"/>
  <c r="S910" i="3" s="1"/>
  <c r="Q910" i="3"/>
  <c r="P910" i="3"/>
  <c r="T909" i="3"/>
  <c r="R909" i="3"/>
  <c r="S909" i="3" s="1"/>
  <c r="Q909" i="3"/>
  <c r="P909" i="3"/>
  <c r="T908" i="3"/>
  <c r="R908" i="3"/>
  <c r="S908" i="3" s="1"/>
  <c r="Q908" i="3"/>
  <c r="P908" i="3"/>
  <c r="T907" i="3"/>
  <c r="R907" i="3"/>
  <c r="S907" i="3" s="1"/>
  <c r="Q907" i="3"/>
  <c r="P907" i="3"/>
  <c r="T906" i="3"/>
  <c r="R906" i="3"/>
  <c r="S906" i="3" s="1"/>
  <c r="Q906" i="3"/>
  <c r="P906" i="3"/>
  <c r="T905" i="3"/>
  <c r="R905" i="3"/>
  <c r="S905" i="3" s="1"/>
  <c r="Q905" i="3"/>
  <c r="P905" i="3"/>
  <c r="T904" i="3"/>
  <c r="R904" i="3"/>
  <c r="S904" i="3" s="1"/>
  <c r="Q904" i="3"/>
  <c r="P904" i="3"/>
  <c r="T903" i="3"/>
  <c r="R903" i="3"/>
  <c r="S903" i="3" s="1"/>
  <c r="Q903" i="3"/>
  <c r="P903" i="3"/>
  <c r="T902" i="3"/>
  <c r="R902" i="3"/>
  <c r="S902" i="3" s="1"/>
  <c r="Q902" i="3"/>
  <c r="P902" i="3"/>
  <c r="T901" i="3"/>
  <c r="R901" i="3"/>
  <c r="S901" i="3" s="1"/>
  <c r="Q901" i="3"/>
  <c r="P901" i="3"/>
  <c r="T900" i="3"/>
  <c r="R900" i="3"/>
  <c r="S900" i="3" s="1"/>
  <c r="Q900" i="3"/>
  <c r="P900" i="3"/>
  <c r="T899" i="3"/>
  <c r="R899" i="3"/>
  <c r="S899" i="3" s="1"/>
  <c r="Q899" i="3"/>
  <c r="P899" i="3"/>
  <c r="T898" i="3"/>
  <c r="R898" i="3"/>
  <c r="S898" i="3" s="1"/>
  <c r="Q898" i="3"/>
  <c r="P898" i="3"/>
  <c r="T897" i="3"/>
  <c r="R897" i="3"/>
  <c r="S897" i="3" s="1"/>
  <c r="Q897" i="3"/>
  <c r="P897" i="3"/>
  <c r="T896" i="3"/>
  <c r="R896" i="3"/>
  <c r="S896" i="3" s="1"/>
  <c r="Q896" i="3"/>
  <c r="P896" i="3"/>
  <c r="T895" i="3"/>
  <c r="R895" i="3"/>
  <c r="S895" i="3" s="1"/>
  <c r="Q895" i="3"/>
  <c r="P895" i="3"/>
  <c r="T894" i="3"/>
  <c r="R894" i="3"/>
  <c r="S894" i="3" s="1"/>
  <c r="Q894" i="3"/>
  <c r="P894" i="3"/>
  <c r="T893" i="3"/>
  <c r="R893" i="3"/>
  <c r="S893" i="3" s="1"/>
  <c r="Q893" i="3"/>
  <c r="P893" i="3"/>
  <c r="T892" i="3"/>
  <c r="R892" i="3"/>
  <c r="S892" i="3" s="1"/>
  <c r="Q892" i="3"/>
  <c r="P892" i="3"/>
  <c r="T891" i="3"/>
  <c r="R891" i="3"/>
  <c r="S891" i="3" s="1"/>
  <c r="Q891" i="3"/>
  <c r="P891" i="3"/>
  <c r="T890" i="3"/>
  <c r="R890" i="3"/>
  <c r="S890" i="3" s="1"/>
  <c r="Q890" i="3"/>
  <c r="P890" i="3"/>
  <c r="T889" i="3"/>
  <c r="R889" i="3"/>
  <c r="S889" i="3" s="1"/>
  <c r="Q889" i="3"/>
  <c r="P889" i="3"/>
  <c r="T888" i="3"/>
  <c r="R888" i="3"/>
  <c r="S888" i="3" s="1"/>
  <c r="Q888" i="3"/>
  <c r="P888" i="3"/>
  <c r="T887" i="3"/>
  <c r="R887" i="3"/>
  <c r="S887" i="3" s="1"/>
  <c r="Q887" i="3"/>
  <c r="P887" i="3"/>
  <c r="T886" i="3"/>
  <c r="R886" i="3"/>
  <c r="S886" i="3" s="1"/>
  <c r="Q886" i="3"/>
  <c r="P886" i="3"/>
  <c r="T885" i="3"/>
  <c r="R885" i="3"/>
  <c r="S885" i="3" s="1"/>
  <c r="Q885" i="3"/>
  <c r="P885" i="3"/>
  <c r="T884" i="3"/>
  <c r="R884" i="3"/>
  <c r="S884" i="3" s="1"/>
  <c r="Q884" i="3"/>
  <c r="P884" i="3"/>
  <c r="T883" i="3"/>
  <c r="R883" i="3"/>
  <c r="S883" i="3" s="1"/>
  <c r="Q883" i="3"/>
  <c r="P883" i="3"/>
  <c r="T882" i="3"/>
  <c r="R882" i="3"/>
  <c r="S882" i="3" s="1"/>
  <c r="Q882" i="3"/>
  <c r="P882" i="3"/>
  <c r="T881" i="3"/>
  <c r="R881" i="3"/>
  <c r="S881" i="3" s="1"/>
  <c r="Q881" i="3"/>
  <c r="P881" i="3"/>
  <c r="T880" i="3"/>
  <c r="R880" i="3"/>
  <c r="S880" i="3" s="1"/>
  <c r="Q880" i="3"/>
  <c r="P880" i="3"/>
  <c r="T879" i="3"/>
  <c r="R879" i="3"/>
  <c r="S879" i="3" s="1"/>
  <c r="Q879" i="3"/>
  <c r="P879" i="3"/>
  <c r="T878" i="3"/>
  <c r="R878" i="3"/>
  <c r="S878" i="3" s="1"/>
  <c r="Q878" i="3"/>
  <c r="P878" i="3"/>
  <c r="T877" i="3"/>
  <c r="R877" i="3"/>
  <c r="S877" i="3" s="1"/>
  <c r="Q877" i="3"/>
  <c r="P877" i="3"/>
  <c r="T876" i="3"/>
  <c r="R876" i="3"/>
  <c r="S876" i="3" s="1"/>
  <c r="Q876" i="3"/>
  <c r="P876" i="3"/>
  <c r="T875" i="3"/>
  <c r="R875" i="3"/>
  <c r="S875" i="3" s="1"/>
  <c r="Q875" i="3"/>
  <c r="P875" i="3"/>
  <c r="T874" i="3"/>
  <c r="R874" i="3"/>
  <c r="S874" i="3" s="1"/>
  <c r="Q874" i="3"/>
  <c r="P874" i="3"/>
  <c r="T873" i="3"/>
  <c r="R873" i="3"/>
  <c r="S873" i="3" s="1"/>
  <c r="Q873" i="3"/>
  <c r="P873" i="3"/>
  <c r="T872" i="3"/>
  <c r="R872" i="3"/>
  <c r="S872" i="3" s="1"/>
  <c r="Q872" i="3"/>
  <c r="P872" i="3"/>
  <c r="T871" i="3"/>
  <c r="R871" i="3"/>
  <c r="S871" i="3" s="1"/>
  <c r="Q871" i="3"/>
  <c r="P871" i="3"/>
  <c r="T870" i="3"/>
  <c r="R870" i="3"/>
  <c r="S870" i="3" s="1"/>
  <c r="Q870" i="3"/>
  <c r="P870" i="3"/>
  <c r="T869" i="3"/>
  <c r="R869" i="3"/>
  <c r="S869" i="3" s="1"/>
  <c r="Q869" i="3"/>
  <c r="P869" i="3"/>
  <c r="T868" i="3"/>
  <c r="R868" i="3"/>
  <c r="S868" i="3" s="1"/>
  <c r="Q868" i="3"/>
  <c r="P868" i="3"/>
  <c r="T867" i="3"/>
  <c r="R867" i="3"/>
  <c r="S867" i="3" s="1"/>
  <c r="Q867" i="3"/>
  <c r="P867" i="3"/>
  <c r="T866" i="3"/>
  <c r="R866" i="3"/>
  <c r="S866" i="3" s="1"/>
  <c r="Q866" i="3"/>
  <c r="P866" i="3"/>
  <c r="T865" i="3"/>
  <c r="R865" i="3"/>
  <c r="S865" i="3" s="1"/>
  <c r="Q865" i="3"/>
  <c r="P865" i="3"/>
  <c r="T864" i="3"/>
  <c r="R864" i="3"/>
  <c r="S864" i="3" s="1"/>
  <c r="Q864" i="3"/>
  <c r="P864" i="3"/>
  <c r="T863" i="3"/>
  <c r="R863" i="3"/>
  <c r="S863" i="3" s="1"/>
  <c r="Q863" i="3"/>
  <c r="P863" i="3"/>
  <c r="T862" i="3"/>
  <c r="R862" i="3"/>
  <c r="S862" i="3" s="1"/>
  <c r="Q862" i="3"/>
  <c r="P862" i="3"/>
  <c r="T861" i="3"/>
  <c r="R861" i="3"/>
  <c r="S861" i="3" s="1"/>
  <c r="Q861" i="3"/>
  <c r="P861" i="3"/>
  <c r="T860" i="3"/>
  <c r="R860" i="3"/>
  <c r="S860" i="3" s="1"/>
  <c r="Q860" i="3"/>
  <c r="P860" i="3"/>
  <c r="T859" i="3"/>
  <c r="R859" i="3"/>
  <c r="S859" i="3" s="1"/>
  <c r="Q859" i="3"/>
  <c r="P859" i="3"/>
  <c r="T858" i="3"/>
  <c r="R858" i="3"/>
  <c r="S858" i="3" s="1"/>
  <c r="Q858" i="3"/>
  <c r="P858" i="3"/>
  <c r="T857" i="3"/>
  <c r="R857" i="3"/>
  <c r="S857" i="3" s="1"/>
  <c r="Q857" i="3"/>
  <c r="P857" i="3"/>
  <c r="T856" i="3"/>
  <c r="R856" i="3"/>
  <c r="S856" i="3" s="1"/>
  <c r="Q856" i="3"/>
  <c r="P856" i="3"/>
  <c r="T855" i="3"/>
  <c r="R855" i="3"/>
  <c r="S855" i="3" s="1"/>
  <c r="Q855" i="3"/>
  <c r="P855" i="3"/>
  <c r="T854" i="3"/>
  <c r="R854" i="3"/>
  <c r="S854" i="3" s="1"/>
  <c r="Q854" i="3"/>
  <c r="P854" i="3"/>
  <c r="T853" i="3"/>
  <c r="R853" i="3"/>
  <c r="S853" i="3" s="1"/>
  <c r="Q853" i="3"/>
  <c r="P853" i="3"/>
  <c r="T852" i="3"/>
  <c r="R852" i="3"/>
  <c r="S852" i="3" s="1"/>
  <c r="Q852" i="3"/>
  <c r="P852" i="3"/>
  <c r="T851" i="3"/>
  <c r="R851" i="3"/>
  <c r="S851" i="3" s="1"/>
  <c r="Q851" i="3"/>
  <c r="P851" i="3"/>
  <c r="T850" i="3"/>
  <c r="R850" i="3"/>
  <c r="S850" i="3" s="1"/>
  <c r="Q850" i="3"/>
  <c r="P850" i="3"/>
  <c r="T849" i="3"/>
  <c r="R849" i="3"/>
  <c r="S849" i="3" s="1"/>
  <c r="Q849" i="3"/>
  <c r="P849" i="3"/>
  <c r="T848" i="3"/>
  <c r="R848" i="3"/>
  <c r="S848" i="3" s="1"/>
  <c r="Q848" i="3"/>
  <c r="P848" i="3"/>
  <c r="T847" i="3"/>
  <c r="R847" i="3"/>
  <c r="S847" i="3" s="1"/>
  <c r="Q847" i="3"/>
  <c r="P847" i="3"/>
  <c r="T846" i="3"/>
  <c r="R846" i="3"/>
  <c r="S846" i="3" s="1"/>
  <c r="Q846" i="3"/>
  <c r="P846" i="3"/>
  <c r="T845" i="3"/>
  <c r="R845" i="3"/>
  <c r="S845" i="3" s="1"/>
  <c r="Q845" i="3"/>
  <c r="P845" i="3"/>
  <c r="T844" i="3"/>
  <c r="R844" i="3"/>
  <c r="S844" i="3" s="1"/>
  <c r="Q844" i="3"/>
  <c r="P844" i="3"/>
  <c r="T843" i="3"/>
  <c r="R843" i="3"/>
  <c r="S843" i="3" s="1"/>
  <c r="Q843" i="3"/>
  <c r="P843" i="3"/>
  <c r="T842" i="3"/>
  <c r="R842" i="3"/>
  <c r="S842" i="3" s="1"/>
  <c r="Q842" i="3"/>
  <c r="P842" i="3"/>
  <c r="T841" i="3"/>
  <c r="R841" i="3"/>
  <c r="S841" i="3" s="1"/>
  <c r="Q841" i="3"/>
  <c r="P841" i="3"/>
  <c r="T840" i="3"/>
  <c r="R840" i="3"/>
  <c r="S840" i="3" s="1"/>
  <c r="Q840" i="3"/>
  <c r="P840" i="3"/>
  <c r="T839" i="3"/>
  <c r="R839" i="3"/>
  <c r="S839" i="3" s="1"/>
  <c r="Q839" i="3"/>
  <c r="P839" i="3"/>
  <c r="T838" i="3"/>
  <c r="R838" i="3"/>
  <c r="S838" i="3" s="1"/>
  <c r="Q838" i="3"/>
  <c r="P838" i="3"/>
  <c r="T837" i="3"/>
  <c r="R837" i="3"/>
  <c r="S837" i="3" s="1"/>
  <c r="Q837" i="3"/>
  <c r="P837" i="3"/>
  <c r="T836" i="3"/>
  <c r="R836" i="3"/>
  <c r="S836" i="3" s="1"/>
  <c r="Q836" i="3"/>
  <c r="P836" i="3"/>
  <c r="T835" i="3"/>
  <c r="R835" i="3"/>
  <c r="S835" i="3" s="1"/>
  <c r="Q835" i="3"/>
  <c r="P835" i="3"/>
  <c r="T834" i="3"/>
  <c r="R834" i="3"/>
  <c r="S834" i="3" s="1"/>
  <c r="Q834" i="3"/>
  <c r="P834" i="3"/>
  <c r="T833" i="3"/>
  <c r="R833" i="3"/>
  <c r="S833" i="3" s="1"/>
  <c r="Q833" i="3"/>
  <c r="P833" i="3"/>
  <c r="T832" i="3"/>
  <c r="R832" i="3"/>
  <c r="S832" i="3" s="1"/>
  <c r="Q832" i="3"/>
  <c r="P832" i="3"/>
  <c r="T831" i="3"/>
  <c r="R831" i="3"/>
  <c r="S831" i="3" s="1"/>
  <c r="Q831" i="3"/>
  <c r="P831" i="3"/>
  <c r="T830" i="3"/>
  <c r="R830" i="3"/>
  <c r="S830" i="3" s="1"/>
  <c r="Q830" i="3"/>
  <c r="P830" i="3"/>
  <c r="T829" i="3"/>
  <c r="R829" i="3"/>
  <c r="S829" i="3" s="1"/>
  <c r="Q829" i="3"/>
  <c r="P829" i="3"/>
  <c r="T828" i="3"/>
  <c r="R828" i="3"/>
  <c r="S828" i="3" s="1"/>
  <c r="Q828" i="3"/>
  <c r="P828" i="3"/>
  <c r="T827" i="3"/>
  <c r="R827" i="3"/>
  <c r="S827" i="3" s="1"/>
  <c r="Q827" i="3"/>
  <c r="P827" i="3"/>
  <c r="T826" i="3"/>
  <c r="R826" i="3"/>
  <c r="S826" i="3" s="1"/>
  <c r="Q826" i="3"/>
  <c r="P826" i="3"/>
  <c r="T825" i="3"/>
  <c r="R825" i="3"/>
  <c r="S825" i="3" s="1"/>
  <c r="Q825" i="3"/>
  <c r="P825" i="3"/>
  <c r="T824" i="3"/>
  <c r="R824" i="3"/>
  <c r="S824" i="3" s="1"/>
  <c r="Q824" i="3"/>
  <c r="P824" i="3"/>
  <c r="T823" i="3"/>
  <c r="R823" i="3"/>
  <c r="S823" i="3" s="1"/>
  <c r="Q823" i="3"/>
  <c r="P823" i="3"/>
  <c r="T822" i="3"/>
  <c r="R822" i="3"/>
  <c r="S822" i="3" s="1"/>
  <c r="Q822" i="3"/>
  <c r="P822" i="3"/>
  <c r="T821" i="3"/>
  <c r="R821" i="3"/>
  <c r="S821" i="3" s="1"/>
  <c r="Q821" i="3"/>
  <c r="P821" i="3"/>
  <c r="T820" i="3"/>
  <c r="R820" i="3"/>
  <c r="S820" i="3" s="1"/>
  <c r="Q820" i="3"/>
  <c r="P820" i="3"/>
  <c r="T819" i="3"/>
  <c r="R819" i="3"/>
  <c r="S819" i="3" s="1"/>
  <c r="Q819" i="3"/>
  <c r="P819" i="3"/>
  <c r="T818" i="3"/>
  <c r="R818" i="3"/>
  <c r="S818" i="3" s="1"/>
  <c r="Q818" i="3"/>
  <c r="P818" i="3"/>
  <c r="T817" i="3"/>
  <c r="R817" i="3"/>
  <c r="S817" i="3" s="1"/>
  <c r="Q817" i="3"/>
  <c r="P817" i="3"/>
  <c r="T816" i="3"/>
  <c r="R816" i="3"/>
  <c r="S816" i="3" s="1"/>
  <c r="Q816" i="3"/>
  <c r="P816" i="3"/>
  <c r="T815" i="3"/>
  <c r="R815" i="3"/>
  <c r="S815" i="3" s="1"/>
  <c r="Q815" i="3"/>
  <c r="P815" i="3"/>
  <c r="T814" i="3"/>
  <c r="R814" i="3"/>
  <c r="S814" i="3" s="1"/>
  <c r="Q814" i="3"/>
  <c r="P814" i="3"/>
  <c r="T813" i="3"/>
  <c r="R813" i="3"/>
  <c r="S813" i="3" s="1"/>
  <c r="Q813" i="3"/>
  <c r="P813" i="3"/>
  <c r="T812" i="3"/>
  <c r="R812" i="3"/>
  <c r="S812" i="3" s="1"/>
  <c r="Q812" i="3"/>
  <c r="P812" i="3"/>
  <c r="T811" i="3"/>
  <c r="R811" i="3"/>
  <c r="S811" i="3" s="1"/>
  <c r="Q811" i="3"/>
  <c r="P811" i="3"/>
  <c r="T810" i="3"/>
  <c r="R810" i="3"/>
  <c r="S810" i="3" s="1"/>
  <c r="Q810" i="3"/>
  <c r="P810" i="3"/>
  <c r="T809" i="3"/>
  <c r="R809" i="3"/>
  <c r="S809" i="3" s="1"/>
  <c r="Q809" i="3"/>
  <c r="P809" i="3"/>
  <c r="T808" i="3"/>
  <c r="R808" i="3"/>
  <c r="S808" i="3" s="1"/>
  <c r="Q808" i="3"/>
  <c r="P808" i="3"/>
  <c r="T807" i="3"/>
  <c r="R807" i="3"/>
  <c r="S807" i="3" s="1"/>
  <c r="Q807" i="3"/>
  <c r="P807" i="3"/>
  <c r="T806" i="3"/>
  <c r="R806" i="3"/>
  <c r="S806" i="3" s="1"/>
  <c r="Q806" i="3"/>
  <c r="P806" i="3"/>
  <c r="T805" i="3"/>
  <c r="R805" i="3"/>
  <c r="S805" i="3" s="1"/>
  <c r="Q805" i="3"/>
  <c r="P805" i="3"/>
  <c r="T804" i="3"/>
  <c r="R804" i="3"/>
  <c r="S804" i="3" s="1"/>
  <c r="Q804" i="3"/>
  <c r="P804" i="3"/>
  <c r="T803" i="3"/>
  <c r="R803" i="3"/>
  <c r="S803" i="3" s="1"/>
  <c r="Q803" i="3"/>
  <c r="P803" i="3"/>
  <c r="T802" i="3"/>
  <c r="R802" i="3"/>
  <c r="S802" i="3" s="1"/>
  <c r="Q802" i="3"/>
  <c r="P802" i="3"/>
  <c r="T801" i="3"/>
  <c r="R801" i="3"/>
  <c r="S801" i="3" s="1"/>
  <c r="Q801" i="3"/>
  <c r="P801" i="3"/>
  <c r="T800" i="3"/>
  <c r="R800" i="3"/>
  <c r="S800" i="3" s="1"/>
  <c r="Q800" i="3"/>
  <c r="P800" i="3"/>
  <c r="T799" i="3"/>
  <c r="R799" i="3"/>
  <c r="S799" i="3" s="1"/>
  <c r="Q799" i="3"/>
  <c r="P799" i="3"/>
  <c r="T798" i="3"/>
  <c r="R798" i="3"/>
  <c r="S798" i="3" s="1"/>
  <c r="Q798" i="3"/>
  <c r="P798" i="3"/>
  <c r="T797" i="3"/>
  <c r="R797" i="3"/>
  <c r="S797" i="3" s="1"/>
  <c r="Q797" i="3"/>
  <c r="P797" i="3"/>
  <c r="T796" i="3"/>
  <c r="R796" i="3"/>
  <c r="S796" i="3" s="1"/>
  <c r="Q796" i="3"/>
  <c r="P796" i="3"/>
  <c r="T795" i="3"/>
  <c r="R795" i="3"/>
  <c r="S795" i="3" s="1"/>
  <c r="Q795" i="3"/>
  <c r="P795" i="3"/>
  <c r="T794" i="3"/>
  <c r="R794" i="3"/>
  <c r="S794" i="3" s="1"/>
  <c r="Q794" i="3"/>
  <c r="P794" i="3"/>
  <c r="T793" i="3"/>
  <c r="R793" i="3"/>
  <c r="S793" i="3" s="1"/>
  <c r="Q793" i="3"/>
  <c r="P793" i="3"/>
  <c r="T792" i="3"/>
  <c r="R792" i="3"/>
  <c r="S792" i="3" s="1"/>
  <c r="Q792" i="3"/>
  <c r="P792" i="3"/>
  <c r="T791" i="3"/>
  <c r="R791" i="3"/>
  <c r="S791" i="3" s="1"/>
  <c r="Q791" i="3"/>
  <c r="P791" i="3"/>
  <c r="T790" i="3"/>
  <c r="R790" i="3"/>
  <c r="S790" i="3" s="1"/>
  <c r="Q790" i="3"/>
  <c r="P790" i="3"/>
  <c r="T789" i="3"/>
  <c r="R789" i="3"/>
  <c r="S789" i="3" s="1"/>
  <c r="Q789" i="3"/>
  <c r="P789" i="3"/>
  <c r="T788" i="3"/>
  <c r="R788" i="3"/>
  <c r="S788" i="3" s="1"/>
  <c r="Q788" i="3"/>
  <c r="P788" i="3"/>
  <c r="T787" i="3"/>
  <c r="R787" i="3"/>
  <c r="S787" i="3" s="1"/>
  <c r="Q787" i="3"/>
  <c r="P787" i="3"/>
  <c r="T786" i="3"/>
  <c r="R786" i="3"/>
  <c r="S786" i="3" s="1"/>
  <c r="Q786" i="3"/>
  <c r="P786" i="3"/>
  <c r="T785" i="3"/>
  <c r="R785" i="3"/>
  <c r="S785" i="3" s="1"/>
  <c r="Q785" i="3"/>
  <c r="P785" i="3"/>
  <c r="T784" i="3"/>
  <c r="R784" i="3"/>
  <c r="S784" i="3" s="1"/>
  <c r="Q784" i="3"/>
  <c r="P784" i="3"/>
  <c r="T783" i="3"/>
  <c r="R783" i="3"/>
  <c r="S783" i="3" s="1"/>
  <c r="Q783" i="3"/>
  <c r="P783" i="3"/>
  <c r="T782" i="3"/>
  <c r="R782" i="3"/>
  <c r="S782" i="3" s="1"/>
  <c r="Q782" i="3"/>
  <c r="P782" i="3"/>
  <c r="T781" i="3"/>
  <c r="R781" i="3"/>
  <c r="S781" i="3" s="1"/>
  <c r="Q781" i="3"/>
  <c r="P781" i="3"/>
  <c r="T780" i="3"/>
  <c r="R780" i="3"/>
  <c r="S780" i="3" s="1"/>
  <c r="Q780" i="3"/>
  <c r="P780" i="3"/>
  <c r="T779" i="3"/>
  <c r="R779" i="3"/>
  <c r="S779" i="3" s="1"/>
  <c r="Q779" i="3"/>
  <c r="P779" i="3"/>
  <c r="T778" i="3"/>
  <c r="R778" i="3"/>
  <c r="S778" i="3" s="1"/>
  <c r="Q778" i="3"/>
  <c r="P778" i="3"/>
  <c r="T777" i="3"/>
  <c r="R777" i="3"/>
  <c r="S777" i="3" s="1"/>
  <c r="Q777" i="3"/>
  <c r="P777" i="3"/>
  <c r="T776" i="3"/>
  <c r="R776" i="3"/>
  <c r="S776" i="3" s="1"/>
  <c r="Q776" i="3"/>
  <c r="P776" i="3"/>
  <c r="T775" i="3"/>
  <c r="R775" i="3"/>
  <c r="S775" i="3" s="1"/>
  <c r="Q775" i="3"/>
  <c r="P775" i="3"/>
  <c r="T774" i="3"/>
  <c r="R774" i="3"/>
  <c r="S774" i="3" s="1"/>
  <c r="Q774" i="3"/>
  <c r="P774" i="3"/>
  <c r="T773" i="3"/>
  <c r="R773" i="3"/>
  <c r="S773" i="3" s="1"/>
  <c r="Q773" i="3"/>
  <c r="P773" i="3"/>
  <c r="T772" i="3"/>
  <c r="R772" i="3"/>
  <c r="S772" i="3" s="1"/>
  <c r="Q772" i="3"/>
  <c r="P772" i="3"/>
  <c r="T771" i="3"/>
  <c r="R771" i="3"/>
  <c r="S771" i="3" s="1"/>
  <c r="Q771" i="3"/>
  <c r="P771" i="3"/>
  <c r="T770" i="3"/>
  <c r="R770" i="3"/>
  <c r="S770" i="3" s="1"/>
  <c r="Q770" i="3"/>
  <c r="P770" i="3"/>
  <c r="T769" i="3"/>
  <c r="R769" i="3"/>
  <c r="S769" i="3" s="1"/>
  <c r="Q769" i="3"/>
  <c r="P769" i="3"/>
  <c r="T768" i="3"/>
  <c r="R768" i="3"/>
  <c r="S768" i="3" s="1"/>
  <c r="Q768" i="3"/>
  <c r="P768" i="3"/>
  <c r="T767" i="3"/>
  <c r="R767" i="3"/>
  <c r="S767" i="3" s="1"/>
  <c r="Q767" i="3"/>
  <c r="P767" i="3"/>
  <c r="T766" i="3"/>
  <c r="R766" i="3"/>
  <c r="S766" i="3" s="1"/>
  <c r="Q766" i="3"/>
  <c r="P766" i="3"/>
  <c r="T765" i="3"/>
  <c r="R765" i="3"/>
  <c r="S765" i="3" s="1"/>
  <c r="Q765" i="3"/>
  <c r="P765" i="3"/>
  <c r="T764" i="3"/>
  <c r="R764" i="3"/>
  <c r="S764" i="3" s="1"/>
  <c r="Q764" i="3"/>
  <c r="P764" i="3"/>
  <c r="T763" i="3"/>
  <c r="R763" i="3"/>
  <c r="S763" i="3" s="1"/>
  <c r="Q763" i="3"/>
  <c r="P763" i="3"/>
  <c r="T762" i="3"/>
  <c r="R762" i="3"/>
  <c r="S762" i="3" s="1"/>
  <c r="Q762" i="3"/>
  <c r="P762" i="3"/>
  <c r="T761" i="3"/>
  <c r="R761" i="3"/>
  <c r="S761" i="3" s="1"/>
  <c r="Q761" i="3"/>
  <c r="P761" i="3"/>
  <c r="T760" i="3"/>
  <c r="R760" i="3"/>
  <c r="S760" i="3" s="1"/>
  <c r="Q760" i="3"/>
  <c r="P760" i="3"/>
  <c r="T759" i="3"/>
  <c r="R759" i="3"/>
  <c r="S759" i="3" s="1"/>
  <c r="Q759" i="3"/>
  <c r="P759" i="3"/>
  <c r="T758" i="3"/>
  <c r="R758" i="3"/>
  <c r="S758" i="3" s="1"/>
  <c r="Q758" i="3"/>
  <c r="P758" i="3"/>
  <c r="T757" i="3"/>
  <c r="R757" i="3"/>
  <c r="S757" i="3" s="1"/>
  <c r="Q757" i="3"/>
  <c r="P757" i="3"/>
  <c r="T756" i="3"/>
  <c r="R756" i="3"/>
  <c r="S756" i="3" s="1"/>
  <c r="Q756" i="3"/>
  <c r="P756" i="3"/>
  <c r="T755" i="3"/>
  <c r="R755" i="3"/>
  <c r="S755" i="3" s="1"/>
  <c r="Q755" i="3"/>
  <c r="P755" i="3"/>
  <c r="T754" i="3"/>
  <c r="R754" i="3"/>
  <c r="S754" i="3" s="1"/>
  <c r="Q754" i="3"/>
  <c r="P754" i="3"/>
  <c r="T753" i="3"/>
  <c r="R753" i="3"/>
  <c r="S753" i="3" s="1"/>
  <c r="Q753" i="3"/>
  <c r="P753" i="3"/>
  <c r="T752" i="3"/>
  <c r="R752" i="3"/>
  <c r="S752" i="3" s="1"/>
  <c r="Q752" i="3"/>
  <c r="P752" i="3"/>
  <c r="T751" i="3"/>
  <c r="R751" i="3"/>
  <c r="S751" i="3" s="1"/>
  <c r="Q751" i="3"/>
  <c r="P751" i="3"/>
  <c r="T750" i="3"/>
  <c r="R750" i="3"/>
  <c r="S750" i="3" s="1"/>
  <c r="Q750" i="3"/>
  <c r="P750" i="3"/>
  <c r="T749" i="3"/>
  <c r="R749" i="3"/>
  <c r="S749" i="3" s="1"/>
  <c r="Q749" i="3"/>
  <c r="P749" i="3"/>
  <c r="T748" i="3"/>
  <c r="R748" i="3"/>
  <c r="S748" i="3" s="1"/>
  <c r="Q748" i="3"/>
  <c r="P748" i="3"/>
  <c r="T747" i="3"/>
  <c r="R747" i="3"/>
  <c r="S747" i="3" s="1"/>
  <c r="Q747" i="3"/>
  <c r="P747" i="3"/>
  <c r="T746" i="3"/>
  <c r="R746" i="3"/>
  <c r="S746" i="3" s="1"/>
  <c r="Q746" i="3"/>
  <c r="P746" i="3"/>
  <c r="T745" i="3"/>
  <c r="R745" i="3"/>
  <c r="S745" i="3" s="1"/>
  <c r="Q745" i="3"/>
  <c r="P745" i="3"/>
  <c r="T744" i="3"/>
  <c r="R744" i="3"/>
  <c r="S744" i="3" s="1"/>
  <c r="Q744" i="3"/>
  <c r="P744" i="3"/>
  <c r="T743" i="3"/>
  <c r="R743" i="3"/>
  <c r="S743" i="3" s="1"/>
  <c r="Q743" i="3"/>
  <c r="P743" i="3"/>
  <c r="T742" i="3"/>
  <c r="R742" i="3"/>
  <c r="S742" i="3" s="1"/>
  <c r="Q742" i="3"/>
  <c r="P742" i="3"/>
  <c r="T741" i="3"/>
  <c r="R741" i="3"/>
  <c r="S741" i="3" s="1"/>
  <c r="Q741" i="3"/>
  <c r="P741" i="3"/>
  <c r="T740" i="3"/>
  <c r="R740" i="3"/>
  <c r="S740" i="3" s="1"/>
  <c r="Q740" i="3"/>
  <c r="P740" i="3"/>
  <c r="T739" i="3"/>
  <c r="R739" i="3"/>
  <c r="S739" i="3" s="1"/>
  <c r="Q739" i="3"/>
  <c r="P739" i="3"/>
  <c r="T738" i="3"/>
  <c r="R738" i="3"/>
  <c r="S738" i="3" s="1"/>
  <c r="Q738" i="3"/>
  <c r="P738" i="3"/>
  <c r="T737" i="3"/>
  <c r="R737" i="3"/>
  <c r="S737" i="3" s="1"/>
  <c r="Q737" i="3"/>
  <c r="P737" i="3"/>
  <c r="T736" i="3"/>
  <c r="R736" i="3"/>
  <c r="S736" i="3" s="1"/>
  <c r="Q736" i="3"/>
  <c r="P736" i="3"/>
  <c r="T735" i="3"/>
  <c r="R735" i="3"/>
  <c r="S735" i="3" s="1"/>
  <c r="Q735" i="3"/>
  <c r="P735" i="3"/>
  <c r="T734" i="3"/>
  <c r="R734" i="3"/>
  <c r="S734" i="3" s="1"/>
  <c r="Q734" i="3"/>
  <c r="P734" i="3"/>
  <c r="T733" i="3"/>
  <c r="R733" i="3"/>
  <c r="S733" i="3" s="1"/>
  <c r="Q733" i="3"/>
  <c r="P733" i="3"/>
  <c r="T732" i="3"/>
  <c r="R732" i="3"/>
  <c r="S732" i="3" s="1"/>
  <c r="Q732" i="3"/>
  <c r="P732" i="3"/>
  <c r="T731" i="3"/>
  <c r="R731" i="3"/>
  <c r="S731" i="3" s="1"/>
  <c r="Q731" i="3"/>
  <c r="P731" i="3"/>
  <c r="T730" i="3"/>
  <c r="R730" i="3"/>
  <c r="S730" i="3" s="1"/>
  <c r="Q730" i="3"/>
  <c r="P730" i="3"/>
  <c r="T729" i="3"/>
  <c r="R729" i="3"/>
  <c r="S729" i="3" s="1"/>
  <c r="Q729" i="3"/>
  <c r="P729" i="3"/>
  <c r="T728" i="3"/>
  <c r="R728" i="3"/>
  <c r="S728" i="3" s="1"/>
  <c r="Q728" i="3"/>
  <c r="P728" i="3"/>
  <c r="T727" i="3"/>
  <c r="R727" i="3"/>
  <c r="S727" i="3" s="1"/>
  <c r="Q727" i="3"/>
  <c r="P727" i="3"/>
  <c r="T726" i="3"/>
  <c r="R726" i="3"/>
  <c r="S726" i="3" s="1"/>
  <c r="Q726" i="3"/>
  <c r="P726" i="3"/>
  <c r="T725" i="3"/>
  <c r="R725" i="3"/>
  <c r="S725" i="3" s="1"/>
  <c r="Q725" i="3"/>
  <c r="P725" i="3"/>
  <c r="T724" i="3"/>
  <c r="R724" i="3"/>
  <c r="S724" i="3" s="1"/>
  <c r="Q724" i="3"/>
  <c r="P724" i="3"/>
  <c r="T723" i="3"/>
  <c r="R723" i="3"/>
  <c r="S723" i="3" s="1"/>
  <c r="Q723" i="3"/>
  <c r="P723" i="3"/>
  <c r="T722" i="3"/>
  <c r="R722" i="3"/>
  <c r="S722" i="3" s="1"/>
  <c r="Q722" i="3"/>
  <c r="P722" i="3"/>
  <c r="T721" i="3"/>
  <c r="R721" i="3"/>
  <c r="S721" i="3" s="1"/>
  <c r="Q721" i="3"/>
  <c r="P721" i="3"/>
  <c r="T720" i="3"/>
  <c r="R720" i="3"/>
  <c r="S720" i="3" s="1"/>
  <c r="Q720" i="3"/>
  <c r="P720" i="3"/>
  <c r="T719" i="3"/>
  <c r="R719" i="3"/>
  <c r="S719" i="3" s="1"/>
  <c r="Q719" i="3"/>
  <c r="P719" i="3"/>
  <c r="T718" i="3"/>
  <c r="R718" i="3"/>
  <c r="S718" i="3" s="1"/>
  <c r="Q718" i="3"/>
  <c r="P718" i="3"/>
  <c r="T717" i="3"/>
  <c r="R717" i="3"/>
  <c r="S717" i="3" s="1"/>
  <c r="Q717" i="3"/>
  <c r="P717" i="3"/>
  <c r="T716" i="3"/>
  <c r="R716" i="3"/>
  <c r="S716" i="3" s="1"/>
  <c r="Q716" i="3"/>
  <c r="P716" i="3"/>
  <c r="T715" i="3"/>
  <c r="R715" i="3"/>
  <c r="S715" i="3" s="1"/>
  <c r="Q715" i="3"/>
  <c r="P715" i="3"/>
  <c r="T714" i="3"/>
  <c r="R714" i="3"/>
  <c r="S714" i="3" s="1"/>
  <c r="Q714" i="3"/>
  <c r="P714" i="3"/>
  <c r="T713" i="3"/>
  <c r="R713" i="3"/>
  <c r="S713" i="3" s="1"/>
  <c r="Q713" i="3"/>
  <c r="P713" i="3"/>
  <c r="T712" i="3"/>
  <c r="R712" i="3"/>
  <c r="S712" i="3" s="1"/>
  <c r="Q712" i="3"/>
  <c r="P712" i="3"/>
  <c r="T711" i="3"/>
  <c r="R711" i="3"/>
  <c r="S711" i="3" s="1"/>
  <c r="Q711" i="3"/>
  <c r="P711" i="3"/>
  <c r="T710" i="3"/>
  <c r="R710" i="3"/>
  <c r="S710" i="3" s="1"/>
  <c r="Q710" i="3"/>
  <c r="P710" i="3"/>
  <c r="T709" i="3"/>
  <c r="R709" i="3"/>
  <c r="S709" i="3" s="1"/>
  <c r="Q709" i="3"/>
  <c r="P709" i="3"/>
  <c r="T708" i="3"/>
  <c r="R708" i="3"/>
  <c r="S708" i="3" s="1"/>
  <c r="Q708" i="3"/>
  <c r="P708" i="3"/>
  <c r="T707" i="3"/>
  <c r="R707" i="3"/>
  <c r="S707" i="3" s="1"/>
  <c r="Q707" i="3"/>
  <c r="P707" i="3"/>
  <c r="T706" i="3"/>
  <c r="R706" i="3"/>
  <c r="S706" i="3" s="1"/>
  <c r="Q706" i="3"/>
  <c r="P706" i="3"/>
  <c r="T705" i="3"/>
  <c r="R705" i="3"/>
  <c r="S705" i="3" s="1"/>
  <c r="Q705" i="3"/>
  <c r="P705" i="3"/>
  <c r="T704" i="3"/>
  <c r="R704" i="3"/>
  <c r="S704" i="3" s="1"/>
  <c r="Q704" i="3"/>
  <c r="P704" i="3"/>
  <c r="T703" i="3"/>
  <c r="R703" i="3"/>
  <c r="S703" i="3" s="1"/>
  <c r="Q703" i="3"/>
  <c r="P703" i="3"/>
  <c r="T702" i="3"/>
  <c r="R702" i="3"/>
  <c r="S702" i="3" s="1"/>
  <c r="Q702" i="3"/>
  <c r="P702" i="3"/>
  <c r="T701" i="3"/>
  <c r="R701" i="3"/>
  <c r="S701" i="3" s="1"/>
  <c r="Q701" i="3"/>
  <c r="P701" i="3"/>
  <c r="T700" i="3"/>
  <c r="R700" i="3"/>
  <c r="S700" i="3" s="1"/>
  <c r="Q700" i="3"/>
  <c r="P700" i="3"/>
  <c r="T699" i="3"/>
  <c r="R699" i="3"/>
  <c r="S699" i="3" s="1"/>
  <c r="Q699" i="3"/>
  <c r="P699" i="3"/>
  <c r="T698" i="3"/>
  <c r="R698" i="3"/>
  <c r="S698" i="3" s="1"/>
  <c r="Q698" i="3"/>
  <c r="P698" i="3"/>
  <c r="T697" i="3"/>
  <c r="R697" i="3"/>
  <c r="S697" i="3" s="1"/>
  <c r="Q697" i="3"/>
  <c r="P697" i="3"/>
  <c r="T696" i="3"/>
  <c r="R696" i="3"/>
  <c r="S696" i="3" s="1"/>
  <c r="Q696" i="3"/>
  <c r="P696" i="3"/>
  <c r="T695" i="3"/>
  <c r="R695" i="3"/>
  <c r="S695" i="3" s="1"/>
  <c r="Q695" i="3"/>
  <c r="P695" i="3"/>
  <c r="T694" i="3"/>
  <c r="R694" i="3"/>
  <c r="S694" i="3" s="1"/>
  <c r="Q694" i="3"/>
  <c r="P694" i="3"/>
  <c r="T693" i="3"/>
  <c r="R693" i="3"/>
  <c r="S693" i="3" s="1"/>
  <c r="Q693" i="3"/>
  <c r="P693" i="3"/>
  <c r="T692" i="3"/>
  <c r="R692" i="3"/>
  <c r="S692" i="3" s="1"/>
  <c r="Q692" i="3"/>
  <c r="P692" i="3"/>
  <c r="T691" i="3"/>
  <c r="R691" i="3"/>
  <c r="S691" i="3" s="1"/>
  <c r="Q691" i="3"/>
  <c r="P691" i="3"/>
  <c r="T690" i="3"/>
  <c r="R690" i="3"/>
  <c r="S690" i="3" s="1"/>
  <c r="Q690" i="3"/>
  <c r="P690" i="3"/>
  <c r="T689" i="3"/>
  <c r="R689" i="3"/>
  <c r="S689" i="3" s="1"/>
  <c r="Q689" i="3"/>
  <c r="P689" i="3"/>
  <c r="T688" i="3"/>
  <c r="R688" i="3"/>
  <c r="S688" i="3" s="1"/>
  <c r="Q688" i="3"/>
  <c r="P688" i="3"/>
  <c r="T687" i="3"/>
  <c r="R687" i="3"/>
  <c r="S687" i="3" s="1"/>
  <c r="Q687" i="3"/>
  <c r="P687" i="3"/>
  <c r="T686" i="3"/>
  <c r="R686" i="3"/>
  <c r="S686" i="3" s="1"/>
  <c r="Q686" i="3"/>
  <c r="P686" i="3"/>
  <c r="T685" i="3"/>
  <c r="R685" i="3"/>
  <c r="S685" i="3" s="1"/>
  <c r="Q685" i="3"/>
  <c r="P685" i="3"/>
  <c r="T684" i="3"/>
  <c r="R684" i="3"/>
  <c r="S684" i="3" s="1"/>
  <c r="Q684" i="3"/>
  <c r="P684" i="3"/>
  <c r="T683" i="3"/>
  <c r="R683" i="3"/>
  <c r="S683" i="3" s="1"/>
  <c r="Q683" i="3"/>
  <c r="P683" i="3"/>
  <c r="T682" i="3"/>
  <c r="R682" i="3"/>
  <c r="S682" i="3" s="1"/>
  <c r="Q682" i="3"/>
  <c r="P682" i="3"/>
  <c r="T681" i="3"/>
  <c r="R681" i="3"/>
  <c r="S681" i="3" s="1"/>
  <c r="Q681" i="3"/>
  <c r="P681" i="3"/>
  <c r="T680" i="3"/>
  <c r="R680" i="3"/>
  <c r="S680" i="3" s="1"/>
  <c r="Q680" i="3"/>
  <c r="P680" i="3"/>
  <c r="T679" i="3"/>
  <c r="R679" i="3"/>
  <c r="S679" i="3" s="1"/>
  <c r="Q679" i="3"/>
  <c r="P679" i="3"/>
  <c r="T678" i="3"/>
  <c r="R678" i="3"/>
  <c r="S678" i="3" s="1"/>
  <c r="Q678" i="3"/>
  <c r="P678" i="3"/>
  <c r="T677" i="3"/>
  <c r="R677" i="3"/>
  <c r="S677" i="3" s="1"/>
  <c r="Q677" i="3"/>
  <c r="P677" i="3"/>
  <c r="T676" i="3"/>
  <c r="R676" i="3"/>
  <c r="S676" i="3" s="1"/>
  <c r="Q676" i="3"/>
  <c r="P676" i="3"/>
  <c r="T675" i="3"/>
  <c r="R675" i="3"/>
  <c r="S675" i="3" s="1"/>
  <c r="Q675" i="3"/>
  <c r="P675" i="3"/>
  <c r="T674" i="3"/>
  <c r="R674" i="3"/>
  <c r="S674" i="3" s="1"/>
  <c r="Q674" i="3"/>
  <c r="P674" i="3"/>
  <c r="T673" i="3"/>
  <c r="R673" i="3"/>
  <c r="S673" i="3" s="1"/>
  <c r="Q673" i="3"/>
  <c r="P673" i="3"/>
  <c r="T672" i="3"/>
  <c r="R672" i="3"/>
  <c r="S672" i="3" s="1"/>
  <c r="Q672" i="3"/>
  <c r="P672" i="3"/>
  <c r="T671" i="3"/>
  <c r="R671" i="3"/>
  <c r="S671" i="3" s="1"/>
  <c r="Q671" i="3"/>
  <c r="P671" i="3"/>
  <c r="T670" i="3"/>
  <c r="R670" i="3"/>
  <c r="S670" i="3" s="1"/>
  <c r="Q670" i="3"/>
  <c r="P670" i="3"/>
  <c r="T669" i="3"/>
  <c r="R669" i="3"/>
  <c r="S669" i="3" s="1"/>
  <c r="Q669" i="3"/>
  <c r="P669" i="3"/>
  <c r="T668" i="3"/>
  <c r="R668" i="3"/>
  <c r="S668" i="3" s="1"/>
  <c r="Q668" i="3"/>
  <c r="P668" i="3"/>
  <c r="T667" i="3"/>
  <c r="R667" i="3"/>
  <c r="S667" i="3" s="1"/>
  <c r="Q667" i="3"/>
  <c r="P667" i="3"/>
  <c r="T666" i="3"/>
  <c r="R666" i="3"/>
  <c r="S666" i="3" s="1"/>
  <c r="Q666" i="3"/>
  <c r="P666" i="3"/>
  <c r="T665" i="3"/>
  <c r="R665" i="3"/>
  <c r="S665" i="3" s="1"/>
  <c r="Q665" i="3"/>
  <c r="P665" i="3"/>
  <c r="T664" i="3"/>
  <c r="R664" i="3"/>
  <c r="S664" i="3" s="1"/>
  <c r="Q664" i="3"/>
  <c r="P664" i="3"/>
  <c r="T663" i="3"/>
  <c r="R663" i="3"/>
  <c r="S663" i="3" s="1"/>
  <c r="Q663" i="3"/>
  <c r="P663" i="3"/>
  <c r="T662" i="3"/>
  <c r="R662" i="3"/>
  <c r="S662" i="3" s="1"/>
  <c r="Q662" i="3"/>
  <c r="P662" i="3"/>
  <c r="T661" i="3"/>
  <c r="R661" i="3"/>
  <c r="S661" i="3" s="1"/>
  <c r="Q661" i="3"/>
  <c r="P661" i="3"/>
  <c r="T660" i="3"/>
  <c r="R660" i="3"/>
  <c r="S660" i="3" s="1"/>
  <c r="Q660" i="3"/>
  <c r="P660" i="3"/>
  <c r="T659" i="3"/>
  <c r="R659" i="3"/>
  <c r="S659" i="3" s="1"/>
  <c r="Q659" i="3"/>
  <c r="P659" i="3"/>
  <c r="T658" i="3"/>
  <c r="R658" i="3"/>
  <c r="S658" i="3" s="1"/>
  <c r="Q658" i="3"/>
  <c r="P658" i="3"/>
  <c r="T657" i="3"/>
  <c r="R657" i="3"/>
  <c r="S657" i="3" s="1"/>
  <c r="Q657" i="3"/>
  <c r="P657" i="3"/>
  <c r="T656" i="3"/>
  <c r="R656" i="3"/>
  <c r="S656" i="3" s="1"/>
  <c r="Q656" i="3"/>
  <c r="P656" i="3"/>
  <c r="T655" i="3"/>
  <c r="R655" i="3"/>
  <c r="S655" i="3" s="1"/>
  <c r="Q655" i="3"/>
  <c r="P655" i="3"/>
  <c r="T654" i="3"/>
  <c r="R654" i="3"/>
  <c r="S654" i="3" s="1"/>
  <c r="Q654" i="3"/>
  <c r="P654" i="3"/>
  <c r="T653" i="3"/>
  <c r="R653" i="3"/>
  <c r="S653" i="3" s="1"/>
  <c r="Q653" i="3"/>
  <c r="P653" i="3"/>
  <c r="T652" i="3"/>
  <c r="R652" i="3"/>
  <c r="S652" i="3" s="1"/>
  <c r="Q652" i="3"/>
  <c r="P652" i="3"/>
  <c r="T651" i="3"/>
  <c r="R651" i="3"/>
  <c r="S651" i="3" s="1"/>
  <c r="Q651" i="3"/>
  <c r="P651" i="3"/>
  <c r="T650" i="3"/>
  <c r="R650" i="3"/>
  <c r="S650" i="3" s="1"/>
  <c r="Q650" i="3"/>
  <c r="P650" i="3"/>
  <c r="T649" i="3"/>
  <c r="R649" i="3"/>
  <c r="S649" i="3" s="1"/>
  <c r="Q649" i="3"/>
  <c r="P649" i="3"/>
  <c r="T648" i="3"/>
  <c r="R648" i="3"/>
  <c r="S648" i="3" s="1"/>
  <c r="Q648" i="3"/>
  <c r="P648" i="3"/>
  <c r="T647" i="3"/>
  <c r="R647" i="3"/>
  <c r="S647" i="3" s="1"/>
  <c r="Q647" i="3"/>
  <c r="P647" i="3"/>
  <c r="T646" i="3"/>
  <c r="R646" i="3"/>
  <c r="S646" i="3" s="1"/>
  <c r="Q646" i="3"/>
  <c r="P646" i="3"/>
  <c r="T645" i="3"/>
  <c r="R645" i="3"/>
  <c r="S645" i="3" s="1"/>
  <c r="Q645" i="3"/>
  <c r="P645" i="3"/>
  <c r="T644" i="3"/>
  <c r="R644" i="3"/>
  <c r="S644" i="3" s="1"/>
  <c r="Q644" i="3"/>
  <c r="P644" i="3"/>
  <c r="T643" i="3"/>
  <c r="R643" i="3"/>
  <c r="S643" i="3" s="1"/>
  <c r="Q643" i="3"/>
  <c r="P643" i="3"/>
  <c r="T642" i="3"/>
  <c r="R642" i="3"/>
  <c r="S642" i="3" s="1"/>
  <c r="Q642" i="3"/>
  <c r="P642" i="3"/>
  <c r="T641" i="3"/>
  <c r="R641" i="3"/>
  <c r="S641" i="3" s="1"/>
  <c r="Q641" i="3"/>
  <c r="P641" i="3"/>
  <c r="T640" i="3"/>
  <c r="R640" i="3"/>
  <c r="S640" i="3" s="1"/>
  <c r="Q640" i="3"/>
  <c r="P640" i="3"/>
  <c r="T639" i="3"/>
  <c r="R639" i="3"/>
  <c r="S639" i="3" s="1"/>
  <c r="Q639" i="3"/>
  <c r="P639" i="3"/>
  <c r="T638" i="3"/>
  <c r="R638" i="3"/>
  <c r="S638" i="3" s="1"/>
  <c r="Q638" i="3"/>
  <c r="P638" i="3"/>
  <c r="T637" i="3"/>
  <c r="R637" i="3"/>
  <c r="S637" i="3" s="1"/>
  <c r="Q637" i="3"/>
  <c r="P637" i="3"/>
  <c r="T636" i="3"/>
  <c r="R636" i="3"/>
  <c r="S636" i="3" s="1"/>
  <c r="Q636" i="3"/>
  <c r="P636" i="3"/>
  <c r="T635" i="3"/>
  <c r="R635" i="3"/>
  <c r="S635" i="3" s="1"/>
  <c r="Q635" i="3"/>
  <c r="P635" i="3"/>
  <c r="T634" i="3"/>
  <c r="R634" i="3"/>
  <c r="S634" i="3" s="1"/>
  <c r="Q634" i="3"/>
  <c r="P634" i="3"/>
  <c r="T633" i="3"/>
  <c r="R633" i="3"/>
  <c r="S633" i="3" s="1"/>
  <c r="Q633" i="3"/>
  <c r="P633" i="3"/>
  <c r="T632" i="3"/>
  <c r="R632" i="3"/>
  <c r="S632" i="3" s="1"/>
  <c r="Q632" i="3"/>
  <c r="P632" i="3"/>
  <c r="T631" i="3"/>
  <c r="R631" i="3"/>
  <c r="S631" i="3" s="1"/>
  <c r="Q631" i="3"/>
  <c r="P631" i="3"/>
  <c r="T630" i="3"/>
  <c r="R630" i="3"/>
  <c r="S630" i="3" s="1"/>
  <c r="Q630" i="3"/>
  <c r="P630" i="3"/>
  <c r="T629" i="3"/>
  <c r="R629" i="3"/>
  <c r="S629" i="3" s="1"/>
  <c r="Q629" i="3"/>
  <c r="P629" i="3"/>
  <c r="T628" i="3"/>
  <c r="R628" i="3"/>
  <c r="S628" i="3" s="1"/>
  <c r="Q628" i="3"/>
  <c r="P628" i="3"/>
  <c r="T627" i="3"/>
  <c r="R627" i="3"/>
  <c r="S627" i="3" s="1"/>
  <c r="Q627" i="3"/>
  <c r="P627" i="3"/>
  <c r="T626" i="3"/>
  <c r="R626" i="3"/>
  <c r="S626" i="3" s="1"/>
  <c r="Q626" i="3"/>
  <c r="P626" i="3"/>
  <c r="T625" i="3"/>
  <c r="R625" i="3"/>
  <c r="S625" i="3" s="1"/>
  <c r="Q625" i="3"/>
  <c r="P625" i="3"/>
  <c r="T624" i="3"/>
  <c r="R624" i="3"/>
  <c r="S624" i="3" s="1"/>
  <c r="Q624" i="3"/>
  <c r="P624" i="3"/>
  <c r="T623" i="3"/>
  <c r="R623" i="3"/>
  <c r="S623" i="3" s="1"/>
  <c r="Q623" i="3"/>
  <c r="P623" i="3"/>
  <c r="T622" i="3"/>
  <c r="R622" i="3"/>
  <c r="S622" i="3" s="1"/>
  <c r="Q622" i="3"/>
  <c r="P622" i="3"/>
  <c r="T621" i="3"/>
  <c r="R621" i="3"/>
  <c r="S621" i="3" s="1"/>
  <c r="Q621" i="3"/>
  <c r="P621" i="3"/>
  <c r="T620" i="3"/>
  <c r="R620" i="3"/>
  <c r="S620" i="3" s="1"/>
  <c r="Q620" i="3"/>
  <c r="P620" i="3"/>
  <c r="T619" i="3"/>
  <c r="R619" i="3"/>
  <c r="S619" i="3" s="1"/>
  <c r="Q619" i="3"/>
  <c r="P619" i="3"/>
  <c r="T618" i="3"/>
  <c r="R618" i="3"/>
  <c r="S618" i="3" s="1"/>
  <c r="Q618" i="3"/>
  <c r="P618" i="3"/>
  <c r="T617" i="3"/>
  <c r="R617" i="3"/>
  <c r="S617" i="3" s="1"/>
  <c r="Q617" i="3"/>
  <c r="P617" i="3"/>
  <c r="T616" i="3"/>
  <c r="R616" i="3"/>
  <c r="S616" i="3" s="1"/>
  <c r="Q616" i="3"/>
  <c r="P616" i="3"/>
  <c r="T615" i="3"/>
  <c r="R615" i="3"/>
  <c r="S615" i="3" s="1"/>
  <c r="Q615" i="3"/>
  <c r="P615" i="3"/>
  <c r="T614" i="3"/>
  <c r="R614" i="3"/>
  <c r="S614" i="3" s="1"/>
  <c r="Q614" i="3"/>
  <c r="P614" i="3"/>
  <c r="T613" i="3"/>
  <c r="R613" i="3"/>
  <c r="S613" i="3" s="1"/>
  <c r="Q613" i="3"/>
  <c r="P613" i="3"/>
  <c r="T612" i="3"/>
  <c r="R612" i="3"/>
  <c r="S612" i="3" s="1"/>
  <c r="Q612" i="3"/>
  <c r="P612" i="3"/>
  <c r="T611" i="3"/>
  <c r="R611" i="3"/>
  <c r="S611" i="3" s="1"/>
  <c r="Q611" i="3"/>
  <c r="P611" i="3"/>
  <c r="T610" i="3"/>
  <c r="R610" i="3"/>
  <c r="S610" i="3" s="1"/>
  <c r="Q610" i="3"/>
  <c r="P610" i="3"/>
  <c r="T609" i="3"/>
  <c r="R609" i="3"/>
  <c r="S609" i="3" s="1"/>
  <c r="Q609" i="3"/>
  <c r="P609" i="3"/>
  <c r="T608" i="3"/>
  <c r="R608" i="3"/>
  <c r="S608" i="3" s="1"/>
  <c r="Q608" i="3"/>
  <c r="P608" i="3"/>
  <c r="T607" i="3"/>
  <c r="R607" i="3"/>
  <c r="S607" i="3" s="1"/>
  <c r="Q607" i="3"/>
  <c r="P607" i="3"/>
  <c r="T606" i="3"/>
  <c r="R606" i="3"/>
  <c r="S606" i="3" s="1"/>
  <c r="Q606" i="3"/>
  <c r="P606" i="3"/>
  <c r="T605" i="3"/>
  <c r="R605" i="3"/>
  <c r="S605" i="3" s="1"/>
  <c r="Q605" i="3"/>
  <c r="P605" i="3"/>
  <c r="T604" i="3"/>
  <c r="R604" i="3"/>
  <c r="S604" i="3" s="1"/>
  <c r="Q604" i="3"/>
  <c r="P604" i="3"/>
  <c r="T603" i="3"/>
  <c r="R603" i="3"/>
  <c r="S603" i="3" s="1"/>
  <c r="Q603" i="3"/>
  <c r="P603" i="3"/>
  <c r="T602" i="3"/>
  <c r="R602" i="3"/>
  <c r="S602" i="3" s="1"/>
  <c r="Q602" i="3"/>
  <c r="P602" i="3"/>
  <c r="T601" i="3"/>
  <c r="R601" i="3"/>
  <c r="S601" i="3" s="1"/>
  <c r="Q601" i="3"/>
  <c r="P601" i="3"/>
  <c r="T600" i="3"/>
  <c r="R600" i="3"/>
  <c r="S600" i="3" s="1"/>
  <c r="Q600" i="3"/>
  <c r="P600" i="3"/>
  <c r="T599" i="3"/>
  <c r="R599" i="3"/>
  <c r="S599" i="3" s="1"/>
  <c r="Q599" i="3"/>
  <c r="P599" i="3"/>
  <c r="T598" i="3"/>
  <c r="R598" i="3"/>
  <c r="S598" i="3" s="1"/>
  <c r="Q598" i="3"/>
  <c r="P598" i="3"/>
  <c r="T597" i="3"/>
  <c r="R597" i="3"/>
  <c r="S597" i="3" s="1"/>
  <c r="Q597" i="3"/>
  <c r="P597" i="3"/>
  <c r="T596" i="3"/>
  <c r="R596" i="3"/>
  <c r="S596" i="3" s="1"/>
  <c r="Q596" i="3"/>
  <c r="P596" i="3"/>
  <c r="T595" i="3"/>
  <c r="R595" i="3"/>
  <c r="S595" i="3" s="1"/>
  <c r="Q595" i="3"/>
  <c r="P595" i="3"/>
  <c r="T594" i="3"/>
  <c r="R594" i="3"/>
  <c r="S594" i="3" s="1"/>
  <c r="Q594" i="3"/>
  <c r="P594" i="3"/>
  <c r="T593" i="3"/>
  <c r="R593" i="3"/>
  <c r="S593" i="3" s="1"/>
  <c r="Q593" i="3"/>
  <c r="P593" i="3"/>
  <c r="T592" i="3"/>
  <c r="R592" i="3"/>
  <c r="S592" i="3" s="1"/>
  <c r="Q592" i="3"/>
  <c r="P592" i="3"/>
  <c r="T591" i="3"/>
  <c r="R591" i="3"/>
  <c r="S591" i="3" s="1"/>
  <c r="Q591" i="3"/>
  <c r="P591" i="3"/>
  <c r="T590" i="3"/>
  <c r="R590" i="3"/>
  <c r="S590" i="3" s="1"/>
  <c r="Q590" i="3"/>
  <c r="P590" i="3"/>
  <c r="T589" i="3"/>
  <c r="R589" i="3"/>
  <c r="S589" i="3" s="1"/>
  <c r="Q589" i="3"/>
  <c r="P589" i="3"/>
  <c r="T588" i="3"/>
  <c r="R588" i="3"/>
  <c r="S588" i="3" s="1"/>
  <c r="Q588" i="3"/>
  <c r="P588" i="3"/>
  <c r="T587" i="3"/>
  <c r="R587" i="3"/>
  <c r="S587" i="3" s="1"/>
  <c r="Q587" i="3"/>
  <c r="P587" i="3"/>
  <c r="T586" i="3"/>
  <c r="R586" i="3"/>
  <c r="S586" i="3" s="1"/>
  <c r="Q586" i="3"/>
  <c r="P586" i="3"/>
  <c r="T585" i="3"/>
  <c r="R585" i="3"/>
  <c r="S585" i="3" s="1"/>
  <c r="Q585" i="3"/>
  <c r="P585" i="3"/>
  <c r="T584" i="3"/>
  <c r="R584" i="3"/>
  <c r="S584" i="3" s="1"/>
  <c r="Q584" i="3"/>
  <c r="P584" i="3"/>
  <c r="T583" i="3"/>
  <c r="R583" i="3"/>
  <c r="S583" i="3" s="1"/>
  <c r="Q583" i="3"/>
  <c r="P583" i="3"/>
  <c r="T582" i="3"/>
  <c r="R582" i="3"/>
  <c r="S582" i="3" s="1"/>
  <c r="Q582" i="3"/>
  <c r="P582" i="3"/>
  <c r="T581" i="3"/>
  <c r="R581" i="3"/>
  <c r="S581" i="3" s="1"/>
  <c r="Q581" i="3"/>
  <c r="P581" i="3"/>
  <c r="T580" i="3"/>
  <c r="R580" i="3"/>
  <c r="S580" i="3" s="1"/>
  <c r="Q580" i="3"/>
  <c r="P580" i="3"/>
  <c r="T579" i="3"/>
  <c r="R579" i="3"/>
  <c r="S579" i="3" s="1"/>
  <c r="Q579" i="3"/>
  <c r="P579" i="3"/>
  <c r="T578" i="3"/>
  <c r="R578" i="3"/>
  <c r="S578" i="3" s="1"/>
  <c r="Q578" i="3"/>
  <c r="P578" i="3"/>
  <c r="T577" i="3"/>
  <c r="R577" i="3"/>
  <c r="S577" i="3" s="1"/>
  <c r="Q577" i="3"/>
  <c r="P577" i="3"/>
  <c r="T576" i="3"/>
  <c r="R576" i="3"/>
  <c r="S576" i="3" s="1"/>
  <c r="Q576" i="3"/>
  <c r="P576" i="3"/>
  <c r="T575" i="3"/>
  <c r="R575" i="3"/>
  <c r="S575" i="3" s="1"/>
  <c r="Q575" i="3"/>
  <c r="P575" i="3"/>
  <c r="T574" i="3"/>
  <c r="R574" i="3"/>
  <c r="S574" i="3" s="1"/>
  <c r="Q574" i="3"/>
  <c r="P574" i="3"/>
  <c r="T573" i="3"/>
  <c r="R573" i="3"/>
  <c r="S573" i="3" s="1"/>
  <c r="Q573" i="3"/>
  <c r="P573" i="3"/>
  <c r="T572" i="3"/>
  <c r="R572" i="3"/>
  <c r="S572" i="3" s="1"/>
  <c r="Q572" i="3"/>
  <c r="P572" i="3"/>
  <c r="T571" i="3"/>
  <c r="R571" i="3"/>
  <c r="S571" i="3" s="1"/>
  <c r="Q571" i="3"/>
  <c r="P571" i="3"/>
  <c r="T570" i="3"/>
  <c r="R570" i="3"/>
  <c r="S570" i="3" s="1"/>
  <c r="Q570" i="3"/>
  <c r="P570" i="3"/>
  <c r="T569" i="3"/>
  <c r="R569" i="3"/>
  <c r="S569" i="3" s="1"/>
  <c r="Q569" i="3"/>
  <c r="P569" i="3"/>
  <c r="T568" i="3"/>
  <c r="R568" i="3"/>
  <c r="S568" i="3" s="1"/>
  <c r="Q568" i="3"/>
  <c r="P568" i="3"/>
  <c r="T567" i="3"/>
  <c r="R567" i="3"/>
  <c r="S567" i="3" s="1"/>
  <c r="Q567" i="3"/>
  <c r="P567" i="3"/>
  <c r="T566" i="3"/>
  <c r="R566" i="3"/>
  <c r="S566" i="3" s="1"/>
  <c r="Q566" i="3"/>
  <c r="P566" i="3"/>
  <c r="T565" i="3"/>
  <c r="R565" i="3"/>
  <c r="S565" i="3" s="1"/>
  <c r="Q565" i="3"/>
  <c r="P565" i="3"/>
  <c r="T564" i="3"/>
  <c r="R564" i="3"/>
  <c r="S564" i="3" s="1"/>
  <c r="Q564" i="3"/>
  <c r="P564" i="3"/>
  <c r="T563" i="3"/>
  <c r="R563" i="3"/>
  <c r="S563" i="3" s="1"/>
  <c r="Q563" i="3"/>
  <c r="P563" i="3"/>
  <c r="T562" i="3"/>
  <c r="R562" i="3"/>
  <c r="S562" i="3" s="1"/>
  <c r="Q562" i="3"/>
  <c r="P562" i="3"/>
  <c r="T561" i="3"/>
  <c r="R561" i="3"/>
  <c r="S561" i="3" s="1"/>
  <c r="Q561" i="3"/>
  <c r="P561" i="3"/>
  <c r="T560" i="3"/>
  <c r="R560" i="3"/>
  <c r="S560" i="3" s="1"/>
  <c r="Q560" i="3"/>
  <c r="P560" i="3"/>
  <c r="T559" i="3"/>
  <c r="R559" i="3"/>
  <c r="S559" i="3" s="1"/>
  <c r="Q559" i="3"/>
  <c r="P559" i="3"/>
  <c r="T558" i="3"/>
  <c r="R558" i="3"/>
  <c r="S558" i="3" s="1"/>
  <c r="Q558" i="3"/>
  <c r="P558" i="3"/>
  <c r="T557" i="3"/>
  <c r="R557" i="3"/>
  <c r="S557" i="3" s="1"/>
  <c r="Q557" i="3"/>
  <c r="P557" i="3"/>
  <c r="T556" i="3"/>
  <c r="R556" i="3"/>
  <c r="S556" i="3" s="1"/>
  <c r="Q556" i="3"/>
  <c r="P556" i="3"/>
  <c r="T555" i="3"/>
  <c r="R555" i="3"/>
  <c r="S555" i="3" s="1"/>
  <c r="Q555" i="3"/>
  <c r="P555" i="3"/>
  <c r="T554" i="3"/>
  <c r="R554" i="3"/>
  <c r="S554" i="3" s="1"/>
  <c r="Q554" i="3"/>
  <c r="P554" i="3"/>
  <c r="T553" i="3"/>
  <c r="R553" i="3"/>
  <c r="S553" i="3" s="1"/>
  <c r="Q553" i="3"/>
  <c r="P553" i="3"/>
  <c r="T552" i="3"/>
  <c r="R552" i="3"/>
  <c r="S552" i="3" s="1"/>
  <c r="Q552" i="3"/>
  <c r="P552" i="3"/>
  <c r="T551" i="3"/>
  <c r="R551" i="3"/>
  <c r="S551" i="3" s="1"/>
  <c r="Q551" i="3"/>
  <c r="P551" i="3"/>
  <c r="T550" i="3"/>
  <c r="R550" i="3"/>
  <c r="S550" i="3" s="1"/>
  <c r="Q550" i="3"/>
  <c r="P550" i="3"/>
  <c r="T549" i="3"/>
  <c r="R549" i="3"/>
  <c r="S549" i="3" s="1"/>
  <c r="Q549" i="3"/>
  <c r="P549" i="3"/>
  <c r="T548" i="3"/>
  <c r="R548" i="3"/>
  <c r="S548" i="3" s="1"/>
  <c r="Q548" i="3"/>
  <c r="P548" i="3"/>
  <c r="T547" i="3"/>
  <c r="R547" i="3"/>
  <c r="S547" i="3" s="1"/>
  <c r="Q547" i="3"/>
  <c r="P547" i="3"/>
  <c r="T546" i="3"/>
  <c r="R546" i="3"/>
  <c r="S546" i="3" s="1"/>
  <c r="Q546" i="3"/>
  <c r="P546" i="3"/>
  <c r="T545" i="3"/>
  <c r="R545" i="3"/>
  <c r="S545" i="3" s="1"/>
  <c r="Q545" i="3"/>
  <c r="P545" i="3"/>
  <c r="T544" i="3"/>
  <c r="R544" i="3"/>
  <c r="S544" i="3" s="1"/>
  <c r="Q544" i="3"/>
  <c r="P544" i="3"/>
  <c r="T543" i="3"/>
  <c r="R543" i="3"/>
  <c r="S543" i="3" s="1"/>
  <c r="Q543" i="3"/>
  <c r="P543" i="3"/>
  <c r="T542" i="3"/>
  <c r="R542" i="3"/>
  <c r="S542" i="3" s="1"/>
  <c r="Q542" i="3"/>
  <c r="P542" i="3"/>
  <c r="T541" i="3"/>
  <c r="R541" i="3"/>
  <c r="S541" i="3" s="1"/>
  <c r="Q541" i="3"/>
  <c r="P541" i="3"/>
  <c r="T540" i="3"/>
  <c r="R540" i="3"/>
  <c r="S540" i="3" s="1"/>
  <c r="Q540" i="3"/>
  <c r="P540" i="3"/>
  <c r="T539" i="3"/>
  <c r="R539" i="3"/>
  <c r="S539" i="3" s="1"/>
  <c r="Q539" i="3"/>
  <c r="P539" i="3"/>
  <c r="T538" i="3"/>
  <c r="R538" i="3"/>
  <c r="S538" i="3" s="1"/>
  <c r="Q538" i="3"/>
  <c r="P538" i="3"/>
  <c r="T537" i="3"/>
  <c r="R537" i="3"/>
  <c r="S537" i="3" s="1"/>
  <c r="Q537" i="3"/>
  <c r="P537" i="3"/>
  <c r="T536" i="3"/>
  <c r="R536" i="3"/>
  <c r="S536" i="3" s="1"/>
  <c r="Q536" i="3"/>
  <c r="P536" i="3"/>
  <c r="T535" i="3"/>
  <c r="R535" i="3"/>
  <c r="S535" i="3" s="1"/>
  <c r="Q535" i="3"/>
  <c r="P535" i="3"/>
  <c r="T534" i="3"/>
  <c r="R534" i="3"/>
  <c r="S534" i="3" s="1"/>
  <c r="Q534" i="3"/>
  <c r="P534" i="3"/>
  <c r="T533" i="3"/>
  <c r="R533" i="3"/>
  <c r="S533" i="3" s="1"/>
  <c r="Q533" i="3"/>
  <c r="P533" i="3"/>
  <c r="T532" i="3"/>
  <c r="R532" i="3"/>
  <c r="S532" i="3" s="1"/>
  <c r="Q532" i="3"/>
  <c r="P532" i="3"/>
  <c r="T531" i="3"/>
  <c r="R531" i="3"/>
  <c r="S531" i="3" s="1"/>
  <c r="Q531" i="3"/>
  <c r="P531" i="3"/>
  <c r="T530" i="3"/>
  <c r="R530" i="3"/>
  <c r="S530" i="3" s="1"/>
  <c r="Q530" i="3"/>
  <c r="P530" i="3"/>
  <c r="T529" i="3"/>
  <c r="R529" i="3"/>
  <c r="S529" i="3" s="1"/>
  <c r="Q529" i="3"/>
  <c r="P529" i="3"/>
  <c r="T528" i="3"/>
  <c r="R528" i="3"/>
  <c r="S528" i="3" s="1"/>
  <c r="Q528" i="3"/>
  <c r="P528" i="3"/>
  <c r="T527" i="3"/>
  <c r="R527" i="3"/>
  <c r="S527" i="3" s="1"/>
  <c r="Q527" i="3"/>
  <c r="P527" i="3"/>
  <c r="T526" i="3"/>
  <c r="R526" i="3"/>
  <c r="S526" i="3" s="1"/>
  <c r="Q526" i="3"/>
  <c r="P526" i="3"/>
  <c r="T525" i="3"/>
  <c r="R525" i="3"/>
  <c r="S525" i="3" s="1"/>
  <c r="Q525" i="3"/>
  <c r="P525" i="3"/>
  <c r="T524" i="3"/>
  <c r="R524" i="3"/>
  <c r="S524" i="3" s="1"/>
  <c r="Q524" i="3"/>
  <c r="P524" i="3"/>
  <c r="T523" i="3"/>
  <c r="R523" i="3"/>
  <c r="S523" i="3" s="1"/>
  <c r="Q523" i="3"/>
  <c r="P523" i="3"/>
  <c r="T522" i="3"/>
  <c r="R522" i="3"/>
  <c r="S522" i="3" s="1"/>
  <c r="Q522" i="3"/>
  <c r="P522" i="3"/>
  <c r="T521" i="3"/>
  <c r="R521" i="3"/>
  <c r="S521" i="3" s="1"/>
  <c r="Q521" i="3"/>
  <c r="P521" i="3"/>
  <c r="T520" i="3"/>
  <c r="R520" i="3"/>
  <c r="S520" i="3" s="1"/>
  <c r="Q520" i="3"/>
  <c r="P520" i="3"/>
  <c r="T519" i="3"/>
  <c r="R519" i="3"/>
  <c r="S519" i="3" s="1"/>
  <c r="Q519" i="3"/>
  <c r="P519" i="3"/>
  <c r="T518" i="3"/>
  <c r="R518" i="3"/>
  <c r="S518" i="3" s="1"/>
  <c r="Q518" i="3"/>
  <c r="P518" i="3"/>
  <c r="T517" i="3"/>
  <c r="R517" i="3"/>
  <c r="S517" i="3" s="1"/>
  <c r="Q517" i="3"/>
  <c r="P517" i="3"/>
  <c r="T516" i="3"/>
  <c r="R516" i="3"/>
  <c r="S516" i="3" s="1"/>
  <c r="Q516" i="3"/>
  <c r="P516" i="3"/>
  <c r="T515" i="3"/>
  <c r="R515" i="3"/>
  <c r="S515" i="3" s="1"/>
  <c r="Q515" i="3"/>
  <c r="P515" i="3"/>
  <c r="T514" i="3"/>
  <c r="R514" i="3"/>
  <c r="S514" i="3" s="1"/>
  <c r="Q514" i="3"/>
  <c r="P514" i="3"/>
  <c r="T513" i="3"/>
  <c r="R513" i="3"/>
  <c r="S513" i="3" s="1"/>
  <c r="Q513" i="3"/>
  <c r="P513" i="3"/>
  <c r="T512" i="3"/>
  <c r="R512" i="3"/>
  <c r="S512" i="3" s="1"/>
  <c r="Q512" i="3"/>
  <c r="P512" i="3"/>
  <c r="T511" i="3"/>
  <c r="R511" i="3"/>
  <c r="S511" i="3" s="1"/>
  <c r="Q511" i="3"/>
  <c r="P511" i="3"/>
  <c r="T510" i="3"/>
  <c r="R510" i="3"/>
  <c r="S510" i="3" s="1"/>
  <c r="Q510" i="3"/>
  <c r="P510" i="3"/>
  <c r="T509" i="3"/>
  <c r="R509" i="3"/>
  <c r="S509" i="3" s="1"/>
  <c r="Q509" i="3"/>
  <c r="P509" i="3"/>
  <c r="T508" i="3"/>
  <c r="R508" i="3"/>
  <c r="S508" i="3" s="1"/>
  <c r="Q508" i="3"/>
  <c r="P508" i="3"/>
  <c r="T507" i="3"/>
  <c r="R507" i="3"/>
  <c r="S507" i="3" s="1"/>
  <c r="Q507" i="3"/>
  <c r="P507" i="3"/>
  <c r="T506" i="3"/>
  <c r="R506" i="3"/>
  <c r="S506" i="3" s="1"/>
  <c r="Q506" i="3"/>
  <c r="P506" i="3"/>
  <c r="T505" i="3"/>
  <c r="R505" i="3"/>
  <c r="S505" i="3" s="1"/>
  <c r="Q505" i="3"/>
  <c r="P505" i="3"/>
  <c r="T504" i="3"/>
  <c r="R504" i="3"/>
  <c r="S504" i="3" s="1"/>
  <c r="Q504" i="3"/>
  <c r="P504" i="3"/>
  <c r="T503" i="3"/>
  <c r="R503" i="3"/>
  <c r="S503" i="3" s="1"/>
  <c r="Q503" i="3"/>
  <c r="P503" i="3"/>
  <c r="T502" i="3"/>
  <c r="R502" i="3"/>
  <c r="S502" i="3" s="1"/>
  <c r="Q502" i="3"/>
  <c r="P502" i="3"/>
  <c r="T501" i="3"/>
  <c r="R501" i="3"/>
  <c r="S501" i="3" s="1"/>
  <c r="Q501" i="3"/>
  <c r="P501" i="3"/>
  <c r="T500" i="3"/>
  <c r="R500" i="3"/>
  <c r="S500" i="3" s="1"/>
  <c r="Q500" i="3"/>
  <c r="P500" i="3"/>
  <c r="T499" i="3"/>
  <c r="R499" i="3"/>
  <c r="S499" i="3" s="1"/>
  <c r="Q499" i="3"/>
  <c r="P499" i="3"/>
  <c r="T498" i="3"/>
  <c r="R498" i="3"/>
  <c r="S498" i="3" s="1"/>
  <c r="Q498" i="3"/>
  <c r="P498" i="3"/>
  <c r="T497" i="3"/>
  <c r="R497" i="3"/>
  <c r="S497" i="3" s="1"/>
  <c r="Q497" i="3"/>
  <c r="P497" i="3"/>
  <c r="T496" i="3"/>
  <c r="R496" i="3"/>
  <c r="S496" i="3" s="1"/>
  <c r="Q496" i="3"/>
  <c r="P496" i="3"/>
  <c r="T495" i="3"/>
  <c r="R495" i="3"/>
  <c r="S495" i="3" s="1"/>
  <c r="Q495" i="3"/>
  <c r="P495" i="3"/>
  <c r="T494" i="3"/>
  <c r="R494" i="3"/>
  <c r="S494" i="3" s="1"/>
  <c r="Q494" i="3"/>
  <c r="P494" i="3"/>
  <c r="T493" i="3"/>
  <c r="R493" i="3"/>
  <c r="S493" i="3" s="1"/>
  <c r="Q493" i="3"/>
  <c r="P493" i="3"/>
  <c r="T492" i="3"/>
  <c r="R492" i="3"/>
  <c r="S492" i="3" s="1"/>
  <c r="Q492" i="3"/>
  <c r="P492" i="3"/>
  <c r="T491" i="3"/>
  <c r="R491" i="3"/>
  <c r="S491" i="3" s="1"/>
  <c r="Q491" i="3"/>
  <c r="P491" i="3"/>
  <c r="T490" i="3"/>
  <c r="R490" i="3"/>
  <c r="S490" i="3" s="1"/>
  <c r="Q490" i="3"/>
  <c r="P490" i="3"/>
  <c r="T489" i="3"/>
  <c r="R489" i="3"/>
  <c r="S489" i="3" s="1"/>
  <c r="Q489" i="3"/>
  <c r="P489" i="3"/>
  <c r="T488" i="3"/>
  <c r="R488" i="3"/>
  <c r="S488" i="3" s="1"/>
  <c r="Q488" i="3"/>
  <c r="P488" i="3"/>
  <c r="T487" i="3"/>
  <c r="R487" i="3"/>
  <c r="S487" i="3" s="1"/>
  <c r="Q487" i="3"/>
  <c r="P487" i="3"/>
  <c r="T486" i="3"/>
  <c r="R486" i="3"/>
  <c r="S486" i="3" s="1"/>
  <c r="Q486" i="3"/>
  <c r="P486" i="3"/>
  <c r="T485" i="3"/>
  <c r="R485" i="3"/>
  <c r="S485" i="3" s="1"/>
  <c r="Q485" i="3"/>
  <c r="P485" i="3"/>
  <c r="T484" i="3"/>
  <c r="R484" i="3"/>
  <c r="S484" i="3" s="1"/>
  <c r="Q484" i="3"/>
  <c r="P484" i="3"/>
  <c r="T483" i="3"/>
  <c r="R483" i="3"/>
  <c r="S483" i="3" s="1"/>
  <c r="Q483" i="3"/>
  <c r="P483" i="3"/>
  <c r="T482" i="3"/>
  <c r="R482" i="3"/>
  <c r="S482" i="3" s="1"/>
  <c r="Q482" i="3"/>
  <c r="P482" i="3"/>
  <c r="T481" i="3"/>
  <c r="R481" i="3"/>
  <c r="S481" i="3" s="1"/>
  <c r="Q481" i="3"/>
  <c r="P481" i="3"/>
  <c r="T480" i="3"/>
  <c r="R480" i="3"/>
  <c r="S480" i="3" s="1"/>
  <c r="Q480" i="3"/>
  <c r="P480" i="3"/>
  <c r="T479" i="3"/>
  <c r="R479" i="3"/>
  <c r="S479" i="3" s="1"/>
  <c r="Q479" i="3"/>
  <c r="P479" i="3"/>
  <c r="T478" i="3"/>
  <c r="R478" i="3"/>
  <c r="S478" i="3" s="1"/>
  <c r="Q478" i="3"/>
  <c r="P478" i="3"/>
  <c r="T477" i="3"/>
  <c r="R477" i="3"/>
  <c r="S477" i="3" s="1"/>
  <c r="Q477" i="3"/>
  <c r="P477" i="3"/>
  <c r="T476" i="3"/>
  <c r="R476" i="3"/>
  <c r="S476" i="3" s="1"/>
  <c r="Q476" i="3"/>
  <c r="P476" i="3"/>
  <c r="T475" i="3"/>
  <c r="R475" i="3"/>
  <c r="S475" i="3" s="1"/>
  <c r="Q475" i="3"/>
  <c r="P475" i="3"/>
  <c r="T474" i="3"/>
  <c r="R474" i="3"/>
  <c r="S474" i="3" s="1"/>
  <c r="Q474" i="3"/>
  <c r="P474" i="3"/>
  <c r="T473" i="3"/>
  <c r="R473" i="3"/>
  <c r="S473" i="3" s="1"/>
  <c r="Q473" i="3"/>
  <c r="P473" i="3"/>
  <c r="T472" i="3"/>
  <c r="R472" i="3"/>
  <c r="S472" i="3" s="1"/>
  <c r="Q472" i="3"/>
  <c r="P472" i="3"/>
  <c r="T471" i="3"/>
  <c r="R471" i="3"/>
  <c r="S471" i="3" s="1"/>
  <c r="Q471" i="3"/>
  <c r="P471" i="3"/>
  <c r="T470" i="3"/>
  <c r="R470" i="3"/>
  <c r="S470" i="3" s="1"/>
  <c r="Q470" i="3"/>
  <c r="P470" i="3"/>
  <c r="T469" i="3"/>
  <c r="R469" i="3"/>
  <c r="S469" i="3" s="1"/>
  <c r="Q469" i="3"/>
  <c r="P469" i="3"/>
  <c r="T468" i="3"/>
  <c r="R468" i="3"/>
  <c r="S468" i="3" s="1"/>
  <c r="Q468" i="3"/>
  <c r="P468" i="3"/>
  <c r="T467" i="3"/>
  <c r="R467" i="3"/>
  <c r="S467" i="3" s="1"/>
  <c r="Q467" i="3"/>
  <c r="P467" i="3"/>
  <c r="T466" i="3"/>
  <c r="R466" i="3"/>
  <c r="S466" i="3" s="1"/>
  <c r="Q466" i="3"/>
  <c r="P466" i="3"/>
  <c r="T465" i="3"/>
  <c r="R465" i="3"/>
  <c r="S465" i="3" s="1"/>
  <c r="Q465" i="3"/>
  <c r="P465" i="3"/>
  <c r="T464" i="3"/>
  <c r="R464" i="3"/>
  <c r="S464" i="3" s="1"/>
  <c r="Q464" i="3"/>
  <c r="P464" i="3"/>
  <c r="T463" i="3"/>
  <c r="R463" i="3"/>
  <c r="S463" i="3" s="1"/>
  <c r="Q463" i="3"/>
  <c r="P463" i="3"/>
  <c r="T462" i="3"/>
  <c r="R462" i="3"/>
  <c r="S462" i="3" s="1"/>
  <c r="Q462" i="3"/>
  <c r="P462" i="3"/>
  <c r="T461" i="3"/>
  <c r="R461" i="3"/>
  <c r="S461" i="3" s="1"/>
  <c r="Q461" i="3"/>
  <c r="P461" i="3"/>
  <c r="T460" i="3"/>
  <c r="R460" i="3"/>
  <c r="S460" i="3" s="1"/>
  <c r="Q460" i="3"/>
  <c r="P460" i="3"/>
  <c r="T459" i="3"/>
  <c r="R459" i="3"/>
  <c r="S459" i="3" s="1"/>
  <c r="Q459" i="3"/>
  <c r="P459" i="3"/>
  <c r="T458" i="3"/>
  <c r="R458" i="3"/>
  <c r="S458" i="3" s="1"/>
  <c r="Q458" i="3"/>
  <c r="P458" i="3"/>
  <c r="T457" i="3"/>
  <c r="R457" i="3"/>
  <c r="S457" i="3" s="1"/>
  <c r="Q457" i="3"/>
  <c r="P457" i="3"/>
  <c r="T456" i="3"/>
  <c r="R456" i="3"/>
  <c r="S456" i="3" s="1"/>
  <c r="Q456" i="3"/>
  <c r="P456" i="3"/>
  <c r="T455" i="3"/>
  <c r="R455" i="3"/>
  <c r="S455" i="3" s="1"/>
  <c r="Q455" i="3"/>
  <c r="P455" i="3"/>
  <c r="T454" i="3"/>
  <c r="R454" i="3"/>
  <c r="S454" i="3" s="1"/>
  <c r="Q454" i="3"/>
  <c r="P454" i="3"/>
  <c r="T453" i="3"/>
  <c r="R453" i="3"/>
  <c r="S453" i="3" s="1"/>
  <c r="Q453" i="3"/>
  <c r="P453" i="3"/>
  <c r="T452" i="3"/>
  <c r="R452" i="3"/>
  <c r="S452" i="3" s="1"/>
  <c r="Q452" i="3"/>
  <c r="P452" i="3"/>
  <c r="T451" i="3"/>
  <c r="R451" i="3"/>
  <c r="S451" i="3" s="1"/>
  <c r="Q451" i="3"/>
  <c r="P451" i="3"/>
  <c r="T450" i="3"/>
  <c r="R450" i="3"/>
  <c r="S450" i="3" s="1"/>
  <c r="Q450" i="3"/>
  <c r="P450" i="3"/>
  <c r="T449" i="3"/>
  <c r="R449" i="3"/>
  <c r="S449" i="3" s="1"/>
  <c r="Q449" i="3"/>
  <c r="P449" i="3"/>
  <c r="T448" i="3"/>
  <c r="R448" i="3"/>
  <c r="S448" i="3" s="1"/>
  <c r="Q448" i="3"/>
  <c r="P448" i="3"/>
  <c r="T447" i="3"/>
  <c r="R447" i="3"/>
  <c r="S447" i="3" s="1"/>
  <c r="Q447" i="3"/>
  <c r="P447" i="3"/>
  <c r="T446" i="3"/>
  <c r="R446" i="3"/>
  <c r="S446" i="3" s="1"/>
  <c r="Q446" i="3"/>
  <c r="P446" i="3"/>
  <c r="T445" i="3"/>
  <c r="R445" i="3"/>
  <c r="S445" i="3" s="1"/>
  <c r="Q445" i="3"/>
  <c r="P445" i="3"/>
  <c r="T444" i="3"/>
  <c r="R444" i="3"/>
  <c r="S444" i="3" s="1"/>
  <c r="Q444" i="3"/>
  <c r="P444" i="3"/>
  <c r="T443" i="3"/>
  <c r="R443" i="3"/>
  <c r="S443" i="3" s="1"/>
  <c r="Q443" i="3"/>
  <c r="P443" i="3"/>
  <c r="T442" i="3"/>
  <c r="R442" i="3"/>
  <c r="S442" i="3" s="1"/>
  <c r="Q442" i="3"/>
  <c r="P442" i="3"/>
  <c r="T441" i="3"/>
  <c r="R441" i="3"/>
  <c r="S441" i="3" s="1"/>
  <c r="Q441" i="3"/>
  <c r="P441" i="3"/>
  <c r="T440" i="3"/>
  <c r="R440" i="3"/>
  <c r="S440" i="3" s="1"/>
  <c r="Q440" i="3"/>
  <c r="P440" i="3"/>
  <c r="T439" i="3"/>
  <c r="R439" i="3"/>
  <c r="S439" i="3" s="1"/>
  <c r="Q439" i="3"/>
  <c r="P439" i="3"/>
  <c r="T438" i="3"/>
  <c r="R438" i="3"/>
  <c r="S438" i="3" s="1"/>
  <c r="Q438" i="3"/>
  <c r="P438" i="3"/>
  <c r="T437" i="3"/>
  <c r="R437" i="3"/>
  <c r="S437" i="3" s="1"/>
  <c r="Q437" i="3"/>
  <c r="P437" i="3"/>
  <c r="T436" i="3"/>
  <c r="R436" i="3"/>
  <c r="S436" i="3" s="1"/>
  <c r="Q436" i="3"/>
  <c r="P436" i="3"/>
  <c r="T435" i="3"/>
  <c r="R435" i="3"/>
  <c r="S435" i="3" s="1"/>
  <c r="Q435" i="3"/>
  <c r="P435" i="3"/>
  <c r="T434" i="3"/>
  <c r="R434" i="3"/>
  <c r="S434" i="3" s="1"/>
  <c r="Q434" i="3"/>
  <c r="P434" i="3"/>
  <c r="T433" i="3"/>
  <c r="R433" i="3"/>
  <c r="S433" i="3" s="1"/>
  <c r="Q433" i="3"/>
  <c r="P433" i="3"/>
  <c r="T432" i="3"/>
  <c r="R432" i="3"/>
  <c r="S432" i="3" s="1"/>
  <c r="Q432" i="3"/>
  <c r="P432" i="3"/>
  <c r="T431" i="3"/>
  <c r="R431" i="3"/>
  <c r="S431" i="3" s="1"/>
  <c r="Q431" i="3"/>
  <c r="P431" i="3"/>
  <c r="T430" i="3"/>
  <c r="R430" i="3"/>
  <c r="S430" i="3" s="1"/>
  <c r="Q430" i="3"/>
  <c r="P430" i="3"/>
  <c r="T429" i="3"/>
  <c r="R429" i="3"/>
  <c r="S429" i="3" s="1"/>
  <c r="Q429" i="3"/>
  <c r="P429" i="3"/>
  <c r="T428" i="3"/>
  <c r="R428" i="3"/>
  <c r="S428" i="3" s="1"/>
  <c r="Q428" i="3"/>
  <c r="P428" i="3"/>
  <c r="T427" i="3"/>
  <c r="R427" i="3"/>
  <c r="S427" i="3" s="1"/>
  <c r="Q427" i="3"/>
  <c r="P427" i="3"/>
  <c r="T426" i="3"/>
  <c r="R426" i="3"/>
  <c r="S426" i="3" s="1"/>
  <c r="Q426" i="3"/>
  <c r="P426" i="3"/>
  <c r="T425" i="3"/>
  <c r="R425" i="3"/>
  <c r="S425" i="3" s="1"/>
  <c r="Q425" i="3"/>
  <c r="P425" i="3"/>
  <c r="T424" i="3"/>
  <c r="R424" i="3"/>
  <c r="S424" i="3" s="1"/>
  <c r="Q424" i="3"/>
  <c r="P424" i="3"/>
  <c r="T423" i="3"/>
  <c r="R423" i="3"/>
  <c r="S423" i="3" s="1"/>
  <c r="Q423" i="3"/>
  <c r="P423" i="3"/>
  <c r="T422" i="3"/>
  <c r="R422" i="3"/>
  <c r="S422" i="3" s="1"/>
  <c r="Q422" i="3"/>
  <c r="P422" i="3"/>
  <c r="T421" i="3"/>
  <c r="R421" i="3"/>
  <c r="S421" i="3" s="1"/>
  <c r="Q421" i="3"/>
  <c r="P421" i="3"/>
  <c r="T420" i="3"/>
  <c r="R420" i="3"/>
  <c r="S420" i="3" s="1"/>
  <c r="Q420" i="3"/>
  <c r="P420" i="3"/>
  <c r="T419" i="3"/>
  <c r="R419" i="3"/>
  <c r="S419" i="3" s="1"/>
  <c r="Q419" i="3"/>
  <c r="P419" i="3"/>
  <c r="T418" i="3"/>
  <c r="R418" i="3"/>
  <c r="S418" i="3" s="1"/>
  <c r="Q418" i="3"/>
  <c r="P418" i="3"/>
  <c r="T417" i="3"/>
  <c r="R417" i="3"/>
  <c r="S417" i="3" s="1"/>
  <c r="Q417" i="3"/>
  <c r="P417" i="3"/>
  <c r="T416" i="3"/>
  <c r="R416" i="3"/>
  <c r="S416" i="3" s="1"/>
  <c r="Q416" i="3"/>
  <c r="P416" i="3"/>
  <c r="T415" i="3"/>
  <c r="R415" i="3"/>
  <c r="S415" i="3" s="1"/>
  <c r="Q415" i="3"/>
  <c r="P415" i="3"/>
  <c r="T414" i="3"/>
  <c r="R414" i="3"/>
  <c r="S414" i="3" s="1"/>
  <c r="Q414" i="3"/>
  <c r="P414" i="3"/>
  <c r="T413" i="3"/>
  <c r="R413" i="3"/>
  <c r="S413" i="3" s="1"/>
  <c r="Q413" i="3"/>
  <c r="P413" i="3"/>
  <c r="T412" i="3"/>
  <c r="R412" i="3"/>
  <c r="S412" i="3" s="1"/>
  <c r="Q412" i="3"/>
  <c r="P412" i="3"/>
  <c r="T411" i="3"/>
  <c r="R411" i="3"/>
  <c r="S411" i="3" s="1"/>
  <c r="Q411" i="3"/>
  <c r="P411" i="3"/>
  <c r="T410" i="3"/>
  <c r="R410" i="3"/>
  <c r="S410" i="3" s="1"/>
  <c r="Q410" i="3"/>
  <c r="P410" i="3"/>
  <c r="T409" i="3"/>
  <c r="R409" i="3"/>
  <c r="S409" i="3" s="1"/>
  <c r="Q409" i="3"/>
  <c r="P409" i="3"/>
  <c r="T408" i="3"/>
  <c r="R408" i="3"/>
  <c r="S408" i="3" s="1"/>
  <c r="Q408" i="3"/>
  <c r="P408" i="3"/>
  <c r="T407" i="3"/>
  <c r="R407" i="3"/>
  <c r="S407" i="3" s="1"/>
  <c r="Q407" i="3"/>
  <c r="P407" i="3"/>
  <c r="T406" i="3"/>
  <c r="R406" i="3"/>
  <c r="S406" i="3" s="1"/>
  <c r="Q406" i="3"/>
  <c r="P406" i="3"/>
  <c r="T405" i="3"/>
  <c r="R405" i="3"/>
  <c r="S405" i="3" s="1"/>
  <c r="Q405" i="3"/>
  <c r="P405" i="3"/>
  <c r="T404" i="3"/>
  <c r="R404" i="3"/>
  <c r="S404" i="3" s="1"/>
  <c r="Q404" i="3"/>
  <c r="P404" i="3"/>
  <c r="T403" i="3"/>
  <c r="R403" i="3"/>
  <c r="S403" i="3" s="1"/>
  <c r="Q403" i="3"/>
  <c r="P403" i="3"/>
  <c r="T402" i="3"/>
  <c r="R402" i="3"/>
  <c r="S402" i="3" s="1"/>
  <c r="Q402" i="3"/>
  <c r="P402" i="3"/>
  <c r="T401" i="3"/>
  <c r="R401" i="3"/>
  <c r="S401" i="3" s="1"/>
  <c r="Q401" i="3"/>
  <c r="P401" i="3"/>
  <c r="T400" i="3"/>
  <c r="R400" i="3"/>
  <c r="S400" i="3" s="1"/>
  <c r="Q400" i="3"/>
  <c r="P400" i="3"/>
  <c r="T399" i="3"/>
  <c r="R399" i="3"/>
  <c r="S399" i="3" s="1"/>
  <c r="Q399" i="3"/>
  <c r="P399" i="3"/>
  <c r="T398" i="3"/>
  <c r="R398" i="3"/>
  <c r="S398" i="3" s="1"/>
  <c r="Q398" i="3"/>
  <c r="P398" i="3"/>
  <c r="T397" i="3"/>
  <c r="R397" i="3"/>
  <c r="S397" i="3" s="1"/>
  <c r="Q397" i="3"/>
  <c r="P397" i="3"/>
  <c r="T396" i="3"/>
  <c r="R396" i="3"/>
  <c r="S396" i="3" s="1"/>
  <c r="Q396" i="3"/>
  <c r="P396" i="3"/>
  <c r="T395" i="3"/>
  <c r="R395" i="3"/>
  <c r="S395" i="3" s="1"/>
  <c r="Q395" i="3"/>
  <c r="P395" i="3"/>
  <c r="T394" i="3"/>
  <c r="R394" i="3"/>
  <c r="S394" i="3" s="1"/>
  <c r="Q394" i="3"/>
  <c r="P394" i="3"/>
  <c r="T393" i="3"/>
  <c r="R393" i="3"/>
  <c r="S393" i="3" s="1"/>
  <c r="Q393" i="3"/>
  <c r="P393" i="3"/>
  <c r="T392" i="3"/>
  <c r="R392" i="3"/>
  <c r="S392" i="3" s="1"/>
  <c r="Q392" i="3"/>
  <c r="P392" i="3"/>
  <c r="T391" i="3"/>
  <c r="R391" i="3"/>
  <c r="S391" i="3" s="1"/>
  <c r="Q391" i="3"/>
  <c r="P391" i="3"/>
  <c r="T390" i="3"/>
  <c r="R390" i="3"/>
  <c r="S390" i="3" s="1"/>
  <c r="Q390" i="3"/>
  <c r="P390" i="3"/>
  <c r="T389" i="3"/>
  <c r="R389" i="3"/>
  <c r="S389" i="3" s="1"/>
  <c r="Q389" i="3"/>
  <c r="P389" i="3"/>
  <c r="T388" i="3"/>
  <c r="R388" i="3"/>
  <c r="S388" i="3" s="1"/>
  <c r="Q388" i="3"/>
  <c r="P388" i="3"/>
  <c r="T387" i="3"/>
  <c r="R387" i="3"/>
  <c r="S387" i="3" s="1"/>
  <c r="Q387" i="3"/>
  <c r="P387" i="3"/>
  <c r="T386" i="3"/>
  <c r="R386" i="3"/>
  <c r="S386" i="3" s="1"/>
  <c r="Q386" i="3"/>
  <c r="P386" i="3"/>
  <c r="T385" i="3"/>
  <c r="R385" i="3"/>
  <c r="S385" i="3" s="1"/>
  <c r="Q385" i="3"/>
  <c r="P385" i="3"/>
  <c r="T384" i="3"/>
  <c r="R384" i="3"/>
  <c r="S384" i="3" s="1"/>
  <c r="Q384" i="3"/>
  <c r="P384" i="3"/>
  <c r="T383" i="3"/>
  <c r="R383" i="3"/>
  <c r="S383" i="3" s="1"/>
  <c r="Q383" i="3"/>
  <c r="P383" i="3"/>
  <c r="T382" i="3"/>
  <c r="R382" i="3"/>
  <c r="S382" i="3" s="1"/>
  <c r="Q382" i="3"/>
  <c r="P382" i="3"/>
  <c r="T381" i="3"/>
  <c r="R381" i="3"/>
  <c r="S381" i="3" s="1"/>
  <c r="Q381" i="3"/>
  <c r="P381" i="3"/>
  <c r="T380" i="3"/>
  <c r="R380" i="3"/>
  <c r="S380" i="3" s="1"/>
  <c r="Q380" i="3"/>
  <c r="P380" i="3"/>
  <c r="T379" i="3"/>
  <c r="R379" i="3"/>
  <c r="S379" i="3" s="1"/>
  <c r="Q379" i="3"/>
  <c r="P379" i="3"/>
  <c r="T378" i="3"/>
  <c r="R378" i="3"/>
  <c r="S378" i="3" s="1"/>
  <c r="Q378" i="3"/>
  <c r="P378" i="3"/>
  <c r="T377" i="3"/>
  <c r="R377" i="3"/>
  <c r="S377" i="3" s="1"/>
  <c r="Q377" i="3"/>
  <c r="P377" i="3"/>
  <c r="T376" i="3"/>
  <c r="R376" i="3"/>
  <c r="S376" i="3" s="1"/>
  <c r="Q376" i="3"/>
  <c r="P376" i="3"/>
  <c r="T375" i="3"/>
  <c r="R375" i="3"/>
  <c r="S375" i="3" s="1"/>
  <c r="Q375" i="3"/>
  <c r="P375" i="3"/>
  <c r="T374" i="3"/>
  <c r="R374" i="3"/>
  <c r="S374" i="3" s="1"/>
  <c r="Q374" i="3"/>
  <c r="P374" i="3"/>
  <c r="T373" i="3"/>
  <c r="R373" i="3"/>
  <c r="S373" i="3" s="1"/>
  <c r="Q373" i="3"/>
  <c r="P373" i="3"/>
  <c r="T372" i="3"/>
  <c r="R372" i="3"/>
  <c r="S372" i="3" s="1"/>
  <c r="Q372" i="3"/>
  <c r="P372" i="3"/>
  <c r="T371" i="3"/>
  <c r="R371" i="3"/>
  <c r="S371" i="3" s="1"/>
  <c r="Q371" i="3"/>
  <c r="P371" i="3"/>
  <c r="T370" i="3"/>
  <c r="R370" i="3"/>
  <c r="S370" i="3" s="1"/>
  <c r="Q370" i="3"/>
  <c r="P370" i="3"/>
  <c r="T369" i="3"/>
  <c r="R369" i="3"/>
  <c r="S369" i="3" s="1"/>
  <c r="Q369" i="3"/>
  <c r="P369" i="3"/>
  <c r="T368" i="3"/>
  <c r="R368" i="3"/>
  <c r="S368" i="3" s="1"/>
  <c r="Q368" i="3"/>
  <c r="P368" i="3"/>
  <c r="T367" i="3"/>
  <c r="R367" i="3"/>
  <c r="S367" i="3" s="1"/>
  <c r="Q367" i="3"/>
  <c r="P367" i="3"/>
  <c r="T366" i="3"/>
  <c r="R366" i="3"/>
  <c r="S366" i="3" s="1"/>
  <c r="Q366" i="3"/>
  <c r="P366" i="3"/>
  <c r="T365" i="3"/>
  <c r="R365" i="3"/>
  <c r="S365" i="3" s="1"/>
  <c r="Q365" i="3"/>
  <c r="P365" i="3"/>
  <c r="T364" i="3"/>
  <c r="R364" i="3"/>
  <c r="S364" i="3" s="1"/>
  <c r="Q364" i="3"/>
  <c r="P364" i="3"/>
  <c r="T363" i="3"/>
  <c r="R363" i="3"/>
  <c r="S363" i="3" s="1"/>
  <c r="Q363" i="3"/>
  <c r="P363" i="3"/>
  <c r="T362" i="3"/>
  <c r="R362" i="3"/>
  <c r="S362" i="3" s="1"/>
  <c r="Q362" i="3"/>
  <c r="P362" i="3"/>
  <c r="T361" i="3"/>
  <c r="R361" i="3"/>
  <c r="S361" i="3" s="1"/>
  <c r="Q361" i="3"/>
  <c r="P361" i="3"/>
  <c r="T360" i="3"/>
  <c r="R360" i="3"/>
  <c r="S360" i="3" s="1"/>
  <c r="Q360" i="3"/>
  <c r="P360" i="3"/>
  <c r="T359" i="3"/>
  <c r="R359" i="3"/>
  <c r="S359" i="3" s="1"/>
  <c r="Q359" i="3"/>
  <c r="P359" i="3"/>
  <c r="T358" i="3"/>
  <c r="R358" i="3"/>
  <c r="S358" i="3" s="1"/>
  <c r="Q358" i="3"/>
  <c r="P358" i="3"/>
  <c r="T357" i="3"/>
  <c r="R357" i="3"/>
  <c r="S357" i="3" s="1"/>
  <c r="Q357" i="3"/>
  <c r="P357" i="3"/>
  <c r="T356" i="3"/>
  <c r="R356" i="3"/>
  <c r="S356" i="3" s="1"/>
  <c r="Q356" i="3"/>
  <c r="P356" i="3"/>
  <c r="T355" i="3"/>
  <c r="R355" i="3"/>
  <c r="S355" i="3" s="1"/>
  <c r="Q355" i="3"/>
  <c r="P355" i="3"/>
  <c r="T354" i="3"/>
  <c r="R354" i="3"/>
  <c r="S354" i="3" s="1"/>
  <c r="Q354" i="3"/>
  <c r="P354" i="3"/>
  <c r="T353" i="3"/>
  <c r="R353" i="3"/>
  <c r="S353" i="3" s="1"/>
  <c r="Q353" i="3"/>
  <c r="P353" i="3"/>
  <c r="T352" i="3"/>
  <c r="R352" i="3"/>
  <c r="S352" i="3" s="1"/>
  <c r="Q352" i="3"/>
  <c r="P352" i="3"/>
  <c r="T351" i="3"/>
  <c r="R351" i="3"/>
  <c r="S351" i="3" s="1"/>
  <c r="Q351" i="3"/>
  <c r="P351" i="3"/>
  <c r="T350" i="3"/>
  <c r="R350" i="3"/>
  <c r="S350" i="3" s="1"/>
  <c r="Q350" i="3"/>
  <c r="P350" i="3"/>
  <c r="T349" i="3"/>
  <c r="R349" i="3"/>
  <c r="S349" i="3" s="1"/>
  <c r="Q349" i="3"/>
  <c r="P349" i="3"/>
  <c r="T348" i="3"/>
  <c r="R348" i="3"/>
  <c r="S348" i="3" s="1"/>
  <c r="Q348" i="3"/>
  <c r="P348" i="3"/>
  <c r="T347" i="3"/>
  <c r="R347" i="3"/>
  <c r="S347" i="3" s="1"/>
  <c r="Q347" i="3"/>
  <c r="P347" i="3"/>
  <c r="T346" i="3"/>
  <c r="R346" i="3"/>
  <c r="S346" i="3" s="1"/>
  <c r="Q346" i="3"/>
  <c r="P346" i="3"/>
  <c r="T345" i="3"/>
  <c r="R345" i="3"/>
  <c r="S345" i="3" s="1"/>
  <c r="Q345" i="3"/>
  <c r="P345" i="3"/>
  <c r="T344" i="3"/>
  <c r="R344" i="3"/>
  <c r="S344" i="3" s="1"/>
  <c r="Q344" i="3"/>
  <c r="P344" i="3"/>
  <c r="T343" i="3"/>
  <c r="R343" i="3"/>
  <c r="S343" i="3" s="1"/>
  <c r="Q343" i="3"/>
  <c r="P343" i="3"/>
  <c r="T342" i="3"/>
  <c r="R342" i="3"/>
  <c r="S342" i="3" s="1"/>
  <c r="Q342" i="3"/>
  <c r="P342" i="3"/>
  <c r="T341" i="3"/>
  <c r="R341" i="3"/>
  <c r="S341" i="3" s="1"/>
  <c r="Q341" i="3"/>
  <c r="P341" i="3"/>
  <c r="T340" i="3"/>
  <c r="R340" i="3"/>
  <c r="S340" i="3" s="1"/>
  <c r="Q340" i="3"/>
  <c r="P340" i="3"/>
  <c r="T339" i="3"/>
  <c r="R339" i="3"/>
  <c r="S339" i="3" s="1"/>
  <c r="Q339" i="3"/>
  <c r="P339" i="3"/>
  <c r="T338" i="3"/>
  <c r="R338" i="3"/>
  <c r="S338" i="3" s="1"/>
  <c r="Q338" i="3"/>
  <c r="P338" i="3"/>
  <c r="T337" i="3"/>
  <c r="R337" i="3"/>
  <c r="S337" i="3" s="1"/>
  <c r="Q337" i="3"/>
  <c r="P337" i="3"/>
  <c r="T336" i="3"/>
  <c r="R336" i="3"/>
  <c r="S336" i="3" s="1"/>
  <c r="Q336" i="3"/>
  <c r="P336" i="3"/>
  <c r="T335" i="3"/>
  <c r="R335" i="3"/>
  <c r="S335" i="3" s="1"/>
  <c r="Q335" i="3"/>
  <c r="P335" i="3"/>
  <c r="T334" i="3"/>
  <c r="R334" i="3"/>
  <c r="S334" i="3" s="1"/>
  <c r="Q334" i="3"/>
  <c r="P334" i="3"/>
  <c r="T333" i="3"/>
  <c r="R333" i="3"/>
  <c r="S333" i="3" s="1"/>
  <c r="Q333" i="3"/>
  <c r="P333" i="3"/>
  <c r="T332" i="3"/>
  <c r="R332" i="3"/>
  <c r="S332" i="3" s="1"/>
  <c r="Q332" i="3"/>
  <c r="P332" i="3"/>
  <c r="T331" i="3"/>
  <c r="R331" i="3"/>
  <c r="S331" i="3" s="1"/>
  <c r="Q331" i="3"/>
  <c r="P331" i="3"/>
  <c r="T330" i="3"/>
  <c r="R330" i="3"/>
  <c r="S330" i="3" s="1"/>
  <c r="Q330" i="3"/>
  <c r="P330" i="3"/>
  <c r="T329" i="3"/>
  <c r="R329" i="3"/>
  <c r="S329" i="3" s="1"/>
  <c r="Q329" i="3"/>
  <c r="P329" i="3"/>
  <c r="T328" i="3"/>
  <c r="R328" i="3"/>
  <c r="S328" i="3" s="1"/>
  <c r="Q328" i="3"/>
  <c r="P328" i="3"/>
  <c r="T327" i="3"/>
  <c r="R327" i="3"/>
  <c r="S327" i="3" s="1"/>
  <c r="Q327" i="3"/>
  <c r="P327" i="3"/>
  <c r="T326" i="3"/>
  <c r="R326" i="3"/>
  <c r="S326" i="3" s="1"/>
  <c r="Q326" i="3"/>
  <c r="P326" i="3"/>
  <c r="T325" i="3"/>
  <c r="R325" i="3"/>
  <c r="S325" i="3" s="1"/>
  <c r="Q325" i="3"/>
  <c r="P325" i="3"/>
  <c r="T324" i="3"/>
  <c r="R324" i="3"/>
  <c r="S324" i="3" s="1"/>
  <c r="Q324" i="3"/>
  <c r="P324" i="3"/>
  <c r="T323" i="3"/>
  <c r="R323" i="3"/>
  <c r="S323" i="3" s="1"/>
  <c r="Q323" i="3"/>
  <c r="P323" i="3"/>
  <c r="T322" i="3"/>
  <c r="R322" i="3"/>
  <c r="S322" i="3" s="1"/>
  <c r="Q322" i="3"/>
  <c r="P322" i="3"/>
  <c r="T321" i="3"/>
  <c r="R321" i="3"/>
  <c r="S321" i="3" s="1"/>
  <c r="Q321" i="3"/>
  <c r="P321" i="3"/>
  <c r="T320" i="3"/>
  <c r="R320" i="3"/>
  <c r="S320" i="3" s="1"/>
  <c r="Q320" i="3"/>
  <c r="P320" i="3"/>
  <c r="T319" i="3"/>
  <c r="R319" i="3"/>
  <c r="S319" i="3" s="1"/>
  <c r="Q319" i="3"/>
  <c r="P319" i="3"/>
  <c r="T318" i="3"/>
  <c r="R318" i="3"/>
  <c r="S318" i="3" s="1"/>
  <c r="Q318" i="3"/>
  <c r="P318" i="3"/>
  <c r="T317" i="3"/>
  <c r="R317" i="3"/>
  <c r="S317" i="3" s="1"/>
  <c r="Q317" i="3"/>
  <c r="P317" i="3"/>
  <c r="T316" i="3"/>
  <c r="R316" i="3"/>
  <c r="S316" i="3" s="1"/>
  <c r="Q316" i="3"/>
  <c r="P316" i="3"/>
  <c r="T315" i="3"/>
  <c r="R315" i="3"/>
  <c r="S315" i="3" s="1"/>
  <c r="Q315" i="3"/>
  <c r="P315" i="3"/>
  <c r="T314" i="3"/>
  <c r="R314" i="3"/>
  <c r="S314" i="3" s="1"/>
  <c r="Q314" i="3"/>
  <c r="P314" i="3"/>
  <c r="T313" i="3"/>
  <c r="R313" i="3"/>
  <c r="S313" i="3" s="1"/>
  <c r="Q313" i="3"/>
  <c r="P313" i="3"/>
  <c r="T312" i="3"/>
  <c r="R312" i="3"/>
  <c r="S312" i="3" s="1"/>
  <c r="Q312" i="3"/>
  <c r="P312" i="3"/>
  <c r="T311" i="3"/>
  <c r="R311" i="3"/>
  <c r="S311" i="3" s="1"/>
  <c r="Q311" i="3"/>
  <c r="P311" i="3"/>
  <c r="T310" i="3"/>
  <c r="R310" i="3"/>
  <c r="S310" i="3" s="1"/>
  <c r="Q310" i="3"/>
  <c r="P310" i="3"/>
  <c r="T309" i="3"/>
  <c r="R309" i="3"/>
  <c r="S309" i="3" s="1"/>
  <c r="Q309" i="3"/>
  <c r="P309" i="3"/>
  <c r="T308" i="3"/>
  <c r="R308" i="3"/>
  <c r="S308" i="3" s="1"/>
  <c r="Q308" i="3"/>
  <c r="P308" i="3"/>
  <c r="T307" i="3"/>
  <c r="R307" i="3"/>
  <c r="S307" i="3" s="1"/>
  <c r="Q307" i="3"/>
  <c r="P307" i="3"/>
  <c r="T306" i="3"/>
  <c r="R306" i="3"/>
  <c r="S306" i="3" s="1"/>
  <c r="Q306" i="3"/>
  <c r="P306" i="3"/>
  <c r="T305" i="3"/>
  <c r="R305" i="3"/>
  <c r="S305" i="3" s="1"/>
  <c r="Q305" i="3"/>
  <c r="P305" i="3"/>
  <c r="T304" i="3"/>
  <c r="R304" i="3"/>
  <c r="S304" i="3" s="1"/>
  <c r="Q304" i="3"/>
  <c r="P304" i="3"/>
  <c r="T303" i="3"/>
  <c r="R303" i="3"/>
  <c r="S303" i="3" s="1"/>
  <c r="Q303" i="3"/>
  <c r="P303" i="3"/>
  <c r="T302" i="3"/>
  <c r="R302" i="3"/>
  <c r="S302" i="3" s="1"/>
  <c r="Q302" i="3"/>
  <c r="P302" i="3"/>
  <c r="T301" i="3"/>
  <c r="R301" i="3"/>
  <c r="S301" i="3" s="1"/>
  <c r="Q301" i="3"/>
  <c r="P301" i="3"/>
  <c r="T300" i="3"/>
  <c r="R300" i="3"/>
  <c r="S300" i="3" s="1"/>
  <c r="Q300" i="3"/>
  <c r="P300" i="3"/>
  <c r="T299" i="3"/>
  <c r="R299" i="3"/>
  <c r="S299" i="3" s="1"/>
  <c r="Q299" i="3"/>
  <c r="P299" i="3"/>
  <c r="T298" i="3"/>
  <c r="R298" i="3"/>
  <c r="S298" i="3" s="1"/>
  <c r="Q298" i="3"/>
  <c r="P298" i="3"/>
  <c r="T297" i="3"/>
  <c r="R297" i="3"/>
  <c r="S297" i="3" s="1"/>
  <c r="Q297" i="3"/>
  <c r="P297" i="3"/>
  <c r="T296" i="3"/>
  <c r="R296" i="3"/>
  <c r="S296" i="3" s="1"/>
  <c r="Q296" i="3"/>
  <c r="P296" i="3"/>
  <c r="T295" i="3"/>
  <c r="R295" i="3"/>
  <c r="S295" i="3" s="1"/>
  <c r="Q295" i="3"/>
  <c r="P295" i="3"/>
  <c r="T294" i="3"/>
  <c r="R294" i="3"/>
  <c r="S294" i="3" s="1"/>
  <c r="Q294" i="3"/>
  <c r="P294" i="3"/>
  <c r="T293" i="3"/>
  <c r="R293" i="3"/>
  <c r="S293" i="3" s="1"/>
  <c r="Q293" i="3"/>
  <c r="P293" i="3"/>
  <c r="T292" i="3"/>
  <c r="R292" i="3"/>
  <c r="S292" i="3" s="1"/>
  <c r="Q292" i="3"/>
  <c r="P292" i="3"/>
  <c r="T291" i="3"/>
  <c r="R291" i="3"/>
  <c r="S291" i="3" s="1"/>
  <c r="Q291" i="3"/>
  <c r="P291" i="3"/>
  <c r="T290" i="3"/>
  <c r="R290" i="3"/>
  <c r="S290" i="3" s="1"/>
  <c r="Q290" i="3"/>
  <c r="P290" i="3"/>
  <c r="T289" i="3"/>
  <c r="R289" i="3"/>
  <c r="S289" i="3" s="1"/>
  <c r="Q289" i="3"/>
  <c r="P289" i="3"/>
  <c r="T288" i="3"/>
  <c r="R288" i="3"/>
  <c r="S288" i="3" s="1"/>
  <c r="Q288" i="3"/>
  <c r="P288" i="3"/>
  <c r="T287" i="3"/>
  <c r="R287" i="3"/>
  <c r="S287" i="3" s="1"/>
  <c r="Q287" i="3"/>
  <c r="P287" i="3"/>
  <c r="T286" i="3"/>
  <c r="R286" i="3"/>
  <c r="S286" i="3" s="1"/>
  <c r="Q286" i="3"/>
  <c r="P286" i="3"/>
  <c r="T285" i="3"/>
  <c r="R285" i="3"/>
  <c r="S285" i="3" s="1"/>
  <c r="Q285" i="3"/>
  <c r="P285" i="3"/>
  <c r="T284" i="3"/>
  <c r="R284" i="3"/>
  <c r="S284" i="3" s="1"/>
  <c r="Q284" i="3"/>
  <c r="P284" i="3"/>
  <c r="T283" i="3"/>
  <c r="R283" i="3"/>
  <c r="S283" i="3" s="1"/>
  <c r="Q283" i="3"/>
  <c r="P283" i="3"/>
  <c r="T282" i="3"/>
  <c r="R282" i="3"/>
  <c r="S282" i="3" s="1"/>
  <c r="Q282" i="3"/>
  <c r="P282" i="3"/>
  <c r="T281" i="3"/>
  <c r="R281" i="3"/>
  <c r="S281" i="3" s="1"/>
  <c r="Q281" i="3"/>
  <c r="P281" i="3"/>
  <c r="T280" i="3"/>
  <c r="R280" i="3"/>
  <c r="S280" i="3" s="1"/>
  <c r="Q280" i="3"/>
  <c r="P280" i="3"/>
  <c r="T279" i="3"/>
  <c r="R279" i="3"/>
  <c r="S279" i="3" s="1"/>
  <c r="Q279" i="3"/>
  <c r="P279" i="3"/>
  <c r="T278" i="3"/>
  <c r="R278" i="3"/>
  <c r="S278" i="3" s="1"/>
  <c r="Q278" i="3"/>
  <c r="P278" i="3"/>
  <c r="T277" i="3"/>
  <c r="R277" i="3"/>
  <c r="S277" i="3" s="1"/>
  <c r="Q277" i="3"/>
  <c r="P277" i="3"/>
  <c r="T276" i="3"/>
  <c r="R276" i="3"/>
  <c r="S276" i="3" s="1"/>
  <c r="Q276" i="3"/>
  <c r="P276" i="3"/>
  <c r="T275" i="3"/>
  <c r="R275" i="3"/>
  <c r="S275" i="3" s="1"/>
  <c r="Q275" i="3"/>
  <c r="P275" i="3"/>
  <c r="T274" i="3"/>
  <c r="R274" i="3"/>
  <c r="S274" i="3" s="1"/>
  <c r="Q274" i="3"/>
  <c r="P274" i="3"/>
  <c r="T273" i="3"/>
  <c r="R273" i="3"/>
  <c r="S273" i="3" s="1"/>
  <c r="Q273" i="3"/>
  <c r="P273" i="3"/>
  <c r="T272" i="3"/>
  <c r="R272" i="3"/>
  <c r="S272" i="3" s="1"/>
  <c r="Q272" i="3"/>
  <c r="P272" i="3"/>
  <c r="T271" i="3"/>
  <c r="R271" i="3"/>
  <c r="S271" i="3" s="1"/>
  <c r="Q271" i="3"/>
  <c r="P271" i="3"/>
  <c r="T270" i="3"/>
  <c r="R270" i="3"/>
  <c r="S270" i="3" s="1"/>
  <c r="Q270" i="3"/>
  <c r="P270" i="3"/>
  <c r="T269" i="3"/>
  <c r="R269" i="3"/>
  <c r="S269" i="3" s="1"/>
  <c r="Q269" i="3"/>
  <c r="P269" i="3"/>
  <c r="T268" i="3"/>
  <c r="R268" i="3"/>
  <c r="S268" i="3" s="1"/>
  <c r="Q268" i="3"/>
  <c r="P268" i="3"/>
  <c r="T267" i="3"/>
  <c r="R267" i="3"/>
  <c r="S267" i="3" s="1"/>
  <c r="Q267" i="3"/>
  <c r="P267" i="3"/>
  <c r="T266" i="3"/>
  <c r="R266" i="3"/>
  <c r="S266" i="3" s="1"/>
  <c r="Q266" i="3"/>
  <c r="P266" i="3"/>
  <c r="T265" i="3"/>
  <c r="R265" i="3"/>
  <c r="S265" i="3" s="1"/>
  <c r="Q265" i="3"/>
  <c r="P265" i="3"/>
  <c r="T264" i="3"/>
  <c r="R264" i="3"/>
  <c r="S264" i="3" s="1"/>
  <c r="Q264" i="3"/>
  <c r="P264" i="3"/>
  <c r="T263" i="3"/>
  <c r="R263" i="3"/>
  <c r="S263" i="3" s="1"/>
  <c r="Q263" i="3"/>
  <c r="P263" i="3"/>
  <c r="T262" i="3"/>
  <c r="R262" i="3"/>
  <c r="S262" i="3" s="1"/>
  <c r="Q262" i="3"/>
  <c r="P262" i="3"/>
  <c r="T261" i="3"/>
  <c r="R261" i="3"/>
  <c r="S261" i="3" s="1"/>
  <c r="Q261" i="3"/>
  <c r="P261" i="3"/>
  <c r="T260" i="3"/>
  <c r="R260" i="3"/>
  <c r="S260" i="3" s="1"/>
  <c r="Q260" i="3"/>
  <c r="P260" i="3"/>
  <c r="T259" i="3"/>
  <c r="R259" i="3"/>
  <c r="S259" i="3" s="1"/>
  <c r="Q259" i="3"/>
  <c r="P259" i="3"/>
  <c r="T258" i="3"/>
  <c r="R258" i="3"/>
  <c r="S258" i="3" s="1"/>
  <c r="Q258" i="3"/>
  <c r="P258" i="3"/>
  <c r="T257" i="3"/>
  <c r="R257" i="3"/>
  <c r="S257" i="3" s="1"/>
  <c r="Q257" i="3"/>
  <c r="P257" i="3"/>
  <c r="T256" i="3"/>
  <c r="R256" i="3"/>
  <c r="S256" i="3" s="1"/>
  <c r="Q256" i="3"/>
  <c r="P256" i="3"/>
  <c r="T255" i="3"/>
  <c r="R255" i="3"/>
  <c r="S255" i="3" s="1"/>
  <c r="Q255" i="3"/>
  <c r="P255" i="3"/>
  <c r="T254" i="3"/>
  <c r="R254" i="3"/>
  <c r="S254" i="3" s="1"/>
  <c r="Q254" i="3"/>
  <c r="P254" i="3"/>
  <c r="T253" i="3"/>
  <c r="R253" i="3"/>
  <c r="S253" i="3" s="1"/>
  <c r="Q253" i="3"/>
  <c r="P253" i="3"/>
  <c r="T252" i="3"/>
  <c r="R252" i="3"/>
  <c r="S252" i="3" s="1"/>
  <c r="Q252" i="3"/>
  <c r="P252" i="3"/>
  <c r="T251" i="3"/>
  <c r="R251" i="3"/>
  <c r="S251" i="3" s="1"/>
  <c r="Q251" i="3"/>
  <c r="P251" i="3"/>
  <c r="T250" i="3"/>
  <c r="R250" i="3"/>
  <c r="S250" i="3" s="1"/>
  <c r="Q250" i="3"/>
  <c r="P250" i="3"/>
  <c r="T249" i="3"/>
  <c r="R249" i="3"/>
  <c r="S249" i="3" s="1"/>
  <c r="Q249" i="3"/>
  <c r="P249" i="3"/>
  <c r="T248" i="3"/>
  <c r="R248" i="3"/>
  <c r="S248" i="3" s="1"/>
  <c r="Q248" i="3"/>
  <c r="P248" i="3"/>
  <c r="T247" i="3"/>
  <c r="R247" i="3"/>
  <c r="S247" i="3" s="1"/>
  <c r="Q247" i="3"/>
  <c r="P247" i="3"/>
  <c r="T246" i="3"/>
  <c r="R246" i="3"/>
  <c r="S246" i="3" s="1"/>
  <c r="Q246" i="3"/>
  <c r="P246" i="3"/>
  <c r="T245" i="3"/>
  <c r="R245" i="3"/>
  <c r="S245" i="3" s="1"/>
  <c r="Q245" i="3"/>
  <c r="P245" i="3"/>
  <c r="T244" i="3"/>
  <c r="R244" i="3"/>
  <c r="S244" i="3" s="1"/>
  <c r="Q244" i="3"/>
  <c r="P244" i="3"/>
  <c r="T243" i="3"/>
  <c r="R243" i="3"/>
  <c r="S243" i="3" s="1"/>
  <c r="Q243" i="3"/>
  <c r="P243" i="3"/>
  <c r="T242" i="3"/>
  <c r="R242" i="3"/>
  <c r="S242" i="3" s="1"/>
  <c r="Q242" i="3"/>
  <c r="P242" i="3"/>
  <c r="T241" i="3"/>
  <c r="R241" i="3"/>
  <c r="S241" i="3" s="1"/>
  <c r="Q241" i="3"/>
  <c r="P241" i="3"/>
  <c r="T240" i="3"/>
  <c r="R240" i="3"/>
  <c r="S240" i="3" s="1"/>
  <c r="Q240" i="3"/>
  <c r="P240" i="3"/>
  <c r="T239" i="3"/>
  <c r="R239" i="3"/>
  <c r="S239" i="3" s="1"/>
  <c r="Q239" i="3"/>
  <c r="P239" i="3"/>
  <c r="T238" i="3"/>
  <c r="R238" i="3"/>
  <c r="S238" i="3" s="1"/>
  <c r="Q238" i="3"/>
  <c r="P238" i="3"/>
  <c r="T237" i="3"/>
  <c r="R237" i="3"/>
  <c r="S237" i="3" s="1"/>
  <c r="Q237" i="3"/>
  <c r="P237" i="3"/>
  <c r="T236" i="3"/>
  <c r="R236" i="3"/>
  <c r="S236" i="3" s="1"/>
  <c r="Q236" i="3"/>
  <c r="P236" i="3"/>
  <c r="T235" i="3"/>
  <c r="R235" i="3"/>
  <c r="S235" i="3" s="1"/>
  <c r="Q235" i="3"/>
  <c r="P235" i="3"/>
  <c r="T234" i="3"/>
  <c r="R234" i="3"/>
  <c r="S234" i="3" s="1"/>
  <c r="Q234" i="3"/>
  <c r="P234" i="3"/>
  <c r="T233" i="3"/>
  <c r="R233" i="3"/>
  <c r="S233" i="3" s="1"/>
  <c r="Q233" i="3"/>
  <c r="P233" i="3"/>
  <c r="T232" i="3"/>
  <c r="R232" i="3"/>
  <c r="S232" i="3" s="1"/>
  <c r="Q232" i="3"/>
  <c r="P232" i="3"/>
  <c r="T231" i="3"/>
  <c r="R231" i="3"/>
  <c r="S231" i="3" s="1"/>
  <c r="Q231" i="3"/>
  <c r="P231" i="3"/>
  <c r="T230" i="3"/>
  <c r="R230" i="3"/>
  <c r="S230" i="3" s="1"/>
  <c r="Q230" i="3"/>
  <c r="P230" i="3"/>
  <c r="T229" i="3"/>
  <c r="R229" i="3"/>
  <c r="S229" i="3" s="1"/>
  <c r="Q229" i="3"/>
  <c r="P229" i="3"/>
  <c r="T228" i="3"/>
  <c r="R228" i="3"/>
  <c r="S228" i="3" s="1"/>
  <c r="Q228" i="3"/>
  <c r="P228" i="3"/>
  <c r="T227" i="3"/>
  <c r="R227" i="3"/>
  <c r="S227" i="3" s="1"/>
  <c r="Q227" i="3"/>
  <c r="P227" i="3"/>
  <c r="T226" i="3"/>
  <c r="R226" i="3"/>
  <c r="S226" i="3" s="1"/>
  <c r="Q226" i="3"/>
  <c r="P226" i="3"/>
  <c r="T225" i="3"/>
  <c r="R225" i="3"/>
  <c r="S225" i="3" s="1"/>
  <c r="Q225" i="3"/>
  <c r="P225" i="3"/>
  <c r="T224" i="3"/>
  <c r="R224" i="3"/>
  <c r="S224" i="3" s="1"/>
  <c r="Q224" i="3"/>
  <c r="P224" i="3"/>
  <c r="T223" i="3"/>
  <c r="R223" i="3"/>
  <c r="S223" i="3" s="1"/>
  <c r="Q223" i="3"/>
  <c r="P223" i="3"/>
  <c r="T222" i="3"/>
  <c r="R222" i="3"/>
  <c r="S222" i="3" s="1"/>
  <c r="Q222" i="3"/>
  <c r="P222" i="3"/>
  <c r="T221" i="3"/>
  <c r="R221" i="3"/>
  <c r="S221" i="3" s="1"/>
  <c r="Q221" i="3"/>
  <c r="P221" i="3"/>
  <c r="T220" i="3"/>
  <c r="R220" i="3"/>
  <c r="S220" i="3" s="1"/>
  <c r="Q220" i="3"/>
  <c r="P220" i="3"/>
  <c r="T219" i="3"/>
  <c r="R219" i="3"/>
  <c r="S219" i="3" s="1"/>
  <c r="Q219" i="3"/>
  <c r="P219" i="3"/>
  <c r="T218" i="3"/>
  <c r="R218" i="3"/>
  <c r="S218" i="3" s="1"/>
  <c r="Q218" i="3"/>
  <c r="P218" i="3"/>
  <c r="T217" i="3"/>
  <c r="R217" i="3"/>
  <c r="S217" i="3" s="1"/>
  <c r="Q217" i="3"/>
  <c r="P217" i="3"/>
  <c r="T216" i="3"/>
  <c r="R216" i="3"/>
  <c r="S216" i="3" s="1"/>
  <c r="Q216" i="3"/>
  <c r="P216" i="3"/>
  <c r="T215" i="3"/>
  <c r="R215" i="3"/>
  <c r="S215" i="3" s="1"/>
  <c r="Q215" i="3"/>
  <c r="P215" i="3"/>
  <c r="T214" i="3"/>
  <c r="R214" i="3"/>
  <c r="S214" i="3" s="1"/>
  <c r="Q214" i="3"/>
  <c r="P214" i="3"/>
  <c r="T213" i="3"/>
  <c r="R213" i="3"/>
  <c r="S213" i="3" s="1"/>
  <c r="Q213" i="3"/>
  <c r="P213" i="3"/>
  <c r="T212" i="3"/>
  <c r="R212" i="3"/>
  <c r="S212" i="3" s="1"/>
  <c r="Q212" i="3"/>
  <c r="P212" i="3"/>
  <c r="T211" i="3"/>
  <c r="R211" i="3"/>
  <c r="S211" i="3" s="1"/>
  <c r="Q211" i="3"/>
  <c r="P211" i="3"/>
  <c r="T210" i="3"/>
  <c r="R210" i="3"/>
  <c r="S210" i="3" s="1"/>
  <c r="Q210" i="3"/>
  <c r="P210" i="3"/>
  <c r="T209" i="3"/>
  <c r="R209" i="3"/>
  <c r="S209" i="3" s="1"/>
  <c r="Q209" i="3"/>
  <c r="P209" i="3"/>
  <c r="T208" i="3"/>
  <c r="R208" i="3"/>
  <c r="S208" i="3" s="1"/>
  <c r="Q208" i="3"/>
  <c r="P208" i="3"/>
  <c r="T207" i="3"/>
  <c r="R207" i="3"/>
  <c r="S207" i="3" s="1"/>
  <c r="Q207" i="3"/>
  <c r="P207" i="3"/>
  <c r="T206" i="3"/>
  <c r="R206" i="3"/>
  <c r="S206" i="3" s="1"/>
  <c r="Q206" i="3"/>
  <c r="P206" i="3"/>
  <c r="T205" i="3"/>
  <c r="R205" i="3"/>
  <c r="S205" i="3" s="1"/>
  <c r="Q205" i="3"/>
  <c r="P205" i="3"/>
  <c r="T204" i="3"/>
  <c r="R204" i="3"/>
  <c r="S204" i="3" s="1"/>
  <c r="Q204" i="3"/>
  <c r="P204" i="3"/>
  <c r="T203" i="3"/>
  <c r="R203" i="3"/>
  <c r="S203" i="3" s="1"/>
  <c r="Q203" i="3"/>
  <c r="P203" i="3"/>
  <c r="T202" i="3"/>
  <c r="R202" i="3"/>
  <c r="S202" i="3" s="1"/>
  <c r="Q202" i="3"/>
  <c r="P202" i="3"/>
  <c r="T201" i="3"/>
  <c r="R201" i="3"/>
  <c r="S201" i="3" s="1"/>
  <c r="Q201" i="3"/>
  <c r="P201" i="3"/>
  <c r="T200" i="3"/>
  <c r="R200" i="3"/>
  <c r="S200" i="3" s="1"/>
  <c r="Q200" i="3"/>
  <c r="P200" i="3"/>
  <c r="T199" i="3"/>
  <c r="R199" i="3"/>
  <c r="S199" i="3" s="1"/>
  <c r="Q199" i="3"/>
  <c r="P199" i="3"/>
  <c r="T198" i="3"/>
  <c r="R198" i="3"/>
  <c r="S198" i="3" s="1"/>
  <c r="Q198" i="3"/>
  <c r="P198" i="3"/>
  <c r="T197" i="3"/>
  <c r="R197" i="3"/>
  <c r="S197" i="3" s="1"/>
  <c r="Q197" i="3"/>
  <c r="P197" i="3"/>
  <c r="T196" i="3"/>
  <c r="R196" i="3"/>
  <c r="S196" i="3" s="1"/>
  <c r="Q196" i="3"/>
  <c r="P196" i="3"/>
  <c r="T195" i="3"/>
  <c r="R195" i="3"/>
  <c r="S195" i="3" s="1"/>
  <c r="Q195" i="3"/>
  <c r="P195" i="3"/>
  <c r="T194" i="3"/>
  <c r="R194" i="3"/>
  <c r="S194" i="3" s="1"/>
  <c r="Q194" i="3"/>
  <c r="P194" i="3"/>
  <c r="T193" i="3"/>
  <c r="R193" i="3"/>
  <c r="S193" i="3" s="1"/>
  <c r="Q193" i="3"/>
  <c r="P193" i="3"/>
  <c r="T192" i="3"/>
  <c r="R192" i="3"/>
  <c r="S192" i="3" s="1"/>
  <c r="Q192" i="3"/>
  <c r="P192" i="3"/>
  <c r="T191" i="3"/>
  <c r="R191" i="3"/>
  <c r="S191" i="3" s="1"/>
  <c r="Q191" i="3"/>
  <c r="P191" i="3"/>
  <c r="T190" i="3"/>
  <c r="R190" i="3"/>
  <c r="S190" i="3" s="1"/>
  <c r="Q190" i="3"/>
  <c r="P190" i="3"/>
  <c r="T189" i="3"/>
  <c r="R189" i="3"/>
  <c r="S189" i="3" s="1"/>
  <c r="Q189" i="3"/>
  <c r="P189" i="3"/>
  <c r="T188" i="3"/>
  <c r="R188" i="3"/>
  <c r="S188" i="3" s="1"/>
  <c r="Q188" i="3"/>
  <c r="P188" i="3"/>
  <c r="T187" i="3"/>
  <c r="R187" i="3"/>
  <c r="S187" i="3" s="1"/>
  <c r="Q187" i="3"/>
  <c r="P187" i="3"/>
  <c r="T186" i="3"/>
  <c r="R186" i="3"/>
  <c r="S186" i="3" s="1"/>
  <c r="Q186" i="3"/>
  <c r="P186" i="3"/>
  <c r="T185" i="3"/>
  <c r="R185" i="3"/>
  <c r="S185" i="3" s="1"/>
  <c r="Q185" i="3"/>
  <c r="P185" i="3"/>
  <c r="T184" i="3"/>
  <c r="R184" i="3"/>
  <c r="S184" i="3" s="1"/>
  <c r="Q184" i="3"/>
  <c r="P184" i="3"/>
  <c r="T183" i="3"/>
  <c r="R183" i="3"/>
  <c r="S183" i="3" s="1"/>
  <c r="Q183" i="3"/>
  <c r="P183" i="3"/>
  <c r="T182" i="3"/>
  <c r="R182" i="3"/>
  <c r="S182" i="3" s="1"/>
  <c r="Q182" i="3"/>
  <c r="P182" i="3"/>
  <c r="T181" i="3"/>
  <c r="R181" i="3"/>
  <c r="S181" i="3" s="1"/>
  <c r="Q181" i="3"/>
  <c r="P181" i="3"/>
  <c r="T180" i="3"/>
  <c r="R180" i="3"/>
  <c r="S180" i="3" s="1"/>
  <c r="Q180" i="3"/>
  <c r="P180" i="3"/>
  <c r="T179" i="3"/>
  <c r="R179" i="3"/>
  <c r="S179" i="3" s="1"/>
  <c r="Q179" i="3"/>
  <c r="P179" i="3"/>
  <c r="T178" i="3"/>
  <c r="R178" i="3"/>
  <c r="S178" i="3" s="1"/>
  <c r="Q178" i="3"/>
  <c r="P178" i="3"/>
  <c r="T177" i="3"/>
  <c r="R177" i="3"/>
  <c r="S177" i="3" s="1"/>
  <c r="Q177" i="3"/>
  <c r="P177" i="3"/>
  <c r="T176" i="3"/>
  <c r="R176" i="3"/>
  <c r="S176" i="3" s="1"/>
  <c r="Q176" i="3"/>
  <c r="P176" i="3"/>
  <c r="T175" i="3"/>
  <c r="R175" i="3"/>
  <c r="S175" i="3" s="1"/>
  <c r="Q175" i="3"/>
  <c r="P175" i="3"/>
  <c r="T174" i="3"/>
  <c r="R174" i="3"/>
  <c r="S174" i="3" s="1"/>
  <c r="Q174" i="3"/>
  <c r="P174" i="3"/>
  <c r="T173" i="3"/>
  <c r="R173" i="3"/>
  <c r="S173" i="3" s="1"/>
  <c r="Q173" i="3"/>
  <c r="P173" i="3"/>
  <c r="T172" i="3"/>
  <c r="R172" i="3"/>
  <c r="S172" i="3" s="1"/>
  <c r="Q172" i="3"/>
  <c r="P172" i="3"/>
  <c r="T171" i="3"/>
  <c r="R171" i="3"/>
  <c r="S171" i="3" s="1"/>
  <c r="Q171" i="3"/>
  <c r="P171" i="3"/>
  <c r="T170" i="3"/>
  <c r="R170" i="3"/>
  <c r="S170" i="3" s="1"/>
  <c r="Q170" i="3"/>
  <c r="P170" i="3"/>
  <c r="T169" i="3"/>
  <c r="R169" i="3"/>
  <c r="S169" i="3" s="1"/>
  <c r="Q169" i="3"/>
  <c r="P169" i="3"/>
  <c r="T168" i="3"/>
  <c r="R168" i="3"/>
  <c r="S168" i="3" s="1"/>
  <c r="Q168" i="3"/>
  <c r="P168" i="3"/>
  <c r="T167" i="3"/>
  <c r="R167" i="3"/>
  <c r="S167" i="3" s="1"/>
  <c r="Q167" i="3"/>
  <c r="P167" i="3"/>
  <c r="T166" i="3"/>
  <c r="R166" i="3"/>
  <c r="S166" i="3" s="1"/>
  <c r="Q166" i="3"/>
  <c r="P166" i="3"/>
  <c r="T165" i="3"/>
  <c r="R165" i="3"/>
  <c r="S165" i="3" s="1"/>
  <c r="Q165" i="3"/>
  <c r="P165" i="3"/>
  <c r="T164" i="3"/>
  <c r="R164" i="3"/>
  <c r="S164" i="3" s="1"/>
  <c r="Q164" i="3"/>
  <c r="P164" i="3"/>
  <c r="T163" i="3"/>
  <c r="R163" i="3"/>
  <c r="S163" i="3" s="1"/>
  <c r="Q163" i="3"/>
  <c r="P163" i="3"/>
  <c r="T162" i="3"/>
  <c r="R162" i="3"/>
  <c r="S162" i="3" s="1"/>
  <c r="Q162" i="3"/>
  <c r="P162" i="3"/>
  <c r="T161" i="3"/>
  <c r="R161" i="3"/>
  <c r="S161" i="3" s="1"/>
  <c r="Q161" i="3"/>
  <c r="P161" i="3"/>
  <c r="T160" i="3"/>
  <c r="R160" i="3"/>
  <c r="S160" i="3" s="1"/>
  <c r="Q160" i="3"/>
  <c r="P160" i="3"/>
  <c r="T159" i="3"/>
  <c r="R159" i="3"/>
  <c r="S159" i="3" s="1"/>
  <c r="Q159" i="3"/>
  <c r="P159" i="3"/>
  <c r="T158" i="3"/>
  <c r="R158" i="3"/>
  <c r="S158" i="3" s="1"/>
  <c r="Q158" i="3"/>
  <c r="P158" i="3"/>
  <c r="T157" i="3"/>
  <c r="R157" i="3"/>
  <c r="S157" i="3" s="1"/>
  <c r="Q157" i="3"/>
  <c r="P157" i="3"/>
  <c r="T156" i="3"/>
  <c r="R156" i="3"/>
  <c r="S156" i="3" s="1"/>
  <c r="Q156" i="3"/>
  <c r="P156" i="3"/>
  <c r="T155" i="3"/>
  <c r="R155" i="3"/>
  <c r="S155" i="3" s="1"/>
  <c r="Q155" i="3"/>
  <c r="P155" i="3"/>
  <c r="T154" i="3"/>
  <c r="R154" i="3"/>
  <c r="S154" i="3" s="1"/>
  <c r="Q154" i="3"/>
  <c r="P154" i="3"/>
  <c r="T153" i="3"/>
  <c r="R153" i="3"/>
  <c r="S153" i="3" s="1"/>
  <c r="Q153" i="3"/>
  <c r="P153" i="3"/>
  <c r="T152" i="3"/>
  <c r="R152" i="3"/>
  <c r="S152" i="3" s="1"/>
  <c r="Q152" i="3"/>
  <c r="P152" i="3"/>
  <c r="T151" i="3"/>
  <c r="R151" i="3"/>
  <c r="S151" i="3" s="1"/>
  <c r="Q151" i="3"/>
  <c r="P151" i="3"/>
  <c r="T150" i="3"/>
  <c r="R150" i="3"/>
  <c r="S150" i="3" s="1"/>
  <c r="Q150" i="3"/>
  <c r="P150" i="3"/>
  <c r="T149" i="3"/>
  <c r="R149" i="3"/>
  <c r="S149" i="3" s="1"/>
  <c r="Q149" i="3"/>
  <c r="P149" i="3"/>
  <c r="T148" i="3"/>
  <c r="R148" i="3"/>
  <c r="S148" i="3" s="1"/>
  <c r="Q148" i="3"/>
  <c r="P148" i="3"/>
  <c r="T147" i="3"/>
  <c r="R147" i="3"/>
  <c r="S147" i="3" s="1"/>
  <c r="Q147" i="3"/>
  <c r="P147" i="3"/>
  <c r="T146" i="3"/>
  <c r="R146" i="3"/>
  <c r="S146" i="3" s="1"/>
  <c r="Q146" i="3"/>
  <c r="P146" i="3"/>
  <c r="T145" i="3"/>
  <c r="R145" i="3"/>
  <c r="S145" i="3" s="1"/>
  <c r="Q145" i="3"/>
  <c r="P145" i="3"/>
  <c r="T144" i="3"/>
  <c r="R144" i="3"/>
  <c r="S144" i="3" s="1"/>
  <c r="Q144" i="3"/>
  <c r="P144" i="3"/>
  <c r="T143" i="3"/>
  <c r="R143" i="3"/>
  <c r="S143" i="3" s="1"/>
  <c r="Q143" i="3"/>
  <c r="P143" i="3"/>
  <c r="T142" i="3"/>
  <c r="R142" i="3"/>
  <c r="S142" i="3" s="1"/>
  <c r="Q142" i="3"/>
  <c r="P142" i="3"/>
  <c r="T141" i="3"/>
  <c r="R141" i="3"/>
  <c r="S141" i="3" s="1"/>
  <c r="Q141" i="3"/>
  <c r="P141" i="3"/>
  <c r="T140" i="3"/>
  <c r="R140" i="3"/>
  <c r="S140" i="3" s="1"/>
  <c r="Q140" i="3"/>
  <c r="P140" i="3"/>
  <c r="T139" i="3"/>
  <c r="R139" i="3"/>
  <c r="S139" i="3" s="1"/>
  <c r="Q139" i="3"/>
  <c r="P139" i="3"/>
  <c r="T138" i="3"/>
  <c r="R138" i="3"/>
  <c r="S138" i="3" s="1"/>
  <c r="Q138" i="3"/>
  <c r="P138" i="3"/>
  <c r="T137" i="3"/>
  <c r="R137" i="3"/>
  <c r="S137" i="3" s="1"/>
  <c r="Q137" i="3"/>
  <c r="P137" i="3"/>
  <c r="T136" i="3"/>
  <c r="R136" i="3"/>
  <c r="S136" i="3" s="1"/>
  <c r="Q136" i="3"/>
  <c r="P136" i="3"/>
  <c r="T135" i="3"/>
  <c r="R135" i="3"/>
  <c r="S135" i="3" s="1"/>
  <c r="Q135" i="3"/>
  <c r="P135" i="3"/>
  <c r="T134" i="3"/>
  <c r="R134" i="3"/>
  <c r="S134" i="3" s="1"/>
  <c r="Q134" i="3"/>
  <c r="P134" i="3"/>
  <c r="T133" i="3"/>
  <c r="R133" i="3"/>
  <c r="S133" i="3" s="1"/>
  <c r="Q133" i="3"/>
  <c r="P133" i="3"/>
  <c r="T132" i="3"/>
  <c r="R132" i="3"/>
  <c r="S132" i="3" s="1"/>
  <c r="Q132" i="3"/>
  <c r="P132" i="3"/>
  <c r="T131" i="3"/>
  <c r="R131" i="3"/>
  <c r="S131" i="3" s="1"/>
  <c r="Q131" i="3"/>
  <c r="P131" i="3"/>
  <c r="T130" i="3"/>
  <c r="R130" i="3"/>
  <c r="S130" i="3" s="1"/>
  <c r="Q130" i="3"/>
  <c r="P130" i="3"/>
  <c r="T129" i="3"/>
  <c r="R129" i="3"/>
  <c r="S129" i="3" s="1"/>
  <c r="Q129" i="3"/>
  <c r="P129" i="3"/>
  <c r="T128" i="3"/>
  <c r="R128" i="3"/>
  <c r="S128" i="3" s="1"/>
  <c r="Q128" i="3"/>
  <c r="P128" i="3"/>
  <c r="T127" i="3"/>
  <c r="R127" i="3"/>
  <c r="S127" i="3" s="1"/>
  <c r="Q127" i="3"/>
  <c r="P127" i="3"/>
  <c r="T126" i="3"/>
  <c r="R126" i="3"/>
  <c r="S126" i="3" s="1"/>
  <c r="Q126" i="3"/>
  <c r="P126" i="3"/>
  <c r="T125" i="3"/>
  <c r="R125" i="3"/>
  <c r="S125" i="3" s="1"/>
  <c r="Q125" i="3"/>
  <c r="P125" i="3"/>
  <c r="T124" i="3"/>
  <c r="R124" i="3"/>
  <c r="S124" i="3" s="1"/>
  <c r="Q124" i="3"/>
  <c r="P124" i="3"/>
  <c r="T123" i="3"/>
  <c r="R123" i="3"/>
  <c r="S123" i="3" s="1"/>
  <c r="Q123" i="3"/>
  <c r="P123" i="3"/>
  <c r="T122" i="3"/>
  <c r="R122" i="3"/>
  <c r="S122" i="3" s="1"/>
  <c r="Q122" i="3"/>
  <c r="P122" i="3"/>
  <c r="T121" i="3"/>
  <c r="R121" i="3"/>
  <c r="S121" i="3" s="1"/>
  <c r="Q121" i="3"/>
  <c r="P121" i="3"/>
  <c r="T120" i="3"/>
  <c r="R120" i="3"/>
  <c r="S120" i="3" s="1"/>
  <c r="Q120" i="3"/>
  <c r="P120" i="3"/>
  <c r="T119" i="3"/>
  <c r="R119" i="3"/>
  <c r="S119" i="3" s="1"/>
  <c r="Q119" i="3"/>
  <c r="P119" i="3"/>
  <c r="T118" i="3"/>
  <c r="R118" i="3"/>
  <c r="S118" i="3" s="1"/>
  <c r="Q118" i="3"/>
  <c r="P118" i="3"/>
  <c r="T117" i="3"/>
  <c r="R117" i="3"/>
  <c r="S117" i="3" s="1"/>
  <c r="Q117" i="3"/>
  <c r="P117" i="3"/>
  <c r="T116" i="3"/>
  <c r="R116" i="3"/>
  <c r="S116" i="3" s="1"/>
  <c r="Q116" i="3"/>
  <c r="P116" i="3"/>
  <c r="T115" i="3"/>
  <c r="R115" i="3"/>
  <c r="S115" i="3" s="1"/>
  <c r="Q115" i="3"/>
  <c r="P115" i="3"/>
  <c r="T114" i="3"/>
  <c r="R114" i="3"/>
  <c r="S114" i="3" s="1"/>
  <c r="Q114" i="3"/>
  <c r="P114" i="3"/>
  <c r="T113" i="3"/>
  <c r="R113" i="3"/>
  <c r="S113" i="3" s="1"/>
  <c r="Q113" i="3"/>
  <c r="P113" i="3"/>
  <c r="T112" i="3"/>
  <c r="R112" i="3"/>
  <c r="S112" i="3" s="1"/>
  <c r="Q112" i="3"/>
  <c r="P112" i="3"/>
  <c r="T111" i="3"/>
  <c r="R111" i="3"/>
  <c r="S111" i="3" s="1"/>
  <c r="Q111" i="3"/>
  <c r="P111" i="3"/>
  <c r="T110" i="3"/>
  <c r="R110" i="3"/>
  <c r="S110" i="3" s="1"/>
  <c r="Q110" i="3"/>
  <c r="P110" i="3"/>
  <c r="T109" i="3"/>
  <c r="R109" i="3"/>
  <c r="S109" i="3" s="1"/>
  <c r="Q109" i="3"/>
  <c r="P109" i="3"/>
  <c r="T108" i="3"/>
  <c r="R108" i="3"/>
  <c r="S108" i="3" s="1"/>
  <c r="Q108" i="3"/>
  <c r="P108" i="3"/>
  <c r="T107" i="3"/>
  <c r="R107" i="3"/>
  <c r="S107" i="3" s="1"/>
  <c r="Q107" i="3"/>
  <c r="P107" i="3"/>
  <c r="T106" i="3"/>
  <c r="R106" i="3"/>
  <c r="S106" i="3" s="1"/>
  <c r="Q106" i="3"/>
  <c r="P106" i="3"/>
  <c r="T105" i="3"/>
  <c r="R105" i="3"/>
  <c r="S105" i="3" s="1"/>
  <c r="Q105" i="3"/>
  <c r="P105" i="3"/>
  <c r="T104" i="3"/>
  <c r="R104" i="3"/>
  <c r="S104" i="3" s="1"/>
  <c r="Q104" i="3"/>
  <c r="P104" i="3"/>
  <c r="T103" i="3"/>
  <c r="R103" i="3"/>
  <c r="S103" i="3" s="1"/>
  <c r="Q103" i="3"/>
  <c r="P103" i="3"/>
  <c r="T102" i="3"/>
  <c r="R102" i="3"/>
  <c r="S102" i="3" s="1"/>
  <c r="Q102" i="3"/>
  <c r="P102" i="3"/>
  <c r="T101" i="3"/>
  <c r="R101" i="3"/>
  <c r="S101" i="3" s="1"/>
  <c r="Q101" i="3"/>
  <c r="P101" i="3"/>
  <c r="T100" i="3"/>
  <c r="R100" i="3"/>
  <c r="S100" i="3" s="1"/>
  <c r="Q100" i="3"/>
  <c r="P100" i="3"/>
  <c r="T99" i="3"/>
  <c r="R99" i="3"/>
  <c r="S99" i="3" s="1"/>
  <c r="Q99" i="3"/>
  <c r="P99" i="3"/>
  <c r="T98" i="3"/>
  <c r="R98" i="3"/>
  <c r="S98" i="3" s="1"/>
  <c r="Q98" i="3"/>
  <c r="P98" i="3"/>
  <c r="T97" i="3"/>
  <c r="R97" i="3"/>
  <c r="S97" i="3" s="1"/>
  <c r="Q97" i="3"/>
  <c r="P97" i="3"/>
  <c r="T96" i="3"/>
  <c r="R96" i="3"/>
  <c r="S96" i="3" s="1"/>
  <c r="Q96" i="3"/>
  <c r="P96" i="3"/>
  <c r="T95" i="3"/>
  <c r="R95" i="3"/>
  <c r="S95" i="3" s="1"/>
  <c r="Q95" i="3"/>
  <c r="P95" i="3"/>
  <c r="T94" i="3"/>
  <c r="R94" i="3"/>
  <c r="S94" i="3" s="1"/>
  <c r="Q94" i="3"/>
  <c r="P94" i="3"/>
  <c r="T93" i="3"/>
  <c r="R93" i="3"/>
  <c r="S93" i="3" s="1"/>
  <c r="Q93" i="3"/>
  <c r="P93" i="3"/>
  <c r="T92" i="3"/>
  <c r="R92" i="3"/>
  <c r="S92" i="3" s="1"/>
  <c r="Q92" i="3"/>
  <c r="P92" i="3"/>
  <c r="T91" i="3"/>
  <c r="R91" i="3"/>
  <c r="S91" i="3" s="1"/>
  <c r="Q91" i="3"/>
  <c r="P91" i="3"/>
  <c r="T90" i="3"/>
  <c r="R90" i="3"/>
  <c r="S90" i="3" s="1"/>
  <c r="Q90" i="3"/>
  <c r="P90" i="3"/>
  <c r="T89" i="3"/>
  <c r="R89" i="3"/>
  <c r="S89" i="3" s="1"/>
  <c r="Q89" i="3"/>
  <c r="P89" i="3"/>
  <c r="T88" i="3"/>
  <c r="R88" i="3"/>
  <c r="S88" i="3" s="1"/>
  <c r="Q88" i="3"/>
  <c r="P88" i="3"/>
  <c r="T87" i="3"/>
  <c r="R87" i="3"/>
  <c r="S87" i="3" s="1"/>
  <c r="Q87" i="3"/>
  <c r="P87" i="3"/>
  <c r="T86" i="3"/>
  <c r="R86" i="3"/>
  <c r="S86" i="3" s="1"/>
  <c r="Q86" i="3"/>
  <c r="P86" i="3"/>
  <c r="T85" i="3"/>
  <c r="R85" i="3"/>
  <c r="S85" i="3" s="1"/>
  <c r="Q85" i="3"/>
  <c r="P85" i="3"/>
  <c r="T84" i="3"/>
  <c r="R84" i="3"/>
  <c r="S84" i="3" s="1"/>
  <c r="Q84" i="3"/>
  <c r="P84" i="3"/>
  <c r="T83" i="3"/>
  <c r="R83" i="3"/>
  <c r="S83" i="3" s="1"/>
  <c r="Q83" i="3"/>
  <c r="P83" i="3"/>
  <c r="T82" i="3"/>
  <c r="R82" i="3"/>
  <c r="S82" i="3" s="1"/>
  <c r="Q82" i="3"/>
  <c r="P82" i="3"/>
  <c r="T81" i="3"/>
  <c r="R81" i="3"/>
  <c r="S81" i="3" s="1"/>
  <c r="Q81" i="3"/>
  <c r="P81" i="3"/>
  <c r="T80" i="3"/>
  <c r="R80" i="3"/>
  <c r="S80" i="3" s="1"/>
  <c r="Q80" i="3"/>
  <c r="P80" i="3"/>
  <c r="T79" i="3"/>
  <c r="R79" i="3"/>
  <c r="S79" i="3" s="1"/>
  <c r="Q79" i="3"/>
  <c r="P79" i="3"/>
  <c r="T78" i="3"/>
  <c r="R78" i="3"/>
  <c r="S78" i="3" s="1"/>
  <c r="Q78" i="3"/>
  <c r="P78" i="3"/>
  <c r="T77" i="3"/>
  <c r="R77" i="3"/>
  <c r="S77" i="3" s="1"/>
  <c r="Q77" i="3"/>
  <c r="P77" i="3"/>
  <c r="T76" i="3"/>
  <c r="R76" i="3"/>
  <c r="S76" i="3" s="1"/>
  <c r="Q76" i="3"/>
  <c r="P76" i="3"/>
  <c r="T75" i="3"/>
  <c r="R75" i="3"/>
  <c r="S75" i="3" s="1"/>
  <c r="Q75" i="3"/>
  <c r="P75" i="3"/>
  <c r="T74" i="3"/>
  <c r="R74" i="3"/>
  <c r="S74" i="3" s="1"/>
  <c r="Q74" i="3"/>
  <c r="P74" i="3"/>
  <c r="T73" i="3"/>
  <c r="R73" i="3"/>
  <c r="S73" i="3" s="1"/>
  <c r="Q73" i="3"/>
  <c r="P73" i="3"/>
  <c r="T72" i="3"/>
  <c r="R72" i="3"/>
  <c r="S72" i="3" s="1"/>
  <c r="Q72" i="3"/>
  <c r="P72" i="3"/>
  <c r="T71" i="3"/>
  <c r="R71" i="3"/>
  <c r="S71" i="3" s="1"/>
  <c r="Q71" i="3"/>
  <c r="P71" i="3"/>
  <c r="T70" i="3"/>
  <c r="R70" i="3"/>
  <c r="S70" i="3" s="1"/>
  <c r="Q70" i="3"/>
  <c r="P70" i="3"/>
  <c r="T69" i="3"/>
  <c r="R69" i="3"/>
  <c r="S69" i="3" s="1"/>
  <c r="Q69" i="3"/>
  <c r="P69" i="3"/>
  <c r="T68" i="3"/>
  <c r="R68" i="3"/>
  <c r="S68" i="3" s="1"/>
  <c r="Q68" i="3"/>
  <c r="P68" i="3"/>
  <c r="T67" i="3"/>
  <c r="R67" i="3"/>
  <c r="S67" i="3" s="1"/>
  <c r="Q67" i="3"/>
  <c r="P67" i="3"/>
  <c r="T66" i="3"/>
  <c r="R66" i="3"/>
  <c r="S66" i="3" s="1"/>
  <c r="Q66" i="3"/>
  <c r="P66" i="3"/>
  <c r="T65" i="3"/>
  <c r="R65" i="3"/>
  <c r="S65" i="3" s="1"/>
  <c r="Q65" i="3"/>
  <c r="P65" i="3"/>
  <c r="T64" i="3"/>
  <c r="R64" i="3"/>
  <c r="S64" i="3" s="1"/>
  <c r="Q64" i="3"/>
  <c r="P64" i="3"/>
  <c r="T63" i="3"/>
  <c r="R63" i="3"/>
  <c r="S63" i="3" s="1"/>
  <c r="Q63" i="3"/>
  <c r="P63" i="3"/>
  <c r="T62" i="3"/>
  <c r="R62" i="3"/>
  <c r="S62" i="3" s="1"/>
  <c r="Q62" i="3"/>
  <c r="P62" i="3"/>
  <c r="T61" i="3"/>
  <c r="R61" i="3"/>
  <c r="S61" i="3" s="1"/>
  <c r="Q61" i="3"/>
  <c r="P61" i="3"/>
  <c r="T60" i="3"/>
  <c r="R60" i="3"/>
  <c r="S60" i="3" s="1"/>
  <c r="Q60" i="3"/>
  <c r="P60" i="3"/>
  <c r="T59" i="3"/>
  <c r="R59" i="3"/>
  <c r="S59" i="3" s="1"/>
  <c r="Q59" i="3"/>
  <c r="P59" i="3"/>
  <c r="T58" i="3"/>
  <c r="R58" i="3"/>
  <c r="S58" i="3" s="1"/>
  <c r="Q58" i="3"/>
  <c r="P58" i="3"/>
  <c r="T57" i="3"/>
  <c r="R57" i="3"/>
  <c r="S57" i="3" s="1"/>
  <c r="Q57" i="3"/>
  <c r="P57" i="3"/>
  <c r="T56" i="3"/>
  <c r="R56" i="3"/>
  <c r="S56" i="3" s="1"/>
  <c r="Q56" i="3"/>
  <c r="P56" i="3"/>
  <c r="T55" i="3"/>
  <c r="R55" i="3"/>
  <c r="S55" i="3" s="1"/>
  <c r="Q55" i="3"/>
  <c r="P55" i="3"/>
  <c r="T54" i="3"/>
  <c r="R54" i="3"/>
  <c r="S54" i="3" s="1"/>
  <c r="Q54" i="3"/>
  <c r="P54" i="3"/>
  <c r="T53" i="3"/>
  <c r="R53" i="3"/>
  <c r="S53" i="3" s="1"/>
  <c r="Q53" i="3"/>
  <c r="P53" i="3"/>
  <c r="T52" i="3"/>
  <c r="R52" i="3"/>
  <c r="S52" i="3" s="1"/>
  <c r="Q52" i="3"/>
  <c r="P52" i="3"/>
  <c r="T51" i="3"/>
  <c r="R51" i="3"/>
  <c r="S51" i="3" s="1"/>
  <c r="Q51" i="3"/>
  <c r="P51" i="3"/>
  <c r="T50" i="3"/>
  <c r="R50" i="3"/>
  <c r="S50" i="3" s="1"/>
  <c r="Q50" i="3"/>
  <c r="P50" i="3"/>
  <c r="T49" i="3"/>
  <c r="R49" i="3"/>
  <c r="S49" i="3" s="1"/>
  <c r="Q49" i="3"/>
  <c r="P49" i="3"/>
  <c r="T48" i="3"/>
  <c r="R48" i="3"/>
  <c r="S48" i="3" s="1"/>
  <c r="Q48" i="3"/>
  <c r="P48" i="3"/>
  <c r="T47" i="3"/>
  <c r="R47" i="3"/>
  <c r="S47" i="3" s="1"/>
  <c r="Q47" i="3"/>
  <c r="P47" i="3"/>
  <c r="T46" i="3"/>
  <c r="R46" i="3"/>
  <c r="S46" i="3" s="1"/>
  <c r="Q46" i="3"/>
  <c r="P46" i="3"/>
  <c r="T45" i="3"/>
  <c r="R45" i="3"/>
  <c r="S45" i="3" s="1"/>
  <c r="Q45" i="3"/>
  <c r="P45" i="3"/>
  <c r="T44" i="3"/>
  <c r="R44" i="3"/>
  <c r="S44" i="3" s="1"/>
  <c r="Q44" i="3"/>
  <c r="P44" i="3"/>
  <c r="T43" i="3"/>
  <c r="R43" i="3"/>
  <c r="S43" i="3" s="1"/>
  <c r="Q43" i="3"/>
  <c r="P43" i="3"/>
  <c r="T42" i="3"/>
  <c r="R42" i="3"/>
  <c r="S42" i="3" s="1"/>
  <c r="Q42" i="3"/>
  <c r="P42" i="3"/>
  <c r="T41" i="3"/>
  <c r="R41" i="3"/>
  <c r="S41" i="3" s="1"/>
  <c r="Q41" i="3"/>
  <c r="P41" i="3"/>
  <c r="T40" i="3"/>
  <c r="R40" i="3"/>
  <c r="S40" i="3" s="1"/>
  <c r="Q40" i="3"/>
  <c r="P40" i="3"/>
  <c r="T39" i="3"/>
  <c r="R39" i="3"/>
  <c r="S39" i="3" s="1"/>
  <c r="Q39" i="3"/>
  <c r="P39" i="3"/>
  <c r="T38" i="3"/>
  <c r="R38" i="3"/>
  <c r="S38" i="3" s="1"/>
  <c r="Q38" i="3"/>
  <c r="P38" i="3"/>
  <c r="T37" i="3"/>
  <c r="R37" i="3"/>
  <c r="S37" i="3" s="1"/>
  <c r="Q37" i="3"/>
  <c r="P37" i="3"/>
  <c r="T36" i="3"/>
  <c r="R36" i="3"/>
  <c r="S36" i="3" s="1"/>
  <c r="Q36" i="3"/>
  <c r="P36" i="3"/>
  <c r="T35" i="3"/>
  <c r="R35" i="3"/>
  <c r="S35" i="3" s="1"/>
  <c r="Q35" i="3"/>
  <c r="P35" i="3"/>
  <c r="T34" i="3"/>
  <c r="R34" i="3"/>
  <c r="S34" i="3" s="1"/>
  <c r="Q34" i="3"/>
  <c r="P34" i="3"/>
  <c r="T33" i="3"/>
  <c r="R33" i="3"/>
  <c r="S33" i="3" s="1"/>
  <c r="Q33" i="3"/>
  <c r="P33" i="3"/>
  <c r="T32" i="3"/>
  <c r="R32" i="3"/>
  <c r="S32" i="3" s="1"/>
  <c r="Q32" i="3"/>
  <c r="P32" i="3"/>
  <c r="T31" i="3"/>
  <c r="R31" i="3"/>
  <c r="S31" i="3" s="1"/>
  <c r="Q31" i="3"/>
  <c r="P31" i="3"/>
  <c r="T30" i="3"/>
  <c r="R30" i="3"/>
  <c r="S30" i="3" s="1"/>
  <c r="Q30" i="3"/>
  <c r="P30" i="3"/>
  <c r="T29" i="3"/>
  <c r="R29" i="3"/>
  <c r="S29" i="3" s="1"/>
  <c r="Q29" i="3"/>
  <c r="P29" i="3"/>
  <c r="T28" i="3"/>
  <c r="R28" i="3"/>
  <c r="S28" i="3" s="1"/>
  <c r="Q28" i="3"/>
  <c r="P28" i="3"/>
  <c r="T27" i="3"/>
  <c r="R27" i="3"/>
  <c r="S27" i="3" s="1"/>
  <c r="Q27" i="3"/>
  <c r="P27" i="3"/>
  <c r="T26" i="3"/>
  <c r="R26" i="3"/>
  <c r="S26" i="3" s="1"/>
  <c r="Q26" i="3"/>
  <c r="P26" i="3"/>
  <c r="T25" i="3"/>
  <c r="R25" i="3"/>
  <c r="S25" i="3" s="1"/>
  <c r="Q25" i="3"/>
  <c r="P25" i="3"/>
  <c r="T24" i="3"/>
  <c r="R24" i="3"/>
  <c r="S24" i="3" s="1"/>
  <c r="Q24" i="3"/>
  <c r="P24" i="3"/>
  <c r="T23" i="3"/>
  <c r="R23" i="3"/>
  <c r="S23" i="3" s="1"/>
  <c r="Q23" i="3"/>
  <c r="P23" i="3"/>
  <c r="T22" i="3"/>
  <c r="R22" i="3"/>
  <c r="S22" i="3" s="1"/>
  <c r="Q22" i="3"/>
  <c r="P22" i="3"/>
  <c r="T21" i="3"/>
  <c r="R21" i="3"/>
  <c r="S21" i="3" s="1"/>
  <c r="Q21" i="3"/>
  <c r="P21" i="3"/>
  <c r="T20" i="3"/>
  <c r="R20" i="3"/>
  <c r="S20" i="3" s="1"/>
  <c r="Q20" i="3"/>
  <c r="P20" i="3"/>
  <c r="T19" i="3"/>
  <c r="R19" i="3"/>
  <c r="S19" i="3" s="1"/>
  <c r="Q19" i="3"/>
  <c r="P19" i="3"/>
  <c r="T18" i="3"/>
  <c r="R18" i="3"/>
  <c r="S18" i="3" s="1"/>
  <c r="Q18" i="3"/>
  <c r="P18" i="3"/>
  <c r="T17" i="3"/>
  <c r="R17" i="3"/>
  <c r="S17" i="3" s="1"/>
  <c r="Q17" i="3"/>
  <c r="P17" i="3"/>
  <c r="T16" i="3"/>
  <c r="R16" i="3"/>
  <c r="S16" i="3" s="1"/>
  <c r="Q16" i="3"/>
  <c r="P16" i="3"/>
  <c r="T15" i="3"/>
  <c r="R15" i="3"/>
  <c r="S15" i="3" s="1"/>
  <c r="Q15" i="3"/>
  <c r="P15" i="3"/>
  <c r="T14" i="3"/>
  <c r="R14" i="3"/>
  <c r="S14" i="3" s="1"/>
  <c r="Q14" i="3"/>
  <c r="P14" i="3"/>
  <c r="T13" i="3"/>
  <c r="R13" i="3"/>
  <c r="S13" i="3" s="1"/>
  <c r="Q13" i="3"/>
  <c r="P13" i="3"/>
  <c r="T12" i="3"/>
  <c r="R12" i="3"/>
  <c r="S12" i="3" s="1"/>
  <c r="Q12" i="3"/>
  <c r="P12" i="3"/>
  <c r="T11" i="3"/>
  <c r="R11" i="3"/>
  <c r="S11" i="3" s="1"/>
  <c r="Q11" i="3"/>
  <c r="P11" i="3"/>
  <c r="T10" i="3"/>
  <c r="R10" i="3"/>
  <c r="S10" i="3" s="1"/>
  <c r="Q10" i="3"/>
  <c r="P10" i="3"/>
  <c r="T9" i="3"/>
  <c r="R9" i="3"/>
  <c r="S9" i="3" s="1"/>
  <c r="Q9" i="3"/>
  <c r="P9" i="3"/>
  <c r="T8" i="3"/>
  <c r="R8" i="3"/>
  <c r="S8" i="3" s="1"/>
  <c r="Q8" i="3"/>
  <c r="P8" i="3"/>
  <c r="T7" i="3"/>
  <c r="R7" i="3"/>
  <c r="S7" i="3" s="1"/>
  <c r="Q7" i="3"/>
  <c r="P7" i="3"/>
  <c r="T6" i="3"/>
  <c r="R6" i="3"/>
  <c r="S6" i="3" s="1"/>
  <c r="Q6" i="3"/>
  <c r="P6" i="3"/>
  <c r="T5" i="3"/>
  <c r="P5" i="3"/>
  <c r="V36" i="2"/>
  <c r="V35" i="2"/>
  <c r="V34" i="2"/>
  <c r="V33" i="2"/>
  <c r="V32" i="2"/>
  <c r="D5" i="9" l="1"/>
  <c r="J4" i="9"/>
  <c r="G7" i="5" s="1"/>
  <c r="Y9" i="2"/>
  <c r="K10" i="5"/>
  <c r="Y8" i="2"/>
  <c r="K9" i="5"/>
  <c r="K8" i="5"/>
  <c r="Y7" i="2"/>
  <c r="Y6" i="2"/>
  <c r="K7" i="5"/>
  <c r="Y5" i="2"/>
  <c r="K6" i="5"/>
  <c r="H6" i="5"/>
  <c r="K15" i="9"/>
  <c r="H18" i="5" s="1"/>
  <c r="G6" i="5"/>
  <c r="F6" i="5"/>
  <c r="G3" i="9"/>
  <c r="C6" i="5"/>
  <c r="C11" i="9"/>
  <c r="C14" i="5" s="1"/>
  <c r="C41" i="9"/>
  <c r="I7" i="9"/>
  <c r="F10" i="5" s="1"/>
  <c r="C13" i="6"/>
  <c r="C14" i="6" s="1"/>
  <c r="L26" i="9" a="1"/>
  <c r="L26" i="9" s="1"/>
  <c r="D33" i="9"/>
  <c r="C26" i="9" a="1"/>
  <c r="C26" i="9" s="1"/>
  <c r="K25" i="9" a="1"/>
  <c r="K25" i="9" s="1"/>
  <c r="J5" i="9"/>
  <c r="C33" i="9"/>
  <c r="E9" i="9"/>
  <c r="T27" i="9"/>
  <c r="H27" i="9" a="1"/>
  <c r="H27" i="9" s="1"/>
  <c r="T26" i="9"/>
  <c r="P27" i="9"/>
  <c r="J12" i="7" s="1"/>
  <c r="N12" i="7" s="1"/>
  <c r="I27" i="9" a="1"/>
  <c r="I27" i="9" s="1"/>
  <c r="S26" i="9"/>
  <c r="J26" i="9" a="1"/>
  <c r="J26" i="9" s="1"/>
  <c r="T25" i="9"/>
  <c r="I11" i="9"/>
  <c r="F14" i="5" s="1"/>
  <c r="J25" i="9" a="1"/>
  <c r="J25" i="9" s="1"/>
  <c r="S24" i="9"/>
  <c r="H24" i="9" a="1"/>
  <c r="H24" i="9" s="1"/>
  <c r="Q23" i="9"/>
  <c r="H23" i="9" a="1"/>
  <c r="H23" i="9" s="1"/>
  <c r="S21" i="9"/>
  <c r="N20" i="9" a="1"/>
  <c r="N20" i="9" s="1"/>
  <c r="J14" i="9"/>
  <c r="G17" i="5" s="1"/>
  <c r="E11" i="9"/>
  <c r="I9" i="9"/>
  <c r="F12" i="5" s="1"/>
  <c r="E8" i="9"/>
  <c r="I6" i="9"/>
  <c r="F9" i="5" s="1"/>
  <c r="C5" i="9"/>
  <c r="C8" i="5" s="1"/>
  <c r="D35" i="9"/>
  <c r="X34" i="2" s="1"/>
  <c r="F21" i="9" a="1"/>
  <c r="F21" i="9" s="1"/>
  <c r="F20" i="9" a="1"/>
  <c r="F20" i="9" s="1"/>
  <c r="J13" i="9"/>
  <c r="G16" i="5" s="1"/>
  <c r="N10" i="9"/>
  <c r="C36" i="9"/>
  <c r="W35" i="2" s="1"/>
  <c r="S22" i="9"/>
  <c r="G22" i="9" a="1"/>
  <c r="G22" i="9" s="1"/>
  <c r="N21" i="9" a="1"/>
  <c r="N21" i="9" s="1"/>
  <c r="D21" i="9" a="1"/>
  <c r="D21" i="9" s="1"/>
  <c r="G20" i="9" a="1"/>
  <c r="G20" i="9" s="1"/>
  <c r="D14" i="9"/>
  <c r="N11" i="9"/>
  <c r="I8" i="9"/>
  <c r="F11" i="5" s="1"/>
  <c r="D36" i="9"/>
  <c r="X35" i="2" s="1"/>
  <c r="C37" i="9"/>
  <c r="W36" i="2" s="1"/>
  <c r="M22" i="9" a="1"/>
  <c r="M22" i="9" s="1"/>
  <c r="Q21" i="9"/>
  <c r="P20" i="9"/>
  <c r="J5" i="7" s="1"/>
  <c r="I13" i="9"/>
  <c r="F16" i="5" s="1"/>
  <c r="F11" i="9"/>
  <c r="N9" i="9"/>
  <c r="S27" i="9"/>
  <c r="J27" i="9" a="1"/>
  <c r="J27" i="9" s="1"/>
  <c r="C27" i="9" a="1"/>
  <c r="C27" i="9" s="1"/>
  <c r="K26" i="9" a="1"/>
  <c r="K26" i="9" s="1"/>
  <c r="S25" i="9"/>
  <c r="H25" i="9" a="1"/>
  <c r="H25" i="9" s="1"/>
  <c r="P24" i="9"/>
  <c r="J9" i="7" s="1"/>
  <c r="N9" i="7" s="1"/>
  <c r="P23" i="9"/>
  <c r="J8" i="7" s="1"/>
  <c r="N8" i="7" s="1"/>
  <c r="D23" i="9" a="1"/>
  <c r="D23" i="9" s="1"/>
  <c r="E22" i="9" a="1"/>
  <c r="E22" i="9" s="1"/>
  <c r="H21" i="9" a="1"/>
  <c r="H21" i="9" s="1"/>
  <c r="I20" i="9" a="1"/>
  <c r="I20" i="9" s="1"/>
  <c r="N13" i="9"/>
  <c r="J7" i="9"/>
  <c r="G10" i="5" s="1"/>
  <c r="D4" i="9"/>
  <c r="C40" i="9"/>
  <c r="C42" i="9" s="1"/>
  <c r="L10" i="2" s="1"/>
  <c r="P26" i="9"/>
  <c r="J11" i="7" s="1"/>
  <c r="N11" i="7" s="1"/>
  <c r="L27" i="9" a="1"/>
  <c r="L27" i="9" s="1"/>
  <c r="F27" i="9" a="1"/>
  <c r="F27" i="9" s="1"/>
  <c r="N26" i="9" a="1"/>
  <c r="N26" i="9" s="1"/>
  <c r="F26" i="9" a="1"/>
  <c r="F26" i="9" s="1"/>
  <c r="N25" i="9" a="1"/>
  <c r="N25" i="9" s="1"/>
  <c r="E25" i="9" a="1"/>
  <c r="E25" i="9" s="1"/>
  <c r="L24" i="9" a="1"/>
  <c r="L24" i="9" s="1"/>
  <c r="F24" i="9" a="1"/>
  <c r="F24" i="9" s="1"/>
  <c r="N23" i="9" a="1"/>
  <c r="N23" i="9" s="1"/>
  <c r="F23" i="9" a="1"/>
  <c r="F23" i="9" s="1"/>
  <c r="L22" i="9" a="1"/>
  <c r="L22" i="9" s="1"/>
  <c r="T21" i="9"/>
  <c r="E21" i="9" a="1"/>
  <c r="E21" i="9" s="1"/>
  <c r="H20" i="9" a="1"/>
  <c r="H20" i="9" s="1"/>
  <c r="C14" i="9"/>
  <c r="C17" i="5" s="1"/>
  <c r="G26" i="9" a="1"/>
  <c r="G26" i="9" s="1"/>
  <c r="F9" i="9"/>
  <c r="P25" i="9"/>
  <c r="J10" i="7" s="1"/>
  <c r="N10" i="7" s="1"/>
  <c r="F25" i="9" a="1"/>
  <c r="F25" i="9" s="1"/>
  <c r="M24" i="9" a="1"/>
  <c r="M24" i="9" s="1"/>
  <c r="T23" i="9"/>
  <c r="E23" i="9" a="1"/>
  <c r="E23" i="9" s="1"/>
  <c r="J22" i="9" a="1"/>
  <c r="J22" i="9" s="1"/>
  <c r="P21" i="9"/>
  <c r="J6" i="7" s="1"/>
  <c r="N6" i="7" s="1"/>
  <c r="Q20" i="9"/>
  <c r="D26" i="9" a="1"/>
  <c r="D26" i="9" s="1"/>
  <c r="I25" i="9" a="1"/>
  <c r="I25" i="9" s="1"/>
  <c r="T24" i="9"/>
  <c r="I24" i="9" a="1"/>
  <c r="I24" i="9" s="1"/>
  <c r="S23" i="9"/>
  <c r="I23" i="9" a="1"/>
  <c r="I23" i="9" s="1"/>
  <c r="Q22" i="9"/>
  <c r="N14" i="9"/>
  <c r="C8" i="9"/>
  <c r="C11" i="5" s="1"/>
  <c r="D6" i="9"/>
  <c r="D22" i="9" a="1"/>
  <c r="D22" i="9" s="1"/>
  <c r="I21" i="9" a="1"/>
  <c r="I21" i="9" s="1"/>
  <c r="L20" i="9" a="1"/>
  <c r="L20" i="9" s="1"/>
  <c r="I14" i="9"/>
  <c r="F17" i="5" s="1"/>
  <c r="E12" i="9"/>
  <c r="K22" i="9" a="1"/>
  <c r="K22" i="9" s="1"/>
  <c r="C4" i="9"/>
  <c r="J6" i="9"/>
  <c r="G9" i="5" s="1"/>
  <c r="F8" i="9"/>
  <c r="C10" i="9"/>
  <c r="C13" i="5" s="1"/>
  <c r="J12" i="9"/>
  <c r="G15" i="5" s="1"/>
  <c r="D34" i="9"/>
  <c r="X33" i="2" s="1"/>
  <c r="F10" i="9"/>
  <c r="D37" i="9"/>
  <c r="X36" i="2" s="1"/>
  <c r="C13" i="9"/>
  <c r="C16" i="5" s="1"/>
  <c r="D11" i="9"/>
  <c r="J9" i="9"/>
  <c r="G12" i="5" s="1"/>
  <c r="C7" i="9"/>
  <c r="C10" i="5" s="1"/>
  <c r="I5" i="9"/>
  <c r="F8" i="5" s="1"/>
  <c r="Q5" i="3"/>
  <c r="R5" i="3" s="1"/>
  <c r="S5" i="3" s="1"/>
  <c r="T2" i="3"/>
  <c r="D3" i="2" s="1"/>
  <c r="G23" i="9" a="1"/>
  <c r="G23" i="9" s="1"/>
  <c r="F22" i="9" a="1"/>
  <c r="F22" i="9" s="1"/>
  <c r="K21" i="9" a="1"/>
  <c r="K21" i="9" s="1"/>
  <c r="S20" i="9"/>
  <c r="C20" i="9" a="1"/>
  <c r="C20" i="9" s="1"/>
  <c r="D13" i="9"/>
  <c r="I10" i="9"/>
  <c r="F13" i="5" s="1"/>
  <c r="C34" i="9"/>
  <c r="W33" i="2" s="1"/>
  <c r="M20" i="9" a="1"/>
  <c r="M20" i="9" s="1"/>
  <c r="I4" i="9"/>
  <c r="F4" i="9"/>
  <c r="F6" i="9"/>
  <c r="D8" i="9"/>
  <c r="J10" i="9"/>
  <c r="G13" i="5" s="1"/>
  <c r="F12" i="9"/>
  <c r="F14" i="9"/>
  <c r="J20" i="9" a="1"/>
  <c r="J20" i="9" s="1"/>
  <c r="G21" i="9" a="1"/>
  <c r="G21" i="9" s="1"/>
  <c r="C22" i="9" a="1"/>
  <c r="C22" i="9" s="1"/>
  <c r="P22" i="9"/>
  <c r="J7" i="7" s="1"/>
  <c r="N7" i="7" s="1"/>
  <c r="J23" i="9" a="1"/>
  <c r="J23" i="9" s="1"/>
  <c r="E24" i="9" a="1"/>
  <c r="E24" i="9" s="1"/>
  <c r="N24" i="9" a="1"/>
  <c r="N24" i="9" s="1"/>
  <c r="G25" i="9" a="1"/>
  <c r="G25" i="9" s="1"/>
  <c r="Q25" i="9"/>
  <c r="I26" i="9" a="1"/>
  <c r="I26" i="9" s="1"/>
  <c r="Q26" i="9"/>
  <c r="G27" i="9" a="1"/>
  <c r="G27" i="9" s="1"/>
  <c r="M27" i="9" a="1"/>
  <c r="M27" i="9" s="1"/>
  <c r="E14" i="9"/>
  <c r="J11" i="9"/>
  <c r="G14" i="5" s="1"/>
  <c r="D9" i="9"/>
  <c r="F7" i="9"/>
  <c r="C6" i="9"/>
  <c r="C9" i="5" s="1"/>
  <c r="E4" i="9"/>
  <c r="C9" i="9"/>
  <c r="C12" i="5" s="1"/>
  <c r="D7" i="9"/>
  <c r="F5" i="9"/>
  <c r="C25" i="9" a="1"/>
  <c r="C25" i="9" s="1"/>
  <c r="E5" i="9"/>
  <c r="G5" i="9" s="1"/>
  <c r="E7" i="9"/>
  <c r="N12" i="9"/>
  <c r="K20" i="9" a="1"/>
  <c r="K20" i="9" s="1"/>
  <c r="J21" i="9" a="1"/>
  <c r="J21" i="9" s="1"/>
  <c r="N22" i="9" a="1"/>
  <c r="N22" i="9" s="1"/>
  <c r="M23" i="9" a="1"/>
  <c r="M23" i="9" s="1"/>
  <c r="C35" i="9"/>
  <c r="W34" i="2" s="1"/>
  <c r="N8" i="9"/>
  <c r="E10" i="9"/>
  <c r="C12" i="9"/>
  <c r="C15" i="5" s="1"/>
  <c r="F13" i="9"/>
  <c r="E20" i="9" a="1"/>
  <c r="E20" i="9" s="1"/>
  <c r="C21" i="9" a="1"/>
  <c r="C21" i="9" s="1"/>
  <c r="L21" i="9" a="1"/>
  <c r="L21" i="9" s="1"/>
  <c r="I22" i="9" a="1"/>
  <c r="I22" i="9" s="1"/>
  <c r="C23" i="9" a="1"/>
  <c r="C23" i="9" s="1"/>
  <c r="L23" i="9" a="1"/>
  <c r="L23" i="9" s="1"/>
  <c r="D24" i="9" a="1"/>
  <c r="D24" i="9" s="1"/>
  <c r="K24" i="9" a="1"/>
  <c r="K24" i="9" s="1"/>
  <c r="D25" i="9" a="1"/>
  <c r="D25" i="9" s="1"/>
  <c r="L25" i="9" a="1"/>
  <c r="L25" i="9" s="1"/>
  <c r="E26" i="9" a="1"/>
  <c r="E26" i="9" s="1"/>
  <c r="M26" i="9" a="1"/>
  <c r="M26" i="9" s="1"/>
  <c r="E27" i="9" a="1"/>
  <c r="E27" i="9" s="1"/>
  <c r="N27" i="9" a="1"/>
  <c r="N27" i="9" s="1"/>
  <c r="I12" i="9"/>
  <c r="F15" i="5" s="1"/>
  <c r="Q27" i="9"/>
  <c r="K27" i="9" a="1"/>
  <c r="K27" i="9" s="1"/>
  <c r="D27" i="9" a="1"/>
  <c r="D27" i="9" s="1"/>
  <c r="G24" i="9" a="1"/>
  <c r="G24" i="9" s="1"/>
  <c r="Q24" i="9"/>
  <c r="M25" i="9" a="1"/>
  <c r="M25" i="9" s="1"/>
  <c r="H26" i="9" a="1"/>
  <c r="H26" i="9" s="1"/>
  <c r="E6" i="9"/>
  <c r="J8" i="9"/>
  <c r="G11" i="5" s="1"/>
  <c r="D10" i="9"/>
  <c r="D12" i="9"/>
  <c r="E13" i="9"/>
  <c r="D20" i="9" a="1"/>
  <c r="D20" i="9" s="1"/>
  <c r="T20" i="9"/>
  <c r="M21" i="9" a="1"/>
  <c r="M21" i="9" s="1"/>
  <c r="H22" i="9" a="1"/>
  <c r="H22" i="9" s="1"/>
  <c r="T22" i="9"/>
  <c r="K23" i="9" a="1"/>
  <c r="K23" i="9" s="1"/>
  <c r="C24" i="9" a="1"/>
  <c r="C24" i="9" s="1"/>
  <c r="J24" i="9" a="1"/>
  <c r="J24" i="9" s="1"/>
  <c r="H14" i="6"/>
  <c r="G14" i="6"/>
  <c r="F14" i="6"/>
  <c r="H13" i="6"/>
  <c r="G13" i="6"/>
  <c r="F13" i="6"/>
  <c r="F12" i="6"/>
  <c r="G12" i="6" s="1"/>
  <c r="H12" i="6" s="1"/>
  <c r="F11" i="6"/>
  <c r="G11" i="6" s="1"/>
  <c r="H11" i="6" s="1"/>
  <c r="F10" i="6"/>
  <c r="G10" i="6" s="1"/>
  <c r="H10" i="6" s="1"/>
  <c r="F9" i="6"/>
  <c r="G9" i="6" s="1"/>
  <c r="H9" i="6" s="1"/>
  <c r="F8" i="6"/>
  <c r="G8" i="6" s="1"/>
  <c r="H8" i="6" s="1"/>
  <c r="F7" i="6"/>
  <c r="G7" i="6" s="1"/>
  <c r="H7" i="6" s="1"/>
  <c r="F6" i="6"/>
  <c r="G6" i="6" s="1"/>
  <c r="H6" i="6" s="1"/>
  <c r="F5" i="6"/>
  <c r="G5" i="6" s="1"/>
  <c r="H5" i="6" s="1"/>
  <c r="U29" i="9"/>
  <c r="W29" i="2" s="1"/>
  <c r="U28" i="9"/>
  <c r="W28" i="2" s="1"/>
  <c r="H8" i="9" l="1"/>
  <c r="E11" i="5" s="1"/>
  <c r="G11" i="9"/>
  <c r="H10" i="9"/>
  <c r="E13" i="5" s="1"/>
  <c r="H11" i="9"/>
  <c r="E14" i="5" s="1"/>
  <c r="N15" i="9"/>
  <c r="K18" i="5" s="1"/>
  <c r="H5" i="9"/>
  <c r="E8" i="5" s="1"/>
  <c r="G10" i="9"/>
  <c r="G12" i="9"/>
  <c r="H4" i="9"/>
  <c r="E7" i="5" s="1"/>
  <c r="D6" i="5"/>
  <c r="W5" i="2"/>
  <c r="C15" i="6"/>
  <c r="C19" i="6" s="1"/>
  <c r="C17" i="6"/>
  <c r="C18" i="6" s="1"/>
  <c r="D38" i="9"/>
  <c r="G14" i="2" s="1"/>
  <c r="X32" i="2"/>
  <c r="W32" i="2"/>
  <c r="C38" i="9"/>
  <c r="B14" i="2" s="1"/>
  <c r="K8" i="7"/>
  <c r="U23" i="9"/>
  <c r="K13" i="5"/>
  <c r="Y12" i="2"/>
  <c r="K14" i="5"/>
  <c r="Y13" i="2"/>
  <c r="U21" i="9"/>
  <c r="K6" i="7"/>
  <c r="K12" i="5"/>
  <c r="Y11" i="2"/>
  <c r="Y15" i="2"/>
  <c r="K16" i="5"/>
  <c r="K5" i="7"/>
  <c r="U22" i="9"/>
  <c r="K7" i="7"/>
  <c r="Y16" i="2"/>
  <c r="K17" i="5"/>
  <c r="R20" i="9"/>
  <c r="U20" i="9" s="1"/>
  <c r="H3" i="9"/>
  <c r="L3" i="9" s="1"/>
  <c r="M3" i="9" s="1"/>
  <c r="J6" i="5" s="1"/>
  <c r="U25" i="9"/>
  <c r="K10" i="7"/>
  <c r="K11" i="7"/>
  <c r="D8" i="5"/>
  <c r="M5" i="9"/>
  <c r="J8" i="5" s="1"/>
  <c r="W7" i="2"/>
  <c r="L5" i="9"/>
  <c r="K15" i="5"/>
  <c r="Y14" i="2"/>
  <c r="K11" i="5"/>
  <c r="Y10" i="2"/>
  <c r="K12" i="7"/>
  <c r="K9" i="7"/>
  <c r="L10" i="9"/>
  <c r="M10" i="9"/>
  <c r="J13" i="5" s="1"/>
  <c r="W12" i="2"/>
  <c r="D13" i="5"/>
  <c r="D15" i="5"/>
  <c r="W14" i="2"/>
  <c r="M12" i="9"/>
  <c r="J15" i="5" s="1"/>
  <c r="R26" i="9"/>
  <c r="U26" i="9" s="1"/>
  <c r="H14" i="9"/>
  <c r="E17" i="5" s="1"/>
  <c r="G6" i="9"/>
  <c r="H12" i="9"/>
  <c r="H7" i="9"/>
  <c r="E10" i="5" s="1"/>
  <c r="G14" i="9"/>
  <c r="R27" i="9"/>
  <c r="U27" i="9" s="1"/>
  <c r="H9" i="9"/>
  <c r="E12" i="5" s="1"/>
  <c r="G13" i="9"/>
  <c r="H13" i="9"/>
  <c r="E16" i="5" s="1"/>
  <c r="F15" i="9"/>
  <c r="G8" i="9"/>
  <c r="R22" i="9"/>
  <c r="G9" i="9"/>
  <c r="E15" i="9"/>
  <c r="G7" i="9"/>
  <c r="R25" i="9"/>
  <c r="R21" i="9"/>
  <c r="R23" i="9"/>
  <c r="R24" i="9"/>
  <c r="U24" i="9" s="1"/>
  <c r="H6" i="9"/>
  <c r="E9" i="5" s="1"/>
  <c r="G8" i="5"/>
  <c r="J15" i="9"/>
  <c r="G18" i="5" s="1"/>
  <c r="G4" i="9"/>
  <c r="D15" i="9"/>
  <c r="C7" i="5"/>
  <c r="C15" i="9"/>
  <c r="F7" i="5"/>
  <c r="I15" i="9"/>
  <c r="F18" i="5" s="1"/>
  <c r="G15" i="9" l="1"/>
  <c r="L11" i="9"/>
  <c r="M11" i="9"/>
  <c r="J14" i="5" s="1"/>
  <c r="D14" i="5"/>
  <c r="W13" i="2"/>
  <c r="I6" i="5"/>
  <c r="X5" i="2"/>
  <c r="D18" i="5"/>
  <c r="G6" i="2"/>
  <c r="W23" i="2"/>
  <c r="M8" i="7"/>
  <c r="M6" i="7"/>
  <c r="W21" i="2"/>
  <c r="M5" i="7"/>
  <c r="N5" i="7" s="1"/>
  <c r="W20" i="2"/>
  <c r="W22" i="2"/>
  <c r="M7" i="7"/>
  <c r="I14" i="5"/>
  <c r="X13" i="2"/>
  <c r="X20" i="2"/>
  <c r="L5" i="7"/>
  <c r="E6" i="5"/>
  <c r="H15" i="9"/>
  <c r="M10" i="7"/>
  <c r="W25" i="2"/>
  <c r="W26" i="2"/>
  <c r="M11" i="7"/>
  <c r="X7" i="2"/>
  <c r="I8" i="5"/>
  <c r="W27" i="2"/>
  <c r="M12" i="7"/>
  <c r="W24" i="2"/>
  <c r="M9" i="7"/>
  <c r="X12" i="2"/>
  <c r="I13" i="5"/>
  <c r="L11" i="7"/>
  <c r="X26" i="2"/>
  <c r="M6" i="9"/>
  <c r="J9" i="5" s="1"/>
  <c r="L6" i="9"/>
  <c r="W8" i="2"/>
  <c r="D9" i="5"/>
  <c r="M14" i="9"/>
  <c r="J17" i="5" s="1"/>
  <c r="L14" i="9"/>
  <c r="W16" i="2"/>
  <c r="D17" i="5"/>
  <c r="L12" i="7"/>
  <c r="X27" i="2"/>
  <c r="M13" i="9"/>
  <c r="J16" i="5" s="1"/>
  <c r="L13" i="9"/>
  <c r="W15" i="2"/>
  <c r="D16" i="5"/>
  <c r="W10" i="2"/>
  <c r="D11" i="5"/>
  <c r="M8" i="9"/>
  <c r="J11" i="5" s="1"/>
  <c r="L8" i="9"/>
  <c r="L7" i="7"/>
  <c r="X22" i="2"/>
  <c r="W11" i="2"/>
  <c r="D12" i="5"/>
  <c r="M9" i="9"/>
  <c r="J12" i="5" s="1"/>
  <c r="L9" i="9"/>
  <c r="W9" i="2"/>
  <c r="D10" i="5"/>
  <c r="M7" i="9"/>
  <c r="J10" i="5" s="1"/>
  <c r="L7" i="9"/>
  <c r="L10" i="7"/>
  <c r="X25" i="2"/>
  <c r="L6" i="7"/>
  <c r="X21" i="2"/>
  <c r="L8" i="7"/>
  <c r="X23" i="2"/>
  <c r="L9" i="7"/>
  <c r="X24" i="2"/>
  <c r="W6" i="2"/>
  <c r="D7" i="5"/>
  <c r="M4" i="9"/>
  <c r="J7" i="5" s="1"/>
  <c r="L4" i="9"/>
  <c r="L15" i="9" s="1"/>
  <c r="M15" i="9" s="1"/>
  <c r="J18" i="5" s="1"/>
  <c r="C43" i="9"/>
  <c r="L14" i="2" s="1"/>
  <c r="C18" i="5"/>
  <c r="L6" i="2"/>
  <c r="B10" i="2"/>
  <c r="E15" i="5"/>
  <c r="L12" i="9"/>
  <c r="I18" i="5" l="1"/>
  <c r="B6" i="2"/>
  <c r="G10" i="2"/>
  <c r="E18" i="5"/>
  <c r="I9" i="5"/>
  <c r="X8" i="2"/>
  <c r="I17" i="5"/>
  <c r="X16" i="2"/>
  <c r="I16" i="5"/>
  <c r="X15" i="2"/>
  <c r="I11" i="5"/>
  <c r="X10" i="2"/>
  <c r="I12" i="5"/>
  <c r="X11" i="2"/>
  <c r="I10" i="5"/>
  <c r="X9" i="2"/>
  <c r="I7" i="5"/>
  <c r="X6" i="2"/>
  <c r="X14" i="2"/>
  <c r="I15" i="5"/>
</calcChain>
</file>

<file path=xl/sharedStrings.xml><?xml version="1.0" encoding="utf-8"?>
<sst xmlns="http://schemas.openxmlformats.org/spreadsheetml/2006/main" count="275" uniqueCount="192">
  <si>
    <t>Reseller Inventory &amp; Profit Tracker</t>
  </si>
  <si>
    <t>Every item you flip, from purchase to payout, across eBay, Poshmark, Mercari, Depop, Facebook, Etsy and Whatnot. Works in Excel and Google Sheets.</t>
  </si>
  <si>
    <t>QUICK START (10 minutes)</t>
  </si>
  <si>
    <t>1. 'Inventory' tab: one row per item. When you buy it, enter the date, what you paid and any cleaning or repair costs.</t>
  </si>
  <si>
    <t>2. When it sells, pick the platform and enter the sold date, sale price, shipping the buyer paid and the postage label you paid.</t>
  </si>
  <si>
    <t xml:space="preserve">    Platform fees, profit, ROI and days held work themselves out. Delete the EXAMPLE rows first.</t>
  </si>
  <si>
    <t>3. 'Expenses' tab: costs not tied to one item: shipping supplies, mileage, storage, crosslisting apps, store subscriptions.</t>
  </si>
  <si>
    <t>4. 'Dashboard' shows the year at a glance (change the year in cell C3), plus what is still sitting in stock and for how long.</t>
  </si>
  <si>
    <t>5. 'Buy or Pass' tells you the most you should pay for an item to make the profit you want, and which platform pays you most.</t>
  </si>
  <si>
    <t>6. 'Platforms' holds each platform's fee rates and shows your results per platform. Fees change: check yours and edit the yellow cells.</t>
  </si>
  <si>
    <t xml:space="preserve">    Know the exact fee from the sale page? Type it in 'Actual platform fees' on that row and it replaces the estimate.</t>
  </si>
  <si>
    <t>7. Red cells mean a row needs fixing (sold date before purchase, price with no sold date, unknown platform, text in an amount).</t>
  </si>
  <si>
    <t xml:space="preserve">    That row stays out of the totals until fixed. The count shows at the top of each tab and on the Dashboard.</t>
  </si>
  <si>
    <t>8. Room for 2,000 items and 500 expenses. Need more? Right-click a row number in the middle of the list &gt; Insert; totals expand automatically.</t>
  </si>
  <si>
    <t>HOW THE NUMBERS WORK</t>
  </si>
  <si>
    <t>Revenue = sale price + shipping the buyer paid - refunds.  Profit = revenue - platform fees - postage - item cost - extra costs.</t>
  </si>
  <si>
    <t>Cost of an item counts in the month it SELLS (so profit matches sales). 'Inventory bought' shows the cash you spent on stock each month.</t>
  </si>
  <si>
    <t>Fee estimate = % of sale price (plus shipping, where the platform charges on it) + fixed fee per order, never below the minimum fee.</t>
  </si>
  <si>
    <t>Poshmark-style flat fees: below the 'flat fee under' price, the flat fee is charged instead of the %.</t>
  </si>
  <si>
    <t>Sales tax is collected and paid by the marketplaces, so it is not counted as your income.</t>
  </si>
  <si>
    <t>COLOR KEY</t>
  </si>
  <si>
    <t>Yellow cells = you type here.  White cells = formulas, leave them alone.  Rows marked EXAMPLE show the format; delete them when you start.</t>
  </si>
  <si>
    <t>USING GOOGLE SHEETS?</t>
  </si>
  <si>
    <t>Open sheets.google.com &gt; File &gt; Import &gt; Upload this .xlsx &gt; 'Replace spreadsheet'. Formulas and dropdowns carry over.</t>
  </si>
  <si>
    <t>IMPORTANT</t>
  </si>
  <si>
    <t>Fee figures are estimates from the rates on 'Platforms'. Each platform's payout report is the final word. A record-keeping aid, not tax advice.</t>
  </si>
  <si>
    <t>Questions or a formula not behaving? Email nora@qnsai.com. Made by Nora Studio.</t>
  </si>
  <si>
    <t>Reseller Dashboard</t>
  </si>
  <si>
    <t>Year:</t>
  </si>
  <si>
    <t>Chart data (do not edit)</t>
  </si>
  <si>
    <t>Month</t>
  </si>
  <si>
    <t>Revenue</t>
  </si>
  <si>
    <t>Net profit</t>
  </si>
  <si>
    <t>Inventory bought</t>
  </si>
  <si>
    <t>NET PROFIT</t>
  </si>
  <si>
    <t>REVENUE</t>
  </si>
  <si>
    <t>ITEMS SOLD</t>
  </si>
  <si>
    <t>Jan</t>
  </si>
  <si>
    <t>Feb</t>
  </si>
  <si>
    <t>Mar</t>
  </si>
  <si>
    <t>Apr</t>
  </si>
  <si>
    <t>AVG PROFIT PER ITEM</t>
  </si>
  <si>
    <t>PLATFORM FEES</t>
  </si>
  <si>
    <t>AVG DAYS TO SELL</t>
  </si>
  <si>
    <t>May</t>
  </si>
  <si>
    <t>Jun</t>
  </si>
  <si>
    <t>Jul</t>
  </si>
  <si>
    <t>Aug</t>
  </si>
  <si>
    <t>IN STOCK NOW (ITEMS)</t>
  </si>
  <si>
    <t>STOCK VALUE AT COST</t>
  </si>
  <si>
    <t>SELL-THROUGH</t>
  </si>
  <si>
    <t>Sep</t>
  </si>
  <si>
    <t>Oct</t>
  </si>
  <si>
    <t>Nov</t>
  </si>
  <si>
    <t>Avg profit per item is before shop expenses. In stock, stock value and age are as of today, whatever year is selected.</t>
  </si>
  <si>
    <t>Dec</t>
  </si>
  <si>
    <t>Platform</t>
  </si>
  <si>
    <t>Profit</t>
  </si>
  <si>
    <t>Fees</t>
  </si>
  <si>
    <t>Age in stock</t>
  </si>
  <si>
    <t>Items</t>
  </si>
  <si>
    <t>Cost</t>
  </si>
  <si>
    <t>Inventory</t>
  </si>
  <si>
    <t>One row per item. Fill the left side when you buy it, the right side when it sells. Amounts before platform fees.</t>
  </si>
  <si>
    <t>Rows to fix:</t>
  </si>
  <si>
    <t>Red cell = something to fix. That row stays out of the totals until fixed.</t>
  </si>
  <si>
    <t>Item ID / SKU</t>
  </si>
  <si>
    <t>Item</t>
  </si>
  <si>
    <t>Category</t>
  </si>
  <si>
    <t>Purchase date</t>
  </si>
  <si>
    <t>Bought from</t>
  </si>
  <si>
    <t>Item cost</t>
  </si>
  <si>
    <t>Extra costs (cleaning, repair)</t>
  </si>
  <si>
    <t>Date listed</t>
  </si>
  <si>
    <t>Date sold</t>
  </si>
  <si>
    <t>Sale price</t>
  </si>
  <si>
    <t>Shipping buyer paid</t>
  </si>
  <si>
    <t>Postage you paid</t>
  </si>
  <si>
    <t>Actual platform fees (optional)</t>
  </si>
  <si>
    <t>Refunded to buyer</t>
  </si>
  <si>
    <t>Status</t>
  </si>
  <si>
    <t>Platform fees</t>
  </si>
  <si>
    <t>ROI</t>
  </si>
  <si>
    <t>Days held</t>
  </si>
  <si>
    <t>EX-001</t>
  </si>
  <si>
    <t>EXAMPLE: Levi's 501 jeans</t>
  </si>
  <si>
    <t>Clothing</t>
  </si>
  <si>
    <t>Thrift store</t>
  </si>
  <si>
    <t>eBay</t>
  </si>
  <si>
    <t>EX-002</t>
  </si>
  <si>
    <t>EXAMPLE: Le Creuset mug</t>
  </si>
  <si>
    <t>Home</t>
  </si>
  <si>
    <t>Garage sale</t>
  </si>
  <si>
    <t>Poshmark</t>
  </si>
  <si>
    <t>Expenses</t>
  </si>
  <si>
    <t>Business costs not tied to one item. Item costs and postage belong on the Inventory tab.</t>
  </si>
  <si>
    <t>Date</t>
  </si>
  <si>
    <t>Description / payee</t>
  </si>
  <si>
    <t>Amount</t>
  </si>
  <si>
    <t>Shipping supplies</t>
  </si>
  <si>
    <t>EXAMPLE: Poly mailers (100)</t>
  </si>
  <si>
    <t>Monthly P&amp;L</t>
  </si>
  <si>
    <t>(change it on the Dashboard)</t>
  </si>
  <si>
    <t>Items sold</t>
  </si>
  <si>
    <t>Postage</t>
  </si>
  <si>
    <t>Cost of items sold</t>
  </si>
  <si>
    <t>Margin</t>
  </si>
  <si>
    <t>Total</t>
  </si>
  <si>
    <t>Revenue = sale prices + shipping buyers paid - refunds. Item costs count in the month the item sells.</t>
  </si>
  <si>
    <t>Inventory bought = item + extra costs of everything purchased that month (sold or not): your cash going into stock.</t>
  </si>
  <si>
    <t>Buy or Pass</t>
  </si>
  <si>
    <t>Standing in the store? Enter what it sells for and see the most you should pay. Fill the yellow cells.</t>
  </si>
  <si>
    <t>Inputs</t>
  </si>
  <si>
    <t>Same item on every platform</t>
  </si>
  <si>
    <t>You keep</t>
  </si>
  <si>
    <t>Most to pay</t>
  </si>
  <si>
    <t>Platform you'll sell on</t>
  </si>
  <si>
    <t>Expected sale price</t>
  </si>
  <si>
    <t>Shipping the buyer pays</t>
  </si>
  <si>
    <t>Postage you'll pay</t>
  </si>
  <si>
    <t>Cleaning / repair costs</t>
  </si>
  <si>
    <t>Profit you want</t>
  </si>
  <si>
    <t>Result</t>
  </si>
  <si>
    <t>Platform fees at that price</t>
  </si>
  <si>
    <t>You keep after fees and postage</t>
  </si>
  <si>
    <t>MOST YOU SHOULD PAY</t>
  </si>
  <si>
    <t>Check an asking price</t>
  </si>
  <si>
    <t>Uses the sale price, shipping and postage on the left for every platform.</t>
  </si>
  <si>
    <t>Your profit at that price</t>
  </si>
  <si>
    <t>Return on cost (ROI)</t>
  </si>
  <si>
    <t>Verdict</t>
  </si>
  <si>
    <t>Postage: on platforms where the buyer pays the label (e.g. Poshmark), enter 0 for both shipping and postage.</t>
  </si>
  <si>
    <t>Platforms</t>
  </si>
  <si>
    <t>Fee rates per platform (yellow, edit to match yours) and how each platform did for the Dashboard year.</t>
  </si>
  <si>
    <t>Fee %</t>
  </si>
  <si>
    <t>Fixed fee per order</t>
  </si>
  <si>
    <t>% also on shipping?</t>
  </si>
  <si>
    <t>Minimum fee</t>
  </si>
  <si>
    <t>Flat fee under (price)</t>
  </si>
  <si>
    <t>Flat fee</t>
  </si>
  <si>
    <t>Fees paid</t>
  </si>
  <si>
    <t>Profit per item</t>
  </si>
  <si>
    <t>Default rate notes</t>
  </si>
  <si>
    <t>Yes</t>
  </si>
  <si>
    <t>13.6% of item + shipping (most categories) + $0.40 per order.</t>
  </si>
  <si>
    <t>No</t>
  </si>
  <si>
    <t>20%; flat $2.95 on sales under $15. Buyer pays the label.</t>
  </si>
  <si>
    <t>Mercari</t>
  </si>
  <si>
    <t>10% of item + shipping.</t>
  </si>
  <si>
    <t>Depop</t>
  </si>
  <si>
    <t>US: no selling fee; payment processing 3.3% + $0.45.</t>
  </si>
  <si>
    <t>Facebook Marketplace</t>
  </si>
  <si>
    <t>Shipped orders: 10%, minimum $0.80. Local cash sales: use 'Local / cash'.</t>
  </si>
  <si>
    <t>Etsy</t>
  </si>
  <si>
    <t>6.5% transaction + 3% processing; $0.25 + $0.20 listing renewal.</t>
  </si>
  <si>
    <t>Whatnot</t>
  </si>
  <si>
    <t>8% commission + 2.9% + $0.30 processing (most categories).</t>
  </si>
  <si>
    <t>Local / cash</t>
  </si>
  <si>
    <t>No fees.</t>
  </si>
  <si>
    <t>Add another platform here.</t>
  </si>
  <si>
    <t>Default rates checked October 2026 (US). Platforms change fees often: confirm on each platform's fee page.</t>
  </si>
  <si>
    <t>Valid platforms (for totals)</t>
  </si>
  <si>
    <t>Platform dropdown</t>
  </si>
  <si>
    <t>Expense categories</t>
  </si>
  <si>
    <t>Yes/No</t>
  </si>
  <si>
    <t>Packaging</t>
  </si>
  <si>
    <t>Cleaning and repair supplies</t>
  </si>
  <si>
    <t>Mileage / sourcing trips</t>
  </si>
  <si>
    <t>Storage</t>
  </si>
  <si>
    <t>Crosslisting / listing software</t>
  </si>
  <si>
    <t>Store subscriptions</t>
  </si>
  <si>
    <t>Promoted listings / ads</t>
  </si>
  <si>
    <t>Equipment</t>
  </si>
  <si>
    <t>Bank and payout fees</t>
  </si>
  <si>
    <t>Other</t>
  </si>
  <si>
    <t>Sale prices</t>
  </si>
  <si>
    <t>Shipping paid</t>
  </si>
  <si>
    <t>Refunds</t>
  </si>
  <si>
    <t>Year</t>
  </si>
  <si>
    <t>Platform fees by month</t>
  </si>
  <si>
    <t>Item costs</t>
  </si>
  <si>
    <t>In stock by age</t>
  </si>
  <si>
    <t>0-30 days</t>
  </si>
  <si>
    <t>31-90 days</t>
  </si>
  <si>
    <t>91-180 days</t>
  </si>
  <si>
    <t>Over 180 days</t>
  </si>
  <si>
    <t>No purchase date</t>
  </si>
  <si>
    <t>Total in stock</t>
  </si>
  <si>
    <t>Sold with purchase date</t>
  </si>
  <si>
    <t>Sum of days to sell</t>
  </si>
  <si>
    <t>Avg days to sell</t>
  </si>
  <si>
    <t>Sell-through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</si>
</sst>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$#,##0.00;\(\$#,##0.00\);&quot;-&quot;"/>
    <numFmt numFmtId="166" formatCode="mm/dd/yyyy"/>
    <numFmt numFmtId="167" formatCode="0.0%;\(0.0%\);&quot;-&quot;"/>
    <numFmt numFmtId="168" formatCode="0.0"/>
  </numFmts>
  <fonts count="17" x14ac:knownFonts="1">
    <font>
      <sz val="11"/>
      <color theme="1"/>
      <name val="Calibri"/>
      <family val="2"/>
      <scheme val="minor"/>
    </font>
    <font>
      <b/>
      <sz val="18"/>
      <color rgb="FF2F6F62"/>
      <name val="Arial"/>
    </font>
    <font>
      <sz val="11"/>
      <color rgb="FF555555"/>
      <name val="Arial"/>
    </font>
    <font>
      <b/>
      <sz val="11"/>
      <color rgb="FF2F6F62"/>
      <name val="Arial"/>
    </font>
    <font>
      <sz val="11"/>
      <color rgb="FF222222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9"/>
      <color rgb="FF666666"/>
      <name val="Arial"/>
    </font>
    <font>
      <b/>
      <sz val="10"/>
      <color rgb="FFB03A2E"/>
      <name val="Arial"/>
    </font>
    <font>
      <sz val="10"/>
      <name val="Arial"/>
    </font>
    <font>
      <b/>
      <sz val="10"/>
      <name val="Arial"/>
    </font>
    <font>
      <b/>
      <sz val="11"/>
      <color rgb="FF008000"/>
      <name val="Arial"/>
    </font>
    <font>
      <sz val="10"/>
      <color rgb="FF000000"/>
      <name val="Arial"/>
    </font>
    <font>
      <b/>
      <sz val="12"/>
      <color rgb="FF2F6F62"/>
      <name val="Arial"/>
    </font>
    <font>
      <b/>
      <sz val="12"/>
      <color rgb="FF0000FF"/>
      <name val="Arial"/>
    </font>
    <font>
      <b/>
      <sz val="9"/>
      <color rgb="FF4F7A70"/>
      <name val="Arial"/>
    </font>
    <font>
      <b/>
      <sz val="20"/>
      <color rgb="FF2F6F62"/>
      <name val="Arial"/>
    </font>
  </fonts>
  <fills count="5">
    <fill>
      <patternFill patternType="none"/>
    </fill>
    <fill>
      <patternFill patternType="gray125"/>
    </fill>
    <fill>
      <patternFill patternType="solid">
        <fgColor rgb="FF2F6F62"/>
      </patternFill>
    </fill>
    <fill>
      <patternFill patternType="solid">
        <fgColor rgb="FFFFF7D6"/>
      </patternFill>
    </fill>
    <fill>
      <patternFill patternType="solid">
        <fgColor rgb="FFE8F1EE"/>
      </patternFill>
    </fill>
  </fills>
  <borders count="2">
    <border>
      <left/>
      <right/>
      <top/>
      <bottom/>
      <diagonal/>
    </border>
    <border>
      <left style="thin">
        <color rgb="FFD3E2DD"/>
      </left>
      <right style="thin">
        <color rgb="FFD3E2DD"/>
      </right>
      <top style="thin">
        <color rgb="FFD3E2DD"/>
      </top>
      <bottom style="thin">
        <color rgb="FFD3E2DD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0" fillId="0" borderId="0" xfId="0" applyFont="1" applyAlignment="1">
      <alignment horizontal="right"/>
    </xf>
    <xf numFmtId="0" fontId="14" fillId="3" borderId="1" xfId="0" applyFont="1" applyFill="1" applyBorder="1"/>
    <xf numFmtId="0" fontId="7" fillId="0" borderId="0" xfId="0" applyFont="1"/>
    <xf numFmtId="165" fontId="0" fillId="0" borderId="0" xfId="0" applyNumberFormat="1"/>
    <xf numFmtId="0" fontId="8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166" fontId="6" fillId="3" borderId="1" xfId="0" applyNumberFormat="1" applyFont="1" applyFill="1" applyBorder="1"/>
    <xf numFmtId="165" fontId="6" fillId="3" borderId="1" xfId="0" applyNumberFormat="1" applyFont="1" applyFill="1" applyBorder="1"/>
    <xf numFmtId="0" fontId="9" fillId="0" borderId="0" xfId="0" applyFont="1"/>
    <xf numFmtId="165" fontId="9" fillId="0" borderId="0" xfId="0" applyNumberFormat="1" applyFont="1"/>
    <xf numFmtId="165" fontId="10" fillId="0" borderId="0" xfId="0" applyNumberFormat="1" applyFont="1"/>
    <xf numFmtId="9" fontId="9" fillId="0" borderId="0" xfId="0" applyNumberFormat="1" applyFont="1"/>
    <xf numFmtId="1" fontId="9" fillId="0" borderId="0" xfId="0" applyNumberFormat="1" applyFont="1"/>
    <xf numFmtId="0" fontId="10" fillId="0" borderId="0" xfId="0" applyFont="1"/>
    <xf numFmtId="0" fontId="11" fillId="0" borderId="0" xfId="0" applyFont="1" applyAlignment="1">
      <alignment horizontal="left"/>
    </xf>
    <xf numFmtId="165" fontId="9" fillId="0" borderId="1" xfId="0" applyNumberFormat="1" applyFont="1" applyBorder="1"/>
    <xf numFmtId="1" fontId="9" fillId="0" borderId="1" xfId="0" applyNumberFormat="1" applyFont="1" applyBorder="1"/>
    <xf numFmtId="167" fontId="9" fillId="0" borderId="1" xfId="0" applyNumberFormat="1" applyFont="1" applyBorder="1"/>
    <xf numFmtId="165" fontId="9" fillId="4" borderId="1" xfId="0" applyNumberFormat="1" applyFont="1" applyFill="1" applyBorder="1"/>
    <xf numFmtId="1" fontId="9" fillId="4" borderId="1" xfId="0" applyNumberFormat="1" applyFont="1" applyFill="1" applyBorder="1"/>
    <xf numFmtId="167" fontId="9" fillId="4" borderId="1" xfId="0" applyNumberFormat="1" applyFont="1" applyFill="1" applyBorder="1"/>
    <xf numFmtId="165" fontId="10" fillId="0" borderId="1" xfId="0" applyNumberFormat="1" applyFont="1" applyBorder="1"/>
    <xf numFmtId="1" fontId="10" fillId="0" borderId="1" xfId="0" applyNumberFormat="1" applyFont="1" applyBorder="1"/>
    <xf numFmtId="167" fontId="10" fillId="0" borderId="1" xfId="0" applyNumberFormat="1" applyFont="1" applyBorder="1"/>
    <xf numFmtId="49" fontId="6" fillId="3" borderId="1" xfId="0" applyNumberFormat="1" applyFont="1" applyFill="1" applyBorder="1"/>
    <xf numFmtId="0" fontId="5" fillId="2" borderId="0" xfId="0" applyFont="1" applyFill="1"/>
    <xf numFmtId="0" fontId="0" fillId="2" borderId="0" xfId="0" applyFill="1"/>
    <xf numFmtId="165" fontId="12" fillId="0" borderId="1" xfId="0" applyNumberFormat="1" applyFont="1" applyBorder="1"/>
    <xf numFmtId="165" fontId="13" fillId="0" borderId="1" xfId="0" applyNumberFormat="1" applyFont="1" applyBorder="1"/>
    <xf numFmtId="9" fontId="12" fillId="0" borderId="1" xfId="0" applyNumberFormat="1" applyFont="1" applyBorder="1"/>
    <xf numFmtId="49" fontId="13" fillId="0" borderId="1" xfId="0" applyNumberFormat="1" applyFont="1" applyBorder="1"/>
    <xf numFmtId="0" fontId="5" fillId="0" borderId="1" xfId="0" applyFont="1" applyBorder="1" applyAlignment="1">
      <alignment horizontal="center" vertical="center" wrapText="1"/>
    </xf>
    <xf numFmtId="164" fontId="6" fillId="3" borderId="1" xfId="0" applyNumberFormat="1" applyFont="1" applyFill="1" applyBorder="1"/>
    <xf numFmtId="0" fontId="15" fillId="4" borderId="0" xfId="0" applyFont="1" applyFill="1" applyAlignment="1">
      <alignment horizontal="left" indent="1"/>
    </xf>
    <xf numFmtId="0" fontId="0" fillId="4" borderId="0" xfId="0" applyFill="1"/>
    <xf numFmtId="165" fontId="16" fillId="4" borderId="0" xfId="0" applyNumberFormat="1" applyFont="1" applyFill="1" applyAlignment="1">
      <alignment horizontal="left" vertical="center" indent="1"/>
    </xf>
    <xf numFmtId="1" fontId="16" fillId="4" borderId="0" xfId="0" applyNumberFormat="1" applyFont="1" applyFill="1" applyAlignment="1">
      <alignment horizontal="left" vertical="center" indent="1"/>
    </xf>
    <xf numFmtId="167" fontId="16" fillId="4" borderId="0" xfId="0" applyNumberFormat="1" applyFont="1" applyFill="1" applyAlignment="1">
      <alignment horizontal="left" vertical="center" indent="1"/>
    </xf>
    <xf numFmtId="168" fontId="16" fillId="4" borderId="0" xfId="0" applyNumberFormat="1" applyFont="1" applyFill="1" applyAlignment="1">
      <alignment horizontal="left" vertical="center" indent="1"/>
    </xf>
  </cellXfs>
  <cellStyles count="1">
    <cellStyle name="Normal" xfId="0" builtinId="0"/>
  </cellStyles>
  <dxfs count="15"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  <dxf>
      <fill>
        <patternFill patternType="solid">
          <fgColor rgb="FFF8C9C4"/>
          <bgColor rgb="FFF8C9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vs net profit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Dashboard!$W$4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F6F62"/>
            </a:solidFill>
            <a:ln>
              <a:solidFill>
                <a:srgbClr val="2F6F62"/>
              </a:solidFill>
              <a:prstDash val="solid"/>
            </a:ln>
          </c:spPr>
          <c:invertIfNegative val="0"/>
          <c:cat>
            <c:strRef>
              <c:f>Dashboard!$V$5:$V$16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Dashboard!$W$5:$W$16</c:f>
              <c:numCache>
                <c:formatCode>\$#,##0.00;\(\$#,##0.00\);"-"</c:formatCode>
                <c:ptCount val="12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4-4B08-B96E-4619D9391006}"/>
            </c:ext>
          </c:extLst>
        </c:ser>
        <c:ser>
          <c:idx val="1"/>
          <c:order val="1"/>
          <c:tx>
            <c:strRef>
              <c:f>Dashboard!$X$4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8CC0B0"/>
            </a:solidFill>
            <a:ln>
              <a:solidFill>
                <a:srgbClr val="8CC0B0"/>
              </a:solidFill>
              <a:prstDash val="solid"/>
            </a:ln>
          </c:spPr>
          <c:invertIfNegative val="0"/>
          <c:cat>
            <c:strRef>
              <c:f>Dashboard!$V$5:$V$16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Dashboard!$X$5:$X$16</c:f>
              <c:numCache>
                <c:formatCode>\$#,##0.00;\(\$#,##0.00\);"-"</c:formatCode>
                <c:ptCount val="12"/>
                <c:pt idx="0">
                  <c:v>14.309999999999997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24-4B08-B96E-4619D9391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Profit by platform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Dashboard!$W$19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F6F62"/>
            </a:solidFill>
            <a:ln>
              <a:solidFill>
                <a:srgbClr val="2F6F62"/>
              </a:solidFill>
              <a:prstDash val="solid"/>
            </a:ln>
          </c:spPr>
          <c:invertIfNegative val="0"/>
          <c:cat>
            <c:strRef>
              <c:f>Dashboard!$V$20:$V$29</c:f>
              <c:strCache>
                <c:ptCount val="8"/>
                <c:pt idx="0">
                  <c:v>eBay</c:v>
                </c:pt>
                <c:pt idx="1">
                  <c:v>Poshmark</c:v>
                </c:pt>
                <c:pt idx="2">
                  <c:v>Mercari</c:v>
                </c:pt>
                <c:pt idx="3">
                  <c:v>Depop</c:v>
                </c:pt>
                <c:pt idx="4">
                  <c:v>Facebook Marketplace</c:v>
                </c:pt>
                <c:pt idx="5">
                  <c:v>Etsy</c:v>
                </c:pt>
                <c:pt idx="6">
                  <c:v>Whatnot</c:v>
                </c:pt>
                <c:pt idx="7">
                  <c:v>Local / cash</c:v>
                </c:pt>
              </c:strCache>
            </c:strRef>
          </c:cat>
          <c:val>
            <c:numRef>
              <c:f>Dashboard!$W$20:$W$29</c:f>
              <c:numCache>
                <c:formatCode>\$#,##0.00;\(\$#,##0.00\);"-"</c:formatCode>
                <c:ptCount val="10"/>
                <c:pt idx="0">
                  <c:v>29.299999999999997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7-4A99-825E-074566556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\$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Unsold stock by age (items)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Dashboard!$W$31</c:f>
              <c:strCache>
                <c:ptCount val="1"/>
                <c:pt idx="0">
                  <c:v>Items</c:v>
                </c:pt>
              </c:strCache>
            </c:strRef>
          </c:tx>
          <c:spPr>
            <a:solidFill>
              <a:srgbClr val="D08C3E"/>
            </a:solidFill>
            <a:ln>
              <a:solidFill>
                <a:srgbClr val="D08C3E"/>
              </a:solidFill>
              <a:prstDash val="solid"/>
            </a:ln>
          </c:spPr>
          <c:invertIfNegative val="0"/>
          <c:cat>
            <c:strRef>
              <c:f>Dashboard!$V$32:$V$36</c:f>
              <c:strCache>
                <c:ptCount val="5"/>
                <c:pt idx="0">
                  <c:v>0-30 days</c:v>
                </c:pt>
                <c:pt idx="1">
                  <c:v>31-90 days</c:v>
                </c:pt>
                <c:pt idx="2">
                  <c:v>91-180 days</c:v>
                </c:pt>
                <c:pt idx="3">
                  <c:v>Over 180 days</c:v>
                </c:pt>
                <c:pt idx="4">
                  <c:v>No purchase date</c:v>
                </c:pt>
              </c:strCache>
            </c:strRef>
          </c:cat>
          <c:val>
            <c:numRef>
              <c:f>Dashboard!$W$32:$W$36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0-43C7-A85A-50AF0CD41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Inventory bought vs 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Dashboard!$Y$4</c:f>
              <c:strCache>
                <c:ptCount val="1"/>
                <c:pt idx="0">
                  <c:v>Inventory bought</c:v>
                </c:pt>
              </c:strCache>
            </c:strRef>
          </c:tx>
          <c:spPr>
            <a:solidFill>
              <a:srgbClr val="6B6F8F"/>
            </a:solidFill>
            <a:ln>
              <a:solidFill>
                <a:srgbClr val="6B6F8F"/>
              </a:solidFill>
              <a:prstDash val="solid"/>
            </a:ln>
          </c:spPr>
          <c:invertIfNegative val="0"/>
          <c:cat>
            <c:strRef>
              <c:f>Dashboard!$V$5:$V$16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Dashboard!$Y$5:$Y$16</c:f>
              <c:numCache>
                <c:formatCode>\$#,##0.00;\(\$#,##0.00\);"-"</c:formatCode>
                <c:ptCount val="12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5-4C2A-9C1C-4FE88E819C49}"/>
            </c:ext>
          </c:extLst>
        </c:ser>
        <c:ser>
          <c:idx val="1"/>
          <c:order val="1"/>
          <c:tx>
            <c:strRef>
              <c:f>Dashboard!$W$4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8CC0B0"/>
            </a:solidFill>
            <a:ln>
              <a:solidFill>
                <a:srgbClr val="8CC0B0"/>
              </a:solidFill>
              <a:prstDash val="solid"/>
            </a:ln>
          </c:spPr>
          <c:invertIfNegative val="0"/>
          <c:cat>
            <c:strRef>
              <c:f>Dashboard!$V$5:$V$16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Dashboard!$W$5:$W$16</c:f>
              <c:numCache>
                <c:formatCode>\$#,##0.00;\(\$#,##0.00\);"-"</c:formatCode>
                <c:ptCount val="12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05-4C2A-9C1C-4FE88E819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vs net profit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P&amp;L'!$D$5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F6F62"/>
            </a:solidFill>
            <a:ln>
              <a:solidFill>
                <a:srgbClr val="2F6F62"/>
              </a:solidFill>
              <a:prstDash val="solid"/>
            </a:ln>
          </c:spPr>
          <c:invertIfNegative val="0"/>
          <c:cat>
            <c:strRef>
              <c:f>'Monthly P&amp;L'!$B$6:$B$17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P&amp;L'!$D$6:$D$17</c:f>
              <c:numCache>
                <c:formatCode>\$#,##0.00;\(\$#,##0.00\);"-"</c:formatCode>
                <c:ptCount val="12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2-4BD1-967D-9E71F38875C5}"/>
            </c:ext>
          </c:extLst>
        </c:ser>
        <c:ser>
          <c:idx val="1"/>
          <c:order val="1"/>
          <c:tx>
            <c:strRef>
              <c:f>'Monthly P&amp;L'!$I$5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8CC0B0"/>
            </a:solidFill>
            <a:ln>
              <a:solidFill>
                <a:srgbClr val="8CC0B0"/>
              </a:solidFill>
              <a:prstDash val="solid"/>
            </a:ln>
          </c:spPr>
          <c:invertIfNegative val="0"/>
          <c:cat>
            <c:strRef>
              <c:f>'Monthly P&amp;L'!$B$6:$B$17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P&amp;L'!$I$6:$I$17</c:f>
              <c:numCache>
                <c:formatCode>\$#,##0.00;\(\$#,##0.00\);"-"</c:formatCode>
                <c:ptCount val="12"/>
                <c:pt idx="0">
                  <c:v>14.309999999999997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52-4BD1-967D-9E71F3887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6336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17</xdr:row>
      <xdr:rowOff>0</xdr:rowOff>
    </xdr:from>
    <xdr:ext cx="6336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33</xdr:row>
      <xdr:rowOff>0</xdr:rowOff>
    </xdr:from>
    <xdr:ext cx="6336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33</xdr:row>
      <xdr:rowOff>0</xdr:rowOff>
    </xdr:from>
    <xdr:ext cx="6336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4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6F62"/>
  </sheetPr>
  <dimension ref="B2:B34"/>
  <sheetViews>
    <sheetView showGridLines="0" tabSelected="1" workbookViewId="0"/>
  </sheetViews>
  <sheetFormatPr defaultRowHeight="14.5" x14ac:dyDescent="0.35"/>
  <cols>
    <col min="1" max="1" width="3" customWidth="1"/>
    <col min="2" max="2" width="112" customWidth="1"/>
  </cols>
  <sheetData>
    <row r="2" spans="2:2" ht="23" x14ac:dyDescent="0.5">
      <c r="B2" s="1" t="s">
        <v>0</v>
      </c>
    </row>
    <row r="3" spans="2:2" x14ac:dyDescent="0.35">
      <c r="B3" s="2" t="s">
        <v>1</v>
      </c>
    </row>
    <row r="5" spans="2:2" x14ac:dyDescent="0.35">
      <c r="B5" s="3" t="s">
        <v>2</v>
      </c>
    </row>
    <row r="6" spans="2:2" x14ac:dyDescent="0.35">
      <c r="B6" s="4" t="s">
        <v>3</v>
      </c>
    </row>
    <row r="7" spans="2:2" x14ac:dyDescent="0.35">
      <c r="B7" s="4" t="s">
        <v>4</v>
      </c>
    </row>
    <row r="8" spans="2:2" x14ac:dyDescent="0.35">
      <c r="B8" s="4" t="s">
        <v>5</v>
      </c>
    </row>
    <row r="9" spans="2:2" x14ac:dyDescent="0.35">
      <c r="B9" s="4" t="s">
        <v>6</v>
      </c>
    </row>
    <row r="10" spans="2:2" x14ac:dyDescent="0.35">
      <c r="B10" s="4" t="s">
        <v>7</v>
      </c>
    </row>
    <row r="11" spans="2:2" x14ac:dyDescent="0.35">
      <c r="B11" s="4" t="s">
        <v>8</v>
      </c>
    </row>
    <row r="12" spans="2:2" ht="28" x14ac:dyDescent="0.35">
      <c r="B12" s="4" t="s">
        <v>9</v>
      </c>
    </row>
    <row r="13" spans="2:2" x14ac:dyDescent="0.35">
      <c r="B13" s="4" t="s">
        <v>10</v>
      </c>
    </row>
    <row r="14" spans="2:2" ht="28" x14ac:dyDescent="0.35">
      <c r="B14" s="4" t="s">
        <v>11</v>
      </c>
    </row>
    <row r="15" spans="2:2" x14ac:dyDescent="0.35">
      <c r="B15" s="4" t="s">
        <v>12</v>
      </c>
    </row>
    <row r="16" spans="2:2" ht="28" x14ac:dyDescent="0.35">
      <c r="B16" s="4" t="s">
        <v>13</v>
      </c>
    </row>
    <row r="17" spans="2:2" x14ac:dyDescent="0.35">
      <c r="B17" s="4"/>
    </row>
    <row r="18" spans="2:2" x14ac:dyDescent="0.35">
      <c r="B18" s="3" t="s">
        <v>14</v>
      </c>
    </row>
    <row r="19" spans="2:2" x14ac:dyDescent="0.35">
      <c r="B19" s="4" t="s">
        <v>15</v>
      </c>
    </row>
    <row r="20" spans="2:2" ht="28" x14ac:dyDescent="0.35">
      <c r="B20" s="4" t="s">
        <v>16</v>
      </c>
    </row>
    <row r="21" spans="2:2" ht="28" x14ac:dyDescent="0.35">
      <c r="B21" s="4" t="s">
        <v>17</v>
      </c>
    </row>
    <row r="22" spans="2:2" x14ac:dyDescent="0.35">
      <c r="B22" s="4" t="s">
        <v>18</v>
      </c>
    </row>
    <row r="23" spans="2:2" x14ac:dyDescent="0.35">
      <c r="B23" s="4" t="s">
        <v>19</v>
      </c>
    </row>
    <row r="24" spans="2:2" x14ac:dyDescent="0.35">
      <c r="B24" s="4"/>
    </row>
    <row r="25" spans="2:2" x14ac:dyDescent="0.35">
      <c r="B25" s="3" t="s">
        <v>20</v>
      </c>
    </row>
    <row r="26" spans="2:2" ht="28" x14ac:dyDescent="0.35">
      <c r="B26" s="4" t="s">
        <v>21</v>
      </c>
    </row>
    <row r="27" spans="2:2" x14ac:dyDescent="0.35">
      <c r="B27" s="4"/>
    </row>
    <row r="28" spans="2:2" x14ac:dyDescent="0.35">
      <c r="B28" s="3" t="s">
        <v>22</v>
      </c>
    </row>
    <row r="29" spans="2:2" x14ac:dyDescent="0.35">
      <c r="B29" s="4" t="s">
        <v>23</v>
      </c>
    </row>
    <row r="30" spans="2:2" x14ac:dyDescent="0.35">
      <c r="B30" s="4"/>
    </row>
    <row r="31" spans="2:2" x14ac:dyDescent="0.35">
      <c r="B31" s="3" t="s">
        <v>24</v>
      </c>
    </row>
    <row r="32" spans="2:2" ht="28" x14ac:dyDescent="0.35">
      <c r="B32" s="4" t="s">
        <v>25</v>
      </c>
    </row>
    <row r="33" spans="2:2" x14ac:dyDescent="0.35">
      <c r="B33" s="4"/>
    </row>
    <row r="34" spans="2:2" x14ac:dyDescent="0.35">
      <c r="B34" s="4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6F62"/>
  </sheetPr>
  <dimension ref="B1:Y36"/>
  <sheetViews>
    <sheetView showGridLines="0" workbookViewId="0"/>
  </sheetViews>
  <sheetFormatPr defaultRowHeight="14.5" x14ac:dyDescent="0.35"/>
  <cols>
    <col min="1" max="1" width="2" customWidth="1"/>
    <col min="2" max="17" width="13" customWidth="1"/>
    <col min="22" max="25" width="16" customWidth="1"/>
  </cols>
  <sheetData>
    <row r="1" spans="2:25" ht="23" x14ac:dyDescent="0.5">
      <c r="B1" s="1" t="s">
        <v>27</v>
      </c>
    </row>
    <row r="3" spans="2:25" ht="15.5" x14ac:dyDescent="0.35">
      <c r="B3" s="5" t="s">
        <v>28</v>
      </c>
      <c r="C3" s="6">
        <v>2026</v>
      </c>
      <c r="D3" s="2" t="str">
        <f>"Updates automatically from Inventory and Expenses"&amp;IF(Inventory!T2+Expenses!G2&gt;0,"   |   "&amp;(Inventory!T2+Expenses!G2)&amp;" row(s) need fixing - see red cells","")</f>
        <v>Updates automatically from Inventory and Expenses</v>
      </c>
      <c r="V3" s="7" t="s">
        <v>29</v>
      </c>
    </row>
    <row r="4" spans="2:25" x14ac:dyDescent="0.35">
      <c r="V4" t="s">
        <v>30</v>
      </c>
      <c r="W4" t="s">
        <v>31</v>
      </c>
      <c r="X4" t="s">
        <v>32</v>
      </c>
      <c r="Y4" t="s">
        <v>33</v>
      </c>
    </row>
    <row r="5" spans="2:25" x14ac:dyDescent="0.35">
      <c r="B5" s="39" t="s">
        <v>34</v>
      </c>
      <c r="C5" s="40"/>
      <c r="D5" s="40"/>
      <c r="E5" s="40"/>
      <c r="G5" s="39" t="s">
        <v>35</v>
      </c>
      <c r="H5" s="40"/>
      <c r="I5" s="40"/>
      <c r="J5" s="40"/>
      <c r="L5" s="39" t="s">
        <v>36</v>
      </c>
      <c r="M5" s="40"/>
      <c r="N5" s="40"/>
      <c r="O5" s="40"/>
      <c r="V5" t="s">
        <v>37</v>
      </c>
      <c r="W5" s="8">
        <f>Calc!G3</f>
        <v>50</v>
      </c>
      <c r="X5" s="8">
        <f>Calc!L3</f>
        <v>14.309999999999997</v>
      </c>
      <c r="Y5" s="8">
        <f>Calc!N3</f>
        <v>9</v>
      </c>
    </row>
    <row r="6" spans="2:25" x14ac:dyDescent="0.35">
      <c r="B6" s="41">
        <f>Calc!L15</f>
        <v>14.309999999999997</v>
      </c>
      <c r="C6" s="40"/>
      <c r="D6" s="40"/>
      <c r="E6" s="40"/>
      <c r="G6" s="41">
        <f>Calc!G15</f>
        <v>50</v>
      </c>
      <c r="H6" s="40"/>
      <c r="I6" s="40"/>
      <c r="J6" s="40"/>
      <c r="L6" s="42">
        <f>Calc!C15</f>
        <v>1</v>
      </c>
      <c r="M6" s="40"/>
      <c r="N6" s="40"/>
      <c r="O6" s="40"/>
      <c r="V6" t="s">
        <v>38</v>
      </c>
      <c r="W6" s="8">
        <f>Calc!G4</f>
        <v>0</v>
      </c>
      <c r="X6" s="8">
        <f>Calc!L4</f>
        <v>0</v>
      </c>
      <c r="Y6" s="8">
        <f>Calc!N4</f>
        <v>0</v>
      </c>
    </row>
    <row r="7" spans="2:25" x14ac:dyDescent="0.35">
      <c r="B7" s="40"/>
      <c r="C7" s="40"/>
      <c r="D7" s="40"/>
      <c r="E7" s="40"/>
      <c r="G7" s="40"/>
      <c r="H7" s="40"/>
      <c r="I7" s="40"/>
      <c r="J7" s="40"/>
      <c r="L7" s="40"/>
      <c r="M7" s="40"/>
      <c r="N7" s="40"/>
      <c r="O7" s="40"/>
      <c r="V7" t="s">
        <v>39</v>
      </c>
      <c r="W7" s="8">
        <f>Calc!G5</f>
        <v>0</v>
      </c>
      <c r="X7" s="8">
        <f>Calc!L5</f>
        <v>0</v>
      </c>
      <c r="Y7" s="8">
        <f>Calc!N5</f>
        <v>0</v>
      </c>
    </row>
    <row r="8" spans="2:25" x14ac:dyDescent="0.35">
      <c r="V8" t="s">
        <v>40</v>
      </c>
      <c r="W8" s="8">
        <f>Calc!G6</f>
        <v>0</v>
      </c>
      <c r="X8" s="8">
        <f>Calc!L6</f>
        <v>0</v>
      </c>
      <c r="Y8" s="8">
        <f>Calc!N6</f>
        <v>0</v>
      </c>
    </row>
    <row r="9" spans="2:25" x14ac:dyDescent="0.35">
      <c r="B9" s="39" t="s">
        <v>41</v>
      </c>
      <c r="C9" s="40"/>
      <c r="D9" s="40"/>
      <c r="E9" s="40"/>
      <c r="G9" s="39" t="s">
        <v>42</v>
      </c>
      <c r="H9" s="40"/>
      <c r="I9" s="40"/>
      <c r="J9" s="40"/>
      <c r="L9" s="39" t="s">
        <v>43</v>
      </c>
      <c r="M9" s="40"/>
      <c r="N9" s="40"/>
      <c r="O9" s="40"/>
      <c r="V9" t="s">
        <v>44</v>
      </c>
      <c r="W9" s="8">
        <f>Calc!G7</f>
        <v>0</v>
      </c>
      <c r="X9" s="8">
        <f>Calc!L7</f>
        <v>0</v>
      </c>
      <c r="Y9" s="8">
        <f>Calc!N7</f>
        <v>0</v>
      </c>
    </row>
    <row r="10" spans="2:25" x14ac:dyDescent="0.35">
      <c r="B10" s="41">
        <f>IF(Calc!C15&gt;0,(Calc!G15-Calc!H15-Calc!I15-Calc!J15)/Calc!C15,0)</f>
        <v>29.299999999999997</v>
      </c>
      <c r="C10" s="40"/>
      <c r="D10" s="40"/>
      <c r="E10" s="40"/>
      <c r="G10" s="41">
        <f>Calc!H15</f>
        <v>7.2000000000000011</v>
      </c>
      <c r="H10" s="40"/>
      <c r="I10" s="40"/>
      <c r="J10" s="40"/>
      <c r="L10" s="44">
        <f>Calc!C42</f>
        <v>15</v>
      </c>
      <c r="M10" s="40"/>
      <c r="N10" s="40"/>
      <c r="O10" s="40"/>
      <c r="V10" t="s">
        <v>45</v>
      </c>
      <c r="W10" s="8">
        <f>Calc!G8</f>
        <v>0</v>
      </c>
      <c r="X10" s="8">
        <f>Calc!L8</f>
        <v>0</v>
      </c>
      <c r="Y10" s="8">
        <f>Calc!N8</f>
        <v>0</v>
      </c>
    </row>
    <row r="11" spans="2:25" x14ac:dyDescent="0.35">
      <c r="B11" s="40"/>
      <c r="C11" s="40"/>
      <c r="D11" s="40"/>
      <c r="E11" s="40"/>
      <c r="G11" s="40"/>
      <c r="H11" s="40"/>
      <c r="I11" s="40"/>
      <c r="J11" s="40"/>
      <c r="L11" s="40"/>
      <c r="M11" s="40"/>
      <c r="N11" s="40"/>
      <c r="O11" s="40"/>
      <c r="V11" t="s">
        <v>46</v>
      </c>
      <c r="W11" s="8">
        <f>Calc!G9</f>
        <v>0</v>
      </c>
      <c r="X11" s="8">
        <f>Calc!L9</f>
        <v>0</v>
      </c>
      <c r="Y11" s="8">
        <f>Calc!N9</f>
        <v>0</v>
      </c>
    </row>
    <row r="12" spans="2:25" x14ac:dyDescent="0.35">
      <c r="V12" t="s">
        <v>47</v>
      </c>
      <c r="W12" s="8">
        <f>Calc!G10</f>
        <v>0</v>
      </c>
      <c r="X12" s="8">
        <f>Calc!L10</f>
        <v>0</v>
      </c>
      <c r="Y12" s="8">
        <f>Calc!N10</f>
        <v>0</v>
      </c>
    </row>
    <row r="13" spans="2:25" x14ac:dyDescent="0.35">
      <c r="B13" s="39" t="s">
        <v>48</v>
      </c>
      <c r="C13" s="40"/>
      <c r="D13" s="40"/>
      <c r="E13" s="40"/>
      <c r="G13" s="39" t="s">
        <v>49</v>
      </c>
      <c r="H13" s="40"/>
      <c r="I13" s="40"/>
      <c r="J13" s="40"/>
      <c r="L13" s="39" t="s">
        <v>50</v>
      </c>
      <c r="M13" s="40"/>
      <c r="N13" s="40"/>
      <c r="O13" s="40"/>
      <c r="V13" t="s">
        <v>51</v>
      </c>
      <c r="W13" s="8">
        <f>Calc!G11</f>
        <v>0</v>
      </c>
      <c r="X13" s="8">
        <f>Calc!L11</f>
        <v>0</v>
      </c>
      <c r="Y13" s="8">
        <f>Calc!N11</f>
        <v>0</v>
      </c>
    </row>
    <row r="14" spans="2:25" x14ac:dyDescent="0.35">
      <c r="B14" s="42">
        <f ca="1">Calc!C38</f>
        <v>1</v>
      </c>
      <c r="C14" s="40"/>
      <c r="D14" s="40"/>
      <c r="E14" s="40"/>
      <c r="G14" s="41">
        <f ca="1">Calc!D38</f>
        <v>3</v>
      </c>
      <c r="H14" s="40"/>
      <c r="I14" s="40"/>
      <c r="J14" s="40"/>
      <c r="L14" s="43">
        <f ca="1">Calc!C43</f>
        <v>0.5</v>
      </c>
      <c r="M14" s="40"/>
      <c r="N14" s="40"/>
      <c r="O14" s="40"/>
      <c r="V14" t="s">
        <v>52</v>
      </c>
      <c r="W14" s="8">
        <f>Calc!G12</f>
        <v>0</v>
      </c>
      <c r="X14" s="8">
        <f>Calc!L12</f>
        <v>0</v>
      </c>
      <c r="Y14" s="8">
        <f>Calc!N12</f>
        <v>0</v>
      </c>
    </row>
    <row r="15" spans="2:25" x14ac:dyDescent="0.35">
      <c r="B15" s="40"/>
      <c r="C15" s="40"/>
      <c r="D15" s="40"/>
      <c r="E15" s="40"/>
      <c r="G15" s="40"/>
      <c r="H15" s="40"/>
      <c r="I15" s="40"/>
      <c r="J15" s="40"/>
      <c r="L15" s="40"/>
      <c r="M15" s="40"/>
      <c r="N15" s="40"/>
      <c r="O15" s="40"/>
      <c r="V15" t="s">
        <v>53</v>
      </c>
      <c r="W15" s="8">
        <f>Calc!G13</f>
        <v>0</v>
      </c>
      <c r="X15" s="8">
        <f>Calc!L13</f>
        <v>0</v>
      </c>
      <c r="Y15" s="8">
        <f>Calc!N13</f>
        <v>0</v>
      </c>
    </row>
    <row r="16" spans="2:25" x14ac:dyDescent="0.35">
      <c r="B16" s="7" t="s">
        <v>54</v>
      </c>
      <c r="V16" t="s">
        <v>55</v>
      </c>
      <c r="W16" s="8">
        <f>Calc!G14</f>
        <v>0</v>
      </c>
      <c r="X16" s="8">
        <f>Calc!L14</f>
        <v>0</v>
      </c>
      <c r="Y16" s="8">
        <f>Calc!N14</f>
        <v>0</v>
      </c>
    </row>
    <row r="19" spans="22:24" x14ac:dyDescent="0.35">
      <c r="V19" t="s">
        <v>56</v>
      </c>
      <c r="W19" t="s">
        <v>57</v>
      </c>
      <c r="X19" t="s">
        <v>58</v>
      </c>
    </row>
    <row r="20" spans="22:24" x14ac:dyDescent="0.35">
      <c r="V20" t="str">
        <f>IF(Calc!B20=0,"",Calc!B20)</f>
        <v>eBay</v>
      </c>
      <c r="W20" s="8">
        <f>Calc!U20</f>
        <v>29.299999999999997</v>
      </c>
      <c r="X20" s="8">
        <f>Calc!R20</f>
        <v>7.2000000000000011</v>
      </c>
    </row>
    <row r="21" spans="22:24" x14ac:dyDescent="0.35">
      <c r="V21" t="str">
        <f>IF(Calc!B21=0,"",Calc!B21)</f>
        <v>Poshmark</v>
      </c>
      <c r="W21" s="8">
        <f>Calc!U21</f>
        <v>0</v>
      </c>
      <c r="X21" s="8">
        <f>Calc!R21</f>
        <v>0</v>
      </c>
    </row>
    <row r="22" spans="22:24" x14ac:dyDescent="0.35">
      <c r="V22" t="str">
        <f>IF(Calc!B22=0,"",Calc!B22)</f>
        <v>Mercari</v>
      </c>
      <c r="W22" s="8">
        <f>Calc!U22</f>
        <v>0</v>
      </c>
      <c r="X22" s="8">
        <f>Calc!R22</f>
        <v>0</v>
      </c>
    </row>
    <row r="23" spans="22:24" x14ac:dyDescent="0.35">
      <c r="V23" t="str">
        <f>IF(Calc!B23=0,"",Calc!B23)</f>
        <v>Depop</v>
      </c>
      <c r="W23" s="8">
        <f>Calc!U23</f>
        <v>0</v>
      </c>
      <c r="X23" s="8">
        <f>Calc!R23</f>
        <v>0</v>
      </c>
    </row>
    <row r="24" spans="22:24" x14ac:dyDescent="0.35">
      <c r="V24" t="str">
        <f>IF(Calc!B24=0,"",Calc!B24)</f>
        <v>Facebook Marketplace</v>
      </c>
      <c r="W24" s="8">
        <f>Calc!U24</f>
        <v>0</v>
      </c>
      <c r="X24" s="8">
        <f>Calc!R24</f>
        <v>0</v>
      </c>
    </row>
    <row r="25" spans="22:24" x14ac:dyDescent="0.35">
      <c r="V25" t="str">
        <f>IF(Calc!B25=0,"",Calc!B25)</f>
        <v>Etsy</v>
      </c>
      <c r="W25" s="8">
        <f>Calc!U25</f>
        <v>0</v>
      </c>
      <c r="X25" s="8">
        <f>Calc!R25</f>
        <v>0</v>
      </c>
    </row>
    <row r="26" spans="22:24" x14ac:dyDescent="0.35">
      <c r="V26" t="str">
        <f>IF(Calc!B26=0,"",Calc!B26)</f>
        <v>Whatnot</v>
      </c>
      <c r="W26" s="8">
        <f>Calc!U26</f>
        <v>0</v>
      </c>
      <c r="X26" s="8">
        <f>Calc!R26</f>
        <v>0</v>
      </c>
    </row>
    <row r="27" spans="22:24" x14ac:dyDescent="0.35">
      <c r="V27" t="str">
        <f>IF(Calc!B27=0,"",Calc!B27)</f>
        <v>Local / cash</v>
      </c>
      <c r="W27" s="8">
        <f>Calc!U27</f>
        <v>0</v>
      </c>
      <c r="X27" s="8">
        <f>Calc!R27</f>
        <v>0</v>
      </c>
    </row>
    <row r="28" spans="22:24" x14ac:dyDescent="0.35">
      <c r="V28" t="str">
        <f>IF(Calc!B28=0,"",Calc!B28)</f>
        <v/>
      </c>
      <c r="W28" s="8">
        <f>Calc!U28</f>
        <v>0</v>
      </c>
      <c r="X28" s="8">
        <f>Calc!R28</f>
        <v>0</v>
      </c>
    </row>
    <row r="29" spans="22:24" x14ac:dyDescent="0.35">
      <c r="V29" t="str">
        <f>IF(Calc!B29=0,"",Calc!B29)</f>
        <v/>
      </c>
      <c r="W29" s="8">
        <f>Calc!U29</f>
        <v>0</v>
      </c>
      <c r="X29" s="8">
        <f>Calc!R29</f>
        <v>0</v>
      </c>
    </row>
    <row r="31" spans="22:24" x14ac:dyDescent="0.35">
      <c r="V31" t="s">
        <v>59</v>
      </c>
      <c r="W31" t="s">
        <v>60</v>
      </c>
      <c r="X31" t="s">
        <v>61</v>
      </c>
    </row>
    <row r="32" spans="22:24" x14ac:dyDescent="0.35">
      <c r="V32" t="str">
        <f>Calc!B33</f>
        <v>0-30 days</v>
      </c>
      <c r="W32">
        <f ca="1">Calc!C33</f>
        <v>0</v>
      </c>
      <c r="X32" s="8">
        <f ca="1">Calc!D33</f>
        <v>0</v>
      </c>
    </row>
    <row r="33" spans="22:24" x14ac:dyDescent="0.35">
      <c r="V33" t="str">
        <f>Calc!B34</f>
        <v>31-90 days</v>
      </c>
      <c r="W33">
        <f ca="1">Calc!C34</f>
        <v>0</v>
      </c>
      <c r="X33" s="8">
        <f ca="1">Calc!D34</f>
        <v>0</v>
      </c>
    </row>
    <row r="34" spans="22:24" x14ac:dyDescent="0.35">
      <c r="V34" t="str">
        <f>Calc!B35</f>
        <v>91-180 days</v>
      </c>
      <c r="W34">
        <f ca="1">Calc!C35</f>
        <v>0</v>
      </c>
      <c r="X34" s="8">
        <f ca="1">Calc!D35</f>
        <v>0</v>
      </c>
    </row>
    <row r="35" spans="22:24" x14ac:dyDescent="0.35">
      <c r="V35" t="str">
        <f>Calc!B36</f>
        <v>Over 180 days</v>
      </c>
      <c r="W35">
        <f ca="1">Calc!C36</f>
        <v>1</v>
      </c>
      <c r="X35" s="8">
        <f ca="1">Calc!D36</f>
        <v>3</v>
      </c>
    </row>
    <row r="36" spans="22:24" x14ac:dyDescent="0.35">
      <c r="V36" t="str">
        <f>Calc!B37</f>
        <v>No purchase date</v>
      </c>
      <c r="W36">
        <f>Calc!C37</f>
        <v>0</v>
      </c>
      <c r="X36" s="8">
        <f>Calc!D37</f>
        <v>0</v>
      </c>
    </row>
  </sheetData>
  <mergeCells count="18">
    <mergeCell ref="L10:O11"/>
    <mergeCell ref="B6:E7"/>
    <mergeCell ref="L5:O5"/>
    <mergeCell ref="G10:J11"/>
    <mergeCell ref="B14:E15"/>
    <mergeCell ref="B9:E9"/>
    <mergeCell ref="G9:J9"/>
    <mergeCell ref="G13:J13"/>
    <mergeCell ref="G14:J15"/>
    <mergeCell ref="L13:O13"/>
    <mergeCell ref="L14:O15"/>
    <mergeCell ref="L9:O9"/>
    <mergeCell ref="B13:E13"/>
    <mergeCell ref="G6:J7"/>
    <mergeCell ref="B5:E5"/>
    <mergeCell ref="L6:O7"/>
    <mergeCell ref="G5:J5"/>
    <mergeCell ref="B10:E11"/>
  </mergeCells>
  <dataValidations count="1">
    <dataValidation type="whole" showErrorMessage="1" errorTitle="Year" error="Enter a 4-digit year, e.g. 2026." sqref="C3" xr:uid="{00000000-0002-0000-0100-000000000000}">
      <formula1>2000</formula1>
      <formula2>2100</formula2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6F62"/>
  </sheetPr>
  <dimension ref="A1:T200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" customWidth="1"/>
    <col min="2" max="2" width="30" customWidth="1"/>
    <col min="3" max="3" width="14" customWidth="1"/>
    <col min="4" max="4" width="11" customWidth="1"/>
    <col min="5" max="5" width="14" customWidth="1"/>
    <col min="6" max="6" width="10" customWidth="1"/>
    <col min="7" max="7" width="11" customWidth="1"/>
    <col min="8" max="8" width="18" customWidth="1"/>
    <col min="9" max="10" width="11" customWidth="1"/>
    <col min="11" max="13" width="10" customWidth="1"/>
    <col min="14" max="14" width="11" customWidth="1"/>
    <col min="15" max="15" width="10" customWidth="1"/>
    <col min="16" max="16" width="9" customWidth="1"/>
    <col min="17" max="18" width="10" customWidth="1"/>
    <col min="19" max="20" width="8" customWidth="1"/>
  </cols>
  <sheetData>
    <row r="1" spans="1:20" ht="23" x14ac:dyDescent="0.5">
      <c r="A1" s="1" t="s">
        <v>62</v>
      </c>
    </row>
    <row r="2" spans="1:20" x14ac:dyDescent="0.35">
      <c r="A2" s="2" t="s">
        <v>63</v>
      </c>
      <c r="R2" s="9" t="s">
        <v>64</v>
      </c>
      <c r="T2" s="9">
        <f>SUMPRODUCT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*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=0))</f>
        <v>0</v>
      </c>
    </row>
    <row r="3" spans="1:20" x14ac:dyDescent="0.35">
      <c r="A3" s="9" t="s">
        <v>65</v>
      </c>
    </row>
    <row r="4" spans="1:20" ht="44" customHeight="1" x14ac:dyDescent="0.35">
      <c r="A4" s="10" t="s">
        <v>66</v>
      </c>
      <c r="B4" s="10" t="s">
        <v>67</v>
      </c>
      <c r="C4" s="10" t="s">
        <v>68</v>
      </c>
      <c r="D4" s="10" t="s">
        <v>69</v>
      </c>
      <c r="E4" s="10" t="s">
        <v>70</v>
      </c>
      <c r="F4" s="10" t="s">
        <v>71</v>
      </c>
      <c r="G4" s="10" t="s">
        <v>72</v>
      </c>
      <c r="H4" s="10" t="s">
        <v>56</v>
      </c>
      <c r="I4" s="10" t="s">
        <v>73</v>
      </c>
      <c r="J4" s="10" t="s">
        <v>74</v>
      </c>
      <c r="K4" s="10" t="s">
        <v>75</v>
      </c>
      <c r="L4" s="10" t="s">
        <v>76</v>
      </c>
      <c r="M4" s="10" t="s">
        <v>77</v>
      </c>
      <c r="N4" s="10" t="s">
        <v>78</v>
      </c>
      <c r="O4" s="10" t="s">
        <v>79</v>
      </c>
      <c r="P4" s="10" t="s">
        <v>80</v>
      </c>
      <c r="Q4" s="10" t="s">
        <v>81</v>
      </c>
      <c r="R4" s="10" t="s">
        <v>57</v>
      </c>
      <c r="S4" s="10" t="s">
        <v>82</v>
      </c>
      <c r="T4" s="10" t="s">
        <v>83</v>
      </c>
    </row>
    <row r="5" spans="1:20" x14ac:dyDescent="0.35">
      <c r="A5" s="11" t="s">
        <v>84</v>
      </c>
      <c r="B5" s="11" t="s">
        <v>85</v>
      </c>
      <c r="C5" s="11" t="s">
        <v>86</v>
      </c>
      <c r="D5" s="12">
        <v>46026</v>
      </c>
      <c r="E5" s="11" t="s">
        <v>87</v>
      </c>
      <c r="F5" s="13">
        <v>6</v>
      </c>
      <c r="G5" s="13">
        <v>0</v>
      </c>
      <c r="H5" s="11" t="s">
        <v>88</v>
      </c>
      <c r="I5" s="12">
        <v>46027</v>
      </c>
      <c r="J5" s="12">
        <v>46041</v>
      </c>
      <c r="K5" s="13">
        <v>42</v>
      </c>
      <c r="L5" s="13">
        <v>8</v>
      </c>
      <c r="M5" s="13">
        <v>7.5</v>
      </c>
      <c r="N5" s="13"/>
      <c r="O5" s="13"/>
      <c r="P5" s="14" t="str">
        <f t="shared" ref="P5:P68" si="0">IF(OR(B5&lt;&gt;"",F5&lt;&gt;"",H5&lt;&gt;"",J5&lt;&gt;"",K5&lt;&gt;""),IF(J5&lt;&gt;"","Sold",IF(I5&lt;&gt;"","Listed","In stock")),"")</f>
        <v>Sold</v>
      </c>
      <c r="Q5" s="15">
        <f>IF(OR(J5="",H5=""),"",IFERROR(IF(ISNUMBER(N5),N5,IF(K5&lt;N(INDEX(Platforms!$G$5:$G$14,MATCH(H5,Lists!$A$2:$A$11,0))),N(INDEX(Platforms!$H$5:$H$14,MATCH(H5,Lists!$A$2:$A$11,0))),MAX(N(INDEX(Platforms!$F$5:$F$14,MATCH(H5,Lists!$A$2:$A$11,0))),N(INDEX(Platforms!$C$5:$C$14,MATCH(H5,Lists!$A$2:$A$11,0)))*(K5+IF(INDEX(Platforms!$E$5:$E$14,MATCH(H5,Lists!$A$2:$A$11,0))="Yes",N(L5),0))+N(INDEX(Platforms!$D$5:$D$14,MATCH(H5,Lists!$A$2:$A$11,0)))))),""))</f>
        <v>7.2000000000000011</v>
      </c>
      <c r="R5" s="16">
        <f t="shared" ref="R5:R68" si="1">IF(J5="","",IFERROR(K5+N(L5)-N(O5)-Q5-N(M5)-N(F5)-N(G5),""))</f>
        <v>29.299999999999997</v>
      </c>
      <c r="S5" s="17">
        <f t="shared" ref="S5:S68" si="2">IF(OR(R5="",N(F5)+N(G5)=0),"",R5/(N(F5)+N(G5)))</f>
        <v>4.8833333333333329</v>
      </c>
      <c r="T5" s="18">
        <f t="shared" ref="T5:T68" ca="1" si="3">IFERROR(IF(ISNUMBER(D5),IF(ISNUMBER(J5),J5,IF(J5="",TODAY(),""))-D5,""),"")</f>
        <v>15</v>
      </c>
    </row>
    <row r="6" spans="1:20" x14ac:dyDescent="0.35">
      <c r="A6" s="11" t="s">
        <v>89</v>
      </c>
      <c r="B6" s="11" t="s">
        <v>90</v>
      </c>
      <c r="C6" s="11" t="s">
        <v>91</v>
      </c>
      <c r="D6" s="12">
        <v>46033</v>
      </c>
      <c r="E6" s="11" t="s">
        <v>92</v>
      </c>
      <c r="F6" s="13">
        <v>2</v>
      </c>
      <c r="G6" s="13">
        <v>1</v>
      </c>
      <c r="H6" s="11" t="s">
        <v>93</v>
      </c>
      <c r="I6" s="12">
        <v>46034</v>
      </c>
      <c r="J6" s="12"/>
      <c r="K6" s="13"/>
      <c r="L6" s="13"/>
      <c r="M6" s="13"/>
      <c r="N6" s="13"/>
      <c r="O6" s="13"/>
      <c r="P6" s="14" t="str">
        <f t="shared" si="0"/>
        <v>Listed</v>
      </c>
      <c r="Q6" s="15" t="str">
        <f>IF(OR(J6="",H6=""),"",IFERROR(IF(ISNUMBER(N6),N6,IF(K6&lt;N(INDEX(Platforms!$G$5:$G$14,MATCH(H6,Lists!$A$2:$A$11,0))),N(INDEX(Platforms!$H$5:$H$14,MATCH(H6,Lists!$A$2:$A$11,0))),MAX(N(INDEX(Platforms!$F$5:$F$14,MATCH(H6,Lists!$A$2:$A$11,0))),N(INDEX(Platforms!$C$5:$C$14,MATCH(H6,Lists!$A$2:$A$11,0)))*(K6+IF(INDEX(Platforms!$E$5:$E$14,MATCH(H6,Lists!$A$2:$A$11,0))="Yes",N(L6),0))+N(INDEX(Platforms!$D$5:$D$14,MATCH(H6,Lists!$A$2:$A$11,0)))))),""))</f>
        <v/>
      </c>
      <c r="R6" s="16" t="str">
        <f t="shared" si="1"/>
        <v/>
      </c>
      <c r="S6" s="17" t="str">
        <f t="shared" si="2"/>
        <v/>
      </c>
      <c r="T6" s="18">
        <f t="shared" ca="1" si="3"/>
        <v>285</v>
      </c>
    </row>
    <row r="7" spans="1:20" x14ac:dyDescent="0.35">
      <c r="A7" s="11"/>
      <c r="B7" s="11"/>
      <c r="C7" s="11"/>
      <c r="D7" s="12"/>
      <c r="E7" s="11"/>
      <c r="F7" s="13"/>
      <c r="G7" s="13"/>
      <c r="H7" s="11"/>
      <c r="I7" s="12"/>
      <c r="J7" s="12"/>
      <c r="K7" s="13"/>
      <c r="L7" s="13"/>
      <c r="M7" s="13"/>
      <c r="N7" s="13"/>
      <c r="O7" s="13"/>
      <c r="P7" s="14" t="str">
        <f t="shared" si="0"/>
        <v/>
      </c>
      <c r="Q7" s="15" t="str">
        <f>IF(OR(J7="",H7=""),"",IFERROR(IF(ISNUMBER(N7),N7,IF(K7&lt;N(INDEX(Platforms!$G$5:$G$14,MATCH(H7,Lists!$A$2:$A$11,0))),N(INDEX(Platforms!$H$5:$H$14,MATCH(H7,Lists!$A$2:$A$11,0))),MAX(N(INDEX(Platforms!$F$5:$F$14,MATCH(H7,Lists!$A$2:$A$11,0))),N(INDEX(Platforms!$C$5:$C$14,MATCH(H7,Lists!$A$2:$A$11,0)))*(K7+IF(INDEX(Platforms!$E$5:$E$14,MATCH(H7,Lists!$A$2:$A$11,0))="Yes",N(L7),0))+N(INDEX(Platforms!$D$5:$D$14,MATCH(H7,Lists!$A$2:$A$11,0)))))),""))</f>
        <v/>
      </c>
      <c r="R7" s="16" t="str">
        <f t="shared" si="1"/>
        <v/>
      </c>
      <c r="S7" s="17" t="str">
        <f t="shared" si="2"/>
        <v/>
      </c>
      <c r="T7" s="18" t="str">
        <f t="shared" ca="1" si="3"/>
        <v/>
      </c>
    </row>
    <row r="8" spans="1:20" x14ac:dyDescent="0.35">
      <c r="A8" s="11"/>
      <c r="B8" s="11"/>
      <c r="C8" s="11"/>
      <c r="D8" s="12"/>
      <c r="E8" s="11"/>
      <c r="F8" s="13"/>
      <c r="G8" s="13"/>
      <c r="H8" s="11"/>
      <c r="I8" s="12"/>
      <c r="J8" s="12"/>
      <c r="K8" s="13"/>
      <c r="L8" s="13"/>
      <c r="M8" s="13"/>
      <c r="N8" s="13"/>
      <c r="O8" s="13"/>
      <c r="P8" s="14" t="str">
        <f t="shared" si="0"/>
        <v/>
      </c>
      <c r="Q8" s="15" t="str">
        <f>IF(OR(J8="",H8=""),"",IFERROR(IF(ISNUMBER(N8),N8,IF(K8&lt;N(INDEX(Platforms!$G$5:$G$14,MATCH(H8,Lists!$A$2:$A$11,0))),N(INDEX(Platforms!$H$5:$H$14,MATCH(H8,Lists!$A$2:$A$11,0))),MAX(N(INDEX(Platforms!$F$5:$F$14,MATCH(H8,Lists!$A$2:$A$11,0))),N(INDEX(Platforms!$C$5:$C$14,MATCH(H8,Lists!$A$2:$A$11,0)))*(K8+IF(INDEX(Platforms!$E$5:$E$14,MATCH(H8,Lists!$A$2:$A$11,0))="Yes",N(L8),0))+N(INDEX(Platforms!$D$5:$D$14,MATCH(H8,Lists!$A$2:$A$11,0)))))),""))</f>
        <v/>
      </c>
      <c r="R8" s="16" t="str">
        <f t="shared" si="1"/>
        <v/>
      </c>
      <c r="S8" s="17" t="str">
        <f t="shared" si="2"/>
        <v/>
      </c>
      <c r="T8" s="18" t="str">
        <f t="shared" ca="1" si="3"/>
        <v/>
      </c>
    </row>
    <row r="9" spans="1:20" x14ac:dyDescent="0.35">
      <c r="A9" s="11"/>
      <c r="B9" s="11"/>
      <c r="C9" s="11"/>
      <c r="D9" s="12"/>
      <c r="E9" s="11"/>
      <c r="F9" s="13"/>
      <c r="G9" s="13"/>
      <c r="H9" s="11"/>
      <c r="I9" s="12"/>
      <c r="J9" s="12"/>
      <c r="K9" s="13"/>
      <c r="L9" s="13"/>
      <c r="M9" s="13"/>
      <c r="N9" s="13"/>
      <c r="O9" s="13"/>
      <c r="P9" s="14" t="str">
        <f t="shared" si="0"/>
        <v/>
      </c>
      <c r="Q9" s="15" t="str">
        <f>IF(OR(J9="",H9=""),"",IFERROR(IF(ISNUMBER(N9),N9,IF(K9&lt;N(INDEX(Platforms!$G$5:$G$14,MATCH(H9,Lists!$A$2:$A$11,0))),N(INDEX(Platforms!$H$5:$H$14,MATCH(H9,Lists!$A$2:$A$11,0))),MAX(N(INDEX(Platforms!$F$5:$F$14,MATCH(H9,Lists!$A$2:$A$11,0))),N(INDEX(Platforms!$C$5:$C$14,MATCH(H9,Lists!$A$2:$A$11,0)))*(K9+IF(INDEX(Platforms!$E$5:$E$14,MATCH(H9,Lists!$A$2:$A$11,0))="Yes",N(L9),0))+N(INDEX(Platforms!$D$5:$D$14,MATCH(H9,Lists!$A$2:$A$11,0)))))),""))</f>
        <v/>
      </c>
      <c r="R9" s="16" t="str">
        <f t="shared" si="1"/>
        <v/>
      </c>
      <c r="S9" s="17" t="str">
        <f t="shared" si="2"/>
        <v/>
      </c>
      <c r="T9" s="18" t="str">
        <f t="shared" ca="1" si="3"/>
        <v/>
      </c>
    </row>
    <row r="10" spans="1:20" x14ac:dyDescent="0.35">
      <c r="A10" s="11"/>
      <c r="B10" s="11"/>
      <c r="C10" s="11"/>
      <c r="D10" s="12"/>
      <c r="E10" s="11"/>
      <c r="F10" s="13"/>
      <c r="G10" s="13"/>
      <c r="H10" s="11"/>
      <c r="I10" s="12"/>
      <c r="J10" s="12"/>
      <c r="K10" s="13"/>
      <c r="L10" s="13"/>
      <c r="M10" s="13"/>
      <c r="N10" s="13"/>
      <c r="O10" s="13"/>
      <c r="P10" s="14" t="str">
        <f t="shared" si="0"/>
        <v/>
      </c>
      <c r="Q10" s="15" t="str">
        <f>IF(OR(J10="",H10=""),"",IFERROR(IF(ISNUMBER(N10),N10,IF(K10&lt;N(INDEX(Platforms!$G$5:$G$14,MATCH(H10,Lists!$A$2:$A$11,0))),N(INDEX(Platforms!$H$5:$H$14,MATCH(H10,Lists!$A$2:$A$11,0))),MAX(N(INDEX(Platforms!$F$5:$F$14,MATCH(H10,Lists!$A$2:$A$11,0))),N(INDEX(Platforms!$C$5:$C$14,MATCH(H10,Lists!$A$2:$A$11,0)))*(K10+IF(INDEX(Platforms!$E$5:$E$14,MATCH(H10,Lists!$A$2:$A$11,0))="Yes",N(L10),0))+N(INDEX(Platforms!$D$5:$D$14,MATCH(H10,Lists!$A$2:$A$11,0)))))),""))</f>
        <v/>
      </c>
      <c r="R10" s="16" t="str">
        <f t="shared" si="1"/>
        <v/>
      </c>
      <c r="S10" s="17" t="str">
        <f t="shared" si="2"/>
        <v/>
      </c>
      <c r="T10" s="18" t="str">
        <f t="shared" ca="1" si="3"/>
        <v/>
      </c>
    </row>
    <row r="11" spans="1:20" x14ac:dyDescent="0.35">
      <c r="A11" s="11"/>
      <c r="B11" s="11"/>
      <c r="C11" s="11"/>
      <c r="D11" s="12"/>
      <c r="E11" s="11"/>
      <c r="F11" s="13"/>
      <c r="G11" s="13"/>
      <c r="H11" s="11"/>
      <c r="I11" s="12"/>
      <c r="J11" s="12"/>
      <c r="K11" s="13"/>
      <c r="L11" s="13"/>
      <c r="M11" s="13"/>
      <c r="N11" s="13"/>
      <c r="O11" s="13"/>
      <c r="P11" s="14" t="str">
        <f t="shared" si="0"/>
        <v/>
      </c>
      <c r="Q11" s="15" t="str">
        <f>IF(OR(J11="",H11=""),"",IFERROR(IF(ISNUMBER(N11),N11,IF(K11&lt;N(INDEX(Platforms!$G$5:$G$14,MATCH(H11,Lists!$A$2:$A$11,0))),N(INDEX(Platforms!$H$5:$H$14,MATCH(H11,Lists!$A$2:$A$11,0))),MAX(N(INDEX(Platforms!$F$5:$F$14,MATCH(H11,Lists!$A$2:$A$11,0))),N(INDEX(Platforms!$C$5:$C$14,MATCH(H11,Lists!$A$2:$A$11,0)))*(K11+IF(INDEX(Platforms!$E$5:$E$14,MATCH(H11,Lists!$A$2:$A$11,0))="Yes",N(L11),0))+N(INDEX(Platforms!$D$5:$D$14,MATCH(H11,Lists!$A$2:$A$11,0)))))),""))</f>
        <v/>
      </c>
      <c r="R11" s="16" t="str">
        <f t="shared" si="1"/>
        <v/>
      </c>
      <c r="S11" s="17" t="str">
        <f t="shared" si="2"/>
        <v/>
      </c>
      <c r="T11" s="18" t="str">
        <f t="shared" ca="1" si="3"/>
        <v/>
      </c>
    </row>
    <row r="12" spans="1:20" x14ac:dyDescent="0.35">
      <c r="A12" s="11"/>
      <c r="B12" s="11"/>
      <c r="C12" s="11"/>
      <c r="D12" s="12"/>
      <c r="E12" s="11"/>
      <c r="F12" s="13"/>
      <c r="G12" s="13"/>
      <c r="H12" s="11"/>
      <c r="I12" s="12"/>
      <c r="J12" s="12"/>
      <c r="K12" s="13"/>
      <c r="L12" s="13"/>
      <c r="M12" s="13"/>
      <c r="N12" s="13"/>
      <c r="O12" s="13"/>
      <c r="P12" s="14" t="str">
        <f t="shared" si="0"/>
        <v/>
      </c>
      <c r="Q12" s="15" t="str">
        <f>IF(OR(J12="",H12=""),"",IFERROR(IF(ISNUMBER(N12),N12,IF(K12&lt;N(INDEX(Platforms!$G$5:$G$14,MATCH(H12,Lists!$A$2:$A$11,0))),N(INDEX(Platforms!$H$5:$H$14,MATCH(H12,Lists!$A$2:$A$11,0))),MAX(N(INDEX(Platforms!$F$5:$F$14,MATCH(H12,Lists!$A$2:$A$11,0))),N(INDEX(Platforms!$C$5:$C$14,MATCH(H12,Lists!$A$2:$A$11,0)))*(K12+IF(INDEX(Platforms!$E$5:$E$14,MATCH(H12,Lists!$A$2:$A$11,0))="Yes",N(L12),0))+N(INDEX(Platforms!$D$5:$D$14,MATCH(H12,Lists!$A$2:$A$11,0)))))),""))</f>
        <v/>
      </c>
      <c r="R12" s="16" t="str">
        <f t="shared" si="1"/>
        <v/>
      </c>
      <c r="S12" s="17" t="str">
        <f t="shared" si="2"/>
        <v/>
      </c>
      <c r="T12" s="18" t="str">
        <f t="shared" ca="1" si="3"/>
        <v/>
      </c>
    </row>
    <row r="13" spans="1:20" x14ac:dyDescent="0.35">
      <c r="A13" s="11"/>
      <c r="B13" s="11"/>
      <c r="C13" s="11"/>
      <c r="D13" s="12"/>
      <c r="E13" s="11"/>
      <c r="F13" s="13"/>
      <c r="G13" s="13"/>
      <c r="H13" s="11"/>
      <c r="I13" s="12"/>
      <c r="J13" s="12"/>
      <c r="K13" s="13"/>
      <c r="L13" s="13"/>
      <c r="M13" s="13"/>
      <c r="N13" s="13"/>
      <c r="O13" s="13"/>
      <c r="P13" s="14" t="str">
        <f t="shared" si="0"/>
        <v/>
      </c>
      <c r="Q13" s="15" t="str">
        <f>IF(OR(J13="",H13=""),"",IFERROR(IF(ISNUMBER(N13),N13,IF(K13&lt;N(INDEX(Platforms!$G$5:$G$14,MATCH(H13,Lists!$A$2:$A$11,0))),N(INDEX(Platforms!$H$5:$H$14,MATCH(H13,Lists!$A$2:$A$11,0))),MAX(N(INDEX(Platforms!$F$5:$F$14,MATCH(H13,Lists!$A$2:$A$11,0))),N(INDEX(Platforms!$C$5:$C$14,MATCH(H13,Lists!$A$2:$A$11,0)))*(K13+IF(INDEX(Platforms!$E$5:$E$14,MATCH(H13,Lists!$A$2:$A$11,0))="Yes",N(L13),0))+N(INDEX(Platforms!$D$5:$D$14,MATCH(H13,Lists!$A$2:$A$11,0)))))),""))</f>
        <v/>
      </c>
      <c r="R13" s="16" t="str">
        <f t="shared" si="1"/>
        <v/>
      </c>
      <c r="S13" s="17" t="str">
        <f t="shared" si="2"/>
        <v/>
      </c>
      <c r="T13" s="18" t="str">
        <f t="shared" ca="1" si="3"/>
        <v/>
      </c>
    </row>
    <row r="14" spans="1:20" x14ac:dyDescent="0.35">
      <c r="A14" s="11"/>
      <c r="B14" s="11"/>
      <c r="C14" s="11"/>
      <c r="D14" s="12"/>
      <c r="E14" s="11"/>
      <c r="F14" s="13"/>
      <c r="G14" s="13"/>
      <c r="H14" s="11"/>
      <c r="I14" s="12"/>
      <c r="J14" s="12"/>
      <c r="K14" s="13"/>
      <c r="L14" s="13"/>
      <c r="M14" s="13"/>
      <c r="N14" s="13"/>
      <c r="O14" s="13"/>
      <c r="P14" s="14" t="str">
        <f t="shared" si="0"/>
        <v/>
      </c>
      <c r="Q14" s="15" t="str">
        <f>IF(OR(J14="",H14=""),"",IFERROR(IF(ISNUMBER(N14),N14,IF(K14&lt;N(INDEX(Platforms!$G$5:$G$14,MATCH(H14,Lists!$A$2:$A$11,0))),N(INDEX(Platforms!$H$5:$H$14,MATCH(H14,Lists!$A$2:$A$11,0))),MAX(N(INDEX(Platforms!$F$5:$F$14,MATCH(H14,Lists!$A$2:$A$11,0))),N(INDEX(Platforms!$C$5:$C$14,MATCH(H14,Lists!$A$2:$A$11,0)))*(K14+IF(INDEX(Platforms!$E$5:$E$14,MATCH(H14,Lists!$A$2:$A$11,0))="Yes",N(L14),0))+N(INDEX(Platforms!$D$5:$D$14,MATCH(H14,Lists!$A$2:$A$11,0)))))),""))</f>
        <v/>
      </c>
      <c r="R14" s="16" t="str">
        <f t="shared" si="1"/>
        <v/>
      </c>
      <c r="S14" s="17" t="str">
        <f t="shared" si="2"/>
        <v/>
      </c>
      <c r="T14" s="18" t="str">
        <f t="shared" ca="1" si="3"/>
        <v/>
      </c>
    </row>
    <row r="15" spans="1:20" x14ac:dyDescent="0.35">
      <c r="A15" s="11"/>
      <c r="B15" s="11"/>
      <c r="C15" s="11"/>
      <c r="D15" s="12"/>
      <c r="E15" s="11"/>
      <c r="F15" s="13"/>
      <c r="G15" s="13"/>
      <c r="H15" s="11"/>
      <c r="I15" s="12"/>
      <c r="J15" s="12"/>
      <c r="K15" s="13"/>
      <c r="L15" s="13"/>
      <c r="M15" s="13"/>
      <c r="N15" s="13"/>
      <c r="O15" s="13"/>
      <c r="P15" s="14" t="str">
        <f t="shared" si="0"/>
        <v/>
      </c>
      <c r="Q15" s="15" t="str">
        <f>IF(OR(J15="",H15=""),"",IFERROR(IF(ISNUMBER(N15),N15,IF(K15&lt;N(INDEX(Platforms!$G$5:$G$14,MATCH(H15,Lists!$A$2:$A$11,0))),N(INDEX(Platforms!$H$5:$H$14,MATCH(H15,Lists!$A$2:$A$11,0))),MAX(N(INDEX(Platforms!$F$5:$F$14,MATCH(H15,Lists!$A$2:$A$11,0))),N(INDEX(Platforms!$C$5:$C$14,MATCH(H15,Lists!$A$2:$A$11,0)))*(K15+IF(INDEX(Platforms!$E$5:$E$14,MATCH(H15,Lists!$A$2:$A$11,0))="Yes",N(L15),0))+N(INDEX(Platforms!$D$5:$D$14,MATCH(H15,Lists!$A$2:$A$11,0)))))),""))</f>
        <v/>
      </c>
      <c r="R15" s="16" t="str">
        <f t="shared" si="1"/>
        <v/>
      </c>
      <c r="S15" s="17" t="str">
        <f t="shared" si="2"/>
        <v/>
      </c>
      <c r="T15" s="18" t="str">
        <f t="shared" ca="1" si="3"/>
        <v/>
      </c>
    </row>
    <row r="16" spans="1:20" x14ac:dyDescent="0.35">
      <c r="A16" s="11"/>
      <c r="B16" s="11"/>
      <c r="C16" s="11"/>
      <c r="D16" s="12"/>
      <c r="E16" s="11"/>
      <c r="F16" s="13"/>
      <c r="G16" s="13"/>
      <c r="H16" s="11"/>
      <c r="I16" s="12"/>
      <c r="J16" s="12"/>
      <c r="K16" s="13"/>
      <c r="L16" s="13"/>
      <c r="M16" s="13"/>
      <c r="N16" s="13"/>
      <c r="O16" s="13"/>
      <c r="P16" s="14" t="str">
        <f t="shared" si="0"/>
        <v/>
      </c>
      <c r="Q16" s="15" t="str">
        <f>IF(OR(J16="",H16=""),"",IFERROR(IF(ISNUMBER(N16),N16,IF(K16&lt;N(INDEX(Platforms!$G$5:$G$14,MATCH(H16,Lists!$A$2:$A$11,0))),N(INDEX(Platforms!$H$5:$H$14,MATCH(H16,Lists!$A$2:$A$11,0))),MAX(N(INDEX(Platforms!$F$5:$F$14,MATCH(H16,Lists!$A$2:$A$11,0))),N(INDEX(Platforms!$C$5:$C$14,MATCH(H16,Lists!$A$2:$A$11,0)))*(K16+IF(INDEX(Platforms!$E$5:$E$14,MATCH(H16,Lists!$A$2:$A$11,0))="Yes",N(L16),0))+N(INDEX(Platforms!$D$5:$D$14,MATCH(H16,Lists!$A$2:$A$11,0)))))),""))</f>
        <v/>
      </c>
      <c r="R16" s="16" t="str">
        <f t="shared" si="1"/>
        <v/>
      </c>
      <c r="S16" s="17" t="str">
        <f t="shared" si="2"/>
        <v/>
      </c>
      <c r="T16" s="18" t="str">
        <f t="shared" ca="1" si="3"/>
        <v/>
      </c>
    </row>
    <row r="17" spans="1:20" x14ac:dyDescent="0.35">
      <c r="A17" s="11"/>
      <c r="B17" s="11"/>
      <c r="C17" s="11"/>
      <c r="D17" s="12"/>
      <c r="E17" s="11"/>
      <c r="F17" s="13"/>
      <c r="G17" s="13"/>
      <c r="H17" s="11"/>
      <c r="I17" s="12"/>
      <c r="J17" s="12"/>
      <c r="K17" s="13"/>
      <c r="L17" s="13"/>
      <c r="M17" s="13"/>
      <c r="N17" s="13"/>
      <c r="O17" s="13"/>
      <c r="P17" s="14" t="str">
        <f t="shared" si="0"/>
        <v/>
      </c>
      <c r="Q17" s="15" t="str">
        <f>IF(OR(J17="",H17=""),"",IFERROR(IF(ISNUMBER(N17),N17,IF(K17&lt;N(INDEX(Platforms!$G$5:$G$14,MATCH(H17,Lists!$A$2:$A$11,0))),N(INDEX(Platforms!$H$5:$H$14,MATCH(H17,Lists!$A$2:$A$11,0))),MAX(N(INDEX(Platforms!$F$5:$F$14,MATCH(H17,Lists!$A$2:$A$11,0))),N(INDEX(Platforms!$C$5:$C$14,MATCH(H17,Lists!$A$2:$A$11,0)))*(K17+IF(INDEX(Platforms!$E$5:$E$14,MATCH(H17,Lists!$A$2:$A$11,0))="Yes",N(L17),0))+N(INDEX(Platforms!$D$5:$D$14,MATCH(H17,Lists!$A$2:$A$11,0)))))),""))</f>
        <v/>
      </c>
      <c r="R17" s="16" t="str">
        <f t="shared" si="1"/>
        <v/>
      </c>
      <c r="S17" s="17" t="str">
        <f t="shared" si="2"/>
        <v/>
      </c>
      <c r="T17" s="18" t="str">
        <f t="shared" ca="1" si="3"/>
        <v/>
      </c>
    </row>
    <row r="18" spans="1:20" x14ac:dyDescent="0.35">
      <c r="A18" s="11"/>
      <c r="B18" s="11"/>
      <c r="C18" s="11"/>
      <c r="D18" s="12"/>
      <c r="E18" s="11"/>
      <c r="F18" s="13"/>
      <c r="G18" s="13"/>
      <c r="H18" s="11"/>
      <c r="I18" s="12"/>
      <c r="J18" s="12"/>
      <c r="K18" s="13"/>
      <c r="L18" s="13"/>
      <c r="M18" s="13"/>
      <c r="N18" s="13"/>
      <c r="O18" s="13"/>
      <c r="P18" s="14" t="str">
        <f t="shared" si="0"/>
        <v/>
      </c>
      <c r="Q18" s="15" t="str">
        <f>IF(OR(J18="",H18=""),"",IFERROR(IF(ISNUMBER(N18),N18,IF(K18&lt;N(INDEX(Platforms!$G$5:$G$14,MATCH(H18,Lists!$A$2:$A$11,0))),N(INDEX(Platforms!$H$5:$H$14,MATCH(H18,Lists!$A$2:$A$11,0))),MAX(N(INDEX(Platforms!$F$5:$F$14,MATCH(H18,Lists!$A$2:$A$11,0))),N(INDEX(Platforms!$C$5:$C$14,MATCH(H18,Lists!$A$2:$A$11,0)))*(K18+IF(INDEX(Platforms!$E$5:$E$14,MATCH(H18,Lists!$A$2:$A$11,0))="Yes",N(L18),0))+N(INDEX(Platforms!$D$5:$D$14,MATCH(H18,Lists!$A$2:$A$11,0)))))),""))</f>
        <v/>
      </c>
      <c r="R18" s="16" t="str">
        <f t="shared" si="1"/>
        <v/>
      </c>
      <c r="S18" s="17" t="str">
        <f t="shared" si="2"/>
        <v/>
      </c>
      <c r="T18" s="18" t="str">
        <f t="shared" ca="1" si="3"/>
        <v/>
      </c>
    </row>
    <row r="19" spans="1:20" x14ac:dyDescent="0.35">
      <c r="A19" s="11"/>
      <c r="B19" s="11"/>
      <c r="C19" s="11"/>
      <c r="D19" s="12"/>
      <c r="E19" s="11"/>
      <c r="F19" s="13"/>
      <c r="G19" s="13"/>
      <c r="H19" s="11"/>
      <c r="I19" s="12"/>
      <c r="J19" s="12"/>
      <c r="K19" s="13"/>
      <c r="L19" s="13"/>
      <c r="M19" s="13"/>
      <c r="N19" s="13"/>
      <c r="O19" s="13"/>
      <c r="P19" s="14" t="str">
        <f t="shared" si="0"/>
        <v/>
      </c>
      <c r="Q19" s="15" t="str">
        <f>IF(OR(J19="",H19=""),"",IFERROR(IF(ISNUMBER(N19),N19,IF(K19&lt;N(INDEX(Platforms!$G$5:$G$14,MATCH(H19,Lists!$A$2:$A$11,0))),N(INDEX(Platforms!$H$5:$H$14,MATCH(H19,Lists!$A$2:$A$11,0))),MAX(N(INDEX(Platforms!$F$5:$F$14,MATCH(H19,Lists!$A$2:$A$11,0))),N(INDEX(Platforms!$C$5:$C$14,MATCH(H19,Lists!$A$2:$A$11,0)))*(K19+IF(INDEX(Platforms!$E$5:$E$14,MATCH(H19,Lists!$A$2:$A$11,0))="Yes",N(L19),0))+N(INDEX(Platforms!$D$5:$D$14,MATCH(H19,Lists!$A$2:$A$11,0)))))),""))</f>
        <v/>
      </c>
      <c r="R19" s="16" t="str">
        <f t="shared" si="1"/>
        <v/>
      </c>
      <c r="S19" s="17" t="str">
        <f t="shared" si="2"/>
        <v/>
      </c>
      <c r="T19" s="18" t="str">
        <f t="shared" ca="1" si="3"/>
        <v/>
      </c>
    </row>
    <row r="20" spans="1:20" x14ac:dyDescent="0.35">
      <c r="A20" s="11"/>
      <c r="B20" s="11"/>
      <c r="C20" s="11"/>
      <c r="D20" s="12"/>
      <c r="E20" s="11"/>
      <c r="F20" s="13"/>
      <c r="G20" s="13"/>
      <c r="H20" s="11"/>
      <c r="I20" s="12"/>
      <c r="J20" s="12"/>
      <c r="K20" s="13"/>
      <c r="L20" s="13"/>
      <c r="M20" s="13"/>
      <c r="N20" s="13"/>
      <c r="O20" s="13"/>
      <c r="P20" s="14" t="str">
        <f t="shared" si="0"/>
        <v/>
      </c>
      <c r="Q20" s="15" t="str">
        <f>IF(OR(J20="",H20=""),"",IFERROR(IF(ISNUMBER(N20),N20,IF(K20&lt;N(INDEX(Platforms!$G$5:$G$14,MATCH(H20,Lists!$A$2:$A$11,0))),N(INDEX(Platforms!$H$5:$H$14,MATCH(H20,Lists!$A$2:$A$11,0))),MAX(N(INDEX(Platforms!$F$5:$F$14,MATCH(H20,Lists!$A$2:$A$11,0))),N(INDEX(Platforms!$C$5:$C$14,MATCH(H20,Lists!$A$2:$A$11,0)))*(K20+IF(INDEX(Platforms!$E$5:$E$14,MATCH(H20,Lists!$A$2:$A$11,0))="Yes",N(L20),0))+N(INDEX(Platforms!$D$5:$D$14,MATCH(H20,Lists!$A$2:$A$11,0)))))),""))</f>
        <v/>
      </c>
      <c r="R20" s="16" t="str">
        <f t="shared" si="1"/>
        <v/>
      </c>
      <c r="S20" s="17" t="str">
        <f t="shared" si="2"/>
        <v/>
      </c>
      <c r="T20" s="18" t="str">
        <f t="shared" ca="1" si="3"/>
        <v/>
      </c>
    </row>
    <row r="21" spans="1:20" x14ac:dyDescent="0.35">
      <c r="A21" s="11"/>
      <c r="B21" s="11"/>
      <c r="C21" s="11"/>
      <c r="D21" s="12"/>
      <c r="E21" s="11"/>
      <c r="F21" s="13"/>
      <c r="G21" s="13"/>
      <c r="H21" s="11"/>
      <c r="I21" s="12"/>
      <c r="J21" s="12"/>
      <c r="K21" s="13"/>
      <c r="L21" s="13"/>
      <c r="M21" s="13"/>
      <c r="N21" s="13"/>
      <c r="O21" s="13"/>
      <c r="P21" s="14" t="str">
        <f t="shared" si="0"/>
        <v/>
      </c>
      <c r="Q21" s="15" t="str">
        <f>IF(OR(J21="",H21=""),"",IFERROR(IF(ISNUMBER(N21),N21,IF(K21&lt;N(INDEX(Platforms!$G$5:$G$14,MATCH(H21,Lists!$A$2:$A$11,0))),N(INDEX(Platforms!$H$5:$H$14,MATCH(H21,Lists!$A$2:$A$11,0))),MAX(N(INDEX(Platforms!$F$5:$F$14,MATCH(H21,Lists!$A$2:$A$11,0))),N(INDEX(Platforms!$C$5:$C$14,MATCH(H21,Lists!$A$2:$A$11,0)))*(K21+IF(INDEX(Platforms!$E$5:$E$14,MATCH(H21,Lists!$A$2:$A$11,0))="Yes",N(L21),0))+N(INDEX(Platforms!$D$5:$D$14,MATCH(H21,Lists!$A$2:$A$11,0)))))),""))</f>
        <v/>
      </c>
      <c r="R21" s="16" t="str">
        <f t="shared" si="1"/>
        <v/>
      </c>
      <c r="S21" s="17" t="str">
        <f t="shared" si="2"/>
        <v/>
      </c>
      <c r="T21" s="18" t="str">
        <f t="shared" ca="1" si="3"/>
        <v/>
      </c>
    </row>
    <row r="22" spans="1:20" x14ac:dyDescent="0.35">
      <c r="A22" s="11"/>
      <c r="B22" s="11"/>
      <c r="C22" s="11"/>
      <c r="D22" s="12"/>
      <c r="E22" s="11"/>
      <c r="F22" s="13"/>
      <c r="G22" s="13"/>
      <c r="H22" s="11"/>
      <c r="I22" s="12"/>
      <c r="J22" s="12"/>
      <c r="K22" s="13"/>
      <c r="L22" s="13"/>
      <c r="M22" s="13"/>
      <c r="N22" s="13"/>
      <c r="O22" s="13"/>
      <c r="P22" s="14" t="str">
        <f t="shared" si="0"/>
        <v/>
      </c>
      <c r="Q22" s="15" t="str">
        <f>IF(OR(J22="",H22=""),"",IFERROR(IF(ISNUMBER(N22),N22,IF(K22&lt;N(INDEX(Platforms!$G$5:$G$14,MATCH(H22,Lists!$A$2:$A$11,0))),N(INDEX(Platforms!$H$5:$H$14,MATCH(H22,Lists!$A$2:$A$11,0))),MAX(N(INDEX(Platforms!$F$5:$F$14,MATCH(H22,Lists!$A$2:$A$11,0))),N(INDEX(Platforms!$C$5:$C$14,MATCH(H22,Lists!$A$2:$A$11,0)))*(K22+IF(INDEX(Platforms!$E$5:$E$14,MATCH(H22,Lists!$A$2:$A$11,0))="Yes",N(L22),0))+N(INDEX(Platforms!$D$5:$D$14,MATCH(H22,Lists!$A$2:$A$11,0)))))),""))</f>
        <v/>
      </c>
      <c r="R22" s="16" t="str">
        <f t="shared" si="1"/>
        <v/>
      </c>
      <c r="S22" s="17" t="str">
        <f t="shared" si="2"/>
        <v/>
      </c>
      <c r="T22" s="18" t="str">
        <f t="shared" ca="1" si="3"/>
        <v/>
      </c>
    </row>
    <row r="23" spans="1:20" x14ac:dyDescent="0.35">
      <c r="A23" s="11"/>
      <c r="B23" s="11"/>
      <c r="C23" s="11"/>
      <c r="D23" s="12"/>
      <c r="E23" s="11"/>
      <c r="F23" s="13"/>
      <c r="G23" s="13"/>
      <c r="H23" s="11"/>
      <c r="I23" s="12"/>
      <c r="J23" s="12"/>
      <c r="K23" s="13"/>
      <c r="L23" s="13"/>
      <c r="M23" s="13"/>
      <c r="N23" s="13"/>
      <c r="O23" s="13"/>
      <c r="P23" s="14" t="str">
        <f t="shared" si="0"/>
        <v/>
      </c>
      <c r="Q23" s="15" t="str">
        <f>IF(OR(J23="",H23=""),"",IFERROR(IF(ISNUMBER(N23),N23,IF(K23&lt;N(INDEX(Platforms!$G$5:$G$14,MATCH(H23,Lists!$A$2:$A$11,0))),N(INDEX(Platforms!$H$5:$H$14,MATCH(H23,Lists!$A$2:$A$11,0))),MAX(N(INDEX(Platforms!$F$5:$F$14,MATCH(H23,Lists!$A$2:$A$11,0))),N(INDEX(Platforms!$C$5:$C$14,MATCH(H23,Lists!$A$2:$A$11,0)))*(K23+IF(INDEX(Platforms!$E$5:$E$14,MATCH(H23,Lists!$A$2:$A$11,0))="Yes",N(L23),0))+N(INDEX(Platforms!$D$5:$D$14,MATCH(H23,Lists!$A$2:$A$11,0)))))),""))</f>
        <v/>
      </c>
      <c r="R23" s="16" t="str">
        <f t="shared" si="1"/>
        <v/>
      </c>
      <c r="S23" s="17" t="str">
        <f t="shared" si="2"/>
        <v/>
      </c>
      <c r="T23" s="18" t="str">
        <f t="shared" ca="1" si="3"/>
        <v/>
      </c>
    </row>
    <row r="24" spans="1:20" x14ac:dyDescent="0.35">
      <c r="A24" s="11"/>
      <c r="B24" s="11"/>
      <c r="C24" s="11"/>
      <c r="D24" s="12"/>
      <c r="E24" s="11"/>
      <c r="F24" s="13"/>
      <c r="G24" s="13"/>
      <c r="H24" s="11"/>
      <c r="I24" s="12"/>
      <c r="J24" s="12"/>
      <c r="K24" s="13"/>
      <c r="L24" s="13"/>
      <c r="M24" s="13"/>
      <c r="N24" s="13"/>
      <c r="O24" s="13"/>
      <c r="P24" s="14" t="str">
        <f t="shared" si="0"/>
        <v/>
      </c>
      <c r="Q24" s="15" t="str">
        <f>IF(OR(J24="",H24=""),"",IFERROR(IF(ISNUMBER(N24),N24,IF(K24&lt;N(INDEX(Platforms!$G$5:$G$14,MATCH(H24,Lists!$A$2:$A$11,0))),N(INDEX(Platforms!$H$5:$H$14,MATCH(H24,Lists!$A$2:$A$11,0))),MAX(N(INDEX(Platforms!$F$5:$F$14,MATCH(H24,Lists!$A$2:$A$11,0))),N(INDEX(Platforms!$C$5:$C$14,MATCH(H24,Lists!$A$2:$A$11,0)))*(K24+IF(INDEX(Platforms!$E$5:$E$14,MATCH(H24,Lists!$A$2:$A$11,0))="Yes",N(L24),0))+N(INDEX(Platforms!$D$5:$D$14,MATCH(H24,Lists!$A$2:$A$11,0)))))),""))</f>
        <v/>
      </c>
      <c r="R24" s="16" t="str">
        <f t="shared" si="1"/>
        <v/>
      </c>
      <c r="S24" s="17" t="str">
        <f t="shared" si="2"/>
        <v/>
      </c>
      <c r="T24" s="18" t="str">
        <f t="shared" ca="1" si="3"/>
        <v/>
      </c>
    </row>
    <row r="25" spans="1:20" x14ac:dyDescent="0.35">
      <c r="A25" s="11"/>
      <c r="B25" s="11"/>
      <c r="C25" s="11"/>
      <c r="D25" s="12"/>
      <c r="E25" s="11"/>
      <c r="F25" s="13"/>
      <c r="G25" s="13"/>
      <c r="H25" s="11"/>
      <c r="I25" s="12"/>
      <c r="J25" s="12"/>
      <c r="K25" s="13"/>
      <c r="L25" s="13"/>
      <c r="M25" s="13"/>
      <c r="N25" s="13"/>
      <c r="O25" s="13"/>
      <c r="P25" s="14" t="str">
        <f t="shared" si="0"/>
        <v/>
      </c>
      <c r="Q25" s="15" t="str">
        <f>IF(OR(J25="",H25=""),"",IFERROR(IF(ISNUMBER(N25),N25,IF(K25&lt;N(INDEX(Platforms!$G$5:$G$14,MATCH(H25,Lists!$A$2:$A$11,0))),N(INDEX(Platforms!$H$5:$H$14,MATCH(H25,Lists!$A$2:$A$11,0))),MAX(N(INDEX(Platforms!$F$5:$F$14,MATCH(H25,Lists!$A$2:$A$11,0))),N(INDEX(Platforms!$C$5:$C$14,MATCH(H25,Lists!$A$2:$A$11,0)))*(K25+IF(INDEX(Platforms!$E$5:$E$14,MATCH(H25,Lists!$A$2:$A$11,0))="Yes",N(L25),0))+N(INDEX(Platforms!$D$5:$D$14,MATCH(H25,Lists!$A$2:$A$11,0)))))),""))</f>
        <v/>
      </c>
      <c r="R25" s="16" t="str">
        <f t="shared" si="1"/>
        <v/>
      </c>
      <c r="S25" s="17" t="str">
        <f t="shared" si="2"/>
        <v/>
      </c>
      <c r="T25" s="18" t="str">
        <f t="shared" ca="1" si="3"/>
        <v/>
      </c>
    </row>
    <row r="26" spans="1:20" x14ac:dyDescent="0.35">
      <c r="A26" s="11"/>
      <c r="B26" s="11"/>
      <c r="C26" s="11"/>
      <c r="D26" s="12"/>
      <c r="E26" s="11"/>
      <c r="F26" s="13"/>
      <c r="G26" s="13"/>
      <c r="H26" s="11"/>
      <c r="I26" s="12"/>
      <c r="J26" s="12"/>
      <c r="K26" s="13"/>
      <c r="L26" s="13"/>
      <c r="M26" s="13"/>
      <c r="N26" s="13"/>
      <c r="O26" s="13"/>
      <c r="P26" s="14" t="str">
        <f t="shared" si="0"/>
        <v/>
      </c>
      <c r="Q26" s="15" t="str">
        <f>IF(OR(J26="",H26=""),"",IFERROR(IF(ISNUMBER(N26),N26,IF(K26&lt;N(INDEX(Platforms!$G$5:$G$14,MATCH(H26,Lists!$A$2:$A$11,0))),N(INDEX(Platforms!$H$5:$H$14,MATCH(H26,Lists!$A$2:$A$11,0))),MAX(N(INDEX(Platforms!$F$5:$F$14,MATCH(H26,Lists!$A$2:$A$11,0))),N(INDEX(Platforms!$C$5:$C$14,MATCH(H26,Lists!$A$2:$A$11,0)))*(K26+IF(INDEX(Platforms!$E$5:$E$14,MATCH(H26,Lists!$A$2:$A$11,0))="Yes",N(L26),0))+N(INDEX(Platforms!$D$5:$D$14,MATCH(H26,Lists!$A$2:$A$11,0)))))),""))</f>
        <v/>
      </c>
      <c r="R26" s="16" t="str">
        <f t="shared" si="1"/>
        <v/>
      </c>
      <c r="S26" s="17" t="str">
        <f t="shared" si="2"/>
        <v/>
      </c>
      <c r="T26" s="18" t="str">
        <f t="shared" ca="1" si="3"/>
        <v/>
      </c>
    </row>
    <row r="27" spans="1:20" x14ac:dyDescent="0.35">
      <c r="A27" s="11"/>
      <c r="B27" s="11"/>
      <c r="C27" s="11"/>
      <c r="D27" s="12"/>
      <c r="E27" s="11"/>
      <c r="F27" s="13"/>
      <c r="G27" s="13"/>
      <c r="H27" s="11"/>
      <c r="I27" s="12"/>
      <c r="J27" s="12"/>
      <c r="K27" s="13"/>
      <c r="L27" s="13"/>
      <c r="M27" s="13"/>
      <c r="N27" s="13"/>
      <c r="O27" s="13"/>
      <c r="P27" s="14" t="str">
        <f t="shared" si="0"/>
        <v/>
      </c>
      <c r="Q27" s="15" t="str">
        <f>IF(OR(J27="",H27=""),"",IFERROR(IF(ISNUMBER(N27),N27,IF(K27&lt;N(INDEX(Platforms!$G$5:$G$14,MATCH(H27,Lists!$A$2:$A$11,0))),N(INDEX(Platforms!$H$5:$H$14,MATCH(H27,Lists!$A$2:$A$11,0))),MAX(N(INDEX(Platforms!$F$5:$F$14,MATCH(H27,Lists!$A$2:$A$11,0))),N(INDEX(Platforms!$C$5:$C$14,MATCH(H27,Lists!$A$2:$A$11,0)))*(K27+IF(INDEX(Platforms!$E$5:$E$14,MATCH(H27,Lists!$A$2:$A$11,0))="Yes",N(L27),0))+N(INDEX(Platforms!$D$5:$D$14,MATCH(H27,Lists!$A$2:$A$11,0)))))),""))</f>
        <v/>
      </c>
      <c r="R27" s="16" t="str">
        <f t="shared" si="1"/>
        <v/>
      </c>
      <c r="S27" s="17" t="str">
        <f t="shared" si="2"/>
        <v/>
      </c>
      <c r="T27" s="18" t="str">
        <f t="shared" ca="1" si="3"/>
        <v/>
      </c>
    </row>
    <row r="28" spans="1:20" x14ac:dyDescent="0.35">
      <c r="A28" s="11"/>
      <c r="B28" s="11"/>
      <c r="C28" s="11"/>
      <c r="D28" s="12"/>
      <c r="E28" s="11"/>
      <c r="F28" s="13"/>
      <c r="G28" s="13"/>
      <c r="H28" s="11"/>
      <c r="I28" s="12"/>
      <c r="J28" s="12"/>
      <c r="K28" s="13"/>
      <c r="L28" s="13"/>
      <c r="M28" s="13"/>
      <c r="N28" s="13"/>
      <c r="O28" s="13"/>
      <c r="P28" s="14" t="str">
        <f t="shared" si="0"/>
        <v/>
      </c>
      <c r="Q28" s="15" t="str">
        <f>IF(OR(J28="",H28=""),"",IFERROR(IF(ISNUMBER(N28),N28,IF(K28&lt;N(INDEX(Platforms!$G$5:$G$14,MATCH(H28,Lists!$A$2:$A$11,0))),N(INDEX(Platforms!$H$5:$H$14,MATCH(H28,Lists!$A$2:$A$11,0))),MAX(N(INDEX(Platforms!$F$5:$F$14,MATCH(H28,Lists!$A$2:$A$11,0))),N(INDEX(Platforms!$C$5:$C$14,MATCH(H28,Lists!$A$2:$A$11,0)))*(K28+IF(INDEX(Platforms!$E$5:$E$14,MATCH(H28,Lists!$A$2:$A$11,0))="Yes",N(L28),0))+N(INDEX(Platforms!$D$5:$D$14,MATCH(H28,Lists!$A$2:$A$11,0)))))),""))</f>
        <v/>
      </c>
      <c r="R28" s="16" t="str">
        <f t="shared" si="1"/>
        <v/>
      </c>
      <c r="S28" s="17" t="str">
        <f t="shared" si="2"/>
        <v/>
      </c>
      <c r="T28" s="18" t="str">
        <f t="shared" ca="1" si="3"/>
        <v/>
      </c>
    </row>
    <row r="29" spans="1:20" x14ac:dyDescent="0.35">
      <c r="A29" s="11"/>
      <c r="B29" s="11"/>
      <c r="C29" s="11"/>
      <c r="D29" s="12"/>
      <c r="E29" s="11"/>
      <c r="F29" s="13"/>
      <c r="G29" s="13"/>
      <c r="H29" s="11"/>
      <c r="I29" s="12"/>
      <c r="J29" s="12"/>
      <c r="K29" s="13"/>
      <c r="L29" s="13"/>
      <c r="M29" s="13"/>
      <c r="N29" s="13"/>
      <c r="O29" s="13"/>
      <c r="P29" s="14" t="str">
        <f t="shared" si="0"/>
        <v/>
      </c>
      <c r="Q29" s="15" t="str">
        <f>IF(OR(J29="",H29=""),"",IFERROR(IF(ISNUMBER(N29),N29,IF(K29&lt;N(INDEX(Platforms!$G$5:$G$14,MATCH(H29,Lists!$A$2:$A$11,0))),N(INDEX(Platforms!$H$5:$H$14,MATCH(H29,Lists!$A$2:$A$11,0))),MAX(N(INDEX(Platforms!$F$5:$F$14,MATCH(H29,Lists!$A$2:$A$11,0))),N(INDEX(Platforms!$C$5:$C$14,MATCH(H29,Lists!$A$2:$A$11,0)))*(K29+IF(INDEX(Platforms!$E$5:$E$14,MATCH(H29,Lists!$A$2:$A$11,0))="Yes",N(L29),0))+N(INDEX(Platforms!$D$5:$D$14,MATCH(H29,Lists!$A$2:$A$11,0)))))),""))</f>
        <v/>
      </c>
      <c r="R29" s="16" t="str">
        <f t="shared" si="1"/>
        <v/>
      </c>
      <c r="S29" s="17" t="str">
        <f t="shared" si="2"/>
        <v/>
      </c>
      <c r="T29" s="18" t="str">
        <f t="shared" ca="1" si="3"/>
        <v/>
      </c>
    </row>
    <row r="30" spans="1:20" x14ac:dyDescent="0.35">
      <c r="A30" s="11"/>
      <c r="B30" s="11"/>
      <c r="C30" s="11"/>
      <c r="D30" s="12"/>
      <c r="E30" s="11"/>
      <c r="F30" s="13"/>
      <c r="G30" s="13"/>
      <c r="H30" s="11"/>
      <c r="I30" s="12"/>
      <c r="J30" s="12"/>
      <c r="K30" s="13"/>
      <c r="L30" s="13"/>
      <c r="M30" s="13"/>
      <c r="N30" s="13"/>
      <c r="O30" s="13"/>
      <c r="P30" s="14" t="str">
        <f t="shared" si="0"/>
        <v/>
      </c>
      <c r="Q30" s="15" t="str">
        <f>IF(OR(J30="",H30=""),"",IFERROR(IF(ISNUMBER(N30),N30,IF(K30&lt;N(INDEX(Platforms!$G$5:$G$14,MATCH(H30,Lists!$A$2:$A$11,0))),N(INDEX(Platforms!$H$5:$H$14,MATCH(H30,Lists!$A$2:$A$11,0))),MAX(N(INDEX(Platforms!$F$5:$F$14,MATCH(H30,Lists!$A$2:$A$11,0))),N(INDEX(Platforms!$C$5:$C$14,MATCH(H30,Lists!$A$2:$A$11,0)))*(K30+IF(INDEX(Platforms!$E$5:$E$14,MATCH(H30,Lists!$A$2:$A$11,0))="Yes",N(L30),0))+N(INDEX(Platforms!$D$5:$D$14,MATCH(H30,Lists!$A$2:$A$11,0)))))),""))</f>
        <v/>
      </c>
      <c r="R30" s="16" t="str">
        <f t="shared" si="1"/>
        <v/>
      </c>
      <c r="S30" s="17" t="str">
        <f t="shared" si="2"/>
        <v/>
      </c>
      <c r="T30" s="18" t="str">
        <f t="shared" ca="1" si="3"/>
        <v/>
      </c>
    </row>
    <row r="31" spans="1:20" x14ac:dyDescent="0.35">
      <c r="A31" s="11"/>
      <c r="B31" s="11"/>
      <c r="C31" s="11"/>
      <c r="D31" s="12"/>
      <c r="E31" s="11"/>
      <c r="F31" s="13"/>
      <c r="G31" s="13"/>
      <c r="H31" s="11"/>
      <c r="I31" s="12"/>
      <c r="J31" s="12"/>
      <c r="K31" s="13"/>
      <c r="L31" s="13"/>
      <c r="M31" s="13"/>
      <c r="N31" s="13"/>
      <c r="O31" s="13"/>
      <c r="P31" s="14" t="str">
        <f t="shared" si="0"/>
        <v/>
      </c>
      <c r="Q31" s="15" t="str">
        <f>IF(OR(J31="",H31=""),"",IFERROR(IF(ISNUMBER(N31),N31,IF(K31&lt;N(INDEX(Platforms!$G$5:$G$14,MATCH(H31,Lists!$A$2:$A$11,0))),N(INDEX(Platforms!$H$5:$H$14,MATCH(H31,Lists!$A$2:$A$11,0))),MAX(N(INDEX(Platforms!$F$5:$F$14,MATCH(H31,Lists!$A$2:$A$11,0))),N(INDEX(Platforms!$C$5:$C$14,MATCH(H31,Lists!$A$2:$A$11,0)))*(K31+IF(INDEX(Platforms!$E$5:$E$14,MATCH(H31,Lists!$A$2:$A$11,0))="Yes",N(L31),0))+N(INDEX(Platforms!$D$5:$D$14,MATCH(H31,Lists!$A$2:$A$11,0)))))),""))</f>
        <v/>
      </c>
      <c r="R31" s="16" t="str">
        <f t="shared" si="1"/>
        <v/>
      </c>
      <c r="S31" s="17" t="str">
        <f t="shared" si="2"/>
        <v/>
      </c>
      <c r="T31" s="18" t="str">
        <f t="shared" ca="1" si="3"/>
        <v/>
      </c>
    </row>
    <row r="32" spans="1:20" x14ac:dyDescent="0.35">
      <c r="A32" s="11"/>
      <c r="B32" s="11"/>
      <c r="C32" s="11"/>
      <c r="D32" s="12"/>
      <c r="E32" s="11"/>
      <c r="F32" s="13"/>
      <c r="G32" s="13"/>
      <c r="H32" s="11"/>
      <c r="I32" s="12"/>
      <c r="J32" s="12"/>
      <c r="K32" s="13"/>
      <c r="L32" s="13"/>
      <c r="M32" s="13"/>
      <c r="N32" s="13"/>
      <c r="O32" s="13"/>
      <c r="P32" s="14" t="str">
        <f t="shared" si="0"/>
        <v/>
      </c>
      <c r="Q32" s="15" t="str">
        <f>IF(OR(J32="",H32=""),"",IFERROR(IF(ISNUMBER(N32),N32,IF(K32&lt;N(INDEX(Platforms!$G$5:$G$14,MATCH(H32,Lists!$A$2:$A$11,0))),N(INDEX(Platforms!$H$5:$H$14,MATCH(H32,Lists!$A$2:$A$11,0))),MAX(N(INDEX(Platforms!$F$5:$F$14,MATCH(H32,Lists!$A$2:$A$11,0))),N(INDEX(Platforms!$C$5:$C$14,MATCH(H32,Lists!$A$2:$A$11,0)))*(K32+IF(INDEX(Platforms!$E$5:$E$14,MATCH(H32,Lists!$A$2:$A$11,0))="Yes",N(L32),0))+N(INDEX(Platforms!$D$5:$D$14,MATCH(H32,Lists!$A$2:$A$11,0)))))),""))</f>
        <v/>
      </c>
      <c r="R32" s="16" t="str">
        <f t="shared" si="1"/>
        <v/>
      </c>
      <c r="S32" s="17" t="str">
        <f t="shared" si="2"/>
        <v/>
      </c>
      <c r="T32" s="18" t="str">
        <f t="shared" ca="1" si="3"/>
        <v/>
      </c>
    </row>
    <row r="33" spans="1:20" x14ac:dyDescent="0.35">
      <c r="A33" s="11"/>
      <c r="B33" s="11"/>
      <c r="C33" s="11"/>
      <c r="D33" s="12"/>
      <c r="E33" s="11"/>
      <c r="F33" s="13"/>
      <c r="G33" s="13"/>
      <c r="H33" s="11"/>
      <c r="I33" s="12"/>
      <c r="J33" s="12"/>
      <c r="K33" s="13"/>
      <c r="L33" s="13"/>
      <c r="M33" s="13"/>
      <c r="N33" s="13"/>
      <c r="O33" s="13"/>
      <c r="P33" s="14" t="str">
        <f t="shared" si="0"/>
        <v/>
      </c>
      <c r="Q33" s="15" t="str">
        <f>IF(OR(J33="",H33=""),"",IFERROR(IF(ISNUMBER(N33),N33,IF(K33&lt;N(INDEX(Platforms!$G$5:$G$14,MATCH(H33,Lists!$A$2:$A$11,0))),N(INDEX(Platforms!$H$5:$H$14,MATCH(H33,Lists!$A$2:$A$11,0))),MAX(N(INDEX(Platforms!$F$5:$F$14,MATCH(H33,Lists!$A$2:$A$11,0))),N(INDEX(Platforms!$C$5:$C$14,MATCH(H33,Lists!$A$2:$A$11,0)))*(K33+IF(INDEX(Platforms!$E$5:$E$14,MATCH(H33,Lists!$A$2:$A$11,0))="Yes",N(L33),0))+N(INDEX(Platforms!$D$5:$D$14,MATCH(H33,Lists!$A$2:$A$11,0)))))),""))</f>
        <v/>
      </c>
      <c r="R33" s="16" t="str">
        <f t="shared" si="1"/>
        <v/>
      </c>
      <c r="S33" s="17" t="str">
        <f t="shared" si="2"/>
        <v/>
      </c>
      <c r="T33" s="18" t="str">
        <f t="shared" ca="1" si="3"/>
        <v/>
      </c>
    </row>
    <row r="34" spans="1:20" x14ac:dyDescent="0.35">
      <c r="A34" s="11"/>
      <c r="B34" s="11"/>
      <c r="C34" s="11"/>
      <c r="D34" s="12"/>
      <c r="E34" s="11"/>
      <c r="F34" s="13"/>
      <c r="G34" s="13"/>
      <c r="H34" s="11"/>
      <c r="I34" s="12"/>
      <c r="J34" s="12"/>
      <c r="K34" s="13"/>
      <c r="L34" s="13"/>
      <c r="M34" s="13"/>
      <c r="N34" s="13"/>
      <c r="O34" s="13"/>
      <c r="P34" s="14" t="str">
        <f t="shared" si="0"/>
        <v/>
      </c>
      <c r="Q34" s="15" t="str">
        <f>IF(OR(J34="",H34=""),"",IFERROR(IF(ISNUMBER(N34),N34,IF(K34&lt;N(INDEX(Platforms!$G$5:$G$14,MATCH(H34,Lists!$A$2:$A$11,0))),N(INDEX(Platforms!$H$5:$H$14,MATCH(H34,Lists!$A$2:$A$11,0))),MAX(N(INDEX(Platforms!$F$5:$F$14,MATCH(H34,Lists!$A$2:$A$11,0))),N(INDEX(Platforms!$C$5:$C$14,MATCH(H34,Lists!$A$2:$A$11,0)))*(K34+IF(INDEX(Platforms!$E$5:$E$14,MATCH(H34,Lists!$A$2:$A$11,0))="Yes",N(L34),0))+N(INDEX(Platforms!$D$5:$D$14,MATCH(H34,Lists!$A$2:$A$11,0)))))),""))</f>
        <v/>
      </c>
      <c r="R34" s="16" t="str">
        <f t="shared" si="1"/>
        <v/>
      </c>
      <c r="S34" s="17" t="str">
        <f t="shared" si="2"/>
        <v/>
      </c>
      <c r="T34" s="18" t="str">
        <f t="shared" ca="1" si="3"/>
        <v/>
      </c>
    </row>
    <row r="35" spans="1:20" x14ac:dyDescent="0.35">
      <c r="A35" s="11"/>
      <c r="B35" s="11"/>
      <c r="C35" s="11"/>
      <c r="D35" s="12"/>
      <c r="E35" s="11"/>
      <c r="F35" s="13"/>
      <c r="G35" s="13"/>
      <c r="H35" s="11"/>
      <c r="I35" s="12"/>
      <c r="J35" s="12"/>
      <c r="K35" s="13"/>
      <c r="L35" s="13"/>
      <c r="M35" s="13"/>
      <c r="N35" s="13"/>
      <c r="O35" s="13"/>
      <c r="P35" s="14" t="str">
        <f t="shared" si="0"/>
        <v/>
      </c>
      <c r="Q35" s="15" t="str">
        <f>IF(OR(J35="",H35=""),"",IFERROR(IF(ISNUMBER(N35),N35,IF(K35&lt;N(INDEX(Platforms!$G$5:$G$14,MATCH(H35,Lists!$A$2:$A$11,0))),N(INDEX(Platforms!$H$5:$H$14,MATCH(H35,Lists!$A$2:$A$11,0))),MAX(N(INDEX(Platforms!$F$5:$F$14,MATCH(H35,Lists!$A$2:$A$11,0))),N(INDEX(Platforms!$C$5:$C$14,MATCH(H35,Lists!$A$2:$A$11,0)))*(K35+IF(INDEX(Platforms!$E$5:$E$14,MATCH(H35,Lists!$A$2:$A$11,0))="Yes",N(L35),0))+N(INDEX(Platforms!$D$5:$D$14,MATCH(H35,Lists!$A$2:$A$11,0)))))),""))</f>
        <v/>
      </c>
      <c r="R35" s="16" t="str">
        <f t="shared" si="1"/>
        <v/>
      </c>
      <c r="S35" s="17" t="str">
        <f t="shared" si="2"/>
        <v/>
      </c>
      <c r="T35" s="18" t="str">
        <f t="shared" ca="1" si="3"/>
        <v/>
      </c>
    </row>
    <row r="36" spans="1:20" x14ac:dyDescent="0.35">
      <c r="A36" s="11"/>
      <c r="B36" s="11"/>
      <c r="C36" s="11"/>
      <c r="D36" s="12"/>
      <c r="E36" s="11"/>
      <c r="F36" s="13"/>
      <c r="G36" s="13"/>
      <c r="H36" s="11"/>
      <c r="I36" s="12"/>
      <c r="J36" s="12"/>
      <c r="K36" s="13"/>
      <c r="L36" s="13"/>
      <c r="M36" s="13"/>
      <c r="N36" s="13"/>
      <c r="O36" s="13"/>
      <c r="P36" s="14" t="str">
        <f t="shared" si="0"/>
        <v/>
      </c>
      <c r="Q36" s="15" t="str">
        <f>IF(OR(J36="",H36=""),"",IFERROR(IF(ISNUMBER(N36),N36,IF(K36&lt;N(INDEX(Platforms!$G$5:$G$14,MATCH(H36,Lists!$A$2:$A$11,0))),N(INDEX(Platforms!$H$5:$H$14,MATCH(H36,Lists!$A$2:$A$11,0))),MAX(N(INDEX(Platforms!$F$5:$F$14,MATCH(H36,Lists!$A$2:$A$11,0))),N(INDEX(Platforms!$C$5:$C$14,MATCH(H36,Lists!$A$2:$A$11,0)))*(K36+IF(INDEX(Platforms!$E$5:$E$14,MATCH(H36,Lists!$A$2:$A$11,0))="Yes",N(L36),0))+N(INDEX(Platforms!$D$5:$D$14,MATCH(H36,Lists!$A$2:$A$11,0)))))),""))</f>
        <v/>
      </c>
      <c r="R36" s="16" t="str">
        <f t="shared" si="1"/>
        <v/>
      </c>
      <c r="S36" s="17" t="str">
        <f t="shared" si="2"/>
        <v/>
      </c>
      <c r="T36" s="18" t="str">
        <f t="shared" ca="1" si="3"/>
        <v/>
      </c>
    </row>
    <row r="37" spans="1:20" x14ac:dyDescent="0.35">
      <c r="A37" s="11"/>
      <c r="B37" s="11"/>
      <c r="C37" s="11"/>
      <c r="D37" s="12"/>
      <c r="E37" s="11"/>
      <c r="F37" s="13"/>
      <c r="G37" s="13"/>
      <c r="H37" s="11"/>
      <c r="I37" s="12"/>
      <c r="J37" s="12"/>
      <c r="K37" s="13"/>
      <c r="L37" s="13"/>
      <c r="M37" s="13"/>
      <c r="N37" s="13"/>
      <c r="O37" s="13"/>
      <c r="P37" s="14" t="str">
        <f t="shared" si="0"/>
        <v/>
      </c>
      <c r="Q37" s="15" t="str">
        <f>IF(OR(J37="",H37=""),"",IFERROR(IF(ISNUMBER(N37),N37,IF(K37&lt;N(INDEX(Platforms!$G$5:$G$14,MATCH(H37,Lists!$A$2:$A$11,0))),N(INDEX(Platforms!$H$5:$H$14,MATCH(H37,Lists!$A$2:$A$11,0))),MAX(N(INDEX(Platforms!$F$5:$F$14,MATCH(H37,Lists!$A$2:$A$11,0))),N(INDEX(Platforms!$C$5:$C$14,MATCH(H37,Lists!$A$2:$A$11,0)))*(K37+IF(INDEX(Platforms!$E$5:$E$14,MATCH(H37,Lists!$A$2:$A$11,0))="Yes",N(L37),0))+N(INDEX(Platforms!$D$5:$D$14,MATCH(H37,Lists!$A$2:$A$11,0)))))),""))</f>
        <v/>
      </c>
      <c r="R37" s="16" t="str">
        <f t="shared" si="1"/>
        <v/>
      </c>
      <c r="S37" s="17" t="str">
        <f t="shared" si="2"/>
        <v/>
      </c>
      <c r="T37" s="18" t="str">
        <f t="shared" ca="1" si="3"/>
        <v/>
      </c>
    </row>
    <row r="38" spans="1:20" x14ac:dyDescent="0.35">
      <c r="A38" s="11"/>
      <c r="B38" s="11"/>
      <c r="C38" s="11"/>
      <c r="D38" s="12"/>
      <c r="E38" s="11"/>
      <c r="F38" s="13"/>
      <c r="G38" s="13"/>
      <c r="H38" s="11"/>
      <c r="I38" s="12"/>
      <c r="J38" s="12"/>
      <c r="K38" s="13"/>
      <c r="L38" s="13"/>
      <c r="M38" s="13"/>
      <c r="N38" s="13"/>
      <c r="O38" s="13"/>
      <c r="P38" s="14" t="str">
        <f t="shared" si="0"/>
        <v/>
      </c>
      <c r="Q38" s="15" t="str">
        <f>IF(OR(J38="",H38=""),"",IFERROR(IF(ISNUMBER(N38),N38,IF(K38&lt;N(INDEX(Platforms!$G$5:$G$14,MATCH(H38,Lists!$A$2:$A$11,0))),N(INDEX(Platforms!$H$5:$H$14,MATCH(H38,Lists!$A$2:$A$11,0))),MAX(N(INDEX(Platforms!$F$5:$F$14,MATCH(H38,Lists!$A$2:$A$11,0))),N(INDEX(Platforms!$C$5:$C$14,MATCH(H38,Lists!$A$2:$A$11,0)))*(K38+IF(INDEX(Platforms!$E$5:$E$14,MATCH(H38,Lists!$A$2:$A$11,0))="Yes",N(L38),0))+N(INDEX(Platforms!$D$5:$D$14,MATCH(H38,Lists!$A$2:$A$11,0)))))),""))</f>
        <v/>
      </c>
      <c r="R38" s="16" t="str">
        <f t="shared" si="1"/>
        <v/>
      </c>
      <c r="S38" s="17" t="str">
        <f t="shared" si="2"/>
        <v/>
      </c>
      <c r="T38" s="18" t="str">
        <f t="shared" ca="1" si="3"/>
        <v/>
      </c>
    </row>
    <row r="39" spans="1:20" x14ac:dyDescent="0.35">
      <c r="A39" s="11"/>
      <c r="B39" s="11"/>
      <c r="C39" s="11"/>
      <c r="D39" s="12"/>
      <c r="E39" s="11"/>
      <c r="F39" s="13"/>
      <c r="G39" s="13"/>
      <c r="H39" s="11"/>
      <c r="I39" s="12"/>
      <c r="J39" s="12"/>
      <c r="K39" s="13"/>
      <c r="L39" s="13"/>
      <c r="M39" s="13"/>
      <c r="N39" s="13"/>
      <c r="O39" s="13"/>
      <c r="P39" s="14" t="str">
        <f t="shared" si="0"/>
        <v/>
      </c>
      <c r="Q39" s="15" t="str">
        <f>IF(OR(J39="",H39=""),"",IFERROR(IF(ISNUMBER(N39),N39,IF(K39&lt;N(INDEX(Platforms!$G$5:$G$14,MATCH(H39,Lists!$A$2:$A$11,0))),N(INDEX(Platforms!$H$5:$H$14,MATCH(H39,Lists!$A$2:$A$11,0))),MAX(N(INDEX(Platforms!$F$5:$F$14,MATCH(H39,Lists!$A$2:$A$11,0))),N(INDEX(Platforms!$C$5:$C$14,MATCH(H39,Lists!$A$2:$A$11,0)))*(K39+IF(INDEX(Platforms!$E$5:$E$14,MATCH(H39,Lists!$A$2:$A$11,0))="Yes",N(L39),0))+N(INDEX(Platforms!$D$5:$D$14,MATCH(H39,Lists!$A$2:$A$11,0)))))),""))</f>
        <v/>
      </c>
      <c r="R39" s="16" t="str">
        <f t="shared" si="1"/>
        <v/>
      </c>
      <c r="S39" s="17" t="str">
        <f t="shared" si="2"/>
        <v/>
      </c>
      <c r="T39" s="18" t="str">
        <f t="shared" ca="1" si="3"/>
        <v/>
      </c>
    </row>
    <row r="40" spans="1:20" x14ac:dyDescent="0.35">
      <c r="A40" s="11"/>
      <c r="B40" s="11"/>
      <c r="C40" s="11"/>
      <c r="D40" s="12"/>
      <c r="E40" s="11"/>
      <c r="F40" s="13"/>
      <c r="G40" s="13"/>
      <c r="H40" s="11"/>
      <c r="I40" s="12"/>
      <c r="J40" s="12"/>
      <c r="K40" s="13"/>
      <c r="L40" s="13"/>
      <c r="M40" s="13"/>
      <c r="N40" s="13"/>
      <c r="O40" s="13"/>
      <c r="P40" s="14" t="str">
        <f t="shared" si="0"/>
        <v/>
      </c>
      <c r="Q40" s="15" t="str">
        <f>IF(OR(J40="",H40=""),"",IFERROR(IF(ISNUMBER(N40),N40,IF(K40&lt;N(INDEX(Platforms!$G$5:$G$14,MATCH(H40,Lists!$A$2:$A$11,0))),N(INDEX(Platforms!$H$5:$H$14,MATCH(H40,Lists!$A$2:$A$11,0))),MAX(N(INDEX(Platforms!$F$5:$F$14,MATCH(H40,Lists!$A$2:$A$11,0))),N(INDEX(Platforms!$C$5:$C$14,MATCH(H40,Lists!$A$2:$A$11,0)))*(K40+IF(INDEX(Platforms!$E$5:$E$14,MATCH(H40,Lists!$A$2:$A$11,0))="Yes",N(L40),0))+N(INDEX(Platforms!$D$5:$D$14,MATCH(H40,Lists!$A$2:$A$11,0)))))),""))</f>
        <v/>
      </c>
      <c r="R40" s="16" t="str">
        <f t="shared" si="1"/>
        <v/>
      </c>
      <c r="S40" s="17" t="str">
        <f t="shared" si="2"/>
        <v/>
      </c>
      <c r="T40" s="18" t="str">
        <f t="shared" ca="1" si="3"/>
        <v/>
      </c>
    </row>
    <row r="41" spans="1:20" x14ac:dyDescent="0.35">
      <c r="A41" s="11"/>
      <c r="B41" s="11"/>
      <c r="C41" s="11"/>
      <c r="D41" s="12"/>
      <c r="E41" s="11"/>
      <c r="F41" s="13"/>
      <c r="G41" s="13"/>
      <c r="H41" s="11"/>
      <c r="I41" s="12"/>
      <c r="J41" s="12"/>
      <c r="K41" s="13"/>
      <c r="L41" s="13"/>
      <c r="M41" s="13"/>
      <c r="N41" s="13"/>
      <c r="O41" s="13"/>
      <c r="P41" s="14" t="str">
        <f t="shared" si="0"/>
        <v/>
      </c>
      <c r="Q41" s="15" t="str">
        <f>IF(OR(J41="",H41=""),"",IFERROR(IF(ISNUMBER(N41),N41,IF(K41&lt;N(INDEX(Platforms!$G$5:$G$14,MATCH(H41,Lists!$A$2:$A$11,0))),N(INDEX(Platforms!$H$5:$H$14,MATCH(H41,Lists!$A$2:$A$11,0))),MAX(N(INDEX(Platforms!$F$5:$F$14,MATCH(H41,Lists!$A$2:$A$11,0))),N(INDEX(Platforms!$C$5:$C$14,MATCH(H41,Lists!$A$2:$A$11,0)))*(K41+IF(INDEX(Platforms!$E$5:$E$14,MATCH(H41,Lists!$A$2:$A$11,0))="Yes",N(L41),0))+N(INDEX(Platforms!$D$5:$D$14,MATCH(H41,Lists!$A$2:$A$11,0)))))),""))</f>
        <v/>
      </c>
      <c r="R41" s="16" t="str">
        <f t="shared" si="1"/>
        <v/>
      </c>
      <c r="S41" s="17" t="str">
        <f t="shared" si="2"/>
        <v/>
      </c>
      <c r="T41" s="18" t="str">
        <f t="shared" ca="1" si="3"/>
        <v/>
      </c>
    </row>
    <row r="42" spans="1:20" x14ac:dyDescent="0.35">
      <c r="A42" s="11"/>
      <c r="B42" s="11"/>
      <c r="C42" s="11"/>
      <c r="D42" s="12"/>
      <c r="E42" s="11"/>
      <c r="F42" s="13"/>
      <c r="G42" s="13"/>
      <c r="H42" s="11"/>
      <c r="I42" s="12"/>
      <c r="J42" s="12"/>
      <c r="K42" s="13"/>
      <c r="L42" s="13"/>
      <c r="M42" s="13"/>
      <c r="N42" s="13"/>
      <c r="O42" s="13"/>
      <c r="P42" s="14" t="str">
        <f t="shared" si="0"/>
        <v/>
      </c>
      <c r="Q42" s="15" t="str">
        <f>IF(OR(J42="",H42=""),"",IFERROR(IF(ISNUMBER(N42),N42,IF(K42&lt;N(INDEX(Platforms!$G$5:$G$14,MATCH(H42,Lists!$A$2:$A$11,0))),N(INDEX(Platforms!$H$5:$H$14,MATCH(H42,Lists!$A$2:$A$11,0))),MAX(N(INDEX(Platforms!$F$5:$F$14,MATCH(H42,Lists!$A$2:$A$11,0))),N(INDEX(Platforms!$C$5:$C$14,MATCH(H42,Lists!$A$2:$A$11,0)))*(K42+IF(INDEX(Platforms!$E$5:$E$14,MATCH(H42,Lists!$A$2:$A$11,0))="Yes",N(L42),0))+N(INDEX(Platforms!$D$5:$D$14,MATCH(H42,Lists!$A$2:$A$11,0)))))),""))</f>
        <v/>
      </c>
      <c r="R42" s="16" t="str">
        <f t="shared" si="1"/>
        <v/>
      </c>
      <c r="S42" s="17" t="str">
        <f t="shared" si="2"/>
        <v/>
      </c>
      <c r="T42" s="18" t="str">
        <f t="shared" ca="1" si="3"/>
        <v/>
      </c>
    </row>
    <row r="43" spans="1:20" x14ac:dyDescent="0.35">
      <c r="A43" s="11"/>
      <c r="B43" s="11"/>
      <c r="C43" s="11"/>
      <c r="D43" s="12"/>
      <c r="E43" s="11"/>
      <c r="F43" s="13"/>
      <c r="G43" s="13"/>
      <c r="H43" s="11"/>
      <c r="I43" s="12"/>
      <c r="J43" s="12"/>
      <c r="K43" s="13"/>
      <c r="L43" s="13"/>
      <c r="M43" s="13"/>
      <c r="N43" s="13"/>
      <c r="O43" s="13"/>
      <c r="P43" s="14" t="str">
        <f t="shared" si="0"/>
        <v/>
      </c>
      <c r="Q43" s="15" t="str">
        <f>IF(OR(J43="",H43=""),"",IFERROR(IF(ISNUMBER(N43),N43,IF(K43&lt;N(INDEX(Platforms!$G$5:$G$14,MATCH(H43,Lists!$A$2:$A$11,0))),N(INDEX(Platforms!$H$5:$H$14,MATCH(H43,Lists!$A$2:$A$11,0))),MAX(N(INDEX(Platforms!$F$5:$F$14,MATCH(H43,Lists!$A$2:$A$11,0))),N(INDEX(Platforms!$C$5:$C$14,MATCH(H43,Lists!$A$2:$A$11,0)))*(K43+IF(INDEX(Platforms!$E$5:$E$14,MATCH(H43,Lists!$A$2:$A$11,0))="Yes",N(L43),0))+N(INDEX(Platforms!$D$5:$D$14,MATCH(H43,Lists!$A$2:$A$11,0)))))),""))</f>
        <v/>
      </c>
      <c r="R43" s="16" t="str">
        <f t="shared" si="1"/>
        <v/>
      </c>
      <c r="S43" s="17" t="str">
        <f t="shared" si="2"/>
        <v/>
      </c>
      <c r="T43" s="18" t="str">
        <f t="shared" ca="1" si="3"/>
        <v/>
      </c>
    </row>
    <row r="44" spans="1:20" x14ac:dyDescent="0.35">
      <c r="A44" s="11"/>
      <c r="B44" s="11"/>
      <c r="C44" s="11"/>
      <c r="D44" s="12"/>
      <c r="E44" s="11"/>
      <c r="F44" s="13"/>
      <c r="G44" s="13"/>
      <c r="H44" s="11"/>
      <c r="I44" s="12"/>
      <c r="J44" s="12"/>
      <c r="K44" s="13"/>
      <c r="L44" s="13"/>
      <c r="M44" s="13"/>
      <c r="N44" s="13"/>
      <c r="O44" s="13"/>
      <c r="P44" s="14" t="str">
        <f t="shared" si="0"/>
        <v/>
      </c>
      <c r="Q44" s="15" t="str">
        <f>IF(OR(J44="",H44=""),"",IFERROR(IF(ISNUMBER(N44),N44,IF(K44&lt;N(INDEX(Platforms!$G$5:$G$14,MATCH(H44,Lists!$A$2:$A$11,0))),N(INDEX(Platforms!$H$5:$H$14,MATCH(H44,Lists!$A$2:$A$11,0))),MAX(N(INDEX(Platforms!$F$5:$F$14,MATCH(H44,Lists!$A$2:$A$11,0))),N(INDEX(Platforms!$C$5:$C$14,MATCH(H44,Lists!$A$2:$A$11,0)))*(K44+IF(INDEX(Platforms!$E$5:$E$14,MATCH(H44,Lists!$A$2:$A$11,0))="Yes",N(L44),0))+N(INDEX(Platforms!$D$5:$D$14,MATCH(H44,Lists!$A$2:$A$11,0)))))),""))</f>
        <v/>
      </c>
      <c r="R44" s="16" t="str">
        <f t="shared" si="1"/>
        <v/>
      </c>
      <c r="S44" s="17" t="str">
        <f t="shared" si="2"/>
        <v/>
      </c>
      <c r="T44" s="18" t="str">
        <f t="shared" ca="1" si="3"/>
        <v/>
      </c>
    </row>
    <row r="45" spans="1:20" x14ac:dyDescent="0.35">
      <c r="A45" s="11"/>
      <c r="B45" s="11"/>
      <c r="C45" s="11"/>
      <c r="D45" s="12"/>
      <c r="E45" s="11"/>
      <c r="F45" s="13"/>
      <c r="G45" s="13"/>
      <c r="H45" s="11"/>
      <c r="I45" s="12"/>
      <c r="J45" s="12"/>
      <c r="K45" s="13"/>
      <c r="L45" s="13"/>
      <c r="M45" s="13"/>
      <c r="N45" s="13"/>
      <c r="O45" s="13"/>
      <c r="P45" s="14" t="str">
        <f t="shared" si="0"/>
        <v/>
      </c>
      <c r="Q45" s="15" t="str">
        <f>IF(OR(J45="",H45=""),"",IFERROR(IF(ISNUMBER(N45),N45,IF(K45&lt;N(INDEX(Platforms!$G$5:$G$14,MATCH(H45,Lists!$A$2:$A$11,0))),N(INDEX(Platforms!$H$5:$H$14,MATCH(H45,Lists!$A$2:$A$11,0))),MAX(N(INDEX(Platforms!$F$5:$F$14,MATCH(H45,Lists!$A$2:$A$11,0))),N(INDEX(Platforms!$C$5:$C$14,MATCH(H45,Lists!$A$2:$A$11,0)))*(K45+IF(INDEX(Platforms!$E$5:$E$14,MATCH(H45,Lists!$A$2:$A$11,0))="Yes",N(L45),0))+N(INDEX(Platforms!$D$5:$D$14,MATCH(H45,Lists!$A$2:$A$11,0)))))),""))</f>
        <v/>
      </c>
      <c r="R45" s="16" t="str">
        <f t="shared" si="1"/>
        <v/>
      </c>
      <c r="S45" s="17" t="str">
        <f t="shared" si="2"/>
        <v/>
      </c>
      <c r="T45" s="18" t="str">
        <f t="shared" ca="1" si="3"/>
        <v/>
      </c>
    </row>
    <row r="46" spans="1:20" x14ac:dyDescent="0.35">
      <c r="A46" s="11"/>
      <c r="B46" s="11"/>
      <c r="C46" s="11"/>
      <c r="D46" s="12"/>
      <c r="E46" s="11"/>
      <c r="F46" s="13"/>
      <c r="G46" s="13"/>
      <c r="H46" s="11"/>
      <c r="I46" s="12"/>
      <c r="J46" s="12"/>
      <c r="K46" s="13"/>
      <c r="L46" s="13"/>
      <c r="M46" s="13"/>
      <c r="N46" s="13"/>
      <c r="O46" s="13"/>
      <c r="P46" s="14" t="str">
        <f t="shared" si="0"/>
        <v/>
      </c>
      <c r="Q46" s="15" t="str">
        <f>IF(OR(J46="",H46=""),"",IFERROR(IF(ISNUMBER(N46),N46,IF(K46&lt;N(INDEX(Platforms!$G$5:$G$14,MATCH(H46,Lists!$A$2:$A$11,0))),N(INDEX(Platforms!$H$5:$H$14,MATCH(H46,Lists!$A$2:$A$11,0))),MAX(N(INDEX(Platforms!$F$5:$F$14,MATCH(H46,Lists!$A$2:$A$11,0))),N(INDEX(Platforms!$C$5:$C$14,MATCH(H46,Lists!$A$2:$A$11,0)))*(K46+IF(INDEX(Platforms!$E$5:$E$14,MATCH(H46,Lists!$A$2:$A$11,0))="Yes",N(L46),0))+N(INDEX(Platforms!$D$5:$D$14,MATCH(H46,Lists!$A$2:$A$11,0)))))),""))</f>
        <v/>
      </c>
      <c r="R46" s="16" t="str">
        <f t="shared" si="1"/>
        <v/>
      </c>
      <c r="S46" s="17" t="str">
        <f t="shared" si="2"/>
        <v/>
      </c>
      <c r="T46" s="18" t="str">
        <f t="shared" ca="1" si="3"/>
        <v/>
      </c>
    </row>
    <row r="47" spans="1:20" x14ac:dyDescent="0.35">
      <c r="A47" s="11"/>
      <c r="B47" s="11"/>
      <c r="C47" s="11"/>
      <c r="D47" s="12"/>
      <c r="E47" s="11"/>
      <c r="F47" s="13"/>
      <c r="G47" s="13"/>
      <c r="H47" s="11"/>
      <c r="I47" s="12"/>
      <c r="J47" s="12"/>
      <c r="K47" s="13"/>
      <c r="L47" s="13"/>
      <c r="M47" s="13"/>
      <c r="N47" s="13"/>
      <c r="O47" s="13"/>
      <c r="P47" s="14" t="str">
        <f t="shared" si="0"/>
        <v/>
      </c>
      <c r="Q47" s="15" t="str">
        <f>IF(OR(J47="",H47=""),"",IFERROR(IF(ISNUMBER(N47),N47,IF(K47&lt;N(INDEX(Platforms!$G$5:$G$14,MATCH(H47,Lists!$A$2:$A$11,0))),N(INDEX(Platforms!$H$5:$H$14,MATCH(H47,Lists!$A$2:$A$11,0))),MAX(N(INDEX(Platforms!$F$5:$F$14,MATCH(H47,Lists!$A$2:$A$11,0))),N(INDEX(Platforms!$C$5:$C$14,MATCH(H47,Lists!$A$2:$A$11,0)))*(K47+IF(INDEX(Platforms!$E$5:$E$14,MATCH(H47,Lists!$A$2:$A$11,0))="Yes",N(L47),0))+N(INDEX(Platforms!$D$5:$D$14,MATCH(H47,Lists!$A$2:$A$11,0)))))),""))</f>
        <v/>
      </c>
      <c r="R47" s="16" t="str">
        <f t="shared" si="1"/>
        <v/>
      </c>
      <c r="S47" s="17" t="str">
        <f t="shared" si="2"/>
        <v/>
      </c>
      <c r="T47" s="18" t="str">
        <f t="shared" ca="1" si="3"/>
        <v/>
      </c>
    </row>
    <row r="48" spans="1:20" x14ac:dyDescent="0.35">
      <c r="A48" s="11"/>
      <c r="B48" s="11"/>
      <c r="C48" s="11"/>
      <c r="D48" s="12"/>
      <c r="E48" s="11"/>
      <c r="F48" s="13"/>
      <c r="G48" s="13"/>
      <c r="H48" s="11"/>
      <c r="I48" s="12"/>
      <c r="J48" s="12"/>
      <c r="K48" s="13"/>
      <c r="L48" s="13"/>
      <c r="M48" s="13"/>
      <c r="N48" s="13"/>
      <c r="O48" s="13"/>
      <c r="P48" s="14" t="str">
        <f t="shared" si="0"/>
        <v/>
      </c>
      <c r="Q48" s="15" t="str">
        <f>IF(OR(J48="",H48=""),"",IFERROR(IF(ISNUMBER(N48),N48,IF(K48&lt;N(INDEX(Platforms!$G$5:$G$14,MATCH(H48,Lists!$A$2:$A$11,0))),N(INDEX(Platforms!$H$5:$H$14,MATCH(H48,Lists!$A$2:$A$11,0))),MAX(N(INDEX(Platforms!$F$5:$F$14,MATCH(H48,Lists!$A$2:$A$11,0))),N(INDEX(Platforms!$C$5:$C$14,MATCH(H48,Lists!$A$2:$A$11,0)))*(K48+IF(INDEX(Platforms!$E$5:$E$14,MATCH(H48,Lists!$A$2:$A$11,0))="Yes",N(L48),0))+N(INDEX(Platforms!$D$5:$D$14,MATCH(H48,Lists!$A$2:$A$11,0)))))),""))</f>
        <v/>
      </c>
      <c r="R48" s="16" t="str">
        <f t="shared" si="1"/>
        <v/>
      </c>
      <c r="S48" s="17" t="str">
        <f t="shared" si="2"/>
        <v/>
      </c>
      <c r="T48" s="18" t="str">
        <f t="shared" ca="1" si="3"/>
        <v/>
      </c>
    </row>
    <row r="49" spans="1:20" x14ac:dyDescent="0.35">
      <c r="A49" s="11"/>
      <c r="B49" s="11"/>
      <c r="C49" s="11"/>
      <c r="D49" s="12"/>
      <c r="E49" s="11"/>
      <c r="F49" s="13"/>
      <c r="G49" s="13"/>
      <c r="H49" s="11"/>
      <c r="I49" s="12"/>
      <c r="J49" s="12"/>
      <c r="K49" s="13"/>
      <c r="L49" s="13"/>
      <c r="M49" s="13"/>
      <c r="N49" s="13"/>
      <c r="O49" s="13"/>
      <c r="P49" s="14" t="str">
        <f t="shared" si="0"/>
        <v/>
      </c>
      <c r="Q49" s="15" t="str">
        <f>IF(OR(J49="",H49=""),"",IFERROR(IF(ISNUMBER(N49),N49,IF(K49&lt;N(INDEX(Platforms!$G$5:$G$14,MATCH(H49,Lists!$A$2:$A$11,0))),N(INDEX(Platforms!$H$5:$H$14,MATCH(H49,Lists!$A$2:$A$11,0))),MAX(N(INDEX(Platforms!$F$5:$F$14,MATCH(H49,Lists!$A$2:$A$11,0))),N(INDEX(Platforms!$C$5:$C$14,MATCH(H49,Lists!$A$2:$A$11,0)))*(K49+IF(INDEX(Platforms!$E$5:$E$14,MATCH(H49,Lists!$A$2:$A$11,0))="Yes",N(L49),0))+N(INDEX(Platforms!$D$5:$D$14,MATCH(H49,Lists!$A$2:$A$11,0)))))),""))</f>
        <v/>
      </c>
      <c r="R49" s="16" t="str">
        <f t="shared" si="1"/>
        <v/>
      </c>
      <c r="S49" s="17" t="str">
        <f t="shared" si="2"/>
        <v/>
      </c>
      <c r="T49" s="18" t="str">
        <f t="shared" ca="1" si="3"/>
        <v/>
      </c>
    </row>
    <row r="50" spans="1:20" x14ac:dyDescent="0.35">
      <c r="A50" s="11"/>
      <c r="B50" s="11"/>
      <c r="C50" s="11"/>
      <c r="D50" s="12"/>
      <c r="E50" s="11"/>
      <c r="F50" s="13"/>
      <c r="G50" s="13"/>
      <c r="H50" s="11"/>
      <c r="I50" s="12"/>
      <c r="J50" s="12"/>
      <c r="K50" s="13"/>
      <c r="L50" s="13"/>
      <c r="M50" s="13"/>
      <c r="N50" s="13"/>
      <c r="O50" s="13"/>
      <c r="P50" s="14" t="str">
        <f t="shared" si="0"/>
        <v/>
      </c>
      <c r="Q50" s="15" t="str">
        <f>IF(OR(J50="",H50=""),"",IFERROR(IF(ISNUMBER(N50),N50,IF(K50&lt;N(INDEX(Platforms!$G$5:$G$14,MATCH(H50,Lists!$A$2:$A$11,0))),N(INDEX(Platforms!$H$5:$H$14,MATCH(H50,Lists!$A$2:$A$11,0))),MAX(N(INDEX(Platforms!$F$5:$F$14,MATCH(H50,Lists!$A$2:$A$11,0))),N(INDEX(Platforms!$C$5:$C$14,MATCH(H50,Lists!$A$2:$A$11,0)))*(K50+IF(INDEX(Platforms!$E$5:$E$14,MATCH(H50,Lists!$A$2:$A$11,0))="Yes",N(L50),0))+N(INDEX(Platforms!$D$5:$D$14,MATCH(H50,Lists!$A$2:$A$11,0)))))),""))</f>
        <v/>
      </c>
      <c r="R50" s="16" t="str">
        <f t="shared" si="1"/>
        <v/>
      </c>
      <c r="S50" s="17" t="str">
        <f t="shared" si="2"/>
        <v/>
      </c>
      <c r="T50" s="18" t="str">
        <f t="shared" ca="1" si="3"/>
        <v/>
      </c>
    </row>
    <row r="51" spans="1:20" x14ac:dyDescent="0.35">
      <c r="A51" s="11"/>
      <c r="B51" s="11"/>
      <c r="C51" s="11"/>
      <c r="D51" s="12"/>
      <c r="E51" s="11"/>
      <c r="F51" s="13"/>
      <c r="G51" s="13"/>
      <c r="H51" s="11"/>
      <c r="I51" s="12"/>
      <c r="J51" s="12"/>
      <c r="K51" s="13"/>
      <c r="L51" s="13"/>
      <c r="M51" s="13"/>
      <c r="N51" s="13"/>
      <c r="O51" s="13"/>
      <c r="P51" s="14" t="str">
        <f t="shared" si="0"/>
        <v/>
      </c>
      <c r="Q51" s="15" t="str">
        <f>IF(OR(J51="",H51=""),"",IFERROR(IF(ISNUMBER(N51),N51,IF(K51&lt;N(INDEX(Platforms!$G$5:$G$14,MATCH(H51,Lists!$A$2:$A$11,0))),N(INDEX(Platforms!$H$5:$H$14,MATCH(H51,Lists!$A$2:$A$11,0))),MAX(N(INDEX(Platforms!$F$5:$F$14,MATCH(H51,Lists!$A$2:$A$11,0))),N(INDEX(Platforms!$C$5:$C$14,MATCH(H51,Lists!$A$2:$A$11,0)))*(K51+IF(INDEX(Platforms!$E$5:$E$14,MATCH(H51,Lists!$A$2:$A$11,0))="Yes",N(L51),0))+N(INDEX(Platforms!$D$5:$D$14,MATCH(H51,Lists!$A$2:$A$11,0)))))),""))</f>
        <v/>
      </c>
      <c r="R51" s="16" t="str">
        <f t="shared" si="1"/>
        <v/>
      </c>
      <c r="S51" s="17" t="str">
        <f t="shared" si="2"/>
        <v/>
      </c>
      <c r="T51" s="18" t="str">
        <f t="shared" ca="1" si="3"/>
        <v/>
      </c>
    </row>
    <row r="52" spans="1:20" x14ac:dyDescent="0.35">
      <c r="A52" s="11"/>
      <c r="B52" s="11"/>
      <c r="C52" s="11"/>
      <c r="D52" s="12"/>
      <c r="E52" s="11"/>
      <c r="F52" s="13"/>
      <c r="G52" s="13"/>
      <c r="H52" s="11"/>
      <c r="I52" s="12"/>
      <c r="J52" s="12"/>
      <c r="K52" s="13"/>
      <c r="L52" s="13"/>
      <c r="M52" s="13"/>
      <c r="N52" s="13"/>
      <c r="O52" s="13"/>
      <c r="P52" s="14" t="str">
        <f t="shared" si="0"/>
        <v/>
      </c>
      <c r="Q52" s="15" t="str">
        <f>IF(OR(J52="",H52=""),"",IFERROR(IF(ISNUMBER(N52),N52,IF(K52&lt;N(INDEX(Platforms!$G$5:$G$14,MATCH(H52,Lists!$A$2:$A$11,0))),N(INDEX(Platforms!$H$5:$H$14,MATCH(H52,Lists!$A$2:$A$11,0))),MAX(N(INDEX(Platforms!$F$5:$F$14,MATCH(H52,Lists!$A$2:$A$11,0))),N(INDEX(Platforms!$C$5:$C$14,MATCH(H52,Lists!$A$2:$A$11,0)))*(K52+IF(INDEX(Platforms!$E$5:$E$14,MATCH(H52,Lists!$A$2:$A$11,0))="Yes",N(L52),0))+N(INDEX(Platforms!$D$5:$D$14,MATCH(H52,Lists!$A$2:$A$11,0)))))),""))</f>
        <v/>
      </c>
      <c r="R52" s="16" t="str">
        <f t="shared" si="1"/>
        <v/>
      </c>
      <c r="S52" s="17" t="str">
        <f t="shared" si="2"/>
        <v/>
      </c>
      <c r="T52" s="18" t="str">
        <f t="shared" ca="1" si="3"/>
        <v/>
      </c>
    </row>
    <row r="53" spans="1:20" x14ac:dyDescent="0.35">
      <c r="A53" s="11"/>
      <c r="B53" s="11"/>
      <c r="C53" s="11"/>
      <c r="D53" s="12"/>
      <c r="E53" s="11"/>
      <c r="F53" s="13"/>
      <c r="G53" s="13"/>
      <c r="H53" s="11"/>
      <c r="I53" s="12"/>
      <c r="J53" s="12"/>
      <c r="K53" s="13"/>
      <c r="L53" s="13"/>
      <c r="M53" s="13"/>
      <c r="N53" s="13"/>
      <c r="O53" s="13"/>
      <c r="P53" s="14" t="str">
        <f t="shared" si="0"/>
        <v/>
      </c>
      <c r="Q53" s="15" t="str">
        <f>IF(OR(J53="",H53=""),"",IFERROR(IF(ISNUMBER(N53),N53,IF(K53&lt;N(INDEX(Platforms!$G$5:$G$14,MATCH(H53,Lists!$A$2:$A$11,0))),N(INDEX(Platforms!$H$5:$H$14,MATCH(H53,Lists!$A$2:$A$11,0))),MAX(N(INDEX(Platforms!$F$5:$F$14,MATCH(H53,Lists!$A$2:$A$11,0))),N(INDEX(Platforms!$C$5:$C$14,MATCH(H53,Lists!$A$2:$A$11,0)))*(K53+IF(INDEX(Platforms!$E$5:$E$14,MATCH(H53,Lists!$A$2:$A$11,0))="Yes",N(L53),0))+N(INDEX(Platforms!$D$5:$D$14,MATCH(H53,Lists!$A$2:$A$11,0)))))),""))</f>
        <v/>
      </c>
      <c r="R53" s="16" t="str">
        <f t="shared" si="1"/>
        <v/>
      </c>
      <c r="S53" s="17" t="str">
        <f t="shared" si="2"/>
        <v/>
      </c>
      <c r="T53" s="18" t="str">
        <f t="shared" ca="1" si="3"/>
        <v/>
      </c>
    </row>
    <row r="54" spans="1:20" x14ac:dyDescent="0.35">
      <c r="A54" s="11"/>
      <c r="B54" s="11"/>
      <c r="C54" s="11"/>
      <c r="D54" s="12"/>
      <c r="E54" s="11"/>
      <c r="F54" s="13"/>
      <c r="G54" s="13"/>
      <c r="H54" s="11"/>
      <c r="I54" s="12"/>
      <c r="J54" s="12"/>
      <c r="K54" s="13"/>
      <c r="L54" s="13"/>
      <c r="M54" s="13"/>
      <c r="N54" s="13"/>
      <c r="O54" s="13"/>
      <c r="P54" s="14" t="str">
        <f t="shared" si="0"/>
        <v/>
      </c>
      <c r="Q54" s="15" t="str">
        <f>IF(OR(J54="",H54=""),"",IFERROR(IF(ISNUMBER(N54),N54,IF(K54&lt;N(INDEX(Platforms!$G$5:$G$14,MATCH(H54,Lists!$A$2:$A$11,0))),N(INDEX(Platforms!$H$5:$H$14,MATCH(H54,Lists!$A$2:$A$11,0))),MAX(N(INDEX(Platforms!$F$5:$F$14,MATCH(H54,Lists!$A$2:$A$11,0))),N(INDEX(Platforms!$C$5:$C$14,MATCH(H54,Lists!$A$2:$A$11,0)))*(K54+IF(INDEX(Platforms!$E$5:$E$14,MATCH(H54,Lists!$A$2:$A$11,0))="Yes",N(L54),0))+N(INDEX(Platforms!$D$5:$D$14,MATCH(H54,Lists!$A$2:$A$11,0)))))),""))</f>
        <v/>
      </c>
      <c r="R54" s="16" t="str">
        <f t="shared" si="1"/>
        <v/>
      </c>
      <c r="S54" s="17" t="str">
        <f t="shared" si="2"/>
        <v/>
      </c>
      <c r="T54" s="18" t="str">
        <f t="shared" ca="1" si="3"/>
        <v/>
      </c>
    </row>
    <row r="55" spans="1:20" x14ac:dyDescent="0.35">
      <c r="A55" s="11"/>
      <c r="B55" s="11"/>
      <c r="C55" s="11"/>
      <c r="D55" s="12"/>
      <c r="E55" s="11"/>
      <c r="F55" s="13"/>
      <c r="G55" s="13"/>
      <c r="H55" s="11"/>
      <c r="I55" s="12"/>
      <c r="J55" s="12"/>
      <c r="K55" s="13"/>
      <c r="L55" s="13"/>
      <c r="M55" s="13"/>
      <c r="N55" s="13"/>
      <c r="O55" s="13"/>
      <c r="P55" s="14" t="str">
        <f t="shared" si="0"/>
        <v/>
      </c>
      <c r="Q55" s="15" t="str">
        <f>IF(OR(J55="",H55=""),"",IFERROR(IF(ISNUMBER(N55),N55,IF(K55&lt;N(INDEX(Platforms!$G$5:$G$14,MATCH(H55,Lists!$A$2:$A$11,0))),N(INDEX(Platforms!$H$5:$H$14,MATCH(H55,Lists!$A$2:$A$11,0))),MAX(N(INDEX(Platforms!$F$5:$F$14,MATCH(H55,Lists!$A$2:$A$11,0))),N(INDEX(Platforms!$C$5:$C$14,MATCH(H55,Lists!$A$2:$A$11,0)))*(K55+IF(INDEX(Platforms!$E$5:$E$14,MATCH(H55,Lists!$A$2:$A$11,0))="Yes",N(L55),0))+N(INDEX(Platforms!$D$5:$D$14,MATCH(H55,Lists!$A$2:$A$11,0)))))),""))</f>
        <v/>
      </c>
      <c r="R55" s="16" t="str">
        <f t="shared" si="1"/>
        <v/>
      </c>
      <c r="S55" s="17" t="str">
        <f t="shared" si="2"/>
        <v/>
      </c>
      <c r="T55" s="18" t="str">
        <f t="shared" ca="1" si="3"/>
        <v/>
      </c>
    </row>
    <row r="56" spans="1:20" x14ac:dyDescent="0.35">
      <c r="A56" s="11"/>
      <c r="B56" s="11"/>
      <c r="C56" s="11"/>
      <c r="D56" s="12"/>
      <c r="E56" s="11"/>
      <c r="F56" s="13"/>
      <c r="G56" s="13"/>
      <c r="H56" s="11"/>
      <c r="I56" s="12"/>
      <c r="J56" s="12"/>
      <c r="K56" s="13"/>
      <c r="L56" s="13"/>
      <c r="M56" s="13"/>
      <c r="N56" s="13"/>
      <c r="O56" s="13"/>
      <c r="P56" s="14" t="str">
        <f t="shared" si="0"/>
        <v/>
      </c>
      <c r="Q56" s="15" t="str">
        <f>IF(OR(J56="",H56=""),"",IFERROR(IF(ISNUMBER(N56),N56,IF(K56&lt;N(INDEX(Platforms!$G$5:$G$14,MATCH(H56,Lists!$A$2:$A$11,0))),N(INDEX(Platforms!$H$5:$H$14,MATCH(H56,Lists!$A$2:$A$11,0))),MAX(N(INDEX(Platforms!$F$5:$F$14,MATCH(H56,Lists!$A$2:$A$11,0))),N(INDEX(Platforms!$C$5:$C$14,MATCH(H56,Lists!$A$2:$A$11,0)))*(K56+IF(INDEX(Platforms!$E$5:$E$14,MATCH(H56,Lists!$A$2:$A$11,0))="Yes",N(L56),0))+N(INDEX(Platforms!$D$5:$D$14,MATCH(H56,Lists!$A$2:$A$11,0)))))),""))</f>
        <v/>
      </c>
      <c r="R56" s="16" t="str">
        <f t="shared" si="1"/>
        <v/>
      </c>
      <c r="S56" s="17" t="str">
        <f t="shared" si="2"/>
        <v/>
      </c>
      <c r="T56" s="18" t="str">
        <f t="shared" ca="1" si="3"/>
        <v/>
      </c>
    </row>
    <row r="57" spans="1:20" x14ac:dyDescent="0.35">
      <c r="A57" s="11"/>
      <c r="B57" s="11"/>
      <c r="C57" s="11"/>
      <c r="D57" s="12"/>
      <c r="E57" s="11"/>
      <c r="F57" s="13"/>
      <c r="G57" s="13"/>
      <c r="H57" s="11"/>
      <c r="I57" s="12"/>
      <c r="J57" s="12"/>
      <c r="K57" s="13"/>
      <c r="L57" s="13"/>
      <c r="M57" s="13"/>
      <c r="N57" s="13"/>
      <c r="O57" s="13"/>
      <c r="P57" s="14" t="str">
        <f t="shared" si="0"/>
        <v/>
      </c>
      <c r="Q57" s="15" t="str">
        <f>IF(OR(J57="",H57=""),"",IFERROR(IF(ISNUMBER(N57),N57,IF(K57&lt;N(INDEX(Platforms!$G$5:$G$14,MATCH(H57,Lists!$A$2:$A$11,0))),N(INDEX(Platforms!$H$5:$H$14,MATCH(H57,Lists!$A$2:$A$11,0))),MAX(N(INDEX(Platforms!$F$5:$F$14,MATCH(H57,Lists!$A$2:$A$11,0))),N(INDEX(Platforms!$C$5:$C$14,MATCH(H57,Lists!$A$2:$A$11,0)))*(K57+IF(INDEX(Platforms!$E$5:$E$14,MATCH(H57,Lists!$A$2:$A$11,0))="Yes",N(L57),0))+N(INDEX(Platforms!$D$5:$D$14,MATCH(H57,Lists!$A$2:$A$11,0)))))),""))</f>
        <v/>
      </c>
      <c r="R57" s="16" t="str">
        <f t="shared" si="1"/>
        <v/>
      </c>
      <c r="S57" s="17" t="str">
        <f t="shared" si="2"/>
        <v/>
      </c>
      <c r="T57" s="18" t="str">
        <f t="shared" ca="1" si="3"/>
        <v/>
      </c>
    </row>
    <row r="58" spans="1:20" x14ac:dyDescent="0.35">
      <c r="A58" s="11"/>
      <c r="B58" s="11"/>
      <c r="C58" s="11"/>
      <c r="D58" s="12"/>
      <c r="E58" s="11"/>
      <c r="F58" s="13"/>
      <c r="G58" s="13"/>
      <c r="H58" s="11"/>
      <c r="I58" s="12"/>
      <c r="J58" s="12"/>
      <c r="K58" s="13"/>
      <c r="L58" s="13"/>
      <c r="M58" s="13"/>
      <c r="N58" s="13"/>
      <c r="O58" s="13"/>
      <c r="P58" s="14" t="str">
        <f t="shared" si="0"/>
        <v/>
      </c>
      <c r="Q58" s="15" t="str">
        <f>IF(OR(J58="",H58=""),"",IFERROR(IF(ISNUMBER(N58),N58,IF(K58&lt;N(INDEX(Platforms!$G$5:$G$14,MATCH(H58,Lists!$A$2:$A$11,0))),N(INDEX(Platforms!$H$5:$H$14,MATCH(H58,Lists!$A$2:$A$11,0))),MAX(N(INDEX(Platforms!$F$5:$F$14,MATCH(H58,Lists!$A$2:$A$11,0))),N(INDEX(Platforms!$C$5:$C$14,MATCH(H58,Lists!$A$2:$A$11,0)))*(K58+IF(INDEX(Platforms!$E$5:$E$14,MATCH(H58,Lists!$A$2:$A$11,0))="Yes",N(L58),0))+N(INDEX(Platforms!$D$5:$D$14,MATCH(H58,Lists!$A$2:$A$11,0)))))),""))</f>
        <v/>
      </c>
      <c r="R58" s="16" t="str">
        <f t="shared" si="1"/>
        <v/>
      </c>
      <c r="S58" s="17" t="str">
        <f t="shared" si="2"/>
        <v/>
      </c>
      <c r="T58" s="18" t="str">
        <f t="shared" ca="1" si="3"/>
        <v/>
      </c>
    </row>
    <row r="59" spans="1:20" x14ac:dyDescent="0.35">
      <c r="A59" s="11"/>
      <c r="B59" s="11"/>
      <c r="C59" s="11"/>
      <c r="D59" s="12"/>
      <c r="E59" s="11"/>
      <c r="F59" s="13"/>
      <c r="G59" s="13"/>
      <c r="H59" s="11"/>
      <c r="I59" s="12"/>
      <c r="J59" s="12"/>
      <c r="K59" s="13"/>
      <c r="L59" s="13"/>
      <c r="M59" s="13"/>
      <c r="N59" s="13"/>
      <c r="O59" s="13"/>
      <c r="P59" s="14" t="str">
        <f t="shared" si="0"/>
        <v/>
      </c>
      <c r="Q59" s="15" t="str">
        <f>IF(OR(J59="",H59=""),"",IFERROR(IF(ISNUMBER(N59),N59,IF(K59&lt;N(INDEX(Platforms!$G$5:$G$14,MATCH(H59,Lists!$A$2:$A$11,0))),N(INDEX(Platforms!$H$5:$H$14,MATCH(H59,Lists!$A$2:$A$11,0))),MAX(N(INDEX(Platforms!$F$5:$F$14,MATCH(H59,Lists!$A$2:$A$11,0))),N(INDEX(Platforms!$C$5:$C$14,MATCH(H59,Lists!$A$2:$A$11,0)))*(K59+IF(INDEX(Platforms!$E$5:$E$14,MATCH(H59,Lists!$A$2:$A$11,0))="Yes",N(L59),0))+N(INDEX(Platforms!$D$5:$D$14,MATCH(H59,Lists!$A$2:$A$11,0)))))),""))</f>
        <v/>
      </c>
      <c r="R59" s="16" t="str">
        <f t="shared" si="1"/>
        <v/>
      </c>
      <c r="S59" s="17" t="str">
        <f t="shared" si="2"/>
        <v/>
      </c>
      <c r="T59" s="18" t="str">
        <f t="shared" ca="1" si="3"/>
        <v/>
      </c>
    </row>
    <row r="60" spans="1:20" x14ac:dyDescent="0.35">
      <c r="A60" s="11"/>
      <c r="B60" s="11"/>
      <c r="C60" s="11"/>
      <c r="D60" s="12"/>
      <c r="E60" s="11"/>
      <c r="F60" s="13"/>
      <c r="G60" s="13"/>
      <c r="H60" s="11"/>
      <c r="I60" s="12"/>
      <c r="J60" s="12"/>
      <c r="K60" s="13"/>
      <c r="L60" s="13"/>
      <c r="M60" s="13"/>
      <c r="N60" s="13"/>
      <c r="O60" s="13"/>
      <c r="P60" s="14" t="str">
        <f t="shared" si="0"/>
        <v/>
      </c>
      <c r="Q60" s="15" t="str">
        <f>IF(OR(J60="",H60=""),"",IFERROR(IF(ISNUMBER(N60),N60,IF(K60&lt;N(INDEX(Platforms!$G$5:$G$14,MATCH(H60,Lists!$A$2:$A$11,0))),N(INDEX(Platforms!$H$5:$H$14,MATCH(H60,Lists!$A$2:$A$11,0))),MAX(N(INDEX(Platforms!$F$5:$F$14,MATCH(H60,Lists!$A$2:$A$11,0))),N(INDEX(Platforms!$C$5:$C$14,MATCH(H60,Lists!$A$2:$A$11,0)))*(K60+IF(INDEX(Platforms!$E$5:$E$14,MATCH(H60,Lists!$A$2:$A$11,0))="Yes",N(L60),0))+N(INDEX(Platforms!$D$5:$D$14,MATCH(H60,Lists!$A$2:$A$11,0)))))),""))</f>
        <v/>
      </c>
      <c r="R60" s="16" t="str">
        <f t="shared" si="1"/>
        <v/>
      </c>
      <c r="S60" s="17" t="str">
        <f t="shared" si="2"/>
        <v/>
      </c>
      <c r="T60" s="18" t="str">
        <f t="shared" ca="1" si="3"/>
        <v/>
      </c>
    </row>
    <row r="61" spans="1:20" x14ac:dyDescent="0.35">
      <c r="A61" s="11"/>
      <c r="B61" s="11"/>
      <c r="C61" s="11"/>
      <c r="D61" s="12"/>
      <c r="E61" s="11"/>
      <c r="F61" s="13"/>
      <c r="G61" s="13"/>
      <c r="H61" s="11"/>
      <c r="I61" s="12"/>
      <c r="J61" s="12"/>
      <c r="K61" s="13"/>
      <c r="L61" s="13"/>
      <c r="M61" s="13"/>
      <c r="N61" s="13"/>
      <c r="O61" s="13"/>
      <c r="P61" s="14" t="str">
        <f t="shared" si="0"/>
        <v/>
      </c>
      <c r="Q61" s="15" t="str">
        <f>IF(OR(J61="",H61=""),"",IFERROR(IF(ISNUMBER(N61),N61,IF(K61&lt;N(INDEX(Platforms!$G$5:$G$14,MATCH(H61,Lists!$A$2:$A$11,0))),N(INDEX(Platforms!$H$5:$H$14,MATCH(H61,Lists!$A$2:$A$11,0))),MAX(N(INDEX(Platforms!$F$5:$F$14,MATCH(H61,Lists!$A$2:$A$11,0))),N(INDEX(Platforms!$C$5:$C$14,MATCH(H61,Lists!$A$2:$A$11,0)))*(K61+IF(INDEX(Platforms!$E$5:$E$14,MATCH(H61,Lists!$A$2:$A$11,0))="Yes",N(L61),0))+N(INDEX(Platforms!$D$5:$D$14,MATCH(H61,Lists!$A$2:$A$11,0)))))),""))</f>
        <v/>
      </c>
      <c r="R61" s="16" t="str">
        <f t="shared" si="1"/>
        <v/>
      </c>
      <c r="S61" s="17" t="str">
        <f t="shared" si="2"/>
        <v/>
      </c>
      <c r="T61" s="18" t="str">
        <f t="shared" ca="1" si="3"/>
        <v/>
      </c>
    </row>
    <row r="62" spans="1:20" x14ac:dyDescent="0.35">
      <c r="A62" s="11"/>
      <c r="B62" s="11"/>
      <c r="C62" s="11"/>
      <c r="D62" s="12"/>
      <c r="E62" s="11"/>
      <c r="F62" s="13"/>
      <c r="G62" s="13"/>
      <c r="H62" s="11"/>
      <c r="I62" s="12"/>
      <c r="J62" s="12"/>
      <c r="K62" s="13"/>
      <c r="L62" s="13"/>
      <c r="M62" s="13"/>
      <c r="N62" s="13"/>
      <c r="O62" s="13"/>
      <c r="P62" s="14" t="str">
        <f t="shared" si="0"/>
        <v/>
      </c>
      <c r="Q62" s="15" t="str">
        <f>IF(OR(J62="",H62=""),"",IFERROR(IF(ISNUMBER(N62),N62,IF(K62&lt;N(INDEX(Platforms!$G$5:$G$14,MATCH(H62,Lists!$A$2:$A$11,0))),N(INDEX(Platforms!$H$5:$H$14,MATCH(H62,Lists!$A$2:$A$11,0))),MAX(N(INDEX(Platforms!$F$5:$F$14,MATCH(H62,Lists!$A$2:$A$11,0))),N(INDEX(Platforms!$C$5:$C$14,MATCH(H62,Lists!$A$2:$A$11,0)))*(K62+IF(INDEX(Platforms!$E$5:$E$14,MATCH(H62,Lists!$A$2:$A$11,0))="Yes",N(L62),0))+N(INDEX(Platforms!$D$5:$D$14,MATCH(H62,Lists!$A$2:$A$11,0)))))),""))</f>
        <v/>
      </c>
      <c r="R62" s="16" t="str">
        <f t="shared" si="1"/>
        <v/>
      </c>
      <c r="S62" s="17" t="str">
        <f t="shared" si="2"/>
        <v/>
      </c>
      <c r="T62" s="18" t="str">
        <f t="shared" ca="1" si="3"/>
        <v/>
      </c>
    </row>
    <row r="63" spans="1:20" x14ac:dyDescent="0.35">
      <c r="A63" s="11"/>
      <c r="B63" s="11"/>
      <c r="C63" s="11"/>
      <c r="D63" s="12"/>
      <c r="E63" s="11"/>
      <c r="F63" s="13"/>
      <c r="G63" s="13"/>
      <c r="H63" s="11"/>
      <c r="I63" s="12"/>
      <c r="J63" s="12"/>
      <c r="K63" s="13"/>
      <c r="L63" s="13"/>
      <c r="M63" s="13"/>
      <c r="N63" s="13"/>
      <c r="O63" s="13"/>
      <c r="P63" s="14" t="str">
        <f t="shared" si="0"/>
        <v/>
      </c>
      <c r="Q63" s="15" t="str">
        <f>IF(OR(J63="",H63=""),"",IFERROR(IF(ISNUMBER(N63),N63,IF(K63&lt;N(INDEX(Platforms!$G$5:$G$14,MATCH(H63,Lists!$A$2:$A$11,0))),N(INDEX(Platforms!$H$5:$H$14,MATCH(H63,Lists!$A$2:$A$11,0))),MAX(N(INDEX(Platforms!$F$5:$F$14,MATCH(H63,Lists!$A$2:$A$11,0))),N(INDEX(Platforms!$C$5:$C$14,MATCH(H63,Lists!$A$2:$A$11,0)))*(K63+IF(INDEX(Platforms!$E$5:$E$14,MATCH(H63,Lists!$A$2:$A$11,0))="Yes",N(L63),0))+N(INDEX(Platforms!$D$5:$D$14,MATCH(H63,Lists!$A$2:$A$11,0)))))),""))</f>
        <v/>
      </c>
      <c r="R63" s="16" t="str">
        <f t="shared" si="1"/>
        <v/>
      </c>
      <c r="S63" s="17" t="str">
        <f t="shared" si="2"/>
        <v/>
      </c>
      <c r="T63" s="18" t="str">
        <f t="shared" ca="1" si="3"/>
        <v/>
      </c>
    </row>
    <row r="64" spans="1:20" x14ac:dyDescent="0.35">
      <c r="A64" s="11"/>
      <c r="B64" s="11"/>
      <c r="C64" s="11"/>
      <c r="D64" s="12"/>
      <c r="E64" s="11"/>
      <c r="F64" s="13"/>
      <c r="G64" s="13"/>
      <c r="H64" s="11"/>
      <c r="I64" s="12"/>
      <c r="J64" s="12"/>
      <c r="K64" s="13"/>
      <c r="L64" s="13"/>
      <c r="M64" s="13"/>
      <c r="N64" s="13"/>
      <c r="O64" s="13"/>
      <c r="P64" s="14" t="str">
        <f t="shared" si="0"/>
        <v/>
      </c>
      <c r="Q64" s="15" t="str">
        <f>IF(OR(J64="",H64=""),"",IFERROR(IF(ISNUMBER(N64),N64,IF(K64&lt;N(INDEX(Platforms!$G$5:$G$14,MATCH(H64,Lists!$A$2:$A$11,0))),N(INDEX(Platforms!$H$5:$H$14,MATCH(H64,Lists!$A$2:$A$11,0))),MAX(N(INDEX(Platforms!$F$5:$F$14,MATCH(H64,Lists!$A$2:$A$11,0))),N(INDEX(Platforms!$C$5:$C$14,MATCH(H64,Lists!$A$2:$A$11,0)))*(K64+IF(INDEX(Platforms!$E$5:$E$14,MATCH(H64,Lists!$A$2:$A$11,0))="Yes",N(L64),0))+N(INDEX(Platforms!$D$5:$D$14,MATCH(H64,Lists!$A$2:$A$11,0)))))),""))</f>
        <v/>
      </c>
      <c r="R64" s="16" t="str">
        <f t="shared" si="1"/>
        <v/>
      </c>
      <c r="S64" s="17" t="str">
        <f t="shared" si="2"/>
        <v/>
      </c>
      <c r="T64" s="18" t="str">
        <f t="shared" ca="1" si="3"/>
        <v/>
      </c>
    </row>
    <row r="65" spans="1:20" x14ac:dyDescent="0.35">
      <c r="A65" s="11"/>
      <c r="B65" s="11"/>
      <c r="C65" s="11"/>
      <c r="D65" s="12"/>
      <c r="E65" s="11"/>
      <c r="F65" s="13"/>
      <c r="G65" s="13"/>
      <c r="H65" s="11"/>
      <c r="I65" s="12"/>
      <c r="J65" s="12"/>
      <c r="K65" s="13"/>
      <c r="L65" s="13"/>
      <c r="M65" s="13"/>
      <c r="N65" s="13"/>
      <c r="O65" s="13"/>
      <c r="P65" s="14" t="str">
        <f t="shared" si="0"/>
        <v/>
      </c>
      <c r="Q65" s="15" t="str">
        <f>IF(OR(J65="",H65=""),"",IFERROR(IF(ISNUMBER(N65),N65,IF(K65&lt;N(INDEX(Platforms!$G$5:$G$14,MATCH(H65,Lists!$A$2:$A$11,0))),N(INDEX(Platforms!$H$5:$H$14,MATCH(H65,Lists!$A$2:$A$11,0))),MAX(N(INDEX(Platforms!$F$5:$F$14,MATCH(H65,Lists!$A$2:$A$11,0))),N(INDEX(Platforms!$C$5:$C$14,MATCH(H65,Lists!$A$2:$A$11,0)))*(K65+IF(INDEX(Platforms!$E$5:$E$14,MATCH(H65,Lists!$A$2:$A$11,0))="Yes",N(L65),0))+N(INDEX(Platforms!$D$5:$D$14,MATCH(H65,Lists!$A$2:$A$11,0)))))),""))</f>
        <v/>
      </c>
      <c r="R65" s="16" t="str">
        <f t="shared" si="1"/>
        <v/>
      </c>
      <c r="S65" s="17" t="str">
        <f t="shared" si="2"/>
        <v/>
      </c>
      <c r="T65" s="18" t="str">
        <f t="shared" ca="1" si="3"/>
        <v/>
      </c>
    </row>
    <row r="66" spans="1:20" x14ac:dyDescent="0.35">
      <c r="A66" s="11"/>
      <c r="B66" s="11"/>
      <c r="C66" s="11"/>
      <c r="D66" s="12"/>
      <c r="E66" s="11"/>
      <c r="F66" s="13"/>
      <c r="G66" s="13"/>
      <c r="H66" s="11"/>
      <c r="I66" s="12"/>
      <c r="J66" s="12"/>
      <c r="K66" s="13"/>
      <c r="L66" s="13"/>
      <c r="M66" s="13"/>
      <c r="N66" s="13"/>
      <c r="O66" s="13"/>
      <c r="P66" s="14" t="str">
        <f t="shared" si="0"/>
        <v/>
      </c>
      <c r="Q66" s="15" t="str">
        <f>IF(OR(J66="",H66=""),"",IFERROR(IF(ISNUMBER(N66),N66,IF(K66&lt;N(INDEX(Platforms!$G$5:$G$14,MATCH(H66,Lists!$A$2:$A$11,0))),N(INDEX(Platforms!$H$5:$H$14,MATCH(H66,Lists!$A$2:$A$11,0))),MAX(N(INDEX(Platforms!$F$5:$F$14,MATCH(H66,Lists!$A$2:$A$11,0))),N(INDEX(Platforms!$C$5:$C$14,MATCH(H66,Lists!$A$2:$A$11,0)))*(K66+IF(INDEX(Platforms!$E$5:$E$14,MATCH(H66,Lists!$A$2:$A$11,0))="Yes",N(L66),0))+N(INDEX(Platforms!$D$5:$D$14,MATCH(H66,Lists!$A$2:$A$11,0)))))),""))</f>
        <v/>
      </c>
      <c r="R66" s="16" t="str">
        <f t="shared" si="1"/>
        <v/>
      </c>
      <c r="S66" s="17" t="str">
        <f t="shared" si="2"/>
        <v/>
      </c>
      <c r="T66" s="18" t="str">
        <f t="shared" ca="1" si="3"/>
        <v/>
      </c>
    </row>
    <row r="67" spans="1:20" x14ac:dyDescent="0.35">
      <c r="A67" s="11"/>
      <c r="B67" s="11"/>
      <c r="C67" s="11"/>
      <c r="D67" s="12"/>
      <c r="E67" s="11"/>
      <c r="F67" s="13"/>
      <c r="G67" s="13"/>
      <c r="H67" s="11"/>
      <c r="I67" s="12"/>
      <c r="J67" s="12"/>
      <c r="K67" s="13"/>
      <c r="L67" s="13"/>
      <c r="M67" s="13"/>
      <c r="N67" s="13"/>
      <c r="O67" s="13"/>
      <c r="P67" s="14" t="str">
        <f t="shared" si="0"/>
        <v/>
      </c>
      <c r="Q67" s="15" t="str">
        <f>IF(OR(J67="",H67=""),"",IFERROR(IF(ISNUMBER(N67),N67,IF(K67&lt;N(INDEX(Platforms!$G$5:$G$14,MATCH(H67,Lists!$A$2:$A$11,0))),N(INDEX(Platforms!$H$5:$H$14,MATCH(H67,Lists!$A$2:$A$11,0))),MAX(N(INDEX(Platforms!$F$5:$F$14,MATCH(H67,Lists!$A$2:$A$11,0))),N(INDEX(Platforms!$C$5:$C$14,MATCH(H67,Lists!$A$2:$A$11,0)))*(K67+IF(INDEX(Platforms!$E$5:$E$14,MATCH(H67,Lists!$A$2:$A$11,0))="Yes",N(L67),0))+N(INDEX(Platforms!$D$5:$D$14,MATCH(H67,Lists!$A$2:$A$11,0)))))),""))</f>
        <v/>
      </c>
      <c r="R67" s="16" t="str">
        <f t="shared" si="1"/>
        <v/>
      </c>
      <c r="S67" s="17" t="str">
        <f t="shared" si="2"/>
        <v/>
      </c>
      <c r="T67" s="18" t="str">
        <f t="shared" ca="1" si="3"/>
        <v/>
      </c>
    </row>
    <row r="68" spans="1:20" x14ac:dyDescent="0.35">
      <c r="A68" s="11"/>
      <c r="B68" s="11"/>
      <c r="C68" s="11"/>
      <c r="D68" s="12"/>
      <c r="E68" s="11"/>
      <c r="F68" s="13"/>
      <c r="G68" s="13"/>
      <c r="H68" s="11"/>
      <c r="I68" s="12"/>
      <c r="J68" s="12"/>
      <c r="K68" s="13"/>
      <c r="L68" s="13"/>
      <c r="M68" s="13"/>
      <c r="N68" s="13"/>
      <c r="O68" s="13"/>
      <c r="P68" s="14" t="str">
        <f t="shared" si="0"/>
        <v/>
      </c>
      <c r="Q68" s="15" t="str">
        <f>IF(OR(J68="",H68=""),"",IFERROR(IF(ISNUMBER(N68),N68,IF(K68&lt;N(INDEX(Platforms!$G$5:$G$14,MATCH(H68,Lists!$A$2:$A$11,0))),N(INDEX(Platforms!$H$5:$H$14,MATCH(H68,Lists!$A$2:$A$11,0))),MAX(N(INDEX(Platforms!$F$5:$F$14,MATCH(H68,Lists!$A$2:$A$11,0))),N(INDEX(Platforms!$C$5:$C$14,MATCH(H68,Lists!$A$2:$A$11,0)))*(K68+IF(INDEX(Platforms!$E$5:$E$14,MATCH(H68,Lists!$A$2:$A$11,0))="Yes",N(L68),0))+N(INDEX(Platforms!$D$5:$D$14,MATCH(H68,Lists!$A$2:$A$11,0)))))),""))</f>
        <v/>
      </c>
      <c r="R68" s="16" t="str">
        <f t="shared" si="1"/>
        <v/>
      </c>
      <c r="S68" s="17" t="str">
        <f t="shared" si="2"/>
        <v/>
      </c>
      <c r="T68" s="18" t="str">
        <f t="shared" ca="1" si="3"/>
        <v/>
      </c>
    </row>
    <row r="69" spans="1:20" x14ac:dyDescent="0.35">
      <c r="A69" s="11"/>
      <c r="B69" s="11"/>
      <c r="C69" s="11"/>
      <c r="D69" s="12"/>
      <c r="E69" s="11"/>
      <c r="F69" s="13"/>
      <c r="G69" s="13"/>
      <c r="H69" s="11"/>
      <c r="I69" s="12"/>
      <c r="J69" s="12"/>
      <c r="K69" s="13"/>
      <c r="L69" s="13"/>
      <c r="M69" s="13"/>
      <c r="N69" s="13"/>
      <c r="O69" s="13"/>
      <c r="P69" s="14" t="str">
        <f t="shared" ref="P69:P132" si="4">IF(OR(B69&lt;&gt;"",F69&lt;&gt;"",H69&lt;&gt;"",J69&lt;&gt;"",K69&lt;&gt;""),IF(J69&lt;&gt;"","Sold",IF(I69&lt;&gt;"","Listed","In stock")),"")</f>
        <v/>
      </c>
      <c r="Q69" s="15" t="str">
        <f>IF(OR(J69="",H69=""),"",IFERROR(IF(ISNUMBER(N69),N69,IF(K69&lt;N(INDEX(Platforms!$G$5:$G$14,MATCH(H69,Lists!$A$2:$A$11,0))),N(INDEX(Platforms!$H$5:$H$14,MATCH(H69,Lists!$A$2:$A$11,0))),MAX(N(INDEX(Platforms!$F$5:$F$14,MATCH(H69,Lists!$A$2:$A$11,0))),N(INDEX(Platforms!$C$5:$C$14,MATCH(H69,Lists!$A$2:$A$11,0)))*(K69+IF(INDEX(Platforms!$E$5:$E$14,MATCH(H69,Lists!$A$2:$A$11,0))="Yes",N(L69),0))+N(INDEX(Platforms!$D$5:$D$14,MATCH(H69,Lists!$A$2:$A$11,0)))))),""))</f>
        <v/>
      </c>
      <c r="R69" s="16" t="str">
        <f t="shared" ref="R69:R132" si="5">IF(J69="","",IFERROR(K69+N(L69)-N(O69)-Q69-N(M69)-N(F69)-N(G69),""))</f>
        <v/>
      </c>
      <c r="S69" s="17" t="str">
        <f t="shared" ref="S69:S132" si="6">IF(OR(R69="",N(F69)+N(G69)=0),"",R69/(N(F69)+N(G69)))</f>
        <v/>
      </c>
      <c r="T69" s="18" t="str">
        <f t="shared" ref="T69:T132" ca="1" si="7">IFERROR(IF(ISNUMBER(D69),IF(ISNUMBER(J69),J69,IF(J69="",TODAY(),""))-D69,""),"")</f>
        <v/>
      </c>
    </row>
    <row r="70" spans="1:20" x14ac:dyDescent="0.35">
      <c r="A70" s="11"/>
      <c r="B70" s="11"/>
      <c r="C70" s="11"/>
      <c r="D70" s="12"/>
      <c r="E70" s="11"/>
      <c r="F70" s="13"/>
      <c r="G70" s="13"/>
      <c r="H70" s="11"/>
      <c r="I70" s="12"/>
      <c r="J70" s="12"/>
      <c r="K70" s="13"/>
      <c r="L70" s="13"/>
      <c r="M70" s="13"/>
      <c r="N70" s="13"/>
      <c r="O70" s="13"/>
      <c r="P70" s="14" t="str">
        <f t="shared" si="4"/>
        <v/>
      </c>
      <c r="Q70" s="15" t="str">
        <f>IF(OR(J70="",H70=""),"",IFERROR(IF(ISNUMBER(N70),N70,IF(K70&lt;N(INDEX(Platforms!$G$5:$G$14,MATCH(H70,Lists!$A$2:$A$11,0))),N(INDEX(Platforms!$H$5:$H$14,MATCH(H70,Lists!$A$2:$A$11,0))),MAX(N(INDEX(Platforms!$F$5:$F$14,MATCH(H70,Lists!$A$2:$A$11,0))),N(INDEX(Platforms!$C$5:$C$14,MATCH(H70,Lists!$A$2:$A$11,0)))*(K70+IF(INDEX(Platforms!$E$5:$E$14,MATCH(H70,Lists!$A$2:$A$11,0))="Yes",N(L70),0))+N(INDEX(Platforms!$D$5:$D$14,MATCH(H70,Lists!$A$2:$A$11,0)))))),""))</f>
        <v/>
      </c>
      <c r="R70" s="16" t="str">
        <f t="shared" si="5"/>
        <v/>
      </c>
      <c r="S70" s="17" t="str">
        <f t="shared" si="6"/>
        <v/>
      </c>
      <c r="T70" s="18" t="str">
        <f t="shared" ca="1" si="7"/>
        <v/>
      </c>
    </row>
    <row r="71" spans="1:20" x14ac:dyDescent="0.35">
      <c r="A71" s="11"/>
      <c r="B71" s="11"/>
      <c r="C71" s="11"/>
      <c r="D71" s="12"/>
      <c r="E71" s="11"/>
      <c r="F71" s="13"/>
      <c r="G71" s="13"/>
      <c r="H71" s="11"/>
      <c r="I71" s="12"/>
      <c r="J71" s="12"/>
      <c r="K71" s="13"/>
      <c r="L71" s="13"/>
      <c r="M71" s="13"/>
      <c r="N71" s="13"/>
      <c r="O71" s="13"/>
      <c r="P71" s="14" t="str">
        <f t="shared" si="4"/>
        <v/>
      </c>
      <c r="Q71" s="15" t="str">
        <f>IF(OR(J71="",H71=""),"",IFERROR(IF(ISNUMBER(N71),N71,IF(K71&lt;N(INDEX(Platforms!$G$5:$G$14,MATCH(H71,Lists!$A$2:$A$11,0))),N(INDEX(Platforms!$H$5:$H$14,MATCH(H71,Lists!$A$2:$A$11,0))),MAX(N(INDEX(Platforms!$F$5:$F$14,MATCH(H71,Lists!$A$2:$A$11,0))),N(INDEX(Platforms!$C$5:$C$14,MATCH(H71,Lists!$A$2:$A$11,0)))*(K71+IF(INDEX(Platforms!$E$5:$E$14,MATCH(H71,Lists!$A$2:$A$11,0))="Yes",N(L71),0))+N(INDEX(Platforms!$D$5:$D$14,MATCH(H71,Lists!$A$2:$A$11,0)))))),""))</f>
        <v/>
      </c>
      <c r="R71" s="16" t="str">
        <f t="shared" si="5"/>
        <v/>
      </c>
      <c r="S71" s="17" t="str">
        <f t="shared" si="6"/>
        <v/>
      </c>
      <c r="T71" s="18" t="str">
        <f t="shared" ca="1" si="7"/>
        <v/>
      </c>
    </row>
    <row r="72" spans="1:20" x14ac:dyDescent="0.35">
      <c r="A72" s="11"/>
      <c r="B72" s="11"/>
      <c r="C72" s="11"/>
      <c r="D72" s="12"/>
      <c r="E72" s="11"/>
      <c r="F72" s="13"/>
      <c r="G72" s="13"/>
      <c r="H72" s="11"/>
      <c r="I72" s="12"/>
      <c r="J72" s="12"/>
      <c r="K72" s="13"/>
      <c r="L72" s="13"/>
      <c r="M72" s="13"/>
      <c r="N72" s="13"/>
      <c r="O72" s="13"/>
      <c r="P72" s="14" t="str">
        <f t="shared" si="4"/>
        <v/>
      </c>
      <c r="Q72" s="15" t="str">
        <f>IF(OR(J72="",H72=""),"",IFERROR(IF(ISNUMBER(N72),N72,IF(K72&lt;N(INDEX(Platforms!$G$5:$G$14,MATCH(H72,Lists!$A$2:$A$11,0))),N(INDEX(Platforms!$H$5:$H$14,MATCH(H72,Lists!$A$2:$A$11,0))),MAX(N(INDEX(Platforms!$F$5:$F$14,MATCH(H72,Lists!$A$2:$A$11,0))),N(INDEX(Platforms!$C$5:$C$14,MATCH(H72,Lists!$A$2:$A$11,0)))*(K72+IF(INDEX(Platforms!$E$5:$E$14,MATCH(H72,Lists!$A$2:$A$11,0))="Yes",N(L72),0))+N(INDEX(Platforms!$D$5:$D$14,MATCH(H72,Lists!$A$2:$A$11,0)))))),""))</f>
        <v/>
      </c>
      <c r="R72" s="16" t="str">
        <f t="shared" si="5"/>
        <v/>
      </c>
      <c r="S72" s="17" t="str">
        <f t="shared" si="6"/>
        <v/>
      </c>
      <c r="T72" s="18" t="str">
        <f t="shared" ca="1" si="7"/>
        <v/>
      </c>
    </row>
    <row r="73" spans="1:20" x14ac:dyDescent="0.35">
      <c r="A73" s="11"/>
      <c r="B73" s="11"/>
      <c r="C73" s="11"/>
      <c r="D73" s="12"/>
      <c r="E73" s="11"/>
      <c r="F73" s="13"/>
      <c r="G73" s="13"/>
      <c r="H73" s="11"/>
      <c r="I73" s="12"/>
      <c r="J73" s="12"/>
      <c r="K73" s="13"/>
      <c r="L73" s="13"/>
      <c r="M73" s="13"/>
      <c r="N73" s="13"/>
      <c r="O73" s="13"/>
      <c r="P73" s="14" t="str">
        <f t="shared" si="4"/>
        <v/>
      </c>
      <c r="Q73" s="15" t="str">
        <f>IF(OR(J73="",H73=""),"",IFERROR(IF(ISNUMBER(N73),N73,IF(K73&lt;N(INDEX(Platforms!$G$5:$G$14,MATCH(H73,Lists!$A$2:$A$11,0))),N(INDEX(Platforms!$H$5:$H$14,MATCH(H73,Lists!$A$2:$A$11,0))),MAX(N(INDEX(Platforms!$F$5:$F$14,MATCH(H73,Lists!$A$2:$A$11,0))),N(INDEX(Platforms!$C$5:$C$14,MATCH(H73,Lists!$A$2:$A$11,0)))*(K73+IF(INDEX(Platforms!$E$5:$E$14,MATCH(H73,Lists!$A$2:$A$11,0))="Yes",N(L73),0))+N(INDEX(Platforms!$D$5:$D$14,MATCH(H73,Lists!$A$2:$A$11,0)))))),""))</f>
        <v/>
      </c>
      <c r="R73" s="16" t="str">
        <f t="shared" si="5"/>
        <v/>
      </c>
      <c r="S73" s="17" t="str">
        <f t="shared" si="6"/>
        <v/>
      </c>
      <c r="T73" s="18" t="str">
        <f t="shared" ca="1" si="7"/>
        <v/>
      </c>
    </row>
    <row r="74" spans="1:20" x14ac:dyDescent="0.35">
      <c r="A74" s="11"/>
      <c r="B74" s="11"/>
      <c r="C74" s="11"/>
      <c r="D74" s="12"/>
      <c r="E74" s="11"/>
      <c r="F74" s="13"/>
      <c r="G74" s="13"/>
      <c r="H74" s="11"/>
      <c r="I74" s="12"/>
      <c r="J74" s="12"/>
      <c r="K74" s="13"/>
      <c r="L74" s="13"/>
      <c r="M74" s="13"/>
      <c r="N74" s="13"/>
      <c r="O74" s="13"/>
      <c r="P74" s="14" t="str">
        <f t="shared" si="4"/>
        <v/>
      </c>
      <c r="Q74" s="15" t="str">
        <f>IF(OR(J74="",H74=""),"",IFERROR(IF(ISNUMBER(N74),N74,IF(K74&lt;N(INDEX(Platforms!$G$5:$G$14,MATCH(H74,Lists!$A$2:$A$11,0))),N(INDEX(Platforms!$H$5:$H$14,MATCH(H74,Lists!$A$2:$A$11,0))),MAX(N(INDEX(Platforms!$F$5:$F$14,MATCH(H74,Lists!$A$2:$A$11,0))),N(INDEX(Platforms!$C$5:$C$14,MATCH(H74,Lists!$A$2:$A$11,0)))*(K74+IF(INDEX(Platforms!$E$5:$E$14,MATCH(H74,Lists!$A$2:$A$11,0))="Yes",N(L74),0))+N(INDEX(Platforms!$D$5:$D$14,MATCH(H74,Lists!$A$2:$A$11,0)))))),""))</f>
        <v/>
      </c>
      <c r="R74" s="16" t="str">
        <f t="shared" si="5"/>
        <v/>
      </c>
      <c r="S74" s="17" t="str">
        <f t="shared" si="6"/>
        <v/>
      </c>
      <c r="T74" s="18" t="str">
        <f t="shared" ca="1" si="7"/>
        <v/>
      </c>
    </row>
    <row r="75" spans="1:20" x14ac:dyDescent="0.35">
      <c r="A75" s="11"/>
      <c r="B75" s="11"/>
      <c r="C75" s="11"/>
      <c r="D75" s="12"/>
      <c r="E75" s="11"/>
      <c r="F75" s="13"/>
      <c r="G75" s="13"/>
      <c r="H75" s="11"/>
      <c r="I75" s="12"/>
      <c r="J75" s="12"/>
      <c r="K75" s="13"/>
      <c r="L75" s="13"/>
      <c r="M75" s="13"/>
      <c r="N75" s="13"/>
      <c r="O75" s="13"/>
      <c r="P75" s="14" t="str">
        <f t="shared" si="4"/>
        <v/>
      </c>
      <c r="Q75" s="15" t="str">
        <f>IF(OR(J75="",H75=""),"",IFERROR(IF(ISNUMBER(N75),N75,IF(K75&lt;N(INDEX(Platforms!$G$5:$G$14,MATCH(H75,Lists!$A$2:$A$11,0))),N(INDEX(Platforms!$H$5:$H$14,MATCH(H75,Lists!$A$2:$A$11,0))),MAX(N(INDEX(Platforms!$F$5:$F$14,MATCH(H75,Lists!$A$2:$A$11,0))),N(INDEX(Platforms!$C$5:$C$14,MATCH(H75,Lists!$A$2:$A$11,0)))*(K75+IF(INDEX(Platforms!$E$5:$E$14,MATCH(H75,Lists!$A$2:$A$11,0))="Yes",N(L75),0))+N(INDEX(Platforms!$D$5:$D$14,MATCH(H75,Lists!$A$2:$A$11,0)))))),""))</f>
        <v/>
      </c>
      <c r="R75" s="16" t="str">
        <f t="shared" si="5"/>
        <v/>
      </c>
      <c r="S75" s="17" t="str">
        <f t="shared" si="6"/>
        <v/>
      </c>
      <c r="T75" s="18" t="str">
        <f t="shared" ca="1" si="7"/>
        <v/>
      </c>
    </row>
    <row r="76" spans="1:20" x14ac:dyDescent="0.35">
      <c r="A76" s="11"/>
      <c r="B76" s="11"/>
      <c r="C76" s="11"/>
      <c r="D76" s="12"/>
      <c r="E76" s="11"/>
      <c r="F76" s="13"/>
      <c r="G76" s="13"/>
      <c r="H76" s="11"/>
      <c r="I76" s="12"/>
      <c r="J76" s="12"/>
      <c r="K76" s="13"/>
      <c r="L76" s="13"/>
      <c r="M76" s="13"/>
      <c r="N76" s="13"/>
      <c r="O76" s="13"/>
      <c r="P76" s="14" t="str">
        <f t="shared" si="4"/>
        <v/>
      </c>
      <c r="Q76" s="15" t="str">
        <f>IF(OR(J76="",H76=""),"",IFERROR(IF(ISNUMBER(N76),N76,IF(K76&lt;N(INDEX(Platforms!$G$5:$G$14,MATCH(H76,Lists!$A$2:$A$11,0))),N(INDEX(Platforms!$H$5:$H$14,MATCH(H76,Lists!$A$2:$A$11,0))),MAX(N(INDEX(Platforms!$F$5:$F$14,MATCH(H76,Lists!$A$2:$A$11,0))),N(INDEX(Platforms!$C$5:$C$14,MATCH(H76,Lists!$A$2:$A$11,0)))*(K76+IF(INDEX(Platforms!$E$5:$E$14,MATCH(H76,Lists!$A$2:$A$11,0))="Yes",N(L76),0))+N(INDEX(Platforms!$D$5:$D$14,MATCH(H76,Lists!$A$2:$A$11,0)))))),""))</f>
        <v/>
      </c>
      <c r="R76" s="16" t="str">
        <f t="shared" si="5"/>
        <v/>
      </c>
      <c r="S76" s="17" t="str">
        <f t="shared" si="6"/>
        <v/>
      </c>
      <c r="T76" s="18" t="str">
        <f t="shared" ca="1" si="7"/>
        <v/>
      </c>
    </row>
    <row r="77" spans="1:20" x14ac:dyDescent="0.35">
      <c r="A77" s="11"/>
      <c r="B77" s="11"/>
      <c r="C77" s="11"/>
      <c r="D77" s="12"/>
      <c r="E77" s="11"/>
      <c r="F77" s="13"/>
      <c r="G77" s="13"/>
      <c r="H77" s="11"/>
      <c r="I77" s="12"/>
      <c r="J77" s="12"/>
      <c r="K77" s="13"/>
      <c r="L77" s="13"/>
      <c r="M77" s="13"/>
      <c r="N77" s="13"/>
      <c r="O77" s="13"/>
      <c r="P77" s="14" t="str">
        <f t="shared" si="4"/>
        <v/>
      </c>
      <c r="Q77" s="15" t="str">
        <f>IF(OR(J77="",H77=""),"",IFERROR(IF(ISNUMBER(N77),N77,IF(K77&lt;N(INDEX(Platforms!$G$5:$G$14,MATCH(H77,Lists!$A$2:$A$11,0))),N(INDEX(Platforms!$H$5:$H$14,MATCH(H77,Lists!$A$2:$A$11,0))),MAX(N(INDEX(Platforms!$F$5:$F$14,MATCH(H77,Lists!$A$2:$A$11,0))),N(INDEX(Platforms!$C$5:$C$14,MATCH(H77,Lists!$A$2:$A$11,0)))*(K77+IF(INDEX(Platforms!$E$5:$E$14,MATCH(H77,Lists!$A$2:$A$11,0))="Yes",N(L77),0))+N(INDEX(Platforms!$D$5:$D$14,MATCH(H77,Lists!$A$2:$A$11,0)))))),""))</f>
        <v/>
      </c>
      <c r="R77" s="16" t="str">
        <f t="shared" si="5"/>
        <v/>
      </c>
      <c r="S77" s="17" t="str">
        <f t="shared" si="6"/>
        <v/>
      </c>
      <c r="T77" s="18" t="str">
        <f t="shared" ca="1" si="7"/>
        <v/>
      </c>
    </row>
    <row r="78" spans="1:20" x14ac:dyDescent="0.35">
      <c r="A78" s="11"/>
      <c r="B78" s="11"/>
      <c r="C78" s="11"/>
      <c r="D78" s="12"/>
      <c r="E78" s="11"/>
      <c r="F78" s="13"/>
      <c r="G78" s="13"/>
      <c r="H78" s="11"/>
      <c r="I78" s="12"/>
      <c r="J78" s="12"/>
      <c r="K78" s="13"/>
      <c r="L78" s="13"/>
      <c r="M78" s="13"/>
      <c r="N78" s="13"/>
      <c r="O78" s="13"/>
      <c r="P78" s="14" t="str">
        <f t="shared" si="4"/>
        <v/>
      </c>
      <c r="Q78" s="15" t="str">
        <f>IF(OR(J78="",H78=""),"",IFERROR(IF(ISNUMBER(N78),N78,IF(K78&lt;N(INDEX(Platforms!$G$5:$G$14,MATCH(H78,Lists!$A$2:$A$11,0))),N(INDEX(Platforms!$H$5:$H$14,MATCH(H78,Lists!$A$2:$A$11,0))),MAX(N(INDEX(Platforms!$F$5:$F$14,MATCH(H78,Lists!$A$2:$A$11,0))),N(INDEX(Platforms!$C$5:$C$14,MATCH(H78,Lists!$A$2:$A$11,0)))*(K78+IF(INDEX(Platforms!$E$5:$E$14,MATCH(H78,Lists!$A$2:$A$11,0))="Yes",N(L78),0))+N(INDEX(Platforms!$D$5:$D$14,MATCH(H78,Lists!$A$2:$A$11,0)))))),""))</f>
        <v/>
      </c>
      <c r="R78" s="16" t="str">
        <f t="shared" si="5"/>
        <v/>
      </c>
      <c r="S78" s="17" t="str">
        <f t="shared" si="6"/>
        <v/>
      </c>
      <c r="T78" s="18" t="str">
        <f t="shared" ca="1" si="7"/>
        <v/>
      </c>
    </row>
    <row r="79" spans="1:20" x14ac:dyDescent="0.35">
      <c r="A79" s="11"/>
      <c r="B79" s="11"/>
      <c r="C79" s="11"/>
      <c r="D79" s="12"/>
      <c r="E79" s="11"/>
      <c r="F79" s="13"/>
      <c r="G79" s="13"/>
      <c r="H79" s="11"/>
      <c r="I79" s="12"/>
      <c r="J79" s="12"/>
      <c r="K79" s="13"/>
      <c r="L79" s="13"/>
      <c r="M79" s="13"/>
      <c r="N79" s="13"/>
      <c r="O79" s="13"/>
      <c r="P79" s="14" t="str">
        <f t="shared" si="4"/>
        <v/>
      </c>
      <c r="Q79" s="15" t="str">
        <f>IF(OR(J79="",H79=""),"",IFERROR(IF(ISNUMBER(N79),N79,IF(K79&lt;N(INDEX(Platforms!$G$5:$G$14,MATCH(H79,Lists!$A$2:$A$11,0))),N(INDEX(Platforms!$H$5:$H$14,MATCH(H79,Lists!$A$2:$A$11,0))),MAX(N(INDEX(Platforms!$F$5:$F$14,MATCH(H79,Lists!$A$2:$A$11,0))),N(INDEX(Platforms!$C$5:$C$14,MATCH(H79,Lists!$A$2:$A$11,0)))*(K79+IF(INDEX(Platforms!$E$5:$E$14,MATCH(H79,Lists!$A$2:$A$11,0))="Yes",N(L79),0))+N(INDEX(Platforms!$D$5:$D$14,MATCH(H79,Lists!$A$2:$A$11,0)))))),""))</f>
        <v/>
      </c>
      <c r="R79" s="16" t="str">
        <f t="shared" si="5"/>
        <v/>
      </c>
      <c r="S79" s="17" t="str">
        <f t="shared" si="6"/>
        <v/>
      </c>
      <c r="T79" s="18" t="str">
        <f t="shared" ca="1" si="7"/>
        <v/>
      </c>
    </row>
    <row r="80" spans="1:20" x14ac:dyDescent="0.35">
      <c r="A80" s="11"/>
      <c r="B80" s="11"/>
      <c r="C80" s="11"/>
      <c r="D80" s="12"/>
      <c r="E80" s="11"/>
      <c r="F80" s="13"/>
      <c r="G80" s="13"/>
      <c r="H80" s="11"/>
      <c r="I80" s="12"/>
      <c r="J80" s="12"/>
      <c r="K80" s="13"/>
      <c r="L80" s="13"/>
      <c r="M80" s="13"/>
      <c r="N80" s="13"/>
      <c r="O80" s="13"/>
      <c r="P80" s="14" t="str">
        <f t="shared" si="4"/>
        <v/>
      </c>
      <c r="Q80" s="15" t="str">
        <f>IF(OR(J80="",H80=""),"",IFERROR(IF(ISNUMBER(N80),N80,IF(K80&lt;N(INDEX(Platforms!$G$5:$G$14,MATCH(H80,Lists!$A$2:$A$11,0))),N(INDEX(Platforms!$H$5:$H$14,MATCH(H80,Lists!$A$2:$A$11,0))),MAX(N(INDEX(Platforms!$F$5:$F$14,MATCH(H80,Lists!$A$2:$A$11,0))),N(INDEX(Platforms!$C$5:$C$14,MATCH(H80,Lists!$A$2:$A$11,0)))*(K80+IF(INDEX(Platforms!$E$5:$E$14,MATCH(H80,Lists!$A$2:$A$11,0))="Yes",N(L80),0))+N(INDEX(Platforms!$D$5:$D$14,MATCH(H80,Lists!$A$2:$A$11,0)))))),""))</f>
        <v/>
      </c>
      <c r="R80" s="16" t="str">
        <f t="shared" si="5"/>
        <v/>
      </c>
      <c r="S80" s="17" t="str">
        <f t="shared" si="6"/>
        <v/>
      </c>
      <c r="T80" s="18" t="str">
        <f t="shared" ca="1" si="7"/>
        <v/>
      </c>
    </row>
    <row r="81" spans="1:20" x14ac:dyDescent="0.35">
      <c r="A81" s="11"/>
      <c r="B81" s="11"/>
      <c r="C81" s="11"/>
      <c r="D81" s="12"/>
      <c r="E81" s="11"/>
      <c r="F81" s="13"/>
      <c r="G81" s="13"/>
      <c r="H81" s="11"/>
      <c r="I81" s="12"/>
      <c r="J81" s="12"/>
      <c r="K81" s="13"/>
      <c r="L81" s="13"/>
      <c r="M81" s="13"/>
      <c r="N81" s="13"/>
      <c r="O81" s="13"/>
      <c r="P81" s="14" t="str">
        <f t="shared" si="4"/>
        <v/>
      </c>
      <c r="Q81" s="15" t="str">
        <f>IF(OR(J81="",H81=""),"",IFERROR(IF(ISNUMBER(N81),N81,IF(K81&lt;N(INDEX(Platforms!$G$5:$G$14,MATCH(H81,Lists!$A$2:$A$11,0))),N(INDEX(Platforms!$H$5:$H$14,MATCH(H81,Lists!$A$2:$A$11,0))),MAX(N(INDEX(Platforms!$F$5:$F$14,MATCH(H81,Lists!$A$2:$A$11,0))),N(INDEX(Platforms!$C$5:$C$14,MATCH(H81,Lists!$A$2:$A$11,0)))*(K81+IF(INDEX(Platforms!$E$5:$E$14,MATCH(H81,Lists!$A$2:$A$11,0))="Yes",N(L81),0))+N(INDEX(Platforms!$D$5:$D$14,MATCH(H81,Lists!$A$2:$A$11,0)))))),""))</f>
        <v/>
      </c>
      <c r="R81" s="16" t="str">
        <f t="shared" si="5"/>
        <v/>
      </c>
      <c r="S81" s="17" t="str">
        <f t="shared" si="6"/>
        <v/>
      </c>
      <c r="T81" s="18" t="str">
        <f t="shared" ca="1" si="7"/>
        <v/>
      </c>
    </row>
    <row r="82" spans="1:20" x14ac:dyDescent="0.35">
      <c r="A82" s="11"/>
      <c r="B82" s="11"/>
      <c r="C82" s="11"/>
      <c r="D82" s="12"/>
      <c r="E82" s="11"/>
      <c r="F82" s="13"/>
      <c r="G82" s="13"/>
      <c r="H82" s="11"/>
      <c r="I82" s="12"/>
      <c r="J82" s="12"/>
      <c r="K82" s="13"/>
      <c r="L82" s="13"/>
      <c r="M82" s="13"/>
      <c r="N82" s="13"/>
      <c r="O82" s="13"/>
      <c r="P82" s="14" t="str">
        <f t="shared" si="4"/>
        <v/>
      </c>
      <c r="Q82" s="15" t="str">
        <f>IF(OR(J82="",H82=""),"",IFERROR(IF(ISNUMBER(N82),N82,IF(K82&lt;N(INDEX(Platforms!$G$5:$G$14,MATCH(H82,Lists!$A$2:$A$11,0))),N(INDEX(Platforms!$H$5:$H$14,MATCH(H82,Lists!$A$2:$A$11,0))),MAX(N(INDEX(Platforms!$F$5:$F$14,MATCH(H82,Lists!$A$2:$A$11,0))),N(INDEX(Platforms!$C$5:$C$14,MATCH(H82,Lists!$A$2:$A$11,0)))*(K82+IF(INDEX(Platforms!$E$5:$E$14,MATCH(H82,Lists!$A$2:$A$11,0))="Yes",N(L82),0))+N(INDEX(Platforms!$D$5:$D$14,MATCH(H82,Lists!$A$2:$A$11,0)))))),""))</f>
        <v/>
      </c>
      <c r="R82" s="16" t="str">
        <f t="shared" si="5"/>
        <v/>
      </c>
      <c r="S82" s="17" t="str">
        <f t="shared" si="6"/>
        <v/>
      </c>
      <c r="T82" s="18" t="str">
        <f t="shared" ca="1" si="7"/>
        <v/>
      </c>
    </row>
    <row r="83" spans="1:20" x14ac:dyDescent="0.35">
      <c r="A83" s="11"/>
      <c r="B83" s="11"/>
      <c r="C83" s="11"/>
      <c r="D83" s="12"/>
      <c r="E83" s="11"/>
      <c r="F83" s="13"/>
      <c r="G83" s="13"/>
      <c r="H83" s="11"/>
      <c r="I83" s="12"/>
      <c r="J83" s="12"/>
      <c r="K83" s="13"/>
      <c r="L83" s="13"/>
      <c r="M83" s="13"/>
      <c r="N83" s="13"/>
      <c r="O83" s="13"/>
      <c r="P83" s="14" t="str">
        <f t="shared" si="4"/>
        <v/>
      </c>
      <c r="Q83" s="15" t="str">
        <f>IF(OR(J83="",H83=""),"",IFERROR(IF(ISNUMBER(N83),N83,IF(K83&lt;N(INDEX(Platforms!$G$5:$G$14,MATCH(H83,Lists!$A$2:$A$11,0))),N(INDEX(Platforms!$H$5:$H$14,MATCH(H83,Lists!$A$2:$A$11,0))),MAX(N(INDEX(Platforms!$F$5:$F$14,MATCH(H83,Lists!$A$2:$A$11,0))),N(INDEX(Platforms!$C$5:$C$14,MATCH(H83,Lists!$A$2:$A$11,0)))*(K83+IF(INDEX(Platforms!$E$5:$E$14,MATCH(H83,Lists!$A$2:$A$11,0))="Yes",N(L83),0))+N(INDEX(Platforms!$D$5:$D$14,MATCH(H83,Lists!$A$2:$A$11,0)))))),""))</f>
        <v/>
      </c>
      <c r="R83" s="16" t="str">
        <f t="shared" si="5"/>
        <v/>
      </c>
      <c r="S83" s="17" t="str">
        <f t="shared" si="6"/>
        <v/>
      </c>
      <c r="T83" s="18" t="str">
        <f t="shared" ca="1" si="7"/>
        <v/>
      </c>
    </row>
    <row r="84" spans="1:20" x14ac:dyDescent="0.35">
      <c r="A84" s="11"/>
      <c r="B84" s="11"/>
      <c r="C84" s="11"/>
      <c r="D84" s="12"/>
      <c r="E84" s="11"/>
      <c r="F84" s="13"/>
      <c r="G84" s="13"/>
      <c r="H84" s="11"/>
      <c r="I84" s="12"/>
      <c r="J84" s="12"/>
      <c r="K84" s="13"/>
      <c r="L84" s="13"/>
      <c r="M84" s="13"/>
      <c r="N84" s="13"/>
      <c r="O84" s="13"/>
      <c r="P84" s="14" t="str">
        <f t="shared" si="4"/>
        <v/>
      </c>
      <c r="Q84" s="15" t="str">
        <f>IF(OR(J84="",H84=""),"",IFERROR(IF(ISNUMBER(N84),N84,IF(K84&lt;N(INDEX(Platforms!$G$5:$G$14,MATCH(H84,Lists!$A$2:$A$11,0))),N(INDEX(Platforms!$H$5:$H$14,MATCH(H84,Lists!$A$2:$A$11,0))),MAX(N(INDEX(Platforms!$F$5:$F$14,MATCH(H84,Lists!$A$2:$A$11,0))),N(INDEX(Platforms!$C$5:$C$14,MATCH(H84,Lists!$A$2:$A$11,0)))*(K84+IF(INDEX(Platforms!$E$5:$E$14,MATCH(H84,Lists!$A$2:$A$11,0))="Yes",N(L84),0))+N(INDEX(Platforms!$D$5:$D$14,MATCH(H84,Lists!$A$2:$A$11,0)))))),""))</f>
        <v/>
      </c>
      <c r="R84" s="16" t="str">
        <f t="shared" si="5"/>
        <v/>
      </c>
      <c r="S84" s="17" t="str">
        <f t="shared" si="6"/>
        <v/>
      </c>
      <c r="T84" s="18" t="str">
        <f t="shared" ca="1" si="7"/>
        <v/>
      </c>
    </row>
    <row r="85" spans="1:20" x14ac:dyDescent="0.35">
      <c r="A85" s="11"/>
      <c r="B85" s="11"/>
      <c r="C85" s="11"/>
      <c r="D85" s="12"/>
      <c r="E85" s="11"/>
      <c r="F85" s="13"/>
      <c r="G85" s="13"/>
      <c r="H85" s="11"/>
      <c r="I85" s="12"/>
      <c r="J85" s="12"/>
      <c r="K85" s="13"/>
      <c r="L85" s="13"/>
      <c r="M85" s="13"/>
      <c r="N85" s="13"/>
      <c r="O85" s="13"/>
      <c r="P85" s="14" t="str">
        <f t="shared" si="4"/>
        <v/>
      </c>
      <c r="Q85" s="15" t="str">
        <f>IF(OR(J85="",H85=""),"",IFERROR(IF(ISNUMBER(N85),N85,IF(K85&lt;N(INDEX(Platforms!$G$5:$G$14,MATCH(H85,Lists!$A$2:$A$11,0))),N(INDEX(Platforms!$H$5:$H$14,MATCH(H85,Lists!$A$2:$A$11,0))),MAX(N(INDEX(Platforms!$F$5:$F$14,MATCH(H85,Lists!$A$2:$A$11,0))),N(INDEX(Platforms!$C$5:$C$14,MATCH(H85,Lists!$A$2:$A$11,0)))*(K85+IF(INDEX(Platforms!$E$5:$E$14,MATCH(H85,Lists!$A$2:$A$11,0))="Yes",N(L85),0))+N(INDEX(Platforms!$D$5:$D$14,MATCH(H85,Lists!$A$2:$A$11,0)))))),""))</f>
        <v/>
      </c>
      <c r="R85" s="16" t="str">
        <f t="shared" si="5"/>
        <v/>
      </c>
      <c r="S85" s="17" t="str">
        <f t="shared" si="6"/>
        <v/>
      </c>
      <c r="T85" s="18" t="str">
        <f t="shared" ca="1" si="7"/>
        <v/>
      </c>
    </row>
    <row r="86" spans="1:20" x14ac:dyDescent="0.35">
      <c r="A86" s="11"/>
      <c r="B86" s="11"/>
      <c r="C86" s="11"/>
      <c r="D86" s="12"/>
      <c r="E86" s="11"/>
      <c r="F86" s="13"/>
      <c r="G86" s="13"/>
      <c r="H86" s="11"/>
      <c r="I86" s="12"/>
      <c r="J86" s="12"/>
      <c r="K86" s="13"/>
      <c r="L86" s="13"/>
      <c r="M86" s="13"/>
      <c r="N86" s="13"/>
      <c r="O86" s="13"/>
      <c r="P86" s="14" t="str">
        <f t="shared" si="4"/>
        <v/>
      </c>
      <c r="Q86" s="15" t="str">
        <f>IF(OR(J86="",H86=""),"",IFERROR(IF(ISNUMBER(N86),N86,IF(K86&lt;N(INDEX(Platforms!$G$5:$G$14,MATCH(H86,Lists!$A$2:$A$11,0))),N(INDEX(Platforms!$H$5:$H$14,MATCH(H86,Lists!$A$2:$A$11,0))),MAX(N(INDEX(Platforms!$F$5:$F$14,MATCH(H86,Lists!$A$2:$A$11,0))),N(INDEX(Platforms!$C$5:$C$14,MATCH(H86,Lists!$A$2:$A$11,0)))*(K86+IF(INDEX(Platforms!$E$5:$E$14,MATCH(H86,Lists!$A$2:$A$11,0))="Yes",N(L86),0))+N(INDEX(Platforms!$D$5:$D$14,MATCH(H86,Lists!$A$2:$A$11,0)))))),""))</f>
        <v/>
      </c>
      <c r="R86" s="16" t="str">
        <f t="shared" si="5"/>
        <v/>
      </c>
      <c r="S86" s="17" t="str">
        <f t="shared" si="6"/>
        <v/>
      </c>
      <c r="T86" s="18" t="str">
        <f t="shared" ca="1" si="7"/>
        <v/>
      </c>
    </row>
    <row r="87" spans="1:20" x14ac:dyDescent="0.35">
      <c r="A87" s="11"/>
      <c r="B87" s="11"/>
      <c r="C87" s="11"/>
      <c r="D87" s="12"/>
      <c r="E87" s="11"/>
      <c r="F87" s="13"/>
      <c r="G87" s="13"/>
      <c r="H87" s="11"/>
      <c r="I87" s="12"/>
      <c r="J87" s="12"/>
      <c r="K87" s="13"/>
      <c r="L87" s="13"/>
      <c r="M87" s="13"/>
      <c r="N87" s="13"/>
      <c r="O87" s="13"/>
      <c r="P87" s="14" t="str">
        <f t="shared" si="4"/>
        <v/>
      </c>
      <c r="Q87" s="15" t="str">
        <f>IF(OR(J87="",H87=""),"",IFERROR(IF(ISNUMBER(N87),N87,IF(K87&lt;N(INDEX(Platforms!$G$5:$G$14,MATCH(H87,Lists!$A$2:$A$11,0))),N(INDEX(Platforms!$H$5:$H$14,MATCH(H87,Lists!$A$2:$A$11,0))),MAX(N(INDEX(Platforms!$F$5:$F$14,MATCH(H87,Lists!$A$2:$A$11,0))),N(INDEX(Platforms!$C$5:$C$14,MATCH(H87,Lists!$A$2:$A$11,0)))*(K87+IF(INDEX(Platforms!$E$5:$E$14,MATCH(H87,Lists!$A$2:$A$11,0))="Yes",N(L87),0))+N(INDEX(Platforms!$D$5:$D$14,MATCH(H87,Lists!$A$2:$A$11,0)))))),""))</f>
        <v/>
      </c>
      <c r="R87" s="16" t="str">
        <f t="shared" si="5"/>
        <v/>
      </c>
      <c r="S87" s="17" t="str">
        <f t="shared" si="6"/>
        <v/>
      </c>
      <c r="T87" s="18" t="str">
        <f t="shared" ca="1" si="7"/>
        <v/>
      </c>
    </row>
    <row r="88" spans="1:20" x14ac:dyDescent="0.35">
      <c r="A88" s="11"/>
      <c r="B88" s="11"/>
      <c r="C88" s="11"/>
      <c r="D88" s="12"/>
      <c r="E88" s="11"/>
      <c r="F88" s="13"/>
      <c r="G88" s="13"/>
      <c r="H88" s="11"/>
      <c r="I88" s="12"/>
      <c r="J88" s="12"/>
      <c r="K88" s="13"/>
      <c r="L88" s="13"/>
      <c r="M88" s="13"/>
      <c r="N88" s="13"/>
      <c r="O88" s="13"/>
      <c r="P88" s="14" t="str">
        <f t="shared" si="4"/>
        <v/>
      </c>
      <c r="Q88" s="15" t="str">
        <f>IF(OR(J88="",H88=""),"",IFERROR(IF(ISNUMBER(N88),N88,IF(K88&lt;N(INDEX(Platforms!$G$5:$G$14,MATCH(H88,Lists!$A$2:$A$11,0))),N(INDEX(Platforms!$H$5:$H$14,MATCH(H88,Lists!$A$2:$A$11,0))),MAX(N(INDEX(Platforms!$F$5:$F$14,MATCH(H88,Lists!$A$2:$A$11,0))),N(INDEX(Platforms!$C$5:$C$14,MATCH(H88,Lists!$A$2:$A$11,0)))*(K88+IF(INDEX(Platforms!$E$5:$E$14,MATCH(H88,Lists!$A$2:$A$11,0))="Yes",N(L88),0))+N(INDEX(Platforms!$D$5:$D$14,MATCH(H88,Lists!$A$2:$A$11,0)))))),""))</f>
        <v/>
      </c>
      <c r="R88" s="16" t="str">
        <f t="shared" si="5"/>
        <v/>
      </c>
      <c r="S88" s="17" t="str">
        <f t="shared" si="6"/>
        <v/>
      </c>
      <c r="T88" s="18" t="str">
        <f t="shared" ca="1" si="7"/>
        <v/>
      </c>
    </row>
    <row r="89" spans="1:20" x14ac:dyDescent="0.35">
      <c r="A89" s="11"/>
      <c r="B89" s="11"/>
      <c r="C89" s="11"/>
      <c r="D89" s="12"/>
      <c r="E89" s="11"/>
      <c r="F89" s="13"/>
      <c r="G89" s="13"/>
      <c r="H89" s="11"/>
      <c r="I89" s="12"/>
      <c r="J89" s="12"/>
      <c r="K89" s="13"/>
      <c r="L89" s="13"/>
      <c r="M89" s="13"/>
      <c r="N89" s="13"/>
      <c r="O89" s="13"/>
      <c r="P89" s="14" t="str">
        <f t="shared" si="4"/>
        <v/>
      </c>
      <c r="Q89" s="15" t="str">
        <f>IF(OR(J89="",H89=""),"",IFERROR(IF(ISNUMBER(N89),N89,IF(K89&lt;N(INDEX(Platforms!$G$5:$G$14,MATCH(H89,Lists!$A$2:$A$11,0))),N(INDEX(Platforms!$H$5:$H$14,MATCH(H89,Lists!$A$2:$A$11,0))),MAX(N(INDEX(Platforms!$F$5:$F$14,MATCH(H89,Lists!$A$2:$A$11,0))),N(INDEX(Platforms!$C$5:$C$14,MATCH(H89,Lists!$A$2:$A$11,0)))*(K89+IF(INDEX(Platforms!$E$5:$E$14,MATCH(H89,Lists!$A$2:$A$11,0))="Yes",N(L89),0))+N(INDEX(Platforms!$D$5:$D$14,MATCH(H89,Lists!$A$2:$A$11,0)))))),""))</f>
        <v/>
      </c>
      <c r="R89" s="16" t="str">
        <f t="shared" si="5"/>
        <v/>
      </c>
      <c r="S89" s="17" t="str">
        <f t="shared" si="6"/>
        <v/>
      </c>
      <c r="T89" s="18" t="str">
        <f t="shared" ca="1" si="7"/>
        <v/>
      </c>
    </row>
    <row r="90" spans="1:20" x14ac:dyDescent="0.35">
      <c r="A90" s="11"/>
      <c r="B90" s="11"/>
      <c r="C90" s="11"/>
      <c r="D90" s="12"/>
      <c r="E90" s="11"/>
      <c r="F90" s="13"/>
      <c r="G90" s="13"/>
      <c r="H90" s="11"/>
      <c r="I90" s="12"/>
      <c r="J90" s="12"/>
      <c r="K90" s="13"/>
      <c r="L90" s="13"/>
      <c r="M90" s="13"/>
      <c r="N90" s="13"/>
      <c r="O90" s="13"/>
      <c r="P90" s="14" t="str">
        <f t="shared" si="4"/>
        <v/>
      </c>
      <c r="Q90" s="15" t="str">
        <f>IF(OR(J90="",H90=""),"",IFERROR(IF(ISNUMBER(N90),N90,IF(K90&lt;N(INDEX(Platforms!$G$5:$G$14,MATCH(H90,Lists!$A$2:$A$11,0))),N(INDEX(Platforms!$H$5:$H$14,MATCH(H90,Lists!$A$2:$A$11,0))),MAX(N(INDEX(Platforms!$F$5:$F$14,MATCH(H90,Lists!$A$2:$A$11,0))),N(INDEX(Platforms!$C$5:$C$14,MATCH(H90,Lists!$A$2:$A$11,0)))*(K90+IF(INDEX(Platforms!$E$5:$E$14,MATCH(H90,Lists!$A$2:$A$11,0))="Yes",N(L90),0))+N(INDEX(Platforms!$D$5:$D$14,MATCH(H90,Lists!$A$2:$A$11,0)))))),""))</f>
        <v/>
      </c>
      <c r="R90" s="16" t="str">
        <f t="shared" si="5"/>
        <v/>
      </c>
      <c r="S90" s="17" t="str">
        <f t="shared" si="6"/>
        <v/>
      </c>
      <c r="T90" s="18" t="str">
        <f t="shared" ca="1" si="7"/>
        <v/>
      </c>
    </row>
    <row r="91" spans="1:20" x14ac:dyDescent="0.35">
      <c r="A91" s="11"/>
      <c r="B91" s="11"/>
      <c r="C91" s="11"/>
      <c r="D91" s="12"/>
      <c r="E91" s="11"/>
      <c r="F91" s="13"/>
      <c r="G91" s="13"/>
      <c r="H91" s="11"/>
      <c r="I91" s="12"/>
      <c r="J91" s="12"/>
      <c r="K91" s="13"/>
      <c r="L91" s="13"/>
      <c r="M91" s="13"/>
      <c r="N91" s="13"/>
      <c r="O91" s="13"/>
      <c r="P91" s="14" t="str">
        <f t="shared" si="4"/>
        <v/>
      </c>
      <c r="Q91" s="15" t="str">
        <f>IF(OR(J91="",H91=""),"",IFERROR(IF(ISNUMBER(N91),N91,IF(K91&lt;N(INDEX(Platforms!$G$5:$G$14,MATCH(H91,Lists!$A$2:$A$11,0))),N(INDEX(Platforms!$H$5:$H$14,MATCH(H91,Lists!$A$2:$A$11,0))),MAX(N(INDEX(Platforms!$F$5:$F$14,MATCH(H91,Lists!$A$2:$A$11,0))),N(INDEX(Platforms!$C$5:$C$14,MATCH(H91,Lists!$A$2:$A$11,0)))*(K91+IF(INDEX(Platforms!$E$5:$E$14,MATCH(H91,Lists!$A$2:$A$11,0))="Yes",N(L91),0))+N(INDEX(Platforms!$D$5:$D$14,MATCH(H91,Lists!$A$2:$A$11,0)))))),""))</f>
        <v/>
      </c>
      <c r="R91" s="16" t="str">
        <f t="shared" si="5"/>
        <v/>
      </c>
      <c r="S91" s="17" t="str">
        <f t="shared" si="6"/>
        <v/>
      </c>
      <c r="T91" s="18" t="str">
        <f t="shared" ca="1" si="7"/>
        <v/>
      </c>
    </row>
    <row r="92" spans="1:20" x14ac:dyDescent="0.35">
      <c r="A92" s="11"/>
      <c r="B92" s="11"/>
      <c r="C92" s="11"/>
      <c r="D92" s="12"/>
      <c r="E92" s="11"/>
      <c r="F92" s="13"/>
      <c r="G92" s="13"/>
      <c r="H92" s="11"/>
      <c r="I92" s="12"/>
      <c r="J92" s="12"/>
      <c r="K92" s="13"/>
      <c r="L92" s="13"/>
      <c r="M92" s="13"/>
      <c r="N92" s="13"/>
      <c r="O92" s="13"/>
      <c r="P92" s="14" t="str">
        <f t="shared" si="4"/>
        <v/>
      </c>
      <c r="Q92" s="15" t="str">
        <f>IF(OR(J92="",H92=""),"",IFERROR(IF(ISNUMBER(N92),N92,IF(K92&lt;N(INDEX(Platforms!$G$5:$G$14,MATCH(H92,Lists!$A$2:$A$11,0))),N(INDEX(Platforms!$H$5:$H$14,MATCH(H92,Lists!$A$2:$A$11,0))),MAX(N(INDEX(Platforms!$F$5:$F$14,MATCH(H92,Lists!$A$2:$A$11,0))),N(INDEX(Platforms!$C$5:$C$14,MATCH(H92,Lists!$A$2:$A$11,0)))*(K92+IF(INDEX(Platforms!$E$5:$E$14,MATCH(H92,Lists!$A$2:$A$11,0))="Yes",N(L92),0))+N(INDEX(Platforms!$D$5:$D$14,MATCH(H92,Lists!$A$2:$A$11,0)))))),""))</f>
        <v/>
      </c>
      <c r="R92" s="16" t="str">
        <f t="shared" si="5"/>
        <v/>
      </c>
      <c r="S92" s="17" t="str">
        <f t="shared" si="6"/>
        <v/>
      </c>
      <c r="T92" s="18" t="str">
        <f t="shared" ca="1" si="7"/>
        <v/>
      </c>
    </row>
    <row r="93" spans="1:20" x14ac:dyDescent="0.35">
      <c r="A93" s="11"/>
      <c r="B93" s="11"/>
      <c r="C93" s="11"/>
      <c r="D93" s="12"/>
      <c r="E93" s="11"/>
      <c r="F93" s="13"/>
      <c r="G93" s="13"/>
      <c r="H93" s="11"/>
      <c r="I93" s="12"/>
      <c r="J93" s="12"/>
      <c r="K93" s="13"/>
      <c r="L93" s="13"/>
      <c r="M93" s="13"/>
      <c r="N93" s="13"/>
      <c r="O93" s="13"/>
      <c r="P93" s="14" t="str">
        <f t="shared" si="4"/>
        <v/>
      </c>
      <c r="Q93" s="15" t="str">
        <f>IF(OR(J93="",H93=""),"",IFERROR(IF(ISNUMBER(N93),N93,IF(K93&lt;N(INDEX(Platforms!$G$5:$G$14,MATCH(H93,Lists!$A$2:$A$11,0))),N(INDEX(Platforms!$H$5:$H$14,MATCH(H93,Lists!$A$2:$A$11,0))),MAX(N(INDEX(Platforms!$F$5:$F$14,MATCH(H93,Lists!$A$2:$A$11,0))),N(INDEX(Platforms!$C$5:$C$14,MATCH(H93,Lists!$A$2:$A$11,0)))*(K93+IF(INDEX(Platforms!$E$5:$E$14,MATCH(H93,Lists!$A$2:$A$11,0))="Yes",N(L93),0))+N(INDEX(Platforms!$D$5:$D$14,MATCH(H93,Lists!$A$2:$A$11,0)))))),""))</f>
        <v/>
      </c>
      <c r="R93" s="16" t="str">
        <f t="shared" si="5"/>
        <v/>
      </c>
      <c r="S93" s="17" t="str">
        <f t="shared" si="6"/>
        <v/>
      </c>
      <c r="T93" s="18" t="str">
        <f t="shared" ca="1" si="7"/>
        <v/>
      </c>
    </row>
    <row r="94" spans="1:20" x14ac:dyDescent="0.35">
      <c r="A94" s="11"/>
      <c r="B94" s="11"/>
      <c r="C94" s="11"/>
      <c r="D94" s="12"/>
      <c r="E94" s="11"/>
      <c r="F94" s="13"/>
      <c r="G94" s="13"/>
      <c r="H94" s="11"/>
      <c r="I94" s="12"/>
      <c r="J94" s="12"/>
      <c r="K94" s="13"/>
      <c r="L94" s="13"/>
      <c r="M94" s="13"/>
      <c r="N94" s="13"/>
      <c r="O94" s="13"/>
      <c r="P94" s="14" t="str">
        <f t="shared" si="4"/>
        <v/>
      </c>
      <c r="Q94" s="15" t="str">
        <f>IF(OR(J94="",H94=""),"",IFERROR(IF(ISNUMBER(N94),N94,IF(K94&lt;N(INDEX(Platforms!$G$5:$G$14,MATCH(H94,Lists!$A$2:$A$11,0))),N(INDEX(Platforms!$H$5:$H$14,MATCH(H94,Lists!$A$2:$A$11,0))),MAX(N(INDEX(Platforms!$F$5:$F$14,MATCH(H94,Lists!$A$2:$A$11,0))),N(INDEX(Platforms!$C$5:$C$14,MATCH(H94,Lists!$A$2:$A$11,0)))*(K94+IF(INDEX(Platforms!$E$5:$E$14,MATCH(H94,Lists!$A$2:$A$11,0))="Yes",N(L94),0))+N(INDEX(Platforms!$D$5:$D$14,MATCH(H94,Lists!$A$2:$A$11,0)))))),""))</f>
        <v/>
      </c>
      <c r="R94" s="16" t="str">
        <f t="shared" si="5"/>
        <v/>
      </c>
      <c r="S94" s="17" t="str">
        <f t="shared" si="6"/>
        <v/>
      </c>
      <c r="T94" s="18" t="str">
        <f t="shared" ca="1" si="7"/>
        <v/>
      </c>
    </row>
    <row r="95" spans="1:20" x14ac:dyDescent="0.35">
      <c r="A95" s="11"/>
      <c r="B95" s="11"/>
      <c r="C95" s="11"/>
      <c r="D95" s="12"/>
      <c r="E95" s="11"/>
      <c r="F95" s="13"/>
      <c r="G95" s="13"/>
      <c r="H95" s="11"/>
      <c r="I95" s="12"/>
      <c r="J95" s="12"/>
      <c r="K95" s="13"/>
      <c r="L95" s="13"/>
      <c r="M95" s="13"/>
      <c r="N95" s="13"/>
      <c r="O95" s="13"/>
      <c r="P95" s="14" t="str">
        <f t="shared" si="4"/>
        <v/>
      </c>
      <c r="Q95" s="15" t="str">
        <f>IF(OR(J95="",H95=""),"",IFERROR(IF(ISNUMBER(N95),N95,IF(K95&lt;N(INDEX(Platforms!$G$5:$G$14,MATCH(H95,Lists!$A$2:$A$11,0))),N(INDEX(Platforms!$H$5:$H$14,MATCH(H95,Lists!$A$2:$A$11,0))),MAX(N(INDEX(Platforms!$F$5:$F$14,MATCH(H95,Lists!$A$2:$A$11,0))),N(INDEX(Platforms!$C$5:$C$14,MATCH(H95,Lists!$A$2:$A$11,0)))*(K95+IF(INDEX(Platforms!$E$5:$E$14,MATCH(H95,Lists!$A$2:$A$11,0))="Yes",N(L95),0))+N(INDEX(Platforms!$D$5:$D$14,MATCH(H95,Lists!$A$2:$A$11,0)))))),""))</f>
        <v/>
      </c>
      <c r="R95" s="16" t="str">
        <f t="shared" si="5"/>
        <v/>
      </c>
      <c r="S95" s="17" t="str">
        <f t="shared" si="6"/>
        <v/>
      </c>
      <c r="T95" s="18" t="str">
        <f t="shared" ca="1" si="7"/>
        <v/>
      </c>
    </row>
    <row r="96" spans="1:20" x14ac:dyDescent="0.35">
      <c r="A96" s="11"/>
      <c r="B96" s="11"/>
      <c r="C96" s="11"/>
      <c r="D96" s="12"/>
      <c r="E96" s="11"/>
      <c r="F96" s="13"/>
      <c r="G96" s="13"/>
      <c r="H96" s="11"/>
      <c r="I96" s="12"/>
      <c r="J96" s="12"/>
      <c r="K96" s="13"/>
      <c r="L96" s="13"/>
      <c r="M96" s="13"/>
      <c r="N96" s="13"/>
      <c r="O96" s="13"/>
      <c r="P96" s="14" t="str">
        <f t="shared" si="4"/>
        <v/>
      </c>
      <c r="Q96" s="15" t="str">
        <f>IF(OR(J96="",H96=""),"",IFERROR(IF(ISNUMBER(N96),N96,IF(K96&lt;N(INDEX(Platforms!$G$5:$G$14,MATCH(H96,Lists!$A$2:$A$11,0))),N(INDEX(Platforms!$H$5:$H$14,MATCH(H96,Lists!$A$2:$A$11,0))),MAX(N(INDEX(Platforms!$F$5:$F$14,MATCH(H96,Lists!$A$2:$A$11,0))),N(INDEX(Platforms!$C$5:$C$14,MATCH(H96,Lists!$A$2:$A$11,0)))*(K96+IF(INDEX(Platforms!$E$5:$E$14,MATCH(H96,Lists!$A$2:$A$11,0))="Yes",N(L96),0))+N(INDEX(Platforms!$D$5:$D$14,MATCH(H96,Lists!$A$2:$A$11,0)))))),""))</f>
        <v/>
      </c>
      <c r="R96" s="16" t="str">
        <f t="shared" si="5"/>
        <v/>
      </c>
      <c r="S96" s="17" t="str">
        <f t="shared" si="6"/>
        <v/>
      </c>
      <c r="T96" s="18" t="str">
        <f t="shared" ca="1" si="7"/>
        <v/>
      </c>
    </row>
    <row r="97" spans="1:20" x14ac:dyDescent="0.35">
      <c r="A97" s="11"/>
      <c r="B97" s="11"/>
      <c r="C97" s="11"/>
      <c r="D97" s="12"/>
      <c r="E97" s="11"/>
      <c r="F97" s="13"/>
      <c r="G97" s="13"/>
      <c r="H97" s="11"/>
      <c r="I97" s="12"/>
      <c r="J97" s="12"/>
      <c r="K97" s="13"/>
      <c r="L97" s="13"/>
      <c r="M97" s="13"/>
      <c r="N97" s="13"/>
      <c r="O97" s="13"/>
      <c r="P97" s="14" t="str">
        <f t="shared" si="4"/>
        <v/>
      </c>
      <c r="Q97" s="15" t="str">
        <f>IF(OR(J97="",H97=""),"",IFERROR(IF(ISNUMBER(N97),N97,IF(K97&lt;N(INDEX(Platforms!$G$5:$G$14,MATCH(H97,Lists!$A$2:$A$11,0))),N(INDEX(Platforms!$H$5:$H$14,MATCH(H97,Lists!$A$2:$A$11,0))),MAX(N(INDEX(Platforms!$F$5:$F$14,MATCH(H97,Lists!$A$2:$A$11,0))),N(INDEX(Platforms!$C$5:$C$14,MATCH(H97,Lists!$A$2:$A$11,0)))*(K97+IF(INDEX(Platforms!$E$5:$E$14,MATCH(H97,Lists!$A$2:$A$11,0))="Yes",N(L97),0))+N(INDEX(Platforms!$D$5:$D$14,MATCH(H97,Lists!$A$2:$A$11,0)))))),""))</f>
        <v/>
      </c>
      <c r="R97" s="16" t="str">
        <f t="shared" si="5"/>
        <v/>
      </c>
      <c r="S97" s="17" t="str">
        <f t="shared" si="6"/>
        <v/>
      </c>
      <c r="T97" s="18" t="str">
        <f t="shared" ca="1" si="7"/>
        <v/>
      </c>
    </row>
    <row r="98" spans="1:20" x14ac:dyDescent="0.35">
      <c r="A98" s="11"/>
      <c r="B98" s="11"/>
      <c r="C98" s="11"/>
      <c r="D98" s="12"/>
      <c r="E98" s="11"/>
      <c r="F98" s="13"/>
      <c r="G98" s="13"/>
      <c r="H98" s="11"/>
      <c r="I98" s="12"/>
      <c r="J98" s="12"/>
      <c r="K98" s="13"/>
      <c r="L98" s="13"/>
      <c r="M98" s="13"/>
      <c r="N98" s="13"/>
      <c r="O98" s="13"/>
      <c r="P98" s="14" t="str">
        <f t="shared" si="4"/>
        <v/>
      </c>
      <c r="Q98" s="15" t="str">
        <f>IF(OR(J98="",H98=""),"",IFERROR(IF(ISNUMBER(N98),N98,IF(K98&lt;N(INDEX(Platforms!$G$5:$G$14,MATCH(H98,Lists!$A$2:$A$11,0))),N(INDEX(Platforms!$H$5:$H$14,MATCH(H98,Lists!$A$2:$A$11,0))),MAX(N(INDEX(Platforms!$F$5:$F$14,MATCH(H98,Lists!$A$2:$A$11,0))),N(INDEX(Platforms!$C$5:$C$14,MATCH(H98,Lists!$A$2:$A$11,0)))*(K98+IF(INDEX(Platforms!$E$5:$E$14,MATCH(H98,Lists!$A$2:$A$11,0))="Yes",N(L98),0))+N(INDEX(Platforms!$D$5:$D$14,MATCH(H98,Lists!$A$2:$A$11,0)))))),""))</f>
        <v/>
      </c>
      <c r="R98" s="16" t="str">
        <f t="shared" si="5"/>
        <v/>
      </c>
      <c r="S98" s="17" t="str">
        <f t="shared" si="6"/>
        <v/>
      </c>
      <c r="T98" s="18" t="str">
        <f t="shared" ca="1" si="7"/>
        <v/>
      </c>
    </row>
    <row r="99" spans="1:20" x14ac:dyDescent="0.35">
      <c r="A99" s="11"/>
      <c r="B99" s="11"/>
      <c r="C99" s="11"/>
      <c r="D99" s="12"/>
      <c r="E99" s="11"/>
      <c r="F99" s="13"/>
      <c r="G99" s="13"/>
      <c r="H99" s="11"/>
      <c r="I99" s="12"/>
      <c r="J99" s="12"/>
      <c r="K99" s="13"/>
      <c r="L99" s="13"/>
      <c r="M99" s="13"/>
      <c r="N99" s="13"/>
      <c r="O99" s="13"/>
      <c r="P99" s="14" t="str">
        <f t="shared" si="4"/>
        <v/>
      </c>
      <c r="Q99" s="15" t="str">
        <f>IF(OR(J99="",H99=""),"",IFERROR(IF(ISNUMBER(N99),N99,IF(K99&lt;N(INDEX(Platforms!$G$5:$G$14,MATCH(H99,Lists!$A$2:$A$11,0))),N(INDEX(Platforms!$H$5:$H$14,MATCH(H99,Lists!$A$2:$A$11,0))),MAX(N(INDEX(Platforms!$F$5:$F$14,MATCH(H99,Lists!$A$2:$A$11,0))),N(INDEX(Platforms!$C$5:$C$14,MATCH(H99,Lists!$A$2:$A$11,0)))*(K99+IF(INDEX(Platforms!$E$5:$E$14,MATCH(H99,Lists!$A$2:$A$11,0))="Yes",N(L99),0))+N(INDEX(Platforms!$D$5:$D$14,MATCH(H99,Lists!$A$2:$A$11,0)))))),""))</f>
        <v/>
      </c>
      <c r="R99" s="16" t="str">
        <f t="shared" si="5"/>
        <v/>
      </c>
      <c r="S99" s="17" t="str">
        <f t="shared" si="6"/>
        <v/>
      </c>
      <c r="T99" s="18" t="str">
        <f t="shared" ca="1" si="7"/>
        <v/>
      </c>
    </row>
    <row r="100" spans="1:20" x14ac:dyDescent="0.35">
      <c r="A100" s="11"/>
      <c r="B100" s="11"/>
      <c r="C100" s="11"/>
      <c r="D100" s="12"/>
      <c r="E100" s="11"/>
      <c r="F100" s="13"/>
      <c r="G100" s="13"/>
      <c r="H100" s="11"/>
      <c r="I100" s="12"/>
      <c r="J100" s="12"/>
      <c r="K100" s="13"/>
      <c r="L100" s="13"/>
      <c r="M100" s="13"/>
      <c r="N100" s="13"/>
      <c r="O100" s="13"/>
      <c r="P100" s="14" t="str">
        <f t="shared" si="4"/>
        <v/>
      </c>
      <c r="Q100" s="15" t="str">
        <f>IF(OR(J100="",H100=""),"",IFERROR(IF(ISNUMBER(N100),N100,IF(K100&lt;N(INDEX(Platforms!$G$5:$G$14,MATCH(H100,Lists!$A$2:$A$11,0))),N(INDEX(Platforms!$H$5:$H$14,MATCH(H100,Lists!$A$2:$A$11,0))),MAX(N(INDEX(Platforms!$F$5:$F$14,MATCH(H100,Lists!$A$2:$A$11,0))),N(INDEX(Platforms!$C$5:$C$14,MATCH(H100,Lists!$A$2:$A$11,0)))*(K100+IF(INDEX(Platforms!$E$5:$E$14,MATCH(H100,Lists!$A$2:$A$11,0))="Yes",N(L100),0))+N(INDEX(Platforms!$D$5:$D$14,MATCH(H100,Lists!$A$2:$A$11,0)))))),""))</f>
        <v/>
      </c>
      <c r="R100" s="16" t="str">
        <f t="shared" si="5"/>
        <v/>
      </c>
      <c r="S100" s="17" t="str">
        <f t="shared" si="6"/>
        <v/>
      </c>
      <c r="T100" s="18" t="str">
        <f t="shared" ca="1" si="7"/>
        <v/>
      </c>
    </row>
    <row r="101" spans="1:20" x14ac:dyDescent="0.35">
      <c r="A101" s="11"/>
      <c r="B101" s="11"/>
      <c r="C101" s="11"/>
      <c r="D101" s="12"/>
      <c r="E101" s="11"/>
      <c r="F101" s="13"/>
      <c r="G101" s="13"/>
      <c r="H101" s="11"/>
      <c r="I101" s="12"/>
      <c r="J101" s="12"/>
      <c r="K101" s="13"/>
      <c r="L101" s="13"/>
      <c r="M101" s="13"/>
      <c r="N101" s="13"/>
      <c r="O101" s="13"/>
      <c r="P101" s="14" t="str">
        <f t="shared" si="4"/>
        <v/>
      </c>
      <c r="Q101" s="15" t="str">
        <f>IF(OR(J101="",H101=""),"",IFERROR(IF(ISNUMBER(N101),N101,IF(K101&lt;N(INDEX(Platforms!$G$5:$G$14,MATCH(H101,Lists!$A$2:$A$11,0))),N(INDEX(Platforms!$H$5:$H$14,MATCH(H101,Lists!$A$2:$A$11,0))),MAX(N(INDEX(Platforms!$F$5:$F$14,MATCH(H101,Lists!$A$2:$A$11,0))),N(INDEX(Platforms!$C$5:$C$14,MATCH(H101,Lists!$A$2:$A$11,0)))*(K101+IF(INDEX(Platforms!$E$5:$E$14,MATCH(H101,Lists!$A$2:$A$11,0))="Yes",N(L101),0))+N(INDEX(Platforms!$D$5:$D$14,MATCH(H101,Lists!$A$2:$A$11,0)))))),""))</f>
        <v/>
      </c>
      <c r="R101" s="16" t="str">
        <f t="shared" si="5"/>
        <v/>
      </c>
      <c r="S101" s="17" t="str">
        <f t="shared" si="6"/>
        <v/>
      </c>
      <c r="T101" s="18" t="str">
        <f t="shared" ca="1" si="7"/>
        <v/>
      </c>
    </row>
    <row r="102" spans="1:20" x14ac:dyDescent="0.35">
      <c r="A102" s="11"/>
      <c r="B102" s="11"/>
      <c r="C102" s="11"/>
      <c r="D102" s="12"/>
      <c r="E102" s="11"/>
      <c r="F102" s="13"/>
      <c r="G102" s="13"/>
      <c r="H102" s="11"/>
      <c r="I102" s="12"/>
      <c r="J102" s="12"/>
      <c r="K102" s="13"/>
      <c r="L102" s="13"/>
      <c r="M102" s="13"/>
      <c r="N102" s="13"/>
      <c r="O102" s="13"/>
      <c r="P102" s="14" t="str">
        <f t="shared" si="4"/>
        <v/>
      </c>
      <c r="Q102" s="15" t="str">
        <f>IF(OR(J102="",H102=""),"",IFERROR(IF(ISNUMBER(N102),N102,IF(K102&lt;N(INDEX(Platforms!$G$5:$G$14,MATCH(H102,Lists!$A$2:$A$11,0))),N(INDEX(Platforms!$H$5:$H$14,MATCH(H102,Lists!$A$2:$A$11,0))),MAX(N(INDEX(Platforms!$F$5:$F$14,MATCH(H102,Lists!$A$2:$A$11,0))),N(INDEX(Platforms!$C$5:$C$14,MATCH(H102,Lists!$A$2:$A$11,0)))*(K102+IF(INDEX(Platforms!$E$5:$E$14,MATCH(H102,Lists!$A$2:$A$11,0))="Yes",N(L102),0))+N(INDEX(Platforms!$D$5:$D$14,MATCH(H102,Lists!$A$2:$A$11,0)))))),""))</f>
        <v/>
      </c>
      <c r="R102" s="16" t="str">
        <f t="shared" si="5"/>
        <v/>
      </c>
      <c r="S102" s="17" t="str">
        <f t="shared" si="6"/>
        <v/>
      </c>
      <c r="T102" s="18" t="str">
        <f t="shared" ca="1" si="7"/>
        <v/>
      </c>
    </row>
    <row r="103" spans="1:20" x14ac:dyDescent="0.35">
      <c r="A103" s="11"/>
      <c r="B103" s="11"/>
      <c r="C103" s="11"/>
      <c r="D103" s="12"/>
      <c r="E103" s="11"/>
      <c r="F103" s="13"/>
      <c r="G103" s="13"/>
      <c r="H103" s="11"/>
      <c r="I103" s="12"/>
      <c r="J103" s="12"/>
      <c r="K103" s="13"/>
      <c r="L103" s="13"/>
      <c r="M103" s="13"/>
      <c r="N103" s="13"/>
      <c r="O103" s="13"/>
      <c r="P103" s="14" t="str">
        <f t="shared" si="4"/>
        <v/>
      </c>
      <c r="Q103" s="15" t="str">
        <f>IF(OR(J103="",H103=""),"",IFERROR(IF(ISNUMBER(N103),N103,IF(K103&lt;N(INDEX(Platforms!$G$5:$G$14,MATCH(H103,Lists!$A$2:$A$11,0))),N(INDEX(Platforms!$H$5:$H$14,MATCH(H103,Lists!$A$2:$A$11,0))),MAX(N(INDEX(Platforms!$F$5:$F$14,MATCH(H103,Lists!$A$2:$A$11,0))),N(INDEX(Platforms!$C$5:$C$14,MATCH(H103,Lists!$A$2:$A$11,0)))*(K103+IF(INDEX(Platforms!$E$5:$E$14,MATCH(H103,Lists!$A$2:$A$11,0))="Yes",N(L103),0))+N(INDEX(Platforms!$D$5:$D$14,MATCH(H103,Lists!$A$2:$A$11,0)))))),""))</f>
        <v/>
      </c>
      <c r="R103" s="16" t="str">
        <f t="shared" si="5"/>
        <v/>
      </c>
      <c r="S103" s="17" t="str">
        <f t="shared" si="6"/>
        <v/>
      </c>
      <c r="T103" s="18" t="str">
        <f t="shared" ca="1" si="7"/>
        <v/>
      </c>
    </row>
    <row r="104" spans="1:20" x14ac:dyDescent="0.35">
      <c r="A104" s="11"/>
      <c r="B104" s="11"/>
      <c r="C104" s="11"/>
      <c r="D104" s="12"/>
      <c r="E104" s="11"/>
      <c r="F104" s="13"/>
      <c r="G104" s="13"/>
      <c r="H104" s="11"/>
      <c r="I104" s="12"/>
      <c r="J104" s="12"/>
      <c r="K104" s="13"/>
      <c r="L104" s="13"/>
      <c r="M104" s="13"/>
      <c r="N104" s="13"/>
      <c r="O104" s="13"/>
      <c r="P104" s="14" t="str">
        <f t="shared" si="4"/>
        <v/>
      </c>
      <c r="Q104" s="15" t="str">
        <f>IF(OR(J104="",H104=""),"",IFERROR(IF(ISNUMBER(N104),N104,IF(K104&lt;N(INDEX(Platforms!$G$5:$G$14,MATCH(H104,Lists!$A$2:$A$11,0))),N(INDEX(Platforms!$H$5:$H$14,MATCH(H104,Lists!$A$2:$A$11,0))),MAX(N(INDEX(Platforms!$F$5:$F$14,MATCH(H104,Lists!$A$2:$A$11,0))),N(INDEX(Platforms!$C$5:$C$14,MATCH(H104,Lists!$A$2:$A$11,0)))*(K104+IF(INDEX(Platforms!$E$5:$E$14,MATCH(H104,Lists!$A$2:$A$11,0))="Yes",N(L104),0))+N(INDEX(Platforms!$D$5:$D$14,MATCH(H104,Lists!$A$2:$A$11,0)))))),""))</f>
        <v/>
      </c>
      <c r="R104" s="16" t="str">
        <f t="shared" si="5"/>
        <v/>
      </c>
      <c r="S104" s="17" t="str">
        <f t="shared" si="6"/>
        <v/>
      </c>
      <c r="T104" s="18" t="str">
        <f t="shared" ca="1" si="7"/>
        <v/>
      </c>
    </row>
    <row r="105" spans="1:20" x14ac:dyDescent="0.35">
      <c r="A105" s="11"/>
      <c r="B105" s="11"/>
      <c r="C105" s="11"/>
      <c r="D105" s="12"/>
      <c r="E105" s="11"/>
      <c r="F105" s="13"/>
      <c r="G105" s="13"/>
      <c r="H105" s="11"/>
      <c r="I105" s="12"/>
      <c r="J105" s="12"/>
      <c r="K105" s="13"/>
      <c r="L105" s="13"/>
      <c r="M105" s="13"/>
      <c r="N105" s="13"/>
      <c r="O105" s="13"/>
      <c r="P105" s="14" t="str">
        <f t="shared" si="4"/>
        <v/>
      </c>
      <c r="Q105" s="15" t="str">
        <f>IF(OR(J105="",H105=""),"",IFERROR(IF(ISNUMBER(N105),N105,IF(K105&lt;N(INDEX(Platforms!$G$5:$G$14,MATCH(H105,Lists!$A$2:$A$11,0))),N(INDEX(Platforms!$H$5:$H$14,MATCH(H105,Lists!$A$2:$A$11,0))),MAX(N(INDEX(Platforms!$F$5:$F$14,MATCH(H105,Lists!$A$2:$A$11,0))),N(INDEX(Platforms!$C$5:$C$14,MATCH(H105,Lists!$A$2:$A$11,0)))*(K105+IF(INDEX(Platforms!$E$5:$E$14,MATCH(H105,Lists!$A$2:$A$11,0))="Yes",N(L105),0))+N(INDEX(Platforms!$D$5:$D$14,MATCH(H105,Lists!$A$2:$A$11,0)))))),""))</f>
        <v/>
      </c>
      <c r="R105" s="16" t="str">
        <f t="shared" si="5"/>
        <v/>
      </c>
      <c r="S105" s="17" t="str">
        <f t="shared" si="6"/>
        <v/>
      </c>
      <c r="T105" s="18" t="str">
        <f t="shared" ca="1" si="7"/>
        <v/>
      </c>
    </row>
    <row r="106" spans="1:20" x14ac:dyDescent="0.35">
      <c r="A106" s="11"/>
      <c r="B106" s="11"/>
      <c r="C106" s="11"/>
      <c r="D106" s="12"/>
      <c r="E106" s="11"/>
      <c r="F106" s="13"/>
      <c r="G106" s="13"/>
      <c r="H106" s="11"/>
      <c r="I106" s="12"/>
      <c r="J106" s="12"/>
      <c r="K106" s="13"/>
      <c r="L106" s="13"/>
      <c r="M106" s="13"/>
      <c r="N106" s="13"/>
      <c r="O106" s="13"/>
      <c r="P106" s="14" t="str">
        <f t="shared" si="4"/>
        <v/>
      </c>
      <c r="Q106" s="15" t="str">
        <f>IF(OR(J106="",H106=""),"",IFERROR(IF(ISNUMBER(N106),N106,IF(K106&lt;N(INDEX(Platforms!$G$5:$G$14,MATCH(H106,Lists!$A$2:$A$11,0))),N(INDEX(Platforms!$H$5:$H$14,MATCH(H106,Lists!$A$2:$A$11,0))),MAX(N(INDEX(Platforms!$F$5:$F$14,MATCH(H106,Lists!$A$2:$A$11,0))),N(INDEX(Platforms!$C$5:$C$14,MATCH(H106,Lists!$A$2:$A$11,0)))*(K106+IF(INDEX(Platforms!$E$5:$E$14,MATCH(H106,Lists!$A$2:$A$11,0))="Yes",N(L106),0))+N(INDEX(Platforms!$D$5:$D$14,MATCH(H106,Lists!$A$2:$A$11,0)))))),""))</f>
        <v/>
      </c>
      <c r="R106" s="16" t="str">
        <f t="shared" si="5"/>
        <v/>
      </c>
      <c r="S106" s="17" t="str">
        <f t="shared" si="6"/>
        <v/>
      </c>
      <c r="T106" s="18" t="str">
        <f t="shared" ca="1" si="7"/>
        <v/>
      </c>
    </row>
    <row r="107" spans="1:20" x14ac:dyDescent="0.35">
      <c r="A107" s="11"/>
      <c r="B107" s="11"/>
      <c r="C107" s="11"/>
      <c r="D107" s="12"/>
      <c r="E107" s="11"/>
      <c r="F107" s="13"/>
      <c r="G107" s="13"/>
      <c r="H107" s="11"/>
      <c r="I107" s="12"/>
      <c r="J107" s="12"/>
      <c r="K107" s="13"/>
      <c r="L107" s="13"/>
      <c r="M107" s="13"/>
      <c r="N107" s="13"/>
      <c r="O107" s="13"/>
      <c r="P107" s="14" t="str">
        <f t="shared" si="4"/>
        <v/>
      </c>
      <c r="Q107" s="15" t="str">
        <f>IF(OR(J107="",H107=""),"",IFERROR(IF(ISNUMBER(N107),N107,IF(K107&lt;N(INDEX(Platforms!$G$5:$G$14,MATCH(H107,Lists!$A$2:$A$11,0))),N(INDEX(Platforms!$H$5:$H$14,MATCH(H107,Lists!$A$2:$A$11,0))),MAX(N(INDEX(Platforms!$F$5:$F$14,MATCH(H107,Lists!$A$2:$A$11,0))),N(INDEX(Platforms!$C$5:$C$14,MATCH(H107,Lists!$A$2:$A$11,0)))*(K107+IF(INDEX(Platforms!$E$5:$E$14,MATCH(H107,Lists!$A$2:$A$11,0))="Yes",N(L107),0))+N(INDEX(Platforms!$D$5:$D$14,MATCH(H107,Lists!$A$2:$A$11,0)))))),""))</f>
        <v/>
      </c>
      <c r="R107" s="16" t="str">
        <f t="shared" si="5"/>
        <v/>
      </c>
      <c r="S107" s="17" t="str">
        <f t="shared" si="6"/>
        <v/>
      </c>
      <c r="T107" s="18" t="str">
        <f t="shared" ca="1" si="7"/>
        <v/>
      </c>
    </row>
    <row r="108" spans="1:20" x14ac:dyDescent="0.35">
      <c r="A108" s="11"/>
      <c r="B108" s="11"/>
      <c r="C108" s="11"/>
      <c r="D108" s="12"/>
      <c r="E108" s="11"/>
      <c r="F108" s="13"/>
      <c r="G108" s="13"/>
      <c r="H108" s="11"/>
      <c r="I108" s="12"/>
      <c r="J108" s="12"/>
      <c r="K108" s="13"/>
      <c r="L108" s="13"/>
      <c r="M108" s="13"/>
      <c r="N108" s="13"/>
      <c r="O108" s="13"/>
      <c r="P108" s="14" t="str">
        <f t="shared" si="4"/>
        <v/>
      </c>
      <c r="Q108" s="15" t="str">
        <f>IF(OR(J108="",H108=""),"",IFERROR(IF(ISNUMBER(N108),N108,IF(K108&lt;N(INDEX(Platforms!$G$5:$G$14,MATCH(H108,Lists!$A$2:$A$11,0))),N(INDEX(Platforms!$H$5:$H$14,MATCH(H108,Lists!$A$2:$A$11,0))),MAX(N(INDEX(Platforms!$F$5:$F$14,MATCH(H108,Lists!$A$2:$A$11,0))),N(INDEX(Platforms!$C$5:$C$14,MATCH(H108,Lists!$A$2:$A$11,0)))*(K108+IF(INDEX(Platforms!$E$5:$E$14,MATCH(H108,Lists!$A$2:$A$11,0))="Yes",N(L108),0))+N(INDEX(Platforms!$D$5:$D$14,MATCH(H108,Lists!$A$2:$A$11,0)))))),""))</f>
        <v/>
      </c>
      <c r="R108" s="16" t="str">
        <f t="shared" si="5"/>
        <v/>
      </c>
      <c r="S108" s="17" t="str">
        <f t="shared" si="6"/>
        <v/>
      </c>
      <c r="T108" s="18" t="str">
        <f t="shared" ca="1" si="7"/>
        <v/>
      </c>
    </row>
    <row r="109" spans="1:20" x14ac:dyDescent="0.35">
      <c r="A109" s="11"/>
      <c r="B109" s="11"/>
      <c r="C109" s="11"/>
      <c r="D109" s="12"/>
      <c r="E109" s="11"/>
      <c r="F109" s="13"/>
      <c r="G109" s="13"/>
      <c r="H109" s="11"/>
      <c r="I109" s="12"/>
      <c r="J109" s="12"/>
      <c r="K109" s="13"/>
      <c r="L109" s="13"/>
      <c r="M109" s="13"/>
      <c r="N109" s="13"/>
      <c r="O109" s="13"/>
      <c r="P109" s="14" t="str">
        <f t="shared" si="4"/>
        <v/>
      </c>
      <c r="Q109" s="15" t="str">
        <f>IF(OR(J109="",H109=""),"",IFERROR(IF(ISNUMBER(N109),N109,IF(K109&lt;N(INDEX(Platforms!$G$5:$G$14,MATCH(H109,Lists!$A$2:$A$11,0))),N(INDEX(Platforms!$H$5:$H$14,MATCH(H109,Lists!$A$2:$A$11,0))),MAX(N(INDEX(Platforms!$F$5:$F$14,MATCH(H109,Lists!$A$2:$A$11,0))),N(INDEX(Platforms!$C$5:$C$14,MATCH(H109,Lists!$A$2:$A$11,0)))*(K109+IF(INDEX(Platforms!$E$5:$E$14,MATCH(H109,Lists!$A$2:$A$11,0))="Yes",N(L109),0))+N(INDEX(Platforms!$D$5:$D$14,MATCH(H109,Lists!$A$2:$A$11,0)))))),""))</f>
        <v/>
      </c>
      <c r="R109" s="16" t="str">
        <f t="shared" si="5"/>
        <v/>
      </c>
      <c r="S109" s="17" t="str">
        <f t="shared" si="6"/>
        <v/>
      </c>
      <c r="T109" s="18" t="str">
        <f t="shared" ca="1" si="7"/>
        <v/>
      </c>
    </row>
    <row r="110" spans="1:20" x14ac:dyDescent="0.35">
      <c r="A110" s="11"/>
      <c r="B110" s="11"/>
      <c r="C110" s="11"/>
      <c r="D110" s="12"/>
      <c r="E110" s="11"/>
      <c r="F110" s="13"/>
      <c r="G110" s="13"/>
      <c r="H110" s="11"/>
      <c r="I110" s="12"/>
      <c r="J110" s="12"/>
      <c r="K110" s="13"/>
      <c r="L110" s="13"/>
      <c r="M110" s="13"/>
      <c r="N110" s="13"/>
      <c r="O110" s="13"/>
      <c r="P110" s="14" t="str">
        <f t="shared" si="4"/>
        <v/>
      </c>
      <c r="Q110" s="15" t="str">
        <f>IF(OR(J110="",H110=""),"",IFERROR(IF(ISNUMBER(N110),N110,IF(K110&lt;N(INDEX(Platforms!$G$5:$G$14,MATCH(H110,Lists!$A$2:$A$11,0))),N(INDEX(Platforms!$H$5:$H$14,MATCH(H110,Lists!$A$2:$A$11,0))),MAX(N(INDEX(Platforms!$F$5:$F$14,MATCH(H110,Lists!$A$2:$A$11,0))),N(INDEX(Platforms!$C$5:$C$14,MATCH(H110,Lists!$A$2:$A$11,0)))*(K110+IF(INDEX(Platforms!$E$5:$E$14,MATCH(H110,Lists!$A$2:$A$11,0))="Yes",N(L110),0))+N(INDEX(Platforms!$D$5:$D$14,MATCH(H110,Lists!$A$2:$A$11,0)))))),""))</f>
        <v/>
      </c>
      <c r="R110" s="16" t="str">
        <f t="shared" si="5"/>
        <v/>
      </c>
      <c r="S110" s="17" t="str">
        <f t="shared" si="6"/>
        <v/>
      </c>
      <c r="T110" s="18" t="str">
        <f t="shared" ca="1" si="7"/>
        <v/>
      </c>
    </row>
    <row r="111" spans="1:20" x14ac:dyDescent="0.35">
      <c r="A111" s="11"/>
      <c r="B111" s="11"/>
      <c r="C111" s="11"/>
      <c r="D111" s="12"/>
      <c r="E111" s="11"/>
      <c r="F111" s="13"/>
      <c r="G111" s="13"/>
      <c r="H111" s="11"/>
      <c r="I111" s="12"/>
      <c r="J111" s="12"/>
      <c r="K111" s="13"/>
      <c r="L111" s="13"/>
      <c r="M111" s="13"/>
      <c r="N111" s="13"/>
      <c r="O111" s="13"/>
      <c r="P111" s="14" t="str">
        <f t="shared" si="4"/>
        <v/>
      </c>
      <c r="Q111" s="15" t="str">
        <f>IF(OR(J111="",H111=""),"",IFERROR(IF(ISNUMBER(N111),N111,IF(K111&lt;N(INDEX(Platforms!$G$5:$G$14,MATCH(H111,Lists!$A$2:$A$11,0))),N(INDEX(Platforms!$H$5:$H$14,MATCH(H111,Lists!$A$2:$A$11,0))),MAX(N(INDEX(Platforms!$F$5:$F$14,MATCH(H111,Lists!$A$2:$A$11,0))),N(INDEX(Platforms!$C$5:$C$14,MATCH(H111,Lists!$A$2:$A$11,0)))*(K111+IF(INDEX(Platforms!$E$5:$E$14,MATCH(H111,Lists!$A$2:$A$11,0))="Yes",N(L111),0))+N(INDEX(Platforms!$D$5:$D$14,MATCH(H111,Lists!$A$2:$A$11,0)))))),""))</f>
        <v/>
      </c>
      <c r="R111" s="16" t="str">
        <f t="shared" si="5"/>
        <v/>
      </c>
      <c r="S111" s="17" t="str">
        <f t="shared" si="6"/>
        <v/>
      </c>
      <c r="T111" s="18" t="str">
        <f t="shared" ca="1" si="7"/>
        <v/>
      </c>
    </row>
    <row r="112" spans="1:20" x14ac:dyDescent="0.35">
      <c r="A112" s="11"/>
      <c r="B112" s="11"/>
      <c r="C112" s="11"/>
      <c r="D112" s="12"/>
      <c r="E112" s="11"/>
      <c r="F112" s="13"/>
      <c r="G112" s="13"/>
      <c r="H112" s="11"/>
      <c r="I112" s="12"/>
      <c r="J112" s="12"/>
      <c r="K112" s="13"/>
      <c r="L112" s="13"/>
      <c r="M112" s="13"/>
      <c r="N112" s="13"/>
      <c r="O112" s="13"/>
      <c r="P112" s="14" t="str">
        <f t="shared" si="4"/>
        <v/>
      </c>
      <c r="Q112" s="15" t="str">
        <f>IF(OR(J112="",H112=""),"",IFERROR(IF(ISNUMBER(N112),N112,IF(K112&lt;N(INDEX(Platforms!$G$5:$G$14,MATCH(H112,Lists!$A$2:$A$11,0))),N(INDEX(Platforms!$H$5:$H$14,MATCH(H112,Lists!$A$2:$A$11,0))),MAX(N(INDEX(Platforms!$F$5:$F$14,MATCH(H112,Lists!$A$2:$A$11,0))),N(INDEX(Platforms!$C$5:$C$14,MATCH(H112,Lists!$A$2:$A$11,0)))*(K112+IF(INDEX(Platforms!$E$5:$E$14,MATCH(H112,Lists!$A$2:$A$11,0))="Yes",N(L112),0))+N(INDEX(Platforms!$D$5:$D$14,MATCH(H112,Lists!$A$2:$A$11,0)))))),""))</f>
        <v/>
      </c>
      <c r="R112" s="16" t="str">
        <f t="shared" si="5"/>
        <v/>
      </c>
      <c r="S112" s="17" t="str">
        <f t="shared" si="6"/>
        <v/>
      </c>
      <c r="T112" s="18" t="str">
        <f t="shared" ca="1" si="7"/>
        <v/>
      </c>
    </row>
    <row r="113" spans="1:20" x14ac:dyDescent="0.35">
      <c r="A113" s="11"/>
      <c r="B113" s="11"/>
      <c r="C113" s="11"/>
      <c r="D113" s="12"/>
      <c r="E113" s="11"/>
      <c r="F113" s="13"/>
      <c r="G113" s="13"/>
      <c r="H113" s="11"/>
      <c r="I113" s="12"/>
      <c r="J113" s="12"/>
      <c r="K113" s="13"/>
      <c r="L113" s="13"/>
      <c r="M113" s="13"/>
      <c r="N113" s="13"/>
      <c r="O113" s="13"/>
      <c r="P113" s="14" t="str">
        <f t="shared" si="4"/>
        <v/>
      </c>
      <c r="Q113" s="15" t="str">
        <f>IF(OR(J113="",H113=""),"",IFERROR(IF(ISNUMBER(N113),N113,IF(K113&lt;N(INDEX(Platforms!$G$5:$G$14,MATCH(H113,Lists!$A$2:$A$11,0))),N(INDEX(Platforms!$H$5:$H$14,MATCH(H113,Lists!$A$2:$A$11,0))),MAX(N(INDEX(Platforms!$F$5:$F$14,MATCH(H113,Lists!$A$2:$A$11,0))),N(INDEX(Platforms!$C$5:$C$14,MATCH(H113,Lists!$A$2:$A$11,0)))*(K113+IF(INDEX(Platforms!$E$5:$E$14,MATCH(H113,Lists!$A$2:$A$11,0))="Yes",N(L113),0))+N(INDEX(Platforms!$D$5:$D$14,MATCH(H113,Lists!$A$2:$A$11,0)))))),""))</f>
        <v/>
      </c>
      <c r="R113" s="16" t="str">
        <f t="shared" si="5"/>
        <v/>
      </c>
      <c r="S113" s="17" t="str">
        <f t="shared" si="6"/>
        <v/>
      </c>
      <c r="T113" s="18" t="str">
        <f t="shared" ca="1" si="7"/>
        <v/>
      </c>
    </row>
    <row r="114" spans="1:20" x14ac:dyDescent="0.35">
      <c r="A114" s="11"/>
      <c r="B114" s="11"/>
      <c r="C114" s="11"/>
      <c r="D114" s="12"/>
      <c r="E114" s="11"/>
      <c r="F114" s="13"/>
      <c r="G114" s="13"/>
      <c r="H114" s="11"/>
      <c r="I114" s="12"/>
      <c r="J114" s="12"/>
      <c r="K114" s="13"/>
      <c r="L114" s="13"/>
      <c r="M114" s="13"/>
      <c r="N114" s="13"/>
      <c r="O114" s="13"/>
      <c r="P114" s="14" t="str">
        <f t="shared" si="4"/>
        <v/>
      </c>
      <c r="Q114" s="15" t="str">
        <f>IF(OR(J114="",H114=""),"",IFERROR(IF(ISNUMBER(N114),N114,IF(K114&lt;N(INDEX(Platforms!$G$5:$G$14,MATCH(H114,Lists!$A$2:$A$11,0))),N(INDEX(Platforms!$H$5:$H$14,MATCH(H114,Lists!$A$2:$A$11,0))),MAX(N(INDEX(Platforms!$F$5:$F$14,MATCH(H114,Lists!$A$2:$A$11,0))),N(INDEX(Platforms!$C$5:$C$14,MATCH(H114,Lists!$A$2:$A$11,0)))*(K114+IF(INDEX(Platforms!$E$5:$E$14,MATCH(H114,Lists!$A$2:$A$11,0))="Yes",N(L114),0))+N(INDEX(Platforms!$D$5:$D$14,MATCH(H114,Lists!$A$2:$A$11,0)))))),""))</f>
        <v/>
      </c>
      <c r="R114" s="16" t="str">
        <f t="shared" si="5"/>
        <v/>
      </c>
      <c r="S114" s="17" t="str">
        <f t="shared" si="6"/>
        <v/>
      </c>
      <c r="T114" s="18" t="str">
        <f t="shared" ca="1" si="7"/>
        <v/>
      </c>
    </row>
    <row r="115" spans="1:20" x14ac:dyDescent="0.35">
      <c r="A115" s="11"/>
      <c r="B115" s="11"/>
      <c r="C115" s="11"/>
      <c r="D115" s="12"/>
      <c r="E115" s="11"/>
      <c r="F115" s="13"/>
      <c r="G115" s="13"/>
      <c r="H115" s="11"/>
      <c r="I115" s="12"/>
      <c r="J115" s="12"/>
      <c r="K115" s="13"/>
      <c r="L115" s="13"/>
      <c r="M115" s="13"/>
      <c r="N115" s="13"/>
      <c r="O115" s="13"/>
      <c r="P115" s="14" t="str">
        <f t="shared" si="4"/>
        <v/>
      </c>
      <c r="Q115" s="15" t="str">
        <f>IF(OR(J115="",H115=""),"",IFERROR(IF(ISNUMBER(N115),N115,IF(K115&lt;N(INDEX(Platforms!$G$5:$G$14,MATCH(H115,Lists!$A$2:$A$11,0))),N(INDEX(Platforms!$H$5:$H$14,MATCH(H115,Lists!$A$2:$A$11,0))),MAX(N(INDEX(Platforms!$F$5:$F$14,MATCH(H115,Lists!$A$2:$A$11,0))),N(INDEX(Platforms!$C$5:$C$14,MATCH(H115,Lists!$A$2:$A$11,0)))*(K115+IF(INDEX(Platforms!$E$5:$E$14,MATCH(H115,Lists!$A$2:$A$11,0))="Yes",N(L115),0))+N(INDEX(Platforms!$D$5:$D$14,MATCH(H115,Lists!$A$2:$A$11,0)))))),""))</f>
        <v/>
      </c>
      <c r="R115" s="16" t="str">
        <f t="shared" si="5"/>
        <v/>
      </c>
      <c r="S115" s="17" t="str">
        <f t="shared" si="6"/>
        <v/>
      </c>
      <c r="T115" s="18" t="str">
        <f t="shared" ca="1" si="7"/>
        <v/>
      </c>
    </row>
    <row r="116" spans="1:20" x14ac:dyDescent="0.35">
      <c r="A116" s="11"/>
      <c r="B116" s="11"/>
      <c r="C116" s="11"/>
      <c r="D116" s="12"/>
      <c r="E116" s="11"/>
      <c r="F116" s="13"/>
      <c r="G116" s="13"/>
      <c r="H116" s="11"/>
      <c r="I116" s="12"/>
      <c r="J116" s="12"/>
      <c r="K116" s="13"/>
      <c r="L116" s="13"/>
      <c r="M116" s="13"/>
      <c r="N116" s="13"/>
      <c r="O116" s="13"/>
      <c r="P116" s="14" t="str">
        <f t="shared" si="4"/>
        <v/>
      </c>
      <c r="Q116" s="15" t="str">
        <f>IF(OR(J116="",H116=""),"",IFERROR(IF(ISNUMBER(N116),N116,IF(K116&lt;N(INDEX(Platforms!$G$5:$G$14,MATCH(H116,Lists!$A$2:$A$11,0))),N(INDEX(Platforms!$H$5:$H$14,MATCH(H116,Lists!$A$2:$A$11,0))),MAX(N(INDEX(Platforms!$F$5:$F$14,MATCH(H116,Lists!$A$2:$A$11,0))),N(INDEX(Platforms!$C$5:$C$14,MATCH(H116,Lists!$A$2:$A$11,0)))*(K116+IF(INDEX(Platforms!$E$5:$E$14,MATCH(H116,Lists!$A$2:$A$11,0))="Yes",N(L116),0))+N(INDEX(Platforms!$D$5:$D$14,MATCH(H116,Lists!$A$2:$A$11,0)))))),""))</f>
        <v/>
      </c>
      <c r="R116" s="16" t="str">
        <f t="shared" si="5"/>
        <v/>
      </c>
      <c r="S116" s="17" t="str">
        <f t="shared" si="6"/>
        <v/>
      </c>
      <c r="T116" s="18" t="str">
        <f t="shared" ca="1" si="7"/>
        <v/>
      </c>
    </row>
    <row r="117" spans="1:20" x14ac:dyDescent="0.35">
      <c r="A117" s="11"/>
      <c r="B117" s="11"/>
      <c r="C117" s="11"/>
      <c r="D117" s="12"/>
      <c r="E117" s="11"/>
      <c r="F117" s="13"/>
      <c r="G117" s="13"/>
      <c r="H117" s="11"/>
      <c r="I117" s="12"/>
      <c r="J117" s="12"/>
      <c r="K117" s="13"/>
      <c r="L117" s="13"/>
      <c r="M117" s="13"/>
      <c r="N117" s="13"/>
      <c r="O117" s="13"/>
      <c r="P117" s="14" t="str">
        <f t="shared" si="4"/>
        <v/>
      </c>
      <c r="Q117" s="15" t="str">
        <f>IF(OR(J117="",H117=""),"",IFERROR(IF(ISNUMBER(N117),N117,IF(K117&lt;N(INDEX(Platforms!$G$5:$G$14,MATCH(H117,Lists!$A$2:$A$11,0))),N(INDEX(Platforms!$H$5:$H$14,MATCH(H117,Lists!$A$2:$A$11,0))),MAX(N(INDEX(Platforms!$F$5:$F$14,MATCH(H117,Lists!$A$2:$A$11,0))),N(INDEX(Platforms!$C$5:$C$14,MATCH(H117,Lists!$A$2:$A$11,0)))*(K117+IF(INDEX(Platforms!$E$5:$E$14,MATCH(H117,Lists!$A$2:$A$11,0))="Yes",N(L117),0))+N(INDEX(Platforms!$D$5:$D$14,MATCH(H117,Lists!$A$2:$A$11,0)))))),""))</f>
        <v/>
      </c>
      <c r="R117" s="16" t="str">
        <f t="shared" si="5"/>
        <v/>
      </c>
      <c r="S117" s="17" t="str">
        <f t="shared" si="6"/>
        <v/>
      </c>
      <c r="T117" s="18" t="str">
        <f t="shared" ca="1" si="7"/>
        <v/>
      </c>
    </row>
    <row r="118" spans="1:20" x14ac:dyDescent="0.35">
      <c r="A118" s="11"/>
      <c r="B118" s="11"/>
      <c r="C118" s="11"/>
      <c r="D118" s="12"/>
      <c r="E118" s="11"/>
      <c r="F118" s="13"/>
      <c r="G118" s="13"/>
      <c r="H118" s="11"/>
      <c r="I118" s="12"/>
      <c r="J118" s="12"/>
      <c r="K118" s="13"/>
      <c r="L118" s="13"/>
      <c r="M118" s="13"/>
      <c r="N118" s="13"/>
      <c r="O118" s="13"/>
      <c r="P118" s="14" t="str">
        <f t="shared" si="4"/>
        <v/>
      </c>
      <c r="Q118" s="15" t="str">
        <f>IF(OR(J118="",H118=""),"",IFERROR(IF(ISNUMBER(N118),N118,IF(K118&lt;N(INDEX(Platforms!$G$5:$G$14,MATCH(H118,Lists!$A$2:$A$11,0))),N(INDEX(Platforms!$H$5:$H$14,MATCH(H118,Lists!$A$2:$A$11,0))),MAX(N(INDEX(Platforms!$F$5:$F$14,MATCH(H118,Lists!$A$2:$A$11,0))),N(INDEX(Platforms!$C$5:$C$14,MATCH(H118,Lists!$A$2:$A$11,0)))*(K118+IF(INDEX(Platforms!$E$5:$E$14,MATCH(H118,Lists!$A$2:$A$11,0))="Yes",N(L118),0))+N(INDEX(Platforms!$D$5:$D$14,MATCH(H118,Lists!$A$2:$A$11,0)))))),""))</f>
        <v/>
      </c>
      <c r="R118" s="16" t="str">
        <f t="shared" si="5"/>
        <v/>
      </c>
      <c r="S118" s="17" t="str">
        <f t="shared" si="6"/>
        <v/>
      </c>
      <c r="T118" s="18" t="str">
        <f t="shared" ca="1" si="7"/>
        <v/>
      </c>
    </row>
    <row r="119" spans="1:20" x14ac:dyDescent="0.35">
      <c r="A119" s="11"/>
      <c r="B119" s="11"/>
      <c r="C119" s="11"/>
      <c r="D119" s="12"/>
      <c r="E119" s="11"/>
      <c r="F119" s="13"/>
      <c r="G119" s="13"/>
      <c r="H119" s="11"/>
      <c r="I119" s="12"/>
      <c r="J119" s="12"/>
      <c r="K119" s="13"/>
      <c r="L119" s="13"/>
      <c r="M119" s="13"/>
      <c r="N119" s="13"/>
      <c r="O119" s="13"/>
      <c r="P119" s="14" t="str">
        <f t="shared" si="4"/>
        <v/>
      </c>
      <c r="Q119" s="15" t="str">
        <f>IF(OR(J119="",H119=""),"",IFERROR(IF(ISNUMBER(N119),N119,IF(K119&lt;N(INDEX(Platforms!$G$5:$G$14,MATCH(H119,Lists!$A$2:$A$11,0))),N(INDEX(Platforms!$H$5:$H$14,MATCH(H119,Lists!$A$2:$A$11,0))),MAX(N(INDEX(Platforms!$F$5:$F$14,MATCH(H119,Lists!$A$2:$A$11,0))),N(INDEX(Platforms!$C$5:$C$14,MATCH(H119,Lists!$A$2:$A$11,0)))*(K119+IF(INDEX(Platforms!$E$5:$E$14,MATCH(H119,Lists!$A$2:$A$11,0))="Yes",N(L119),0))+N(INDEX(Platforms!$D$5:$D$14,MATCH(H119,Lists!$A$2:$A$11,0)))))),""))</f>
        <v/>
      </c>
      <c r="R119" s="16" t="str">
        <f t="shared" si="5"/>
        <v/>
      </c>
      <c r="S119" s="17" t="str">
        <f t="shared" si="6"/>
        <v/>
      </c>
      <c r="T119" s="18" t="str">
        <f t="shared" ca="1" si="7"/>
        <v/>
      </c>
    </row>
    <row r="120" spans="1:20" x14ac:dyDescent="0.35">
      <c r="A120" s="11"/>
      <c r="B120" s="11"/>
      <c r="C120" s="11"/>
      <c r="D120" s="12"/>
      <c r="E120" s="11"/>
      <c r="F120" s="13"/>
      <c r="G120" s="13"/>
      <c r="H120" s="11"/>
      <c r="I120" s="12"/>
      <c r="J120" s="12"/>
      <c r="K120" s="13"/>
      <c r="L120" s="13"/>
      <c r="M120" s="13"/>
      <c r="N120" s="13"/>
      <c r="O120" s="13"/>
      <c r="P120" s="14" t="str">
        <f t="shared" si="4"/>
        <v/>
      </c>
      <c r="Q120" s="15" t="str">
        <f>IF(OR(J120="",H120=""),"",IFERROR(IF(ISNUMBER(N120),N120,IF(K120&lt;N(INDEX(Platforms!$G$5:$G$14,MATCH(H120,Lists!$A$2:$A$11,0))),N(INDEX(Platforms!$H$5:$H$14,MATCH(H120,Lists!$A$2:$A$11,0))),MAX(N(INDEX(Platforms!$F$5:$F$14,MATCH(H120,Lists!$A$2:$A$11,0))),N(INDEX(Platforms!$C$5:$C$14,MATCH(H120,Lists!$A$2:$A$11,0)))*(K120+IF(INDEX(Platforms!$E$5:$E$14,MATCH(H120,Lists!$A$2:$A$11,0))="Yes",N(L120),0))+N(INDEX(Platforms!$D$5:$D$14,MATCH(H120,Lists!$A$2:$A$11,0)))))),""))</f>
        <v/>
      </c>
      <c r="R120" s="16" t="str">
        <f t="shared" si="5"/>
        <v/>
      </c>
      <c r="S120" s="17" t="str">
        <f t="shared" si="6"/>
        <v/>
      </c>
      <c r="T120" s="18" t="str">
        <f t="shared" ca="1" si="7"/>
        <v/>
      </c>
    </row>
    <row r="121" spans="1:20" x14ac:dyDescent="0.35">
      <c r="A121" s="11"/>
      <c r="B121" s="11"/>
      <c r="C121" s="11"/>
      <c r="D121" s="12"/>
      <c r="E121" s="11"/>
      <c r="F121" s="13"/>
      <c r="G121" s="13"/>
      <c r="H121" s="11"/>
      <c r="I121" s="12"/>
      <c r="J121" s="12"/>
      <c r="K121" s="13"/>
      <c r="L121" s="13"/>
      <c r="M121" s="13"/>
      <c r="N121" s="13"/>
      <c r="O121" s="13"/>
      <c r="P121" s="14" t="str">
        <f t="shared" si="4"/>
        <v/>
      </c>
      <c r="Q121" s="15" t="str">
        <f>IF(OR(J121="",H121=""),"",IFERROR(IF(ISNUMBER(N121),N121,IF(K121&lt;N(INDEX(Platforms!$G$5:$G$14,MATCH(H121,Lists!$A$2:$A$11,0))),N(INDEX(Platforms!$H$5:$H$14,MATCH(H121,Lists!$A$2:$A$11,0))),MAX(N(INDEX(Platforms!$F$5:$F$14,MATCH(H121,Lists!$A$2:$A$11,0))),N(INDEX(Platforms!$C$5:$C$14,MATCH(H121,Lists!$A$2:$A$11,0)))*(K121+IF(INDEX(Platforms!$E$5:$E$14,MATCH(H121,Lists!$A$2:$A$11,0))="Yes",N(L121),0))+N(INDEX(Platforms!$D$5:$D$14,MATCH(H121,Lists!$A$2:$A$11,0)))))),""))</f>
        <v/>
      </c>
      <c r="R121" s="16" t="str">
        <f t="shared" si="5"/>
        <v/>
      </c>
      <c r="S121" s="17" t="str">
        <f t="shared" si="6"/>
        <v/>
      </c>
      <c r="T121" s="18" t="str">
        <f t="shared" ca="1" si="7"/>
        <v/>
      </c>
    </row>
    <row r="122" spans="1:20" x14ac:dyDescent="0.35">
      <c r="A122" s="11"/>
      <c r="B122" s="11"/>
      <c r="C122" s="11"/>
      <c r="D122" s="12"/>
      <c r="E122" s="11"/>
      <c r="F122" s="13"/>
      <c r="G122" s="13"/>
      <c r="H122" s="11"/>
      <c r="I122" s="12"/>
      <c r="J122" s="12"/>
      <c r="K122" s="13"/>
      <c r="L122" s="13"/>
      <c r="M122" s="13"/>
      <c r="N122" s="13"/>
      <c r="O122" s="13"/>
      <c r="P122" s="14" t="str">
        <f t="shared" si="4"/>
        <v/>
      </c>
      <c r="Q122" s="15" t="str">
        <f>IF(OR(J122="",H122=""),"",IFERROR(IF(ISNUMBER(N122),N122,IF(K122&lt;N(INDEX(Platforms!$G$5:$G$14,MATCH(H122,Lists!$A$2:$A$11,0))),N(INDEX(Platforms!$H$5:$H$14,MATCH(H122,Lists!$A$2:$A$11,0))),MAX(N(INDEX(Platforms!$F$5:$F$14,MATCH(H122,Lists!$A$2:$A$11,0))),N(INDEX(Platforms!$C$5:$C$14,MATCH(H122,Lists!$A$2:$A$11,0)))*(K122+IF(INDEX(Platforms!$E$5:$E$14,MATCH(H122,Lists!$A$2:$A$11,0))="Yes",N(L122),0))+N(INDEX(Platforms!$D$5:$D$14,MATCH(H122,Lists!$A$2:$A$11,0)))))),""))</f>
        <v/>
      </c>
      <c r="R122" s="16" t="str">
        <f t="shared" si="5"/>
        <v/>
      </c>
      <c r="S122" s="17" t="str">
        <f t="shared" si="6"/>
        <v/>
      </c>
      <c r="T122" s="18" t="str">
        <f t="shared" ca="1" si="7"/>
        <v/>
      </c>
    </row>
    <row r="123" spans="1:20" x14ac:dyDescent="0.35">
      <c r="A123" s="11"/>
      <c r="B123" s="11"/>
      <c r="C123" s="11"/>
      <c r="D123" s="12"/>
      <c r="E123" s="11"/>
      <c r="F123" s="13"/>
      <c r="G123" s="13"/>
      <c r="H123" s="11"/>
      <c r="I123" s="12"/>
      <c r="J123" s="12"/>
      <c r="K123" s="13"/>
      <c r="L123" s="13"/>
      <c r="M123" s="13"/>
      <c r="N123" s="13"/>
      <c r="O123" s="13"/>
      <c r="P123" s="14" t="str">
        <f t="shared" si="4"/>
        <v/>
      </c>
      <c r="Q123" s="15" t="str">
        <f>IF(OR(J123="",H123=""),"",IFERROR(IF(ISNUMBER(N123),N123,IF(K123&lt;N(INDEX(Platforms!$G$5:$G$14,MATCH(H123,Lists!$A$2:$A$11,0))),N(INDEX(Platforms!$H$5:$H$14,MATCH(H123,Lists!$A$2:$A$11,0))),MAX(N(INDEX(Platforms!$F$5:$F$14,MATCH(H123,Lists!$A$2:$A$11,0))),N(INDEX(Platforms!$C$5:$C$14,MATCH(H123,Lists!$A$2:$A$11,0)))*(K123+IF(INDEX(Platforms!$E$5:$E$14,MATCH(H123,Lists!$A$2:$A$11,0))="Yes",N(L123),0))+N(INDEX(Platforms!$D$5:$D$14,MATCH(H123,Lists!$A$2:$A$11,0)))))),""))</f>
        <v/>
      </c>
      <c r="R123" s="16" t="str">
        <f t="shared" si="5"/>
        <v/>
      </c>
      <c r="S123" s="17" t="str">
        <f t="shared" si="6"/>
        <v/>
      </c>
      <c r="T123" s="18" t="str">
        <f t="shared" ca="1" si="7"/>
        <v/>
      </c>
    </row>
    <row r="124" spans="1:20" x14ac:dyDescent="0.35">
      <c r="A124" s="11"/>
      <c r="B124" s="11"/>
      <c r="C124" s="11"/>
      <c r="D124" s="12"/>
      <c r="E124" s="11"/>
      <c r="F124" s="13"/>
      <c r="G124" s="13"/>
      <c r="H124" s="11"/>
      <c r="I124" s="12"/>
      <c r="J124" s="12"/>
      <c r="K124" s="13"/>
      <c r="L124" s="13"/>
      <c r="M124" s="13"/>
      <c r="N124" s="13"/>
      <c r="O124" s="13"/>
      <c r="P124" s="14" t="str">
        <f t="shared" si="4"/>
        <v/>
      </c>
      <c r="Q124" s="15" t="str">
        <f>IF(OR(J124="",H124=""),"",IFERROR(IF(ISNUMBER(N124),N124,IF(K124&lt;N(INDEX(Platforms!$G$5:$G$14,MATCH(H124,Lists!$A$2:$A$11,0))),N(INDEX(Platforms!$H$5:$H$14,MATCH(H124,Lists!$A$2:$A$11,0))),MAX(N(INDEX(Platforms!$F$5:$F$14,MATCH(H124,Lists!$A$2:$A$11,0))),N(INDEX(Platforms!$C$5:$C$14,MATCH(H124,Lists!$A$2:$A$11,0)))*(K124+IF(INDEX(Platforms!$E$5:$E$14,MATCH(H124,Lists!$A$2:$A$11,0))="Yes",N(L124),0))+N(INDEX(Platforms!$D$5:$D$14,MATCH(H124,Lists!$A$2:$A$11,0)))))),""))</f>
        <v/>
      </c>
      <c r="R124" s="16" t="str">
        <f t="shared" si="5"/>
        <v/>
      </c>
      <c r="S124" s="17" t="str">
        <f t="shared" si="6"/>
        <v/>
      </c>
      <c r="T124" s="18" t="str">
        <f t="shared" ca="1" si="7"/>
        <v/>
      </c>
    </row>
    <row r="125" spans="1:20" x14ac:dyDescent="0.35">
      <c r="A125" s="11"/>
      <c r="B125" s="11"/>
      <c r="C125" s="11"/>
      <c r="D125" s="12"/>
      <c r="E125" s="11"/>
      <c r="F125" s="13"/>
      <c r="G125" s="13"/>
      <c r="H125" s="11"/>
      <c r="I125" s="12"/>
      <c r="J125" s="12"/>
      <c r="K125" s="13"/>
      <c r="L125" s="13"/>
      <c r="M125" s="13"/>
      <c r="N125" s="13"/>
      <c r="O125" s="13"/>
      <c r="P125" s="14" t="str">
        <f t="shared" si="4"/>
        <v/>
      </c>
      <c r="Q125" s="15" t="str">
        <f>IF(OR(J125="",H125=""),"",IFERROR(IF(ISNUMBER(N125),N125,IF(K125&lt;N(INDEX(Platforms!$G$5:$G$14,MATCH(H125,Lists!$A$2:$A$11,0))),N(INDEX(Platforms!$H$5:$H$14,MATCH(H125,Lists!$A$2:$A$11,0))),MAX(N(INDEX(Platforms!$F$5:$F$14,MATCH(H125,Lists!$A$2:$A$11,0))),N(INDEX(Platforms!$C$5:$C$14,MATCH(H125,Lists!$A$2:$A$11,0)))*(K125+IF(INDEX(Platforms!$E$5:$E$14,MATCH(H125,Lists!$A$2:$A$11,0))="Yes",N(L125),0))+N(INDEX(Platforms!$D$5:$D$14,MATCH(H125,Lists!$A$2:$A$11,0)))))),""))</f>
        <v/>
      </c>
      <c r="R125" s="16" t="str">
        <f t="shared" si="5"/>
        <v/>
      </c>
      <c r="S125" s="17" t="str">
        <f t="shared" si="6"/>
        <v/>
      </c>
      <c r="T125" s="18" t="str">
        <f t="shared" ca="1" si="7"/>
        <v/>
      </c>
    </row>
    <row r="126" spans="1:20" x14ac:dyDescent="0.35">
      <c r="A126" s="11"/>
      <c r="B126" s="11"/>
      <c r="C126" s="11"/>
      <c r="D126" s="12"/>
      <c r="E126" s="11"/>
      <c r="F126" s="13"/>
      <c r="G126" s="13"/>
      <c r="H126" s="11"/>
      <c r="I126" s="12"/>
      <c r="J126" s="12"/>
      <c r="K126" s="13"/>
      <c r="L126" s="13"/>
      <c r="M126" s="13"/>
      <c r="N126" s="13"/>
      <c r="O126" s="13"/>
      <c r="P126" s="14" t="str">
        <f t="shared" si="4"/>
        <v/>
      </c>
      <c r="Q126" s="15" t="str">
        <f>IF(OR(J126="",H126=""),"",IFERROR(IF(ISNUMBER(N126),N126,IF(K126&lt;N(INDEX(Platforms!$G$5:$G$14,MATCH(H126,Lists!$A$2:$A$11,0))),N(INDEX(Platforms!$H$5:$H$14,MATCH(H126,Lists!$A$2:$A$11,0))),MAX(N(INDEX(Platforms!$F$5:$F$14,MATCH(H126,Lists!$A$2:$A$11,0))),N(INDEX(Platforms!$C$5:$C$14,MATCH(H126,Lists!$A$2:$A$11,0)))*(K126+IF(INDEX(Platforms!$E$5:$E$14,MATCH(H126,Lists!$A$2:$A$11,0))="Yes",N(L126),0))+N(INDEX(Platforms!$D$5:$D$14,MATCH(H126,Lists!$A$2:$A$11,0)))))),""))</f>
        <v/>
      </c>
      <c r="R126" s="16" t="str">
        <f t="shared" si="5"/>
        <v/>
      </c>
      <c r="S126" s="17" t="str">
        <f t="shared" si="6"/>
        <v/>
      </c>
      <c r="T126" s="18" t="str">
        <f t="shared" ca="1" si="7"/>
        <v/>
      </c>
    </row>
    <row r="127" spans="1:20" x14ac:dyDescent="0.35">
      <c r="A127" s="11"/>
      <c r="B127" s="11"/>
      <c r="C127" s="11"/>
      <c r="D127" s="12"/>
      <c r="E127" s="11"/>
      <c r="F127" s="13"/>
      <c r="G127" s="13"/>
      <c r="H127" s="11"/>
      <c r="I127" s="12"/>
      <c r="J127" s="12"/>
      <c r="K127" s="13"/>
      <c r="L127" s="13"/>
      <c r="M127" s="13"/>
      <c r="N127" s="13"/>
      <c r="O127" s="13"/>
      <c r="P127" s="14" t="str">
        <f t="shared" si="4"/>
        <v/>
      </c>
      <c r="Q127" s="15" t="str">
        <f>IF(OR(J127="",H127=""),"",IFERROR(IF(ISNUMBER(N127),N127,IF(K127&lt;N(INDEX(Platforms!$G$5:$G$14,MATCH(H127,Lists!$A$2:$A$11,0))),N(INDEX(Platforms!$H$5:$H$14,MATCH(H127,Lists!$A$2:$A$11,0))),MAX(N(INDEX(Platforms!$F$5:$F$14,MATCH(H127,Lists!$A$2:$A$11,0))),N(INDEX(Platforms!$C$5:$C$14,MATCH(H127,Lists!$A$2:$A$11,0)))*(K127+IF(INDEX(Platforms!$E$5:$E$14,MATCH(H127,Lists!$A$2:$A$11,0))="Yes",N(L127),0))+N(INDEX(Platforms!$D$5:$D$14,MATCH(H127,Lists!$A$2:$A$11,0)))))),""))</f>
        <v/>
      </c>
      <c r="R127" s="16" t="str">
        <f t="shared" si="5"/>
        <v/>
      </c>
      <c r="S127" s="17" t="str">
        <f t="shared" si="6"/>
        <v/>
      </c>
      <c r="T127" s="18" t="str">
        <f t="shared" ca="1" si="7"/>
        <v/>
      </c>
    </row>
    <row r="128" spans="1:20" x14ac:dyDescent="0.35">
      <c r="A128" s="11"/>
      <c r="B128" s="11"/>
      <c r="C128" s="11"/>
      <c r="D128" s="12"/>
      <c r="E128" s="11"/>
      <c r="F128" s="13"/>
      <c r="G128" s="13"/>
      <c r="H128" s="11"/>
      <c r="I128" s="12"/>
      <c r="J128" s="12"/>
      <c r="K128" s="13"/>
      <c r="L128" s="13"/>
      <c r="M128" s="13"/>
      <c r="N128" s="13"/>
      <c r="O128" s="13"/>
      <c r="P128" s="14" t="str">
        <f t="shared" si="4"/>
        <v/>
      </c>
      <c r="Q128" s="15" t="str">
        <f>IF(OR(J128="",H128=""),"",IFERROR(IF(ISNUMBER(N128),N128,IF(K128&lt;N(INDEX(Platforms!$G$5:$G$14,MATCH(H128,Lists!$A$2:$A$11,0))),N(INDEX(Platforms!$H$5:$H$14,MATCH(H128,Lists!$A$2:$A$11,0))),MAX(N(INDEX(Platforms!$F$5:$F$14,MATCH(H128,Lists!$A$2:$A$11,0))),N(INDEX(Platforms!$C$5:$C$14,MATCH(H128,Lists!$A$2:$A$11,0)))*(K128+IF(INDEX(Platforms!$E$5:$E$14,MATCH(H128,Lists!$A$2:$A$11,0))="Yes",N(L128),0))+N(INDEX(Platforms!$D$5:$D$14,MATCH(H128,Lists!$A$2:$A$11,0)))))),""))</f>
        <v/>
      </c>
      <c r="R128" s="16" t="str">
        <f t="shared" si="5"/>
        <v/>
      </c>
      <c r="S128" s="17" t="str">
        <f t="shared" si="6"/>
        <v/>
      </c>
      <c r="T128" s="18" t="str">
        <f t="shared" ca="1" si="7"/>
        <v/>
      </c>
    </row>
    <row r="129" spans="1:20" x14ac:dyDescent="0.35">
      <c r="A129" s="11"/>
      <c r="B129" s="11"/>
      <c r="C129" s="11"/>
      <c r="D129" s="12"/>
      <c r="E129" s="11"/>
      <c r="F129" s="13"/>
      <c r="G129" s="13"/>
      <c r="H129" s="11"/>
      <c r="I129" s="12"/>
      <c r="J129" s="12"/>
      <c r="K129" s="13"/>
      <c r="L129" s="13"/>
      <c r="M129" s="13"/>
      <c r="N129" s="13"/>
      <c r="O129" s="13"/>
      <c r="P129" s="14" t="str">
        <f t="shared" si="4"/>
        <v/>
      </c>
      <c r="Q129" s="15" t="str">
        <f>IF(OR(J129="",H129=""),"",IFERROR(IF(ISNUMBER(N129),N129,IF(K129&lt;N(INDEX(Platforms!$G$5:$G$14,MATCH(H129,Lists!$A$2:$A$11,0))),N(INDEX(Platforms!$H$5:$H$14,MATCH(H129,Lists!$A$2:$A$11,0))),MAX(N(INDEX(Platforms!$F$5:$F$14,MATCH(H129,Lists!$A$2:$A$11,0))),N(INDEX(Platforms!$C$5:$C$14,MATCH(H129,Lists!$A$2:$A$11,0)))*(K129+IF(INDEX(Platforms!$E$5:$E$14,MATCH(H129,Lists!$A$2:$A$11,0))="Yes",N(L129),0))+N(INDEX(Platforms!$D$5:$D$14,MATCH(H129,Lists!$A$2:$A$11,0)))))),""))</f>
        <v/>
      </c>
      <c r="R129" s="16" t="str">
        <f t="shared" si="5"/>
        <v/>
      </c>
      <c r="S129" s="17" t="str">
        <f t="shared" si="6"/>
        <v/>
      </c>
      <c r="T129" s="18" t="str">
        <f t="shared" ca="1" si="7"/>
        <v/>
      </c>
    </row>
    <row r="130" spans="1:20" x14ac:dyDescent="0.35">
      <c r="A130" s="11"/>
      <c r="B130" s="11"/>
      <c r="C130" s="11"/>
      <c r="D130" s="12"/>
      <c r="E130" s="11"/>
      <c r="F130" s="13"/>
      <c r="G130" s="13"/>
      <c r="H130" s="11"/>
      <c r="I130" s="12"/>
      <c r="J130" s="12"/>
      <c r="K130" s="13"/>
      <c r="L130" s="13"/>
      <c r="M130" s="13"/>
      <c r="N130" s="13"/>
      <c r="O130" s="13"/>
      <c r="P130" s="14" t="str">
        <f t="shared" si="4"/>
        <v/>
      </c>
      <c r="Q130" s="15" t="str">
        <f>IF(OR(J130="",H130=""),"",IFERROR(IF(ISNUMBER(N130),N130,IF(K130&lt;N(INDEX(Platforms!$G$5:$G$14,MATCH(H130,Lists!$A$2:$A$11,0))),N(INDEX(Platforms!$H$5:$H$14,MATCH(H130,Lists!$A$2:$A$11,0))),MAX(N(INDEX(Platforms!$F$5:$F$14,MATCH(H130,Lists!$A$2:$A$11,0))),N(INDEX(Platforms!$C$5:$C$14,MATCH(H130,Lists!$A$2:$A$11,0)))*(K130+IF(INDEX(Platforms!$E$5:$E$14,MATCH(H130,Lists!$A$2:$A$11,0))="Yes",N(L130),0))+N(INDEX(Platforms!$D$5:$D$14,MATCH(H130,Lists!$A$2:$A$11,0)))))),""))</f>
        <v/>
      </c>
      <c r="R130" s="16" t="str">
        <f t="shared" si="5"/>
        <v/>
      </c>
      <c r="S130" s="17" t="str">
        <f t="shared" si="6"/>
        <v/>
      </c>
      <c r="T130" s="18" t="str">
        <f t="shared" ca="1" si="7"/>
        <v/>
      </c>
    </row>
    <row r="131" spans="1:20" x14ac:dyDescent="0.35">
      <c r="A131" s="11"/>
      <c r="B131" s="11"/>
      <c r="C131" s="11"/>
      <c r="D131" s="12"/>
      <c r="E131" s="11"/>
      <c r="F131" s="13"/>
      <c r="G131" s="13"/>
      <c r="H131" s="11"/>
      <c r="I131" s="12"/>
      <c r="J131" s="12"/>
      <c r="K131" s="13"/>
      <c r="L131" s="13"/>
      <c r="M131" s="13"/>
      <c r="N131" s="13"/>
      <c r="O131" s="13"/>
      <c r="P131" s="14" t="str">
        <f t="shared" si="4"/>
        <v/>
      </c>
      <c r="Q131" s="15" t="str">
        <f>IF(OR(J131="",H131=""),"",IFERROR(IF(ISNUMBER(N131),N131,IF(K131&lt;N(INDEX(Platforms!$G$5:$G$14,MATCH(H131,Lists!$A$2:$A$11,0))),N(INDEX(Platforms!$H$5:$H$14,MATCH(H131,Lists!$A$2:$A$11,0))),MAX(N(INDEX(Platforms!$F$5:$F$14,MATCH(H131,Lists!$A$2:$A$11,0))),N(INDEX(Platforms!$C$5:$C$14,MATCH(H131,Lists!$A$2:$A$11,0)))*(K131+IF(INDEX(Platforms!$E$5:$E$14,MATCH(H131,Lists!$A$2:$A$11,0))="Yes",N(L131),0))+N(INDEX(Platforms!$D$5:$D$14,MATCH(H131,Lists!$A$2:$A$11,0)))))),""))</f>
        <v/>
      </c>
      <c r="R131" s="16" t="str">
        <f t="shared" si="5"/>
        <v/>
      </c>
      <c r="S131" s="17" t="str">
        <f t="shared" si="6"/>
        <v/>
      </c>
      <c r="T131" s="18" t="str">
        <f t="shared" ca="1" si="7"/>
        <v/>
      </c>
    </row>
    <row r="132" spans="1:20" x14ac:dyDescent="0.35">
      <c r="A132" s="11"/>
      <c r="B132" s="11"/>
      <c r="C132" s="11"/>
      <c r="D132" s="12"/>
      <c r="E132" s="11"/>
      <c r="F132" s="13"/>
      <c r="G132" s="13"/>
      <c r="H132" s="11"/>
      <c r="I132" s="12"/>
      <c r="J132" s="12"/>
      <c r="K132" s="13"/>
      <c r="L132" s="13"/>
      <c r="M132" s="13"/>
      <c r="N132" s="13"/>
      <c r="O132" s="13"/>
      <c r="P132" s="14" t="str">
        <f t="shared" si="4"/>
        <v/>
      </c>
      <c r="Q132" s="15" t="str">
        <f>IF(OR(J132="",H132=""),"",IFERROR(IF(ISNUMBER(N132),N132,IF(K132&lt;N(INDEX(Platforms!$G$5:$G$14,MATCH(H132,Lists!$A$2:$A$11,0))),N(INDEX(Platforms!$H$5:$H$14,MATCH(H132,Lists!$A$2:$A$11,0))),MAX(N(INDEX(Platforms!$F$5:$F$14,MATCH(H132,Lists!$A$2:$A$11,0))),N(INDEX(Platforms!$C$5:$C$14,MATCH(H132,Lists!$A$2:$A$11,0)))*(K132+IF(INDEX(Platforms!$E$5:$E$14,MATCH(H132,Lists!$A$2:$A$11,0))="Yes",N(L132),0))+N(INDEX(Platforms!$D$5:$D$14,MATCH(H132,Lists!$A$2:$A$11,0)))))),""))</f>
        <v/>
      </c>
      <c r="R132" s="16" t="str">
        <f t="shared" si="5"/>
        <v/>
      </c>
      <c r="S132" s="17" t="str">
        <f t="shared" si="6"/>
        <v/>
      </c>
      <c r="T132" s="18" t="str">
        <f t="shared" ca="1" si="7"/>
        <v/>
      </c>
    </row>
    <row r="133" spans="1:20" x14ac:dyDescent="0.35">
      <c r="A133" s="11"/>
      <c r="B133" s="11"/>
      <c r="C133" s="11"/>
      <c r="D133" s="12"/>
      <c r="E133" s="11"/>
      <c r="F133" s="13"/>
      <c r="G133" s="13"/>
      <c r="H133" s="11"/>
      <c r="I133" s="12"/>
      <c r="J133" s="12"/>
      <c r="K133" s="13"/>
      <c r="L133" s="13"/>
      <c r="M133" s="13"/>
      <c r="N133" s="13"/>
      <c r="O133" s="13"/>
      <c r="P133" s="14" t="str">
        <f t="shared" ref="P133:P196" si="8">IF(OR(B133&lt;&gt;"",F133&lt;&gt;"",H133&lt;&gt;"",J133&lt;&gt;"",K133&lt;&gt;""),IF(J133&lt;&gt;"","Sold",IF(I133&lt;&gt;"","Listed","In stock")),"")</f>
        <v/>
      </c>
      <c r="Q133" s="15" t="str">
        <f>IF(OR(J133="",H133=""),"",IFERROR(IF(ISNUMBER(N133),N133,IF(K133&lt;N(INDEX(Platforms!$G$5:$G$14,MATCH(H133,Lists!$A$2:$A$11,0))),N(INDEX(Platforms!$H$5:$H$14,MATCH(H133,Lists!$A$2:$A$11,0))),MAX(N(INDEX(Platforms!$F$5:$F$14,MATCH(H133,Lists!$A$2:$A$11,0))),N(INDEX(Platforms!$C$5:$C$14,MATCH(H133,Lists!$A$2:$A$11,0)))*(K133+IF(INDEX(Platforms!$E$5:$E$14,MATCH(H133,Lists!$A$2:$A$11,0))="Yes",N(L133),0))+N(INDEX(Platforms!$D$5:$D$14,MATCH(H133,Lists!$A$2:$A$11,0)))))),""))</f>
        <v/>
      </c>
      <c r="R133" s="16" t="str">
        <f t="shared" ref="R133:R196" si="9">IF(J133="","",IFERROR(K133+N(L133)-N(O133)-Q133-N(M133)-N(F133)-N(G133),""))</f>
        <v/>
      </c>
      <c r="S133" s="17" t="str">
        <f t="shared" ref="S133:S196" si="10">IF(OR(R133="",N(F133)+N(G133)=0),"",R133/(N(F133)+N(G133)))</f>
        <v/>
      </c>
      <c r="T133" s="18" t="str">
        <f t="shared" ref="T133:T196" ca="1" si="11">IFERROR(IF(ISNUMBER(D133),IF(ISNUMBER(J133),J133,IF(J133="",TODAY(),""))-D133,""),"")</f>
        <v/>
      </c>
    </row>
    <row r="134" spans="1:20" x14ac:dyDescent="0.35">
      <c r="A134" s="11"/>
      <c r="B134" s="11"/>
      <c r="C134" s="11"/>
      <c r="D134" s="12"/>
      <c r="E134" s="11"/>
      <c r="F134" s="13"/>
      <c r="G134" s="13"/>
      <c r="H134" s="11"/>
      <c r="I134" s="12"/>
      <c r="J134" s="12"/>
      <c r="K134" s="13"/>
      <c r="L134" s="13"/>
      <c r="M134" s="13"/>
      <c r="N134" s="13"/>
      <c r="O134" s="13"/>
      <c r="P134" s="14" t="str">
        <f t="shared" si="8"/>
        <v/>
      </c>
      <c r="Q134" s="15" t="str">
        <f>IF(OR(J134="",H134=""),"",IFERROR(IF(ISNUMBER(N134),N134,IF(K134&lt;N(INDEX(Platforms!$G$5:$G$14,MATCH(H134,Lists!$A$2:$A$11,0))),N(INDEX(Platforms!$H$5:$H$14,MATCH(H134,Lists!$A$2:$A$11,0))),MAX(N(INDEX(Platforms!$F$5:$F$14,MATCH(H134,Lists!$A$2:$A$11,0))),N(INDEX(Platforms!$C$5:$C$14,MATCH(H134,Lists!$A$2:$A$11,0)))*(K134+IF(INDEX(Platforms!$E$5:$E$14,MATCH(H134,Lists!$A$2:$A$11,0))="Yes",N(L134),0))+N(INDEX(Platforms!$D$5:$D$14,MATCH(H134,Lists!$A$2:$A$11,0)))))),""))</f>
        <v/>
      </c>
      <c r="R134" s="16" t="str">
        <f t="shared" si="9"/>
        <v/>
      </c>
      <c r="S134" s="17" t="str">
        <f t="shared" si="10"/>
        <v/>
      </c>
      <c r="T134" s="18" t="str">
        <f t="shared" ca="1" si="11"/>
        <v/>
      </c>
    </row>
    <row r="135" spans="1:20" x14ac:dyDescent="0.35">
      <c r="A135" s="11"/>
      <c r="B135" s="11"/>
      <c r="C135" s="11"/>
      <c r="D135" s="12"/>
      <c r="E135" s="11"/>
      <c r="F135" s="13"/>
      <c r="G135" s="13"/>
      <c r="H135" s="11"/>
      <c r="I135" s="12"/>
      <c r="J135" s="12"/>
      <c r="K135" s="13"/>
      <c r="L135" s="13"/>
      <c r="M135" s="13"/>
      <c r="N135" s="13"/>
      <c r="O135" s="13"/>
      <c r="P135" s="14" t="str">
        <f t="shared" si="8"/>
        <v/>
      </c>
      <c r="Q135" s="15" t="str">
        <f>IF(OR(J135="",H135=""),"",IFERROR(IF(ISNUMBER(N135),N135,IF(K135&lt;N(INDEX(Platforms!$G$5:$G$14,MATCH(H135,Lists!$A$2:$A$11,0))),N(INDEX(Platforms!$H$5:$H$14,MATCH(H135,Lists!$A$2:$A$11,0))),MAX(N(INDEX(Platforms!$F$5:$F$14,MATCH(H135,Lists!$A$2:$A$11,0))),N(INDEX(Platforms!$C$5:$C$14,MATCH(H135,Lists!$A$2:$A$11,0)))*(K135+IF(INDEX(Platforms!$E$5:$E$14,MATCH(H135,Lists!$A$2:$A$11,0))="Yes",N(L135),0))+N(INDEX(Platforms!$D$5:$D$14,MATCH(H135,Lists!$A$2:$A$11,0)))))),""))</f>
        <v/>
      </c>
      <c r="R135" s="16" t="str">
        <f t="shared" si="9"/>
        <v/>
      </c>
      <c r="S135" s="17" t="str">
        <f t="shared" si="10"/>
        <v/>
      </c>
      <c r="T135" s="18" t="str">
        <f t="shared" ca="1" si="11"/>
        <v/>
      </c>
    </row>
    <row r="136" spans="1:20" x14ac:dyDescent="0.35">
      <c r="A136" s="11"/>
      <c r="B136" s="11"/>
      <c r="C136" s="11"/>
      <c r="D136" s="12"/>
      <c r="E136" s="11"/>
      <c r="F136" s="13"/>
      <c r="G136" s="13"/>
      <c r="H136" s="11"/>
      <c r="I136" s="12"/>
      <c r="J136" s="12"/>
      <c r="K136" s="13"/>
      <c r="L136" s="13"/>
      <c r="M136" s="13"/>
      <c r="N136" s="13"/>
      <c r="O136" s="13"/>
      <c r="P136" s="14" t="str">
        <f t="shared" si="8"/>
        <v/>
      </c>
      <c r="Q136" s="15" t="str">
        <f>IF(OR(J136="",H136=""),"",IFERROR(IF(ISNUMBER(N136),N136,IF(K136&lt;N(INDEX(Platforms!$G$5:$G$14,MATCH(H136,Lists!$A$2:$A$11,0))),N(INDEX(Platforms!$H$5:$H$14,MATCH(H136,Lists!$A$2:$A$11,0))),MAX(N(INDEX(Platforms!$F$5:$F$14,MATCH(H136,Lists!$A$2:$A$11,0))),N(INDEX(Platforms!$C$5:$C$14,MATCH(H136,Lists!$A$2:$A$11,0)))*(K136+IF(INDEX(Platforms!$E$5:$E$14,MATCH(H136,Lists!$A$2:$A$11,0))="Yes",N(L136),0))+N(INDEX(Platforms!$D$5:$D$14,MATCH(H136,Lists!$A$2:$A$11,0)))))),""))</f>
        <v/>
      </c>
      <c r="R136" s="16" t="str">
        <f t="shared" si="9"/>
        <v/>
      </c>
      <c r="S136" s="17" t="str">
        <f t="shared" si="10"/>
        <v/>
      </c>
      <c r="T136" s="18" t="str">
        <f t="shared" ca="1" si="11"/>
        <v/>
      </c>
    </row>
    <row r="137" spans="1:20" x14ac:dyDescent="0.35">
      <c r="A137" s="11"/>
      <c r="B137" s="11"/>
      <c r="C137" s="11"/>
      <c r="D137" s="12"/>
      <c r="E137" s="11"/>
      <c r="F137" s="13"/>
      <c r="G137" s="13"/>
      <c r="H137" s="11"/>
      <c r="I137" s="12"/>
      <c r="J137" s="12"/>
      <c r="K137" s="13"/>
      <c r="L137" s="13"/>
      <c r="M137" s="13"/>
      <c r="N137" s="13"/>
      <c r="O137" s="13"/>
      <c r="P137" s="14" t="str">
        <f t="shared" si="8"/>
        <v/>
      </c>
      <c r="Q137" s="15" t="str">
        <f>IF(OR(J137="",H137=""),"",IFERROR(IF(ISNUMBER(N137),N137,IF(K137&lt;N(INDEX(Platforms!$G$5:$G$14,MATCH(H137,Lists!$A$2:$A$11,0))),N(INDEX(Platforms!$H$5:$H$14,MATCH(H137,Lists!$A$2:$A$11,0))),MAX(N(INDEX(Platforms!$F$5:$F$14,MATCH(H137,Lists!$A$2:$A$11,0))),N(INDEX(Platforms!$C$5:$C$14,MATCH(H137,Lists!$A$2:$A$11,0)))*(K137+IF(INDEX(Platforms!$E$5:$E$14,MATCH(H137,Lists!$A$2:$A$11,0))="Yes",N(L137),0))+N(INDEX(Platforms!$D$5:$D$14,MATCH(H137,Lists!$A$2:$A$11,0)))))),""))</f>
        <v/>
      </c>
      <c r="R137" s="16" t="str">
        <f t="shared" si="9"/>
        <v/>
      </c>
      <c r="S137" s="17" t="str">
        <f t="shared" si="10"/>
        <v/>
      </c>
      <c r="T137" s="18" t="str">
        <f t="shared" ca="1" si="11"/>
        <v/>
      </c>
    </row>
    <row r="138" spans="1:20" x14ac:dyDescent="0.35">
      <c r="A138" s="11"/>
      <c r="B138" s="11"/>
      <c r="C138" s="11"/>
      <c r="D138" s="12"/>
      <c r="E138" s="11"/>
      <c r="F138" s="13"/>
      <c r="G138" s="13"/>
      <c r="H138" s="11"/>
      <c r="I138" s="12"/>
      <c r="J138" s="12"/>
      <c r="K138" s="13"/>
      <c r="L138" s="13"/>
      <c r="M138" s="13"/>
      <c r="N138" s="13"/>
      <c r="O138" s="13"/>
      <c r="P138" s="14" t="str">
        <f t="shared" si="8"/>
        <v/>
      </c>
      <c r="Q138" s="15" t="str">
        <f>IF(OR(J138="",H138=""),"",IFERROR(IF(ISNUMBER(N138),N138,IF(K138&lt;N(INDEX(Platforms!$G$5:$G$14,MATCH(H138,Lists!$A$2:$A$11,0))),N(INDEX(Platforms!$H$5:$H$14,MATCH(H138,Lists!$A$2:$A$11,0))),MAX(N(INDEX(Platforms!$F$5:$F$14,MATCH(H138,Lists!$A$2:$A$11,0))),N(INDEX(Platforms!$C$5:$C$14,MATCH(H138,Lists!$A$2:$A$11,0)))*(K138+IF(INDEX(Platforms!$E$5:$E$14,MATCH(H138,Lists!$A$2:$A$11,0))="Yes",N(L138),0))+N(INDEX(Platforms!$D$5:$D$14,MATCH(H138,Lists!$A$2:$A$11,0)))))),""))</f>
        <v/>
      </c>
      <c r="R138" s="16" t="str">
        <f t="shared" si="9"/>
        <v/>
      </c>
      <c r="S138" s="17" t="str">
        <f t="shared" si="10"/>
        <v/>
      </c>
      <c r="T138" s="18" t="str">
        <f t="shared" ca="1" si="11"/>
        <v/>
      </c>
    </row>
    <row r="139" spans="1:20" x14ac:dyDescent="0.35">
      <c r="A139" s="11"/>
      <c r="B139" s="11"/>
      <c r="C139" s="11"/>
      <c r="D139" s="12"/>
      <c r="E139" s="11"/>
      <c r="F139" s="13"/>
      <c r="G139" s="13"/>
      <c r="H139" s="11"/>
      <c r="I139" s="12"/>
      <c r="J139" s="12"/>
      <c r="K139" s="13"/>
      <c r="L139" s="13"/>
      <c r="M139" s="13"/>
      <c r="N139" s="13"/>
      <c r="O139" s="13"/>
      <c r="P139" s="14" t="str">
        <f t="shared" si="8"/>
        <v/>
      </c>
      <c r="Q139" s="15" t="str">
        <f>IF(OR(J139="",H139=""),"",IFERROR(IF(ISNUMBER(N139),N139,IF(K139&lt;N(INDEX(Platforms!$G$5:$G$14,MATCH(H139,Lists!$A$2:$A$11,0))),N(INDEX(Platforms!$H$5:$H$14,MATCH(H139,Lists!$A$2:$A$11,0))),MAX(N(INDEX(Platforms!$F$5:$F$14,MATCH(H139,Lists!$A$2:$A$11,0))),N(INDEX(Platforms!$C$5:$C$14,MATCH(H139,Lists!$A$2:$A$11,0)))*(K139+IF(INDEX(Platforms!$E$5:$E$14,MATCH(H139,Lists!$A$2:$A$11,0))="Yes",N(L139),0))+N(INDEX(Platforms!$D$5:$D$14,MATCH(H139,Lists!$A$2:$A$11,0)))))),""))</f>
        <v/>
      </c>
      <c r="R139" s="16" t="str">
        <f t="shared" si="9"/>
        <v/>
      </c>
      <c r="S139" s="17" t="str">
        <f t="shared" si="10"/>
        <v/>
      </c>
      <c r="T139" s="18" t="str">
        <f t="shared" ca="1" si="11"/>
        <v/>
      </c>
    </row>
    <row r="140" spans="1:20" x14ac:dyDescent="0.35">
      <c r="A140" s="11"/>
      <c r="B140" s="11"/>
      <c r="C140" s="11"/>
      <c r="D140" s="12"/>
      <c r="E140" s="11"/>
      <c r="F140" s="13"/>
      <c r="G140" s="13"/>
      <c r="H140" s="11"/>
      <c r="I140" s="12"/>
      <c r="J140" s="12"/>
      <c r="K140" s="13"/>
      <c r="L140" s="13"/>
      <c r="M140" s="13"/>
      <c r="N140" s="13"/>
      <c r="O140" s="13"/>
      <c r="P140" s="14" t="str">
        <f t="shared" si="8"/>
        <v/>
      </c>
      <c r="Q140" s="15" t="str">
        <f>IF(OR(J140="",H140=""),"",IFERROR(IF(ISNUMBER(N140),N140,IF(K140&lt;N(INDEX(Platforms!$G$5:$G$14,MATCH(H140,Lists!$A$2:$A$11,0))),N(INDEX(Platforms!$H$5:$H$14,MATCH(H140,Lists!$A$2:$A$11,0))),MAX(N(INDEX(Platforms!$F$5:$F$14,MATCH(H140,Lists!$A$2:$A$11,0))),N(INDEX(Platforms!$C$5:$C$14,MATCH(H140,Lists!$A$2:$A$11,0)))*(K140+IF(INDEX(Platforms!$E$5:$E$14,MATCH(H140,Lists!$A$2:$A$11,0))="Yes",N(L140),0))+N(INDEX(Platforms!$D$5:$D$14,MATCH(H140,Lists!$A$2:$A$11,0)))))),""))</f>
        <v/>
      </c>
      <c r="R140" s="16" t="str">
        <f t="shared" si="9"/>
        <v/>
      </c>
      <c r="S140" s="17" t="str">
        <f t="shared" si="10"/>
        <v/>
      </c>
      <c r="T140" s="18" t="str">
        <f t="shared" ca="1" si="11"/>
        <v/>
      </c>
    </row>
    <row r="141" spans="1:20" x14ac:dyDescent="0.35">
      <c r="A141" s="11"/>
      <c r="B141" s="11"/>
      <c r="C141" s="11"/>
      <c r="D141" s="12"/>
      <c r="E141" s="11"/>
      <c r="F141" s="13"/>
      <c r="G141" s="13"/>
      <c r="H141" s="11"/>
      <c r="I141" s="12"/>
      <c r="J141" s="12"/>
      <c r="K141" s="13"/>
      <c r="L141" s="13"/>
      <c r="M141" s="13"/>
      <c r="N141" s="13"/>
      <c r="O141" s="13"/>
      <c r="P141" s="14" t="str">
        <f t="shared" si="8"/>
        <v/>
      </c>
      <c r="Q141" s="15" t="str">
        <f>IF(OR(J141="",H141=""),"",IFERROR(IF(ISNUMBER(N141),N141,IF(K141&lt;N(INDEX(Platforms!$G$5:$G$14,MATCH(H141,Lists!$A$2:$A$11,0))),N(INDEX(Platforms!$H$5:$H$14,MATCH(H141,Lists!$A$2:$A$11,0))),MAX(N(INDEX(Platforms!$F$5:$F$14,MATCH(H141,Lists!$A$2:$A$11,0))),N(INDEX(Platforms!$C$5:$C$14,MATCH(H141,Lists!$A$2:$A$11,0)))*(K141+IF(INDEX(Platforms!$E$5:$E$14,MATCH(H141,Lists!$A$2:$A$11,0))="Yes",N(L141),0))+N(INDEX(Platforms!$D$5:$D$14,MATCH(H141,Lists!$A$2:$A$11,0)))))),""))</f>
        <v/>
      </c>
      <c r="R141" s="16" t="str">
        <f t="shared" si="9"/>
        <v/>
      </c>
      <c r="S141" s="17" t="str">
        <f t="shared" si="10"/>
        <v/>
      </c>
      <c r="T141" s="18" t="str">
        <f t="shared" ca="1" si="11"/>
        <v/>
      </c>
    </row>
    <row r="142" spans="1:20" x14ac:dyDescent="0.35">
      <c r="A142" s="11"/>
      <c r="B142" s="11"/>
      <c r="C142" s="11"/>
      <c r="D142" s="12"/>
      <c r="E142" s="11"/>
      <c r="F142" s="13"/>
      <c r="G142" s="13"/>
      <c r="H142" s="11"/>
      <c r="I142" s="12"/>
      <c r="J142" s="12"/>
      <c r="K142" s="13"/>
      <c r="L142" s="13"/>
      <c r="M142" s="13"/>
      <c r="N142" s="13"/>
      <c r="O142" s="13"/>
      <c r="P142" s="14" t="str">
        <f t="shared" si="8"/>
        <v/>
      </c>
      <c r="Q142" s="15" t="str">
        <f>IF(OR(J142="",H142=""),"",IFERROR(IF(ISNUMBER(N142),N142,IF(K142&lt;N(INDEX(Platforms!$G$5:$G$14,MATCH(H142,Lists!$A$2:$A$11,0))),N(INDEX(Platforms!$H$5:$H$14,MATCH(H142,Lists!$A$2:$A$11,0))),MAX(N(INDEX(Platforms!$F$5:$F$14,MATCH(H142,Lists!$A$2:$A$11,0))),N(INDEX(Platforms!$C$5:$C$14,MATCH(H142,Lists!$A$2:$A$11,0)))*(K142+IF(INDEX(Platforms!$E$5:$E$14,MATCH(H142,Lists!$A$2:$A$11,0))="Yes",N(L142),0))+N(INDEX(Platforms!$D$5:$D$14,MATCH(H142,Lists!$A$2:$A$11,0)))))),""))</f>
        <v/>
      </c>
      <c r="R142" s="16" t="str">
        <f t="shared" si="9"/>
        <v/>
      </c>
      <c r="S142" s="17" t="str">
        <f t="shared" si="10"/>
        <v/>
      </c>
      <c r="T142" s="18" t="str">
        <f t="shared" ca="1" si="11"/>
        <v/>
      </c>
    </row>
    <row r="143" spans="1:20" x14ac:dyDescent="0.35">
      <c r="A143" s="11"/>
      <c r="B143" s="11"/>
      <c r="C143" s="11"/>
      <c r="D143" s="12"/>
      <c r="E143" s="11"/>
      <c r="F143" s="13"/>
      <c r="G143" s="13"/>
      <c r="H143" s="11"/>
      <c r="I143" s="12"/>
      <c r="J143" s="12"/>
      <c r="K143" s="13"/>
      <c r="L143" s="13"/>
      <c r="M143" s="13"/>
      <c r="N143" s="13"/>
      <c r="O143" s="13"/>
      <c r="P143" s="14" t="str">
        <f t="shared" si="8"/>
        <v/>
      </c>
      <c r="Q143" s="15" t="str">
        <f>IF(OR(J143="",H143=""),"",IFERROR(IF(ISNUMBER(N143),N143,IF(K143&lt;N(INDEX(Platforms!$G$5:$G$14,MATCH(H143,Lists!$A$2:$A$11,0))),N(INDEX(Platforms!$H$5:$H$14,MATCH(H143,Lists!$A$2:$A$11,0))),MAX(N(INDEX(Platforms!$F$5:$F$14,MATCH(H143,Lists!$A$2:$A$11,0))),N(INDEX(Platforms!$C$5:$C$14,MATCH(H143,Lists!$A$2:$A$11,0)))*(K143+IF(INDEX(Platforms!$E$5:$E$14,MATCH(H143,Lists!$A$2:$A$11,0))="Yes",N(L143),0))+N(INDEX(Platforms!$D$5:$D$14,MATCH(H143,Lists!$A$2:$A$11,0)))))),""))</f>
        <v/>
      </c>
      <c r="R143" s="16" t="str">
        <f t="shared" si="9"/>
        <v/>
      </c>
      <c r="S143" s="17" t="str">
        <f t="shared" si="10"/>
        <v/>
      </c>
      <c r="T143" s="18" t="str">
        <f t="shared" ca="1" si="11"/>
        <v/>
      </c>
    </row>
    <row r="144" spans="1:20" x14ac:dyDescent="0.35">
      <c r="A144" s="11"/>
      <c r="B144" s="11"/>
      <c r="C144" s="11"/>
      <c r="D144" s="12"/>
      <c r="E144" s="11"/>
      <c r="F144" s="13"/>
      <c r="G144" s="13"/>
      <c r="H144" s="11"/>
      <c r="I144" s="12"/>
      <c r="J144" s="12"/>
      <c r="K144" s="13"/>
      <c r="L144" s="13"/>
      <c r="M144" s="13"/>
      <c r="N144" s="13"/>
      <c r="O144" s="13"/>
      <c r="P144" s="14" t="str">
        <f t="shared" si="8"/>
        <v/>
      </c>
      <c r="Q144" s="15" t="str">
        <f>IF(OR(J144="",H144=""),"",IFERROR(IF(ISNUMBER(N144),N144,IF(K144&lt;N(INDEX(Platforms!$G$5:$G$14,MATCH(H144,Lists!$A$2:$A$11,0))),N(INDEX(Platforms!$H$5:$H$14,MATCH(H144,Lists!$A$2:$A$11,0))),MAX(N(INDEX(Platforms!$F$5:$F$14,MATCH(H144,Lists!$A$2:$A$11,0))),N(INDEX(Platforms!$C$5:$C$14,MATCH(H144,Lists!$A$2:$A$11,0)))*(K144+IF(INDEX(Platforms!$E$5:$E$14,MATCH(H144,Lists!$A$2:$A$11,0))="Yes",N(L144),0))+N(INDEX(Platforms!$D$5:$D$14,MATCH(H144,Lists!$A$2:$A$11,0)))))),""))</f>
        <v/>
      </c>
      <c r="R144" s="16" t="str">
        <f t="shared" si="9"/>
        <v/>
      </c>
      <c r="S144" s="17" t="str">
        <f t="shared" si="10"/>
        <v/>
      </c>
      <c r="T144" s="18" t="str">
        <f t="shared" ca="1" si="11"/>
        <v/>
      </c>
    </row>
    <row r="145" spans="1:20" x14ac:dyDescent="0.35">
      <c r="A145" s="11"/>
      <c r="B145" s="11"/>
      <c r="C145" s="11"/>
      <c r="D145" s="12"/>
      <c r="E145" s="11"/>
      <c r="F145" s="13"/>
      <c r="G145" s="13"/>
      <c r="H145" s="11"/>
      <c r="I145" s="12"/>
      <c r="J145" s="12"/>
      <c r="K145" s="13"/>
      <c r="L145" s="13"/>
      <c r="M145" s="13"/>
      <c r="N145" s="13"/>
      <c r="O145" s="13"/>
      <c r="P145" s="14" t="str">
        <f t="shared" si="8"/>
        <v/>
      </c>
      <c r="Q145" s="15" t="str">
        <f>IF(OR(J145="",H145=""),"",IFERROR(IF(ISNUMBER(N145),N145,IF(K145&lt;N(INDEX(Platforms!$G$5:$G$14,MATCH(H145,Lists!$A$2:$A$11,0))),N(INDEX(Platforms!$H$5:$H$14,MATCH(H145,Lists!$A$2:$A$11,0))),MAX(N(INDEX(Platforms!$F$5:$F$14,MATCH(H145,Lists!$A$2:$A$11,0))),N(INDEX(Platforms!$C$5:$C$14,MATCH(H145,Lists!$A$2:$A$11,0)))*(K145+IF(INDEX(Platforms!$E$5:$E$14,MATCH(H145,Lists!$A$2:$A$11,0))="Yes",N(L145),0))+N(INDEX(Platforms!$D$5:$D$14,MATCH(H145,Lists!$A$2:$A$11,0)))))),""))</f>
        <v/>
      </c>
      <c r="R145" s="16" t="str">
        <f t="shared" si="9"/>
        <v/>
      </c>
      <c r="S145" s="17" t="str">
        <f t="shared" si="10"/>
        <v/>
      </c>
      <c r="T145" s="18" t="str">
        <f t="shared" ca="1" si="11"/>
        <v/>
      </c>
    </row>
    <row r="146" spans="1:20" x14ac:dyDescent="0.35">
      <c r="A146" s="11"/>
      <c r="B146" s="11"/>
      <c r="C146" s="11"/>
      <c r="D146" s="12"/>
      <c r="E146" s="11"/>
      <c r="F146" s="13"/>
      <c r="G146" s="13"/>
      <c r="H146" s="11"/>
      <c r="I146" s="12"/>
      <c r="J146" s="12"/>
      <c r="K146" s="13"/>
      <c r="L146" s="13"/>
      <c r="M146" s="13"/>
      <c r="N146" s="13"/>
      <c r="O146" s="13"/>
      <c r="P146" s="14" t="str">
        <f t="shared" si="8"/>
        <v/>
      </c>
      <c r="Q146" s="15" t="str">
        <f>IF(OR(J146="",H146=""),"",IFERROR(IF(ISNUMBER(N146),N146,IF(K146&lt;N(INDEX(Platforms!$G$5:$G$14,MATCH(H146,Lists!$A$2:$A$11,0))),N(INDEX(Platforms!$H$5:$H$14,MATCH(H146,Lists!$A$2:$A$11,0))),MAX(N(INDEX(Platforms!$F$5:$F$14,MATCH(H146,Lists!$A$2:$A$11,0))),N(INDEX(Platforms!$C$5:$C$14,MATCH(H146,Lists!$A$2:$A$11,0)))*(K146+IF(INDEX(Platforms!$E$5:$E$14,MATCH(H146,Lists!$A$2:$A$11,0))="Yes",N(L146),0))+N(INDEX(Platforms!$D$5:$D$14,MATCH(H146,Lists!$A$2:$A$11,0)))))),""))</f>
        <v/>
      </c>
      <c r="R146" s="16" t="str">
        <f t="shared" si="9"/>
        <v/>
      </c>
      <c r="S146" s="17" t="str">
        <f t="shared" si="10"/>
        <v/>
      </c>
      <c r="T146" s="18" t="str">
        <f t="shared" ca="1" si="11"/>
        <v/>
      </c>
    </row>
    <row r="147" spans="1:20" x14ac:dyDescent="0.35">
      <c r="A147" s="11"/>
      <c r="B147" s="11"/>
      <c r="C147" s="11"/>
      <c r="D147" s="12"/>
      <c r="E147" s="11"/>
      <c r="F147" s="13"/>
      <c r="G147" s="13"/>
      <c r="H147" s="11"/>
      <c r="I147" s="12"/>
      <c r="J147" s="12"/>
      <c r="K147" s="13"/>
      <c r="L147" s="13"/>
      <c r="M147" s="13"/>
      <c r="N147" s="13"/>
      <c r="O147" s="13"/>
      <c r="P147" s="14" t="str">
        <f t="shared" si="8"/>
        <v/>
      </c>
      <c r="Q147" s="15" t="str">
        <f>IF(OR(J147="",H147=""),"",IFERROR(IF(ISNUMBER(N147),N147,IF(K147&lt;N(INDEX(Platforms!$G$5:$G$14,MATCH(H147,Lists!$A$2:$A$11,0))),N(INDEX(Platforms!$H$5:$H$14,MATCH(H147,Lists!$A$2:$A$11,0))),MAX(N(INDEX(Platforms!$F$5:$F$14,MATCH(H147,Lists!$A$2:$A$11,0))),N(INDEX(Platforms!$C$5:$C$14,MATCH(H147,Lists!$A$2:$A$11,0)))*(K147+IF(INDEX(Platforms!$E$5:$E$14,MATCH(H147,Lists!$A$2:$A$11,0))="Yes",N(L147),0))+N(INDEX(Platforms!$D$5:$D$14,MATCH(H147,Lists!$A$2:$A$11,0)))))),""))</f>
        <v/>
      </c>
      <c r="R147" s="16" t="str">
        <f t="shared" si="9"/>
        <v/>
      </c>
      <c r="S147" s="17" t="str">
        <f t="shared" si="10"/>
        <v/>
      </c>
      <c r="T147" s="18" t="str">
        <f t="shared" ca="1" si="11"/>
        <v/>
      </c>
    </row>
    <row r="148" spans="1:20" x14ac:dyDescent="0.35">
      <c r="A148" s="11"/>
      <c r="B148" s="11"/>
      <c r="C148" s="11"/>
      <c r="D148" s="12"/>
      <c r="E148" s="11"/>
      <c r="F148" s="13"/>
      <c r="G148" s="13"/>
      <c r="H148" s="11"/>
      <c r="I148" s="12"/>
      <c r="J148" s="12"/>
      <c r="K148" s="13"/>
      <c r="L148" s="13"/>
      <c r="M148" s="13"/>
      <c r="N148" s="13"/>
      <c r="O148" s="13"/>
      <c r="P148" s="14" t="str">
        <f t="shared" si="8"/>
        <v/>
      </c>
      <c r="Q148" s="15" t="str">
        <f>IF(OR(J148="",H148=""),"",IFERROR(IF(ISNUMBER(N148),N148,IF(K148&lt;N(INDEX(Platforms!$G$5:$G$14,MATCH(H148,Lists!$A$2:$A$11,0))),N(INDEX(Platforms!$H$5:$H$14,MATCH(H148,Lists!$A$2:$A$11,0))),MAX(N(INDEX(Platforms!$F$5:$F$14,MATCH(H148,Lists!$A$2:$A$11,0))),N(INDEX(Platforms!$C$5:$C$14,MATCH(H148,Lists!$A$2:$A$11,0)))*(K148+IF(INDEX(Platforms!$E$5:$E$14,MATCH(H148,Lists!$A$2:$A$11,0))="Yes",N(L148),0))+N(INDEX(Platforms!$D$5:$D$14,MATCH(H148,Lists!$A$2:$A$11,0)))))),""))</f>
        <v/>
      </c>
      <c r="R148" s="16" t="str">
        <f t="shared" si="9"/>
        <v/>
      </c>
      <c r="S148" s="17" t="str">
        <f t="shared" si="10"/>
        <v/>
      </c>
      <c r="T148" s="18" t="str">
        <f t="shared" ca="1" si="11"/>
        <v/>
      </c>
    </row>
    <row r="149" spans="1:20" x14ac:dyDescent="0.35">
      <c r="A149" s="11"/>
      <c r="B149" s="11"/>
      <c r="C149" s="11"/>
      <c r="D149" s="12"/>
      <c r="E149" s="11"/>
      <c r="F149" s="13"/>
      <c r="G149" s="13"/>
      <c r="H149" s="11"/>
      <c r="I149" s="12"/>
      <c r="J149" s="12"/>
      <c r="K149" s="13"/>
      <c r="L149" s="13"/>
      <c r="M149" s="13"/>
      <c r="N149" s="13"/>
      <c r="O149" s="13"/>
      <c r="P149" s="14" t="str">
        <f t="shared" si="8"/>
        <v/>
      </c>
      <c r="Q149" s="15" t="str">
        <f>IF(OR(J149="",H149=""),"",IFERROR(IF(ISNUMBER(N149),N149,IF(K149&lt;N(INDEX(Platforms!$G$5:$G$14,MATCH(H149,Lists!$A$2:$A$11,0))),N(INDEX(Platforms!$H$5:$H$14,MATCH(H149,Lists!$A$2:$A$11,0))),MAX(N(INDEX(Platforms!$F$5:$F$14,MATCH(H149,Lists!$A$2:$A$11,0))),N(INDEX(Platforms!$C$5:$C$14,MATCH(H149,Lists!$A$2:$A$11,0)))*(K149+IF(INDEX(Platforms!$E$5:$E$14,MATCH(H149,Lists!$A$2:$A$11,0))="Yes",N(L149),0))+N(INDEX(Platforms!$D$5:$D$14,MATCH(H149,Lists!$A$2:$A$11,0)))))),""))</f>
        <v/>
      </c>
      <c r="R149" s="16" t="str">
        <f t="shared" si="9"/>
        <v/>
      </c>
      <c r="S149" s="17" t="str">
        <f t="shared" si="10"/>
        <v/>
      </c>
      <c r="T149" s="18" t="str">
        <f t="shared" ca="1" si="11"/>
        <v/>
      </c>
    </row>
    <row r="150" spans="1:20" x14ac:dyDescent="0.35">
      <c r="A150" s="11"/>
      <c r="B150" s="11"/>
      <c r="C150" s="11"/>
      <c r="D150" s="12"/>
      <c r="E150" s="11"/>
      <c r="F150" s="13"/>
      <c r="G150" s="13"/>
      <c r="H150" s="11"/>
      <c r="I150" s="12"/>
      <c r="J150" s="12"/>
      <c r="K150" s="13"/>
      <c r="L150" s="13"/>
      <c r="M150" s="13"/>
      <c r="N150" s="13"/>
      <c r="O150" s="13"/>
      <c r="P150" s="14" t="str">
        <f t="shared" si="8"/>
        <v/>
      </c>
      <c r="Q150" s="15" t="str">
        <f>IF(OR(J150="",H150=""),"",IFERROR(IF(ISNUMBER(N150),N150,IF(K150&lt;N(INDEX(Platforms!$G$5:$G$14,MATCH(H150,Lists!$A$2:$A$11,0))),N(INDEX(Platforms!$H$5:$H$14,MATCH(H150,Lists!$A$2:$A$11,0))),MAX(N(INDEX(Platforms!$F$5:$F$14,MATCH(H150,Lists!$A$2:$A$11,0))),N(INDEX(Platforms!$C$5:$C$14,MATCH(H150,Lists!$A$2:$A$11,0)))*(K150+IF(INDEX(Platforms!$E$5:$E$14,MATCH(H150,Lists!$A$2:$A$11,0))="Yes",N(L150),0))+N(INDEX(Platforms!$D$5:$D$14,MATCH(H150,Lists!$A$2:$A$11,0)))))),""))</f>
        <v/>
      </c>
      <c r="R150" s="16" t="str">
        <f t="shared" si="9"/>
        <v/>
      </c>
      <c r="S150" s="17" t="str">
        <f t="shared" si="10"/>
        <v/>
      </c>
      <c r="T150" s="18" t="str">
        <f t="shared" ca="1" si="11"/>
        <v/>
      </c>
    </row>
    <row r="151" spans="1:20" x14ac:dyDescent="0.35">
      <c r="A151" s="11"/>
      <c r="B151" s="11"/>
      <c r="C151" s="11"/>
      <c r="D151" s="12"/>
      <c r="E151" s="11"/>
      <c r="F151" s="13"/>
      <c r="G151" s="13"/>
      <c r="H151" s="11"/>
      <c r="I151" s="12"/>
      <c r="J151" s="12"/>
      <c r="K151" s="13"/>
      <c r="L151" s="13"/>
      <c r="M151" s="13"/>
      <c r="N151" s="13"/>
      <c r="O151" s="13"/>
      <c r="P151" s="14" t="str">
        <f t="shared" si="8"/>
        <v/>
      </c>
      <c r="Q151" s="15" t="str">
        <f>IF(OR(J151="",H151=""),"",IFERROR(IF(ISNUMBER(N151),N151,IF(K151&lt;N(INDEX(Platforms!$G$5:$G$14,MATCH(H151,Lists!$A$2:$A$11,0))),N(INDEX(Platforms!$H$5:$H$14,MATCH(H151,Lists!$A$2:$A$11,0))),MAX(N(INDEX(Platforms!$F$5:$F$14,MATCH(H151,Lists!$A$2:$A$11,0))),N(INDEX(Platforms!$C$5:$C$14,MATCH(H151,Lists!$A$2:$A$11,0)))*(K151+IF(INDEX(Platforms!$E$5:$E$14,MATCH(H151,Lists!$A$2:$A$11,0))="Yes",N(L151),0))+N(INDEX(Platforms!$D$5:$D$14,MATCH(H151,Lists!$A$2:$A$11,0)))))),""))</f>
        <v/>
      </c>
      <c r="R151" s="16" t="str">
        <f t="shared" si="9"/>
        <v/>
      </c>
      <c r="S151" s="17" t="str">
        <f t="shared" si="10"/>
        <v/>
      </c>
      <c r="T151" s="18" t="str">
        <f t="shared" ca="1" si="11"/>
        <v/>
      </c>
    </row>
    <row r="152" spans="1:20" x14ac:dyDescent="0.35">
      <c r="A152" s="11"/>
      <c r="B152" s="11"/>
      <c r="C152" s="11"/>
      <c r="D152" s="12"/>
      <c r="E152" s="11"/>
      <c r="F152" s="13"/>
      <c r="G152" s="13"/>
      <c r="H152" s="11"/>
      <c r="I152" s="12"/>
      <c r="J152" s="12"/>
      <c r="K152" s="13"/>
      <c r="L152" s="13"/>
      <c r="M152" s="13"/>
      <c r="N152" s="13"/>
      <c r="O152" s="13"/>
      <c r="P152" s="14" t="str">
        <f t="shared" si="8"/>
        <v/>
      </c>
      <c r="Q152" s="15" t="str">
        <f>IF(OR(J152="",H152=""),"",IFERROR(IF(ISNUMBER(N152),N152,IF(K152&lt;N(INDEX(Platforms!$G$5:$G$14,MATCH(H152,Lists!$A$2:$A$11,0))),N(INDEX(Platforms!$H$5:$H$14,MATCH(H152,Lists!$A$2:$A$11,0))),MAX(N(INDEX(Platforms!$F$5:$F$14,MATCH(H152,Lists!$A$2:$A$11,0))),N(INDEX(Platforms!$C$5:$C$14,MATCH(H152,Lists!$A$2:$A$11,0)))*(K152+IF(INDEX(Platforms!$E$5:$E$14,MATCH(H152,Lists!$A$2:$A$11,0))="Yes",N(L152),0))+N(INDEX(Platforms!$D$5:$D$14,MATCH(H152,Lists!$A$2:$A$11,0)))))),""))</f>
        <v/>
      </c>
      <c r="R152" s="16" t="str">
        <f t="shared" si="9"/>
        <v/>
      </c>
      <c r="S152" s="17" t="str">
        <f t="shared" si="10"/>
        <v/>
      </c>
      <c r="T152" s="18" t="str">
        <f t="shared" ca="1" si="11"/>
        <v/>
      </c>
    </row>
    <row r="153" spans="1:20" x14ac:dyDescent="0.35">
      <c r="A153" s="11"/>
      <c r="B153" s="11"/>
      <c r="C153" s="11"/>
      <c r="D153" s="12"/>
      <c r="E153" s="11"/>
      <c r="F153" s="13"/>
      <c r="G153" s="13"/>
      <c r="H153" s="11"/>
      <c r="I153" s="12"/>
      <c r="J153" s="12"/>
      <c r="K153" s="13"/>
      <c r="L153" s="13"/>
      <c r="M153" s="13"/>
      <c r="N153" s="13"/>
      <c r="O153" s="13"/>
      <c r="P153" s="14" t="str">
        <f t="shared" si="8"/>
        <v/>
      </c>
      <c r="Q153" s="15" t="str">
        <f>IF(OR(J153="",H153=""),"",IFERROR(IF(ISNUMBER(N153),N153,IF(K153&lt;N(INDEX(Platforms!$G$5:$G$14,MATCH(H153,Lists!$A$2:$A$11,0))),N(INDEX(Platforms!$H$5:$H$14,MATCH(H153,Lists!$A$2:$A$11,0))),MAX(N(INDEX(Platforms!$F$5:$F$14,MATCH(H153,Lists!$A$2:$A$11,0))),N(INDEX(Platforms!$C$5:$C$14,MATCH(H153,Lists!$A$2:$A$11,0)))*(K153+IF(INDEX(Platforms!$E$5:$E$14,MATCH(H153,Lists!$A$2:$A$11,0))="Yes",N(L153),0))+N(INDEX(Platforms!$D$5:$D$14,MATCH(H153,Lists!$A$2:$A$11,0)))))),""))</f>
        <v/>
      </c>
      <c r="R153" s="16" t="str">
        <f t="shared" si="9"/>
        <v/>
      </c>
      <c r="S153" s="17" t="str">
        <f t="shared" si="10"/>
        <v/>
      </c>
      <c r="T153" s="18" t="str">
        <f t="shared" ca="1" si="11"/>
        <v/>
      </c>
    </row>
    <row r="154" spans="1:20" x14ac:dyDescent="0.35">
      <c r="A154" s="11"/>
      <c r="B154" s="11"/>
      <c r="C154" s="11"/>
      <c r="D154" s="12"/>
      <c r="E154" s="11"/>
      <c r="F154" s="13"/>
      <c r="G154" s="13"/>
      <c r="H154" s="11"/>
      <c r="I154" s="12"/>
      <c r="J154" s="12"/>
      <c r="K154" s="13"/>
      <c r="L154" s="13"/>
      <c r="M154" s="13"/>
      <c r="N154" s="13"/>
      <c r="O154" s="13"/>
      <c r="P154" s="14" t="str">
        <f t="shared" si="8"/>
        <v/>
      </c>
      <c r="Q154" s="15" t="str">
        <f>IF(OR(J154="",H154=""),"",IFERROR(IF(ISNUMBER(N154),N154,IF(K154&lt;N(INDEX(Platforms!$G$5:$G$14,MATCH(H154,Lists!$A$2:$A$11,0))),N(INDEX(Platforms!$H$5:$H$14,MATCH(H154,Lists!$A$2:$A$11,0))),MAX(N(INDEX(Platforms!$F$5:$F$14,MATCH(H154,Lists!$A$2:$A$11,0))),N(INDEX(Platforms!$C$5:$C$14,MATCH(H154,Lists!$A$2:$A$11,0)))*(K154+IF(INDEX(Platforms!$E$5:$E$14,MATCH(H154,Lists!$A$2:$A$11,0))="Yes",N(L154),0))+N(INDEX(Platforms!$D$5:$D$14,MATCH(H154,Lists!$A$2:$A$11,0)))))),""))</f>
        <v/>
      </c>
      <c r="R154" s="16" t="str">
        <f t="shared" si="9"/>
        <v/>
      </c>
      <c r="S154" s="17" t="str">
        <f t="shared" si="10"/>
        <v/>
      </c>
      <c r="T154" s="18" t="str">
        <f t="shared" ca="1" si="11"/>
        <v/>
      </c>
    </row>
    <row r="155" spans="1:20" x14ac:dyDescent="0.35">
      <c r="A155" s="11"/>
      <c r="B155" s="11"/>
      <c r="C155" s="11"/>
      <c r="D155" s="12"/>
      <c r="E155" s="11"/>
      <c r="F155" s="13"/>
      <c r="G155" s="13"/>
      <c r="H155" s="11"/>
      <c r="I155" s="12"/>
      <c r="J155" s="12"/>
      <c r="K155" s="13"/>
      <c r="L155" s="13"/>
      <c r="M155" s="13"/>
      <c r="N155" s="13"/>
      <c r="O155" s="13"/>
      <c r="P155" s="14" t="str">
        <f t="shared" si="8"/>
        <v/>
      </c>
      <c r="Q155" s="15" t="str">
        <f>IF(OR(J155="",H155=""),"",IFERROR(IF(ISNUMBER(N155),N155,IF(K155&lt;N(INDEX(Platforms!$G$5:$G$14,MATCH(H155,Lists!$A$2:$A$11,0))),N(INDEX(Platforms!$H$5:$H$14,MATCH(H155,Lists!$A$2:$A$11,0))),MAX(N(INDEX(Platforms!$F$5:$F$14,MATCH(H155,Lists!$A$2:$A$11,0))),N(INDEX(Platforms!$C$5:$C$14,MATCH(H155,Lists!$A$2:$A$11,0)))*(K155+IF(INDEX(Platforms!$E$5:$E$14,MATCH(H155,Lists!$A$2:$A$11,0))="Yes",N(L155),0))+N(INDEX(Platforms!$D$5:$D$14,MATCH(H155,Lists!$A$2:$A$11,0)))))),""))</f>
        <v/>
      </c>
      <c r="R155" s="16" t="str">
        <f t="shared" si="9"/>
        <v/>
      </c>
      <c r="S155" s="17" t="str">
        <f t="shared" si="10"/>
        <v/>
      </c>
      <c r="T155" s="18" t="str">
        <f t="shared" ca="1" si="11"/>
        <v/>
      </c>
    </row>
    <row r="156" spans="1:20" x14ac:dyDescent="0.35">
      <c r="A156" s="11"/>
      <c r="B156" s="11"/>
      <c r="C156" s="11"/>
      <c r="D156" s="12"/>
      <c r="E156" s="11"/>
      <c r="F156" s="13"/>
      <c r="G156" s="13"/>
      <c r="H156" s="11"/>
      <c r="I156" s="12"/>
      <c r="J156" s="12"/>
      <c r="K156" s="13"/>
      <c r="L156" s="13"/>
      <c r="M156" s="13"/>
      <c r="N156" s="13"/>
      <c r="O156" s="13"/>
      <c r="P156" s="14" t="str">
        <f t="shared" si="8"/>
        <v/>
      </c>
      <c r="Q156" s="15" t="str">
        <f>IF(OR(J156="",H156=""),"",IFERROR(IF(ISNUMBER(N156),N156,IF(K156&lt;N(INDEX(Platforms!$G$5:$G$14,MATCH(H156,Lists!$A$2:$A$11,0))),N(INDEX(Platforms!$H$5:$H$14,MATCH(H156,Lists!$A$2:$A$11,0))),MAX(N(INDEX(Platforms!$F$5:$F$14,MATCH(H156,Lists!$A$2:$A$11,0))),N(INDEX(Platforms!$C$5:$C$14,MATCH(H156,Lists!$A$2:$A$11,0)))*(K156+IF(INDEX(Platforms!$E$5:$E$14,MATCH(H156,Lists!$A$2:$A$11,0))="Yes",N(L156),0))+N(INDEX(Platforms!$D$5:$D$14,MATCH(H156,Lists!$A$2:$A$11,0)))))),""))</f>
        <v/>
      </c>
      <c r="R156" s="16" t="str">
        <f t="shared" si="9"/>
        <v/>
      </c>
      <c r="S156" s="17" t="str">
        <f t="shared" si="10"/>
        <v/>
      </c>
      <c r="T156" s="18" t="str">
        <f t="shared" ca="1" si="11"/>
        <v/>
      </c>
    </row>
    <row r="157" spans="1:20" x14ac:dyDescent="0.35">
      <c r="A157" s="11"/>
      <c r="B157" s="11"/>
      <c r="C157" s="11"/>
      <c r="D157" s="12"/>
      <c r="E157" s="11"/>
      <c r="F157" s="13"/>
      <c r="G157" s="13"/>
      <c r="H157" s="11"/>
      <c r="I157" s="12"/>
      <c r="J157" s="12"/>
      <c r="K157" s="13"/>
      <c r="L157" s="13"/>
      <c r="M157" s="13"/>
      <c r="N157" s="13"/>
      <c r="O157" s="13"/>
      <c r="P157" s="14" t="str">
        <f t="shared" si="8"/>
        <v/>
      </c>
      <c r="Q157" s="15" t="str">
        <f>IF(OR(J157="",H157=""),"",IFERROR(IF(ISNUMBER(N157),N157,IF(K157&lt;N(INDEX(Platforms!$G$5:$G$14,MATCH(H157,Lists!$A$2:$A$11,0))),N(INDEX(Platforms!$H$5:$H$14,MATCH(H157,Lists!$A$2:$A$11,0))),MAX(N(INDEX(Platforms!$F$5:$F$14,MATCH(H157,Lists!$A$2:$A$11,0))),N(INDEX(Platforms!$C$5:$C$14,MATCH(H157,Lists!$A$2:$A$11,0)))*(K157+IF(INDEX(Platforms!$E$5:$E$14,MATCH(H157,Lists!$A$2:$A$11,0))="Yes",N(L157),0))+N(INDEX(Platforms!$D$5:$D$14,MATCH(H157,Lists!$A$2:$A$11,0)))))),""))</f>
        <v/>
      </c>
      <c r="R157" s="16" t="str">
        <f t="shared" si="9"/>
        <v/>
      </c>
      <c r="S157" s="17" t="str">
        <f t="shared" si="10"/>
        <v/>
      </c>
      <c r="T157" s="18" t="str">
        <f t="shared" ca="1" si="11"/>
        <v/>
      </c>
    </row>
    <row r="158" spans="1:20" x14ac:dyDescent="0.35">
      <c r="A158" s="11"/>
      <c r="B158" s="11"/>
      <c r="C158" s="11"/>
      <c r="D158" s="12"/>
      <c r="E158" s="11"/>
      <c r="F158" s="13"/>
      <c r="G158" s="13"/>
      <c r="H158" s="11"/>
      <c r="I158" s="12"/>
      <c r="J158" s="12"/>
      <c r="K158" s="13"/>
      <c r="L158" s="13"/>
      <c r="M158" s="13"/>
      <c r="N158" s="13"/>
      <c r="O158" s="13"/>
      <c r="P158" s="14" t="str">
        <f t="shared" si="8"/>
        <v/>
      </c>
      <c r="Q158" s="15" t="str">
        <f>IF(OR(J158="",H158=""),"",IFERROR(IF(ISNUMBER(N158),N158,IF(K158&lt;N(INDEX(Platforms!$G$5:$G$14,MATCH(H158,Lists!$A$2:$A$11,0))),N(INDEX(Platforms!$H$5:$H$14,MATCH(H158,Lists!$A$2:$A$11,0))),MAX(N(INDEX(Platforms!$F$5:$F$14,MATCH(H158,Lists!$A$2:$A$11,0))),N(INDEX(Platforms!$C$5:$C$14,MATCH(H158,Lists!$A$2:$A$11,0)))*(K158+IF(INDEX(Platforms!$E$5:$E$14,MATCH(H158,Lists!$A$2:$A$11,0))="Yes",N(L158),0))+N(INDEX(Platforms!$D$5:$D$14,MATCH(H158,Lists!$A$2:$A$11,0)))))),""))</f>
        <v/>
      </c>
      <c r="R158" s="16" t="str">
        <f t="shared" si="9"/>
        <v/>
      </c>
      <c r="S158" s="17" t="str">
        <f t="shared" si="10"/>
        <v/>
      </c>
      <c r="T158" s="18" t="str">
        <f t="shared" ca="1" si="11"/>
        <v/>
      </c>
    </row>
    <row r="159" spans="1:20" x14ac:dyDescent="0.35">
      <c r="A159" s="11"/>
      <c r="B159" s="11"/>
      <c r="C159" s="11"/>
      <c r="D159" s="12"/>
      <c r="E159" s="11"/>
      <c r="F159" s="13"/>
      <c r="G159" s="13"/>
      <c r="H159" s="11"/>
      <c r="I159" s="12"/>
      <c r="J159" s="12"/>
      <c r="K159" s="13"/>
      <c r="L159" s="13"/>
      <c r="M159" s="13"/>
      <c r="N159" s="13"/>
      <c r="O159" s="13"/>
      <c r="P159" s="14" t="str">
        <f t="shared" si="8"/>
        <v/>
      </c>
      <c r="Q159" s="15" t="str">
        <f>IF(OR(J159="",H159=""),"",IFERROR(IF(ISNUMBER(N159),N159,IF(K159&lt;N(INDEX(Platforms!$G$5:$G$14,MATCH(H159,Lists!$A$2:$A$11,0))),N(INDEX(Platforms!$H$5:$H$14,MATCH(H159,Lists!$A$2:$A$11,0))),MAX(N(INDEX(Platforms!$F$5:$F$14,MATCH(H159,Lists!$A$2:$A$11,0))),N(INDEX(Platforms!$C$5:$C$14,MATCH(H159,Lists!$A$2:$A$11,0)))*(K159+IF(INDEX(Platforms!$E$5:$E$14,MATCH(H159,Lists!$A$2:$A$11,0))="Yes",N(L159),0))+N(INDEX(Platforms!$D$5:$D$14,MATCH(H159,Lists!$A$2:$A$11,0)))))),""))</f>
        <v/>
      </c>
      <c r="R159" s="16" t="str">
        <f t="shared" si="9"/>
        <v/>
      </c>
      <c r="S159" s="17" t="str">
        <f t="shared" si="10"/>
        <v/>
      </c>
      <c r="T159" s="18" t="str">
        <f t="shared" ca="1" si="11"/>
        <v/>
      </c>
    </row>
    <row r="160" spans="1:20" x14ac:dyDescent="0.35">
      <c r="A160" s="11"/>
      <c r="B160" s="11"/>
      <c r="C160" s="11"/>
      <c r="D160" s="12"/>
      <c r="E160" s="11"/>
      <c r="F160" s="13"/>
      <c r="G160" s="13"/>
      <c r="H160" s="11"/>
      <c r="I160" s="12"/>
      <c r="J160" s="12"/>
      <c r="K160" s="13"/>
      <c r="L160" s="13"/>
      <c r="M160" s="13"/>
      <c r="N160" s="13"/>
      <c r="O160" s="13"/>
      <c r="P160" s="14" t="str">
        <f t="shared" si="8"/>
        <v/>
      </c>
      <c r="Q160" s="15" t="str">
        <f>IF(OR(J160="",H160=""),"",IFERROR(IF(ISNUMBER(N160),N160,IF(K160&lt;N(INDEX(Platforms!$G$5:$G$14,MATCH(H160,Lists!$A$2:$A$11,0))),N(INDEX(Platforms!$H$5:$H$14,MATCH(H160,Lists!$A$2:$A$11,0))),MAX(N(INDEX(Platforms!$F$5:$F$14,MATCH(H160,Lists!$A$2:$A$11,0))),N(INDEX(Platforms!$C$5:$C$14,MATCH(H160,Lists!$A$2:$A$11,0)))*(K160+IF(INDEX(Platforms!$E$5:$E$14,MATCH(H160,Lists!$A$2:$A$11,0))="Yes",N(L160),0))+N(INDEX(Platforms!$D$5:$D$14,MATCH(H160,Lists!$A$2:$A$11,0)))))),""))</f>
        <v/>
      </c>
      <c r="R160" s="16" t="str">
        <f t="shared" si="9"/>
        <v/>
      </c>
      <c r="S160" s="17" t="str">
        <f t="shared" si="10"/>
        <v/>
      </c>
      <c r="T160" s="18" t="str">
        <f t="shared" ca="1" si="11"/>
        <v/>
      </c>
    </row>
    <row r="161" spans="1:20" x14ac:dyDescent="0.35">
      <c r="A161" s="11"/>
      <c r="B161" s="11"/>
      <c r="C161" s="11"/>
      <c r="D161" s="12"/>
      <c r="E161" s="11"/>
      <c r="F161" s="13"/>
      <c r="G161" s="13"/>
      <c r="H161" s="11"/>
      <c r="I161" s="12"/>
      <c r="J161" s="12"/>
      <c r="K161" s="13"/>
      <c r="L161" s="13"/>
      <c r="M161" s="13"/>
      <c r="N161" s="13"/>
      <c r="O161" s="13"/>
      <c r="P161" s="14" t="str">
        <f t="shared" si="8"/>
        <v/>
      </c>
      <c r="Q161" s="15" t="str">
        <f>IF(OR(J161="",H161=""),"",IFERROR(IF(ISNUMBER(N161),N161,IF(K161&lt;N(INDEX(Platforms!$G$5:$G$14,MATCH(H161,Lists!$A$2:$A$11,0))),N(INDEX(Platforms!$H$5:$H$14,MATCH(H161,Lists!$A$2:$A$11,0))),MAX(N(INDEX(Platforms!$F$5:$F$14,MATCH(H161,Lists!$A$2:$A$11,0))),N(INDEX(Platforms!$C$5:$C$14,MATCH(H161,Lists!$A$2:$A$11,0)))*(K161+IF(INDEX(Platforms!$E$5:$E$14,MATCH(H161,Lists!$A$2:$A$11,0))="Yes",N(L161),0))+N(INDEX(Platforms!$D$5:$D$14,MATCH(H161,Lists!$A$2:$A$11,0)))))),""))</f>
        <v/>
      </c>
      <c r="R161" s="16" t="str">
        <f t="shared" si="9"/>
        <v/>
      </c>
      <c r="S161" s="17" t="str">
        <f t="shared" si="10"/>
        <v/>
      </c>
      <c r="T161" s="18" t="str">
        <f t="shared" ca="1" si="11"/>
        <v/>
      </c>
    </row>
    <row r="162" spans="1:20" x14ac:dyDescent="0.35">
      <c r="A162" s="11"/>
      <c r="B162" s="11"/>
      <c r="C162" s="11"/>
      <c r="D162" s="12"/>
      <c r="E162" s="11"/>
      <c r="F162" s="13"/>
      <c r="G162" s="13"/>
      <c r="H162" s="11"/>
      <c r="I162" s="12"/>
      <c r="J162" s="12"/>
      <c r="K162" s="13"/>
      <c r="L162" s="13"/>
      <c r="M162" s="13"/>
      <c r="N162" s="13"/>
      <c r="O162" s="13"/>
      <c r="P162" s="14" t="str">
        <f t="shared" si="8"/>
        <v/>
      </c>
      <c r="Q162" s="15" t="str">
        <f>IF(OR(J162="",H162=""),"",IFERROR(IF(ISNUMBER(N162),N162,IF(K162&lt;N(INDEX(Platforms!$G$5:$G$14,MATCH(H162,Lists!$A$2:$A$11,0))),N(INDEX(Platforms!$H$5:$H$14,MATCH(H162,Lists!$A$2:$A$11,0))),MAX(N(INDEX(Platforms!$F$5:$F$14,MATCH(H162,Lists!$A$2:$A$11,0))),N(INDEX(Platforms!$C$5:$C$14,MATCH(H162,Lists!$A$2:$A$11,0)))*(K162+IF(INDEX(Platforms!$E$5:$E$14,MATCH(H162,Lists!$A$2:$A$11,0))="Yes",N(L162),0))+N(INDEX(Platforms!$D$5:$D$14,MATCH(H162,Lists!$A$2:$A$11,0)))))),""))</f>
        <v/>
      </c>
      <c r="R162" s="16" t="str">
        <f t="shared" si="9"/>
        <v/>
      </c>
      <c r="S162" s="17" t="str">
        <f t="shared" si="10"/>
        <v/>
      </c>
      <c r="T162" s="18" t="str">
        <f t="shared" ca="1" si="11"/>
        <v/>
      </c>
    </row>
    <row r="163" spans="1:20" x14ac:dyDescent="0.35">
      <c r="A163" s="11"/>
      <c r="B163" s="11"/>
      <c r="C163" s="11"/>
      <c r="D163" s="12"/>
      <c r="E163" s="11"/>
      <c r="F163" s="13"/>
      <c r="G163" s="13"/>
      <c r="H163" s="11"/>
      <c r="I163" s="12"/>
      <c r="J163" s="12"/>
      <c r="K163" s="13"/>
      <c r="L163" s="13"/>
      <c r="M163" s="13"/>
      <c r="N163" s="13"/>
      <c r="O163" s="13"/>
      <c r="P163" s="14" t="str">
        <f t="shared" si="8"/>
        <v/>
      </c>
      <c r="Q163" s="15" t="str">
        <f>IF(OR(J163="",H163=""),"",IFERROR(IF(ISNUMBER(N163),N163,IF(K163&lt;N(INDEX(Platforms!$G$5:$G$14,MATCH(H163,Lists!$A$2:$A$11,0))),N(INDEX(Platforms!$H$5:$H$14,MATCH(H163,Lists!$A$2:$A$11,0))),MAX(N(INDEX(Platforms!$F$5:$F$14,MATCH(H163,Lists!$A$2:$A$11,0))),N(INDEX(Platforms!$C$5:$C$14,MATCH(H163,Lists!$A$2:$A$11,0)))*(K163+IF(INDEX(Platforms!$E$5:$E$14,MATCH(H163,Lists!$A$2:$A$11,0))="Yes",N(L163),0))+N(INDEX(Platforms!$D$5:$D$14,MATCH(H163,Lists!$A$2:$A$11,0)))))),""))</f>
        <v/>
      </c>
      <c r="R163" s="16" t="str">
        <f t="shared" si="9"/>
        <v/>
      </c>
      <c r="S163" s="17" t="str">
        <f t="shared" si="10"/>
        <v/>
      </c>
      <c r="T163" s="18" t="str">
        <f t="shared" ca="1" si="11"/>
        <v/>
      </c>
    </row>
    <row r="164" spans="1:20" x14ac:dyDescent="0.35">
      <c r="A164" s="11"/>
      <c r="B164" s="11"/>
      <c r="C164" s="11"/>
      <c r="D164" s="12"/>
      <c r="E164" s="11"/>
      <c r="F164" s="13"/>
      <c r="G164" s="13"/>
      <c r="H164" s="11"/>
      <c r="I164" s="12"/>
      <c r="J164" s="12"/>
      <c r="K164" s="13"/>
      <c r="L164" s="13"/>
      <c r="M164" s="13"/>
      <c r="N164" s="13"/>
      <c r="O164" s="13"/>
      <c r="P164" s="14" t="str">
        <f t="shared" si="8"/>
        <v/>
      </c>
      <c r="Q164" s="15" t="str">
        <f>IF(OR(J164="",H164=""),"",IFERROR(IF(ISNUMBER(N164),N164,IF(K164&lt;N(INDEX(Platforms!$G$5:$G$14,MATCH(H164,Lists!$A$2:$A$11,0))),N(INDEX(Platforms!$H$5:$H$14,MATCH(H164,Lists!$A$2:$A$11,0))),MAX(N(INDEX(Platforms!$F$5:$F$14,MATCH(H164,Lists!$A$2:$A$11,0))),N(INDEX(Platforms!$C$5:$C$14,MATCH(H164,Lists!$A$2:$A$11,0)))*(K164+IF(INDEX(Platforms!$E$5:$E$14,MATCH(H164,Lists!$A$2:$A$11,0))="Yes",N(L164),0))+N(INDEX(Platforms!$D$5:$D$14,MATCH(H164,Lists!$A$2:$A$11,0)))))),""))</f>
        <v/>
      </c>
      <c r="R164" s="16" t="str">
        <f t="shared" si="9"/>
        <v/>
      </c>
      <c r="S164" s="17" t="str">
        <f t="shared" si="10"/>
        <v/>
      </c>
      <c r="T164" s="18" t="str">
        <f t="shared" ca="1" si="11"/>
        <v/>
      </c>
    </row>
    <row r="165" spans="1:20" x14ac:dyDescent="0.35">
      <c r="A165" s="11"/>
      <c r="B165" s="11"/>
      <c r="C165" s="11"/>
      <c r="D165" s="12"/>
      <c r="E165" s="11"/>
      <c r="F165" s="13"/>
      <c r="G165" s="13"/>
      <c r="H165" s="11"/>
      <c r="I165" s="12"/>
      <c r="J165" s="12"/>
      <c r="K165" s="13"/>
      <c r="L165" s="13"/>
      <c r="M165" s="13"/>
      <c r="N165" s="13"/>
      <c r="O165" s="13"/>
      <c r="P165" s="14" t="str">
        <f t="shared" si="8"/>
        <v/>
      </c>
      <c r="Q165" s="15" t="str">
        <f>IF(OR(J165="",H165=""),"",IFERROR(IF(ISNUMBER(N165),N165,IF(K165&lt;N(INDEX(Platforms!$G$5:$G$14,MATCH(H165,Lists!$A$2:$A$11,0))),N(INDEX(Platforms!$H$5:$H$14,MATCH(H165,Lists!$A$2:$A$11,0))),MAX(N(INDEX(Platforms!$F$5:$F$14,MATCH(H165,Lists!$A$2:$A$11,0))),N(INDEX(Platforms!$C$5:$C$14,MATCH(H165,Lists!$A$2:$A$11,0)))*(K165+IF(INDEX(Platforms!$E$5:$E$14,MATCH(H165,Lists!$A$2:$A$11,0))="Yes",N(L165),0))+N(INDEX(Platforms!$D$5:$D$14,MATCH(H165,Lists!$A$2:$A$11,0)))))),""))</f>
        <v/>
      </c>
      <c r="R165" s="16" t="str">
        <f t="shared" si="9"/>
        <v/>
      </c>
      <c r="S165" s="17" t="str">
        <f t="shared" si="10"/>
        <v/>
      </c>
      <c r="T165" s="18" t="str">
        <f t="shared" ca="1" si="11"/>
        <v/>
      </c>
    </row>
    <row r="166" spans="1:20" x14ac:dyDescent="0.35">
      <c r="A166" s="11"/>
      <c r="B166" s="11"/>
      <c r="C166" s="11"/>
      <c r="D166" s="12"/>
      <c r="E166" s="11"/>
      <c r="F166" s="13"/>
      <c r="G166" s="13"/>
      <c r="H166" s="11"/>
      <c r="I166" s="12"/>
      <c r="J166" s="12"/>
      <c r="K166" s="13"/>
      <c r="L166" s="13"/>
      <c r="M166" s="13"/>
      <c r="N166" s="13"/>
      <c r="O166" s="13"/>
      <c r="P166" s="14" t="str">
        <f t="shared" si="8"/>
        <v/>
      </c>
      <c r="Q166" s="15" t="str">
        <f>IF(OR(J166="",H166=""),"",IFERROR(IF(ISNUMBER(N166),N166,IF(K166&lt;N(INDEX(Platforms!$G$5:$G$14,MATCH(H166,Lists!$A$2:$A$11,0))),N(INDEX(Platforms!$H$5:$H$14,MATCH(H166,Lists!$A$2:$A$11,0))),MAX(N(INDEX(Platforms!$F$5:$F$14,MATCH(H166,Lists!$A$2:$A$11,0))),N(INDEX(Platforms!$C$5:$C$14,MATCH(H166,Lists!$A$2:$A$11,0)))*(K166+IF(INDEX(Platforms!$E$5:$E$14,MATCH(H166,Lists!$A$2:$A$11,0))="Yes",N(L166),0))+N(INDEX(Platforms!$D$5:$D$14,MATCH(H166,Lists!$A$2:$A$11,0)))))),""))</f>
        <v/>
      </c>
      <c r="R166" s="16" t="str">
        <f t="shared" si="9"/>
        <v/>
      </c>
      <c r="S166" s="17" t="str">
        <f t="shared" si="10"/>
        <v/>
      </c>
      <c r="T166" s="18" t="str">
        <f t="shared" ca="1" si="11"/>
        <v/>
      </c>
    </row>
    <row r="167" spans="1:20" x14ac:dyDescent="0.35">
      <c r="A167" s="11"/>
      <c r="B167" s="11"/>
      <c r="C167" s="11"/>
      <c r="D167" s="12"/>
      <c r="E167" s="11"/>
      <c r="F167" s="13"/>
      <c r="G167" s="13"/>
      <c r="H167" s="11"/>
      <c r="I167" s="12"/>
      <c r="J167" s="12"/>
      <c r="K167" s="13"/>
      <c r="L167" s="13"/>
      <c r="M167" s="13"/>
      <c r="N167" s="13"/>
      <c r="O167" s="13"/>
      <c r="P167" s="14" t="str">
        <f t="shared" si="8"/>
        <v/>
      </c>
      <c r="Q167" s="15" t="str">
        <f>IF(OR(J167="",H167=""),"",IFERROR(IF(ISNUMBER(N167),N167,IF(K167&lt;N(INDEX(Platforms!$G$5:$G$14,MATCH(H167,Lists!$A$2:$A$11,0))),N(INDEX(Platforms!$H$5:$H$14,MATCH(H167,Lists!$A$2:$A$11,0))),MAX(N(INDEX(Platforms!$F$5:$F$14,MATCH(H167,Lists!$A$2:$A$11,0))),N(INDEX(Platforms!$C$5:$C$14,MATCH(H167,Lists!$A$2:$A$11,0)))*(K167+IF(INDEX(Platforms!$E$5:$E$14,MATCH(H167,Lists!$A$2:$A$11,0))="Yes",N(L167),0))+N(INDEX(Platforms!$D$5:$D$14,MATCH(H167,Lists!$A$2:$A$11,0)))))),""))</f>
        <v/>
      </c>
      <c r="R167" s="16" t="str">
        <f t="shared" si="9"/>
        <v/>
      </c>
      <c r="S167" s="17" t="str">
        <f t="shared" si="10"/>
        <v/>
      </c>
      <c r="T167" s="18" t="str">
        <f t="shared" ca="1" si="11"/>
        <v/>
      </c>
    </row>
    <row r="168" spans="1:20" x14ac:dyDescent="0.35">
      <c r="A168" s="11"/>
      <c r="B168" s="11"/>
      <c r="C168" s="11"/>
      <c r="D168" s="12"/>
      <c r="E168" s="11"/>
      <c r="F168" s="13"/>
      <c r="G168" s="13"/>
      <c r="H168" s="11"/>
      <c r="I168" s="12"/>
      <c r="J168" s="12"/>
      <c r="K168" s="13"/>
      <c r="L168" s="13"/>
      <c r="M168" s="13"/>
      <c r="N168" s="13"/>
      <c r="O168" s="13"/>
      <c r="P168" s="14" t="str">
        <f t="shared" si="8"/>
        <v/>
      </c>
      <c r="Q168" s="15" t="str">
        <f>IF(OR(J168="",H168=""),"",IFERROR(IF(ISNUMBER(N168),N168,IF(K168&lt;N(INDEX(Platforms!$G$5:$G$14,MATCH(H168,Lists!$A$2:$A$11,0))),N(INDEX(Platforms!$H$5:$H$14,MATCH(H168,Lists!$A$2:$A$11,0))),MAX(N(INDEX(Platforms!$F$5:$F$14,MATCH(H168,Lists!$A$2:$A$11,0))),N(INDEX(Platforms!$C$5:$C$14,MATCH(H168,Lists!$A$2:$A$11,0)))*(K168+IF(INDEX(Platforms!$E$5:$E$14,MATCH(H168,Lists!$A$2:$A$11,0))="Yes",N(L168),0))+N(INDEX(Platforms!$D$5:$D$14,MATCH(H168,Lists!$A$2:$A$11,0)))))),""))</f>
        <v/>
      </c>
      <c r="R168" s="16" t="str">
        <f t="shared" si="9"/>
        <v/>
      </c>
      <c r="S168" s="17" t="str">
        <f t="shared" si="10"/>
        <v/>
      </c>
      <c r="T168" s="18" t="str">
        <f t="shared" ca="1" si="11"/>
        <v/>
      </c>
    </row>
    <row r="169" spans="1:20" x14ac:dyDescent="0.35">
      <c r="A169" s="11"/>
      <c r="B169" s="11"/>
      <c r="C169" s="11"/>
      <c r="D169" s="12"/>
      <c r="E169" s="11"/>
      <c r="F169" s="13"/>
      <c r="G169" s="13"/>
      <c r="H169" s="11"/>
      <c r="I169" s="12"/>
      <c r="J169" s="12"/>
      <c r="K169" s="13"/>
      <c r="L169" s="13"/>
      <c r="M169" s="13"/>
      <c r="N169" s="13"/>
      <c r="O169" s="13"/>
      <c r="P169" s="14" t="str">
        <f t="shared" si="8"/>
        <v/>
      </c>
      <c r="Q169" s="15" t="str">
        <f>IF(OR(J169="",H169=""),"",IFERROR(IF(ISNUMBER(N169),N169,IF(K169&lt;N(INDEX(Platforms!$G$5:$G$14,MATCH(H169,Lists!$A$2:$A$11,0))),N(INDEX(Platforms!$H$5:$H$14,MATCH(H169,Lists!$A$2:$A$11,0))),MAX(N(INDEX(Platforms!$F$5:$F$14,MATCH(H169,Lists!$A$2:$A$11,0))),N(INDEX(Platforms!$C$5:$C$14,MATCH(H169,Lists!$A$2:$A$11,0)))*(K169+IF(INDEX(Platforms!$E$5:$E$14,MATCH(H169,Lists!$A$2:$A$11,0))="Yes",N(L169),0))+N(INDEX(Platforms!$D$5:$D$14,MATCH(H169,Lists!$A$2:$A$11,0)))))),""))</f>
        <v/>
      </c>
      <c r="R169" s="16" t="str">
        <f t="shared" si="9"/>
        <v/>
      </c>
      <c r="S169" s="17" t="str">
        <f t="shared" si="10"/>
        <v/>
      </c>
      <c r="T169" s="18" t="str">
        <f t="shared" ca="1" si="11"/>
        <v/>
      </c>
    </row>
    <row r="170" spans="1:20" x14ac:dyDescent="0.35">
      <c r="A170" s="11"/>
      <c r="B170" s="11"/>
      <c r="C170" s="11"/>
      <c r="D170" s="12"/>
      <c r="E170" s="11"/>
      <c r="F170" s="13"/>
      <c r="G170" s="13"/>
      <c r="H170" s="11"/>
      <c r="I170" s="12"/>
      <c r="J170" s="12"/>
      <c r="K170" s="13"/>
      <c r="L170" s="13"/>
      <c r="M170" s="13"/>
      <c r="N170" s="13"/>
      <c r="O170" s="13"/>
      <c r="P170" s="14" t="str">
        <f t="shared" si="8"/>
        <v/>
      </c>
      <c r="Q170" s="15" t="str">
        <f>IF(OR(J170="",H170=""),"",IFERROR(IF(ISNUMBER(N170),N170,IF(K170&lt;N(INDEX(Platforms!$G$5:$G$14,MATCH(H170,Lists!$A$2:$A$11,0))),N(INDEX(Platforms!$H$5:$H$14,MATCH(H170,Lists!$A$2:$A$11,0))),MAX(N(INDEX(Platforms!$F$5:$F$14,MATCH(H170,Lists!$A$2:$A$11,0))),N(INDEX(Platforms!$C$5:$C$14,MATCH(H170,Lists!$A$2:$A$11,0)))*(K170+IF(INDEX(Platforms!$E$5:$E$14,MATCH(H170,Lists!$A$2:$A$11,0))="Yes",N(L170),0))+N(INDEX(Platforms!$D$5:$D$14,MATCH(H170,Lists!$A$2:$A$11,0)))))),""))</f>
        <v/>
      </c>
      <c r="R170" s="16" t="str">
        <f t="shared" si="9"/>
        <v/>
      </c>
      <c r="S170" s="17" t="str">
        <f t="shared" si="10"/>
        <v/>
      </c>
      <c r="T170" s="18" t="str">
        <f t="shared" ca="1" si="11"/>
        <v/>
      </c>
    </row>
    <row r="171" spans="1:20" x14ac:dyDescent="0.35">
      <c r="A171" s="11"/>
      <c r="B171" s="11"/>
      <c r="C171" s="11"/>
      <c r="D171" s="12"/>
      <c r="E171" s="11"/>
      <c r="F171" s="13"/>
      <c r="G171" s="13"/>
      <c r="H171" s="11"/>
      <c r="I171" s="12"/>
      <c r="J171" s="12"/>
      <c r="K171" s="13"/>
      <c r="L171" s="13"/>
      <c r="M171" s="13"/>
      <c r="N171" s="13"/>
      <c r="O171" s="13"/>
      <c r="P171" s="14" t="str">
        <f t="shared" si="8"/>
        <v/>
      </c>
      <c r="Q171" s="15" t="str">
        <f>IF(OR(J171="",H171=""),"",IFERROR(IF(ISNUMBER(N171),N171,IF(K171&lt;N(INDEX(Platforms!$G$5:$G$14,MATCH(H171,Lists!$A$2:$A$11,0))),N(INDEX(Platforms!$H$5:$H$14,MATCH(H171,Lists!$A$2:$A$11,0))),MAX(N(INDEX(Platforms!$F$5:$F$14,MATCH(H171,Lists!$A$2:$A$11,0))),N(INDEX(Platforms!$C$5:$C$14,MATCH(H171,Lists!$A$2:$A$11,0)))*(K171+IF(INDEX(Platforms!$E$5:$E$14,MATCH(H171,Lists!$A$2:$A$11,0))="Yes",N(L171),0))+N(INDEX(Platforms!$D$5:$D$14,MATCH(H171,Lists!$A$2:$A$11,0)))))),""))</f>
        <v/>
      </c>
      <c r="R171" s="16" t="str">
        <f t="shared" si="9"/>
        <v/>
      </c>
      <c r="S171" s="17" t="str">
        <f t="shared" si="10"/>
        <v/>
      </c>
      <c r="T171" s="18" t="str">
        <f t="shared" ca="1" si="11"/>
        <v/>
      </c>
    </row>
    <row r="172" spans="1:20" x14ac:dyDescent="0.35">
      <c r="A172" s="11"/>
      <c r="B172" s="11"/>
      <c r="C172" s="11"/>
      <c r="D172" s="12"/>
      <c r="E172" s="11"/>
      <c r="F172" s="13"/>
      <c r="G172" s="13"/>
      <c r="H172" s="11"/>
      <c r="I172" s="12"/>
      <c r="J172" s="12"/>
      <c r="K172" s="13"/>
      <c r="L172" s="13"/>
      <c r="M172" s="13"/>
      <c r="N172" s="13"/>
      <c r="O172" s="13"/>
      <c r="P172" s="14" t="str">
        <f t="shared" si="8"/>
        <v/>
      </c>
      <c r="Q172" s="15" t="str">
        <f>IF(OR(J172="",H172=""),"",IFERROR(IF(ISNUMBER(N172),N172,IF(K172&lt;N(INDEX(Platforms!$G$5:$G$14,MATCH(H172,Lists!$A$2:$A$11,0))),N(INDEX(Platforms!$H$5:$H$14,MATCH(H172,Lists!$A$2:$A$11,0))),MAX(N(INDEX(Platforms!$F$5:$F$14,MATCH(H172,Lists!$A$2:$A$11,0))),N(INDEX(Platforms!$C$5:$C$14,MATCH(H172,Lists!$A$2:$A$11,0)))*(K172+IF(INDEX(Platforms!$E$5:$E$14,MATCH(H172,Lists!$A$2:$A$11,0))="Yes",N(L172),0))+N(INDEX(Platforms!$D$5:$D$14,MATCH(H172,Lists!$A$2:$A$11,0)))))),""))</f>
        <v/>
      </c>
      <c r="R172" s="16" t="str">
        <f t="shared" si="9"/>
        <v/>
      </c>
      <c r="S172" s="17" t="str">
        <f t="shared" si="10"/>
        <v/>
      </c>
      <c r="T172" s="18" t="str">
        <f t="shared" ca="1" si="11"/>
        <v/>
      </c>
    </row>
    <row r="173" spans="1:20" x14ac:dyDescent="0.35">
      <c r="A173" s="11"/>
      <c r="B173" s="11"/>
      <c r="C173" s="11"/>
      <c r="D173" s="12"/>
      <c r="E173" s="11"/>
      <c r="F173" s="13"/>
      <c r="G173" s="13"/>
      <c r="H173" s="11"/>
      <c r="I173" s="12"/>
      <c r="J173" s="12"/>
      <c r="K173" s="13"/>
      <c r="L173" s="13"/>
      <c r="M173" s="13"/>
      <c r="N173" s="13"/>
      <c r="O173" s="13"/>
      <c r="P173" s="14" t="str">
        <f t="shared" si="8"/>
        <v/>
      </c>
      <c r="Q173" s="15" t="str">
        <f>IF(OR(J173="",H173=""),"",IFERROR(IF(ISNUMBER(N173),N173,IF(K173&lt;N(INDEX(Platforms!$G$5:$G$14,MATCH(H173,Lists!$A$2:$A$11,0))),N(INDEX(Platforms!$H$5:$H$14,MATCH(H173,Lists!$A$2:$A$11,0))),MAX(N(INDEX(Platforms!$F$5:$F$14,MATCH(H173,Lists!$A$2:$A$11,0))),N(INDEX(Platforms!$C$5:$C$14,MATCH(H173,Lists!$A$2:$A$11,0)))*(K173+IF(INDEX(Platforms!$E$5:$E$14,MATCH(H173,Lists!$A$2:$A$11,0))="Yes",N(L173),0))+N(INDEX(Platforms!$D$5:$D$14,MATCH(H173,Lists!$A$2:$A$11,0)))))),""))</f>
        <v/>
      </c>
      <c r="R173" s="16" t="str">
        <f t="shared" si="9"/>
        <v/>
      </c>
      <c r="S173" s="17" t="str">
        <f t="shared" si="10"/>
        <v/>
      </c>
      <c r="T173" s="18" t="str">
        <f t="shared" ca="1" si="11"/>
        <v/>
      </c>
    </row>
    <row r="174" spans="1:20" x14ac:dyDescent="0.35">
      <c r="A174" s="11"/>
      <c r="B174" s="11"/>
      <c r="C174" s="11"/>
      <c r="D174" s="12"/>
      <c r="E174" s="11"/>
      <c r="F174" s="13"/>
      <c r="G174" s="13"/>
      <c r="H174" s="11"/>
      <c r="I174" s="12"/>
      <c r="J174" s="12"/>
      <c r="K174" s="13"/>
      <c r="L174" s="13"/>
      <c r="M174" s="13"/>
      <c r="N174" s="13"/>
      <c r="O174" s="13"/>
      <c r="P174" s="14" t="str">
        <f t="shared" si="8"/>
        <v/>
      </c>
      <c r="Q174" s="15" t="str">
        <f>IF(OR(J174="",H174=""),"",IFERROR(IF(ISNUMBER(N174),N174,IF(K174&lt;N(INDEX(Platforms!$G$5:$G$14,MATCH(H174,Lists!$A$2:$A$11,0))),N(INDEX(Platforms!$H$5:$H$14,MATCH(H174,Lists!$A$2:$A$11,0))),MAX(N(INDEX(Platforms!$F$5:$F$14,MATCH(H174,Lists!$A$2:$A$11,0))),N(INDEX(Platforms!$C$5:$C$14,MATCH(H174,Lists!$A$2:$A$11,0)))*(K174+IF(INDEX(Platforms!$E$5:$E$14,MATCH(H174,Lists!$A$2:$A$11,0))="Yes",N(L174),0))+N(INDEX(Platforms!$D$5:$D$14,MATCH(H174,Lists!$A$2:$A$11,0)))))),""))</f>
        <v/>
      </c>
      <c r="R174" s="16" t="str">
        <f t="shared" si="9"/>
        <v/>
      </c>
      <c r="S174" s="17" t="str">
        <f t="shared" si="10"/>
        <v/>
      </c>
      <c r="T174" s="18" t="str">
        <f t="shared" ca="1" si="11"/>
        <v/>
      </c>
    </row>
    <row r="175" spans="1:20" x14ac:dyDescent="0.35">
      <c r="A175" s="11"/>
      <c r="B175" s="11"/>
      <c r="C175" s="11"/>
      <c r="D175" s="12"/>
      <c r="E175" s="11"/>
      <c r="F175" s="13"/>
      <c r="G175" s="13"/>
      <c r="H175" s="11"/>
      <c r="I175" s="12"/>
      <c r="J175" s="12"/>
      <c r="K175" s="13"/>
      <c r="L175" s="13"/>
      <c r="M175" s="13"/>
      <c r="N175" s="13"/>
      <c r="O175" s="13"/>
      <c r="P175" s="14" t="str">
        <f t="shared" si="8"/>
        <v/>
      </c>
      <c r="Q175" s="15" t="str">
        <f>IF(OR(J175="",H175=""),"",IFERROR(IF(ISNUMBER(N175),N175,IF(K175&lt;N(INDEX(Platforms!$G$5:$G$14,MATCH(H175,Lists!$A$2:$A$11,0))),N(INDEX(Platforms!$H$5:$H$14,MATCH(H175,Lists!$A$2:$A$11,0))),MAX(N(INDEX(Platforms!$F$5:$F$14,MATCH(H175,Lists!$A$2:$A$11,0))),N(INDEX(Platforms!$C$5:$C$14,MATCH(H175,Lists!$A$2:$A$11,0)))*(K175+IF(INDEX(Platforms!$E$5:$E$14,MATCH(H175,Lists!$A$2:$A$11,0))="Yes",N(L175),0))+N(INDEX(Platforms!$D$5:$D$14,MATCH(H175,Lists!$A$2:$A$11,0)))))),""))</f>
        <v/>
      </c>
      <c r="R175" s="16" t="str">
        <f t="shared" si="9"/>
        <v/>
      </c>
      <c r="S175" s="17" t="str">
        <f t="shared" si="10"/>
        <v/>
      </c>
      <c r="T175" s="18" t="str">
        <f t="shared" ca="1" si="11"/>
        <v/>
      </c>
    </row>
    <row r="176" spans="1:20" x14ac:dyDescent="0.35">
      <c r="A176" s="11"/>
      <c r="B176" s="11"/>
      <c r="C176" s="11"/>
      <c r="D176" s="12"/>
      <c r="E176" s="11"/>
      <c r="F176" s="13"/>
      <c r="G176" s="13"/>
      <c r="H176" s="11"/>
      <c r="I176" s="12"/>
      <c r="J176" s="12"/>
      <c r="K176" s="13"/>
      <c r="L176" s="13"/>
      <c r="M176" s="13"/>
      <c r="N176" s="13"/>
      <c r="O176" s="13"/>
      <c r="P176" s="14" t="str">
        <f t="shared" si="8"/>
        <v/>
      </c>
      <c r="Q176" s="15" t="str">
        <f>IF(OR(J176="",H176=""),"",IFERROR(IF(ISNUMBER(N176),N176,IF(K176&lt;N(INDEX(Platforms!$G$5:$G$14,MATCH(H176,Lists!$A$2:$A$11,0))),N(INDEX(Platforms!$H$5:$H$14,MATCH(H176,Lists!$A$2:$A$11,0))),MAX(N(INDEX(Platforms!$F$5:$F$14,MATCH(H176,Lists!$A$2:$A$11,0))),N(INDEX(Platforms!$C$5:$C$14,MATCH(H176,Lists!$A$2:$A$11,0)))*(K176+IF(INDEX(Platforms!$E$5:$E$14,MATCH(H176,Lists!$A$2:$A$11,0))="Yes",N(L176),0))+N(INDEX(Platforms!$D$5:$D$14,MATCH(H176,Lists!$A$2:$A$11,0)))))),""))</f>
        <v/>
      </c>
      <c r="R176" s="16" t="str">
        <f t="shared" si="9"/>
        <v/>
      </c>
      <c r="S176" s="17" t="str">
        <f t="shared" si="10"/>
        <v/>
      </c>
      <c r="T176" s="18" t="str">
        <f t="shared" ca="1" si="11"/>
        <v/>
      </c>
    </row>
    <row r="177" spans="1:20" x14ac:dyDescent="0.35">
      <c r="A177" s="11"/>
      <c r="B177" s="11"/>
      <c r="C177" s="11"/>
      <c r="D177" s="12"/>
      <c r="E177" s="11"/>
      <c r="F177" s="13"/>
      <c r="G177" s="13"/>
      <c r="H177" s="11"/>
      <c r="I177" s="12"/>
      <c r="J177" s="12"/>
      <c r="K177" s="13"/>
      <c r="L177" s="13"/>
      <c r="M177" s="13"/>
      <c r="N177" s="13"/>
      <c r="O177" s="13"/>
      <c r="P177" s="14" t="str">
        <f t="shared" si="8"/>
        <v/>
      </c>
      <c r="Q177" s="15" t="str">
        <f>IF(OR(J177="",H177=""),"",IFERROR(IF(ISNUMBER(N177),N177,IF(K177&lt;N(INDEX(Platforms!$G$5:$G$14,MATCH(H177,Lists!$A$2:$A$11,0))),N(INDEX(Platforms!$H$5:$H$14,MATCH(H177,Lists!$A$2:$A$11,0))),MAX(N(INDEX(Platforms!$F$5:$F$14,MATCH(H177,Lists!$A$2:$A$11,0))),N(INDEX(Platforms!$C$5:$C$14,MATCH(H177,Lists!$A$2:$A$11,0)))*(K177+IF(INDEX(Platforms!$E$5:$E$14,MATCH(H177,Lists!$A$2:$A$11,0))="Yes",N(L177),0))+N(INDEX(Platforms!$D$5:$D$14,MATCH(H177,Lists!$A$2:$A$11,0)))))),""))</f>
        <v/>
      </c>
      <c r="R177" s="16" t="str">
        <f t="shared" si="9"/>
        <v/>
      </c>
      <c r="S177" s="17" t="str">
        <f t="shared" si="10"/>
        <v/>
      </c>
      <c r="T177" s="18" t="str">
        <f t="shared" ca="1" si="11"/>
        <v/>
      </c>
    </row>
    <row r="178" spans="1:20" x14ac:dyDescent="0.35">
      <c r="A178" s="11"/>
      <c r="B178" s="11"/>
      <c r="C178" s="11"/>
      <c r="D178" s="12"/>
      <c r="E178" s="11"/>
      <c r="F178" s="13"/>
      <c r="G178" s="13"/>
      <c r="H178" s="11"/>
      <c r="I178" s="12"/>
      <c r="J178" s="12"/>
      <c r="K178" s="13"/>
      <c r="L178" s="13"/>
      <c r="M178" s="13"/>
      <c r="N178" s="13"/>
      <c r="O178" s="13"/>
      <c r="P178" s="14" t="str">
        <f t="shared" si="8"/>
        <v/>
      </c>
      <c r="Q178" s="15" t="str">
        <f>IF(OR(J178="",H178=""),"",IFERROR(IF(ISNUMBER(N178),N178,IF(K178&lt;N(INDEX(Platforms!$G$5:$G$14,MATCH(H178,Lists!$A$2:$A$11,0))),N(INDEX(Platforms!$H$5:$H$14,MATCH(H178,Lists!$A$2:$A$11,0))),MAX(N(INDEX(Platforms!$F$5:$F$14,MATCH(H178,Lists!$A$2:$A$11,0))),N(INDEX(Platforms!$C$5:$C$14,MATCH(H178,Lists!$A$2:$A$11,0)))*(K178+IF(INDEX(Platforms!$E$5:$E$14,MATCH(H178,Lists!$A$2:$A$11,0))="Yes",N(L178),0))+N(INDEX(Platforms!$D$5:$D$14,MATCH(H178,Lists!$A$2:$A$11,0)))))),""))</f>
        <v/>
      </c>
      <c r="R178" s="16" t="str">
        <f t="shared" si="9"/>
        <v/>
      </c>
      <c r="S178" s="17" t="str">
        <f t="shared" si="10"/>
        <v/>
      </c>
      <c r="T178" s="18" t="str">
        <f t="shared" ca="1" si="11"/>
        <v/>
      </c>
    </row>
    <row r="179" spans="1:20" x14ac:dyDescent="0.35">
      <c r="A179" s="11"/>
      <c r="B179" s="11"/>
      <c r="C179" s="11"/>
      <c r="D179" s="12"/>
      <c r="E179" s="11"/>
      <c r="F179" s="13"/>
      <c r="G179" s="13"/>
      <c r="H179" s="11"/>
      <c r="I179" s="12"/>
      <c r="J179" s="12"/>
      <c r="K179" s="13"/>
      <c r="L179" s="13"/>
      <c r="M179" s="13"/>
      <c r="N179" s="13"/>
      <c r="O179" s="13"/>
      <c r="P179" s="14" t="str">
        <f t="shared" si="8"/>
        <v/>
      </c>
      <c r="Q179" s="15" t="str">
        <f>IF(OR(J179="",H179=""),"",IFERROR(IF(ISNUMBER(N179),N179,IF(K179&lt;N(INDEX(Platforms!$G$5:$G$14,MATCH(H179,Lists!$A$2:$A$11,0))),N(INDEX(Platforms!$H$5:$H$14,MATCH(H179,Lists!$A$2:$A$11,0))),MAX(N(INDEX(Platforms!$F$5:$F$14,MATCH(H179,Lists!$A$2:$A$11,0))),N(INDEX(Platforms!$C$5:$C$14,MATCH(H179,Lists!$A$2:$A$11,0)))*(K179+IF(INDEX(Platforms!$E$5:$E$14,MATCH(H179,Lists!$A$2:$A$11,0))="Yes",N(L179),0))+N(INDEX(Platforms!$D$5:$D$14,MATCH(H179,Lists!$A$2:$A$11,0)))))),""))</f>
        <v/>
      </c>
      <c r="R179" s="16" t="str">
        <f t="shared" si="9"/>
        <v/>
      </c>
      <c r="S179" s="17" t="str">
        <f t="shared" si="10"/>
        <v/>
      </c>
      <c r="T179" s="18" t="str">
        <f t="shared" ca="1" si="11"/>
        <v/>
      </c>
    </row>
    <row r="180" spans="1:20" x14ac:dyDescent="0.35">
      <c r="A180" s="11"/>
      <c r="B180" s="11"/>
      <c r="C180" s="11"/>
      <c r="D180" s="12"/>
      <c r="E180" s="11"/>
      <c r="F180" s="13"/>
      <c r="G180" s="13"/>
      <c r="H180" s="11"/>
      <c r="I180" s="12"/>
      <c r="J180" s="12"/>
      <c r="K180" s="13"/>
      <c r="L180" s="13"/>
      <c r="M180" s="13"/>
      <c r="N180" s="13"/>
      <c r="O180" s="13"/>
      <c r="P180" s="14" t="str">
        <f t="shared" si="8"/>
        <v/>
      </c>
      <c r="Q180" s="15" t="str">
        <f>IF(OR(J180="",H180=""),"",IFERROR(IF(ISNUMBER(N180),N180,IF(K180&lt;N(INDEX(Platforms!$G$5:$G$14,MATCH(H180,Lists!$A$2:$A$11,0))),N(INDEX(Platforms!$H$5:$H$14,MATCH(H180,Lists!$A$2:$A$11,0))),MAX(N(INDEX(Platforms!$F$5:$F$14,MATCH(H180,Lists!$A$2:$A$11,0))),N(INDEX(Platforms!$C$5:$C$14,MATCH(H180,Lists!$A$2:$A$11,0)))*(K180+IF(INDEX(Platforms!$E$5:$E$14,MATCH(H180,Lists!$A$2:$A$11,0))="Yes",N(L180),0))+N(INDEX(Platforms!$D$5:$D$14,MATCH(H180,Lists!$A$2:$A$11,0)))))),""))</f>
        <v/>
      </c>
      <c r="R180" s="16" t="str">
        <f t="shared" si="9"/>
        <v/>
      </c>
      <c r="S180" s="17" t="str">
        <f t="shared" si="10"/>
        <v/>
      </c>
      <c r="T180" s="18" t="str">
        <f t="shared" ca="1" si="11"/>
        <v/>
      </c>
    </row>
    <row r="181" spans="1:20" x14ac:dyDescent="0.35">
      <c r="A181" s="11"/>
      <c r="B181" s="11"/>
      <c r="C181" s="11"/>
      <c r="D181" s="12"/>
      <c r="E181" s="11"/>
      <c r="F181" s="13"/>
      <c r="G181" s="13"/>
      <c r="H181" s="11"/>
      <c r="I181" s="12"/>
      <c r="J181" s="12"/>
      <c r="K181" s="13"/>
      <c r="L181" s="13"/>
      <c r="M181" s="13"/>
      <c r="N181" s="13"/>
      <c r="O181" s="13"/>
      <c r="P181" s="14" t="str">
        <f t="shared" si="8"/>
        <v/>
      </c>
      <c r="Q181" s="15" t="str">
        <f>IF(OR(J181="",H181=""),"",IFERROR(IF(ISNUMBER(N181),N181,IF(K181&lt;N(INDEX(Platforms!$G$5:$G$14,MATCH(H181,Lists!$A$2:$A$11,0))),N(INDEX(Platforms!$H$5:$H$14,MATCH(H181,Lists!$A$2:$A$11,0))),MAX(N(INDEX(Platforms!$F$5:$F$14,MATCH(H181,Lists!$A$2:$A$11,0))),N(INDEX(Platforms!$C$5:$C$14,MATCH(H181,Lists!$A$2:$A$11,0)))*(K181+IF(INDEX(Platforms!$E$5:$E$14,MATCH(H181,Lists!$A$2:$A$11,0))="Yes",N(L181),0))+N(INDEX(Platforms!$D$5:$D$14,MATCH(H181,Lists!$A$2:$A$11,0)))))),""))</f>
        <v/>
      </c>
      <c r="R181" s="16" t="str">
        <f t="shared" si="9"/>
        <v/>
      </c>
      <c r="S181" s="17" t="str">
        <f t="shared" si="10"/>
        <v/>
      </c>
      <c r="T181" s="18" t="str">
        <f t="shared" ca="1" si="11"/>
        <v/>
      </c>
    </row>
    <row r="182" spans="1:20" x14ac:dyDescent="0.35">
      <c r="A182" s="11"/>
      <c r="B182" s="11"/>
      <c r="C182" s="11"/>
      <c r="D182" s="12"/>
      <c r="E182" s="11"/>
      <c r="F182" s="13"/>
      <c r="G182" s="13"/>
      <c r="H182" s="11"/>
      <c r="I182" s="12"/>
      <c r="J182" s="12"/>
      <c r="K182" s="13"/>
      <c r="L182" s="13"/>
      <c r="M182" s="13"/>
      <c r="N182" s="13"/>
      <c r="O182" s="13"/>
      <c r="P182" s="14" t="str">
        <f t="shared" si="8"/>
        <v/>
      </c>
      <c r="Q182" s="15" t="str">
        <f>IF(OR(J182="",H182=""),"",IFERROR(IF(ISNUMBER(N182),N182,IF(K182&lt;N(INDEX(Platforms!$G$5:$G$14,MATCH(H182,Lists!$A$2:$A$11,0))),N(INDEX(Platforms!$H$5:$H$14,MATCH(H182,Lists!$A$2:$A$11,0))),MAX(N(INDEX(Platforms!$F$5:$F$14,MATCH(H182,Lists!$A$2:$A$11,0))),N(INDEX(Platforms!$C$5:$C$14,MATCH(H182,Lists!$A$2:$A$11,0)))*(K182+IF(INDEX(Platforms!$E$5:$E$14,MATCH(H182,Lists!$A$2:$A$11,0))="Yes",N(L182),0))+N(INDEX(Platforms!$D$5:$D$14,MATCH(H182,Lists!$A$2:$A$11,0)))))),""))</f>
        <v/>
      </c>
      <c r="R182" s="16" t="str">
        <f t="shared" si="9"/>
        <v/>
      </c>
      <c r="S182" s="17" t="str">
        <f t="shared" si="10"/>
        <v/>
      </c>
      <c r="T182" s="18" t="str">
        <f t="shared" ca="1" si="11"/>
        <v/>
      </c>
    </row>
    <row r="183" spans="1:20" x14ac:dyDescent="0.35">
      <c r="A183" s="11"/>
      <c r="B183" s="11"/>
      <c r="C183" s="11"/>
      <c r="D183" s="12"/>
      <c r="E183" s="11"/>
      <c r="F183" s="13"/>
      <c r="G183" s="13"/>
      <c r="H183" s="11"/>
      <c r="I183" s="12"/>
      <c r="J183" s="12"/>
      <c r="K183" s="13"/>
      <c r="L183" s="13"/>
      <c r="M183" s="13"/>
      <c r="N183" s="13"/>
      <c r="O183" s="13"/>
      <c r="P183" s="14" t="str">
        <f t="shared" si="8"/>
        <v/>
      </c>
      <c r="Q183" s="15" t="str">
        <f>IF(OR(J183="",H183=""),"",IFERROR(IF(ISNUMBER(N183),N183,IF(K183&lt;N(INDEX(Platforms!$G$5:$G$14,MATCH(H183,Lists!$A$2:$A$11,0))),N(INDEX(Platforms!$H$5:$H$14,MATCH(H183,Lists!$A$2:$A$11,0))),MAX(N(INDEX(Platforms!$F$5:$F$14,MATCH(H183,Lists!$A$2:$A$11,0))),N(INDEX(Platforms!$C$5:$C$14,MATCH(H183,Lists!$A$2:$A$11,0)))*(K183+IF(INDEX(Platforms!$E$5:$E$14,MATCH(H183,Lists!$A$2:$A$11,0))="Yes",N(L183),0))+N(INDEX(Platforms!$D$5:$D$14,MATCH(H183,Lists!$A$2:$A$11,0)))))),""))</f>
        <v/>
      </c>
      <c r="R183" s="16" t="str">
        <f t="shared" si="9"/>
        <v/>
      </c>
      <c r="S183" s="17" t="str">
        <f t="shared" si="10"/>
        <v/>
      </c>
      <c r="T183" s="18" t="str">
        <f t="shared" ca="1" si="11"/>
        <v/>
      </c>
    </row>
    <row r="184" spans="1:20" x14ac:dyDescent="0.35">
      <c r="A184" s="11"/>
      <c r="B184" s="11"/>
      <c r="C184" s="11"/>
      <c r="D184" s="12"/>
      <c r="E184" s="11"/>
      <c r="F184" s="13"/>
      <c r="G184" s="13"/>
      <c r="H184" s="11"/>
      <c r="I184" s="12"/>
      <c r="J184" s="12"/>
      <c r="K184" s="13"/>
      <c r="L184" s="13"/>
      <c r="M184" s="13"/>
      <c r="N184" s="13"/>
      <c r="O184" s="13"/>
      <c r="P184" s="14" t="str">
        <f t="shared" si="8"/>
        <v/>
      </c>
      <c r="Q184" s="15" t="str">
        <f>IF(OR(J184="",H184=""),"",IFERROR(IF(ISNUMBER(N184),N184,IF(K184&lt;N(INDEX(Platforms!$G$5:$G$14,MATCH(H184,Lists!$A$2:$A$11,0))),N(INDEX(Platforms!$H$5:$H$14,MATCH(H184,Lists!$A$2:$A$11,0))),MAX(N(INDEX(Platforms!$F$5:$F$14,MATCH(H184,Lists!$A$2:$A$11,0))),N(INDEX(Platforms!$C$5:$C$14,MATCH(H184,Lists!$A$2:$A$11,0)))*(K184+IF(INDEX(Platforms!$E$5:$E$14,MATCH(H184,Lists!$A$2:$A$11,0))="Yes",N(L184),0))+N(INDEX(Platforms!$D$5:$D$14,MATCH(H184,Lists!$A$2:$A$11,0)))))),""))</f>
        <v/>
      </c>
      <c r="R184" s="16" t="str">
        <f t="shared" si="9"/>
        <v/>
      </c>
      <c r="S184" s="17" t="str">
        <f t="shared" si="10"/>
        <v/>
      </c>
      <c r="T184" s="18" t="str">
        <f t="shared" ca="1" si="11"/>
        <v/>
      </c>
    </row>
    <row r="185" spans="1:20" x14ac:dyDescent="0.35">
      <c r="A185" s="11"/>
      <c r="B185" s="11"/>
      <c r="C185" s="11"/>
      <c r="D185" s="12"/>
      <c r="E185" s="11"/>
      <c r="F185" s="13"/>
      <c r="G185" s="13"/>
      <c r="H185" s="11"/>
      <c r="I185" s="12"/>
      <c r="J185" s="12"/>
      <c r="K185" s="13"/>
      <c r="L185" s="13"/>
      <c r="M185" s="13"/>
      <c r="N185" s="13"/>
      <c r="O185" s="13"/>
      <c r="P185" s="14" t="str">
        <f t="shared" si="8"/>
        <v/>
      </c>
      <c r="Q185" s="15" t="str">
        <f>IF(OR(J185="",H185=""),"",IFERROR(IF(ISNUMBER(N185),N185,IF(K185&lt;N(INDEX(Platforms!$G$5:$G$14,MATCH(H185,Lists!$A$2:$A$11,0))),N(INDEX(Platforms!$H$5:$H$14,MATCH(H185,Lists!$A$2:$A$11,0))),MAX(N(INDEX(Platforms!$F$5:$F$14,MATCH(H185,Lists!$A$2:$A$11,0))),N(INDEX(Platforms!$C$5:$C$14,MATCH(H185,Lists!$A$2:$A$11,0)))*(K185+IF(INDEX(Platforms!$E$5:$E$14,MATCH(H185,Lists!$A$2:$A$11,0))="Yes",N(L185),0))+N(INDEX(Platforms!$D$5:$D$14,MATCH(H185,Lists!$A$2:$A$11,0)))))),""))</f>
        <v/>
      </c>
      <c r="R185" s="16" t="str">
        <f t="shared" si="9"/>
        <v/>
      </c>
      <c r="S185" s="17" t="str">
        <f t="shared" si="10"/>
        <v/>
      </c>
      <c r="T185" s="18" t="str">
        <f t="shared" ca="1" si="11"/>
        <v/>
      </c>
    </row>
    <row r="186" spans="1:20" x14ac:dyDescent="0.35">
      <c r="A186" s="11"/>
      <c r="B186" s="11"/>
      <c r="C186" s="11"/>
      <c r="D186" s="12"/>
      <c r="E186" s="11"/>
      <c r="F186" s="13"/>
      <c r="G186" s="13"/>
      <c r="H186" s="11"/>
      <c r="I186" s="12"/>
      <c r="J186" s="12"/>
      <c r="K186" s="13"/>
      <c r="L186" s="13"/>
      <c r="M186" s="13"/>
      <c r="N186" s="13"/>
      <c r="O186" s="13"/>
      <c r="P186" s="14" t="str">
        <f t="shared" si="8"/>
        <v/>
      </c>
      <c r="Q186" s="15" t="str">
        <f>IF(OR(J186="",H186=""),"",IFERROR(IF(ISNUMBER(N186),N186,IF(K186&lt;N(INDEX(Platforms!$G$5:$G$14,MATCH(H186,Lists!$A$2:$A$11,0))),N(INDEX(Platforms!$H$5:$H$14,MATCH(H186,Lists!$A$2:$A$11,0))),MAX(N(INDEX(Platforms!$F$5:$F$14,MATCH(H186,Lists!$A$2:$A$11,0))),N(INDEX(Platforms!$C$5:$C$14,MATCH(H186,Lists!$A$2:$A$11,0)))*(K186+IF(INDEX(Platforms!$E$5:$E$14,MATCH(H186,Lists!$A$2:$A$11,0))="Yes",N(L186),0))+N(INDEX(Platforms!$D$5:$D$14,MATCH(H186,Lists!$A$2:$A$11,0)))))),""))</f>
        <v/>
      </c>
      <c r="R186" s="16" t="str">
        <f t="shared" si="9"/>
        <v/>
      </c>
      <c r="S186" s="17" t="str">
        <f t="shared" si="10"/>
        <v/>
      </c>
      <c r="T186" s="18" t="str">
        <f t="shared" ca="1" si="11"/>
        <v/>
      </c>
    </row>
    <row r="187" spans="1:20" x14ac:dyDescent="0.35">
      <c r="A187" s="11"/>
      <c r="B187" s="11"/>
      <c r="C187" s="11"/>
      <c r="D187" s="12"/>
      <c r="E187" s="11"/>
      <c r="F187" s="13"/>
      <c r="G187" s="13"/>
      <c r="H187" s="11"/>
      <c r="I187" s="12"/>
      <c r="J187" s="12"/>
      <c r="K187" s="13"/>
      <c r="L187" s="13"/>
      <c r="M187" s="13"/>
      <c r="N187" s="13"/>
      <c r="O187" s="13"/>
      <c r="P187" s="14" t="str">
        <f t="shared" si="8"/>
        <v/>
      </c>
      <c r="Q187" s="15" t="str">
        <f>IF(OR(J187="",H187=""),"",IFERROR(IF(ISNUMBER(N187),N187,IF(K187&lt;N(INDEX(Platforms!$G$5:$G$14,MATCH(H187,Lists!$A$2:$A$11,0))),N(INDEX(Platforms!$H$5:$H$14,MATCH(H187,Lists!$A$2:$A$11,0))),MAX(N(INDEX(Platforms!$F$5:$F$14,MATCH(H187,Lists!$A$2:$A$11,0))),N(INDEX(Platforms!$C$5:$C$14,MATCH(H187,Lists!$A$2:$A$11,0)))*(K187+IF(INDEX(Platforms!$E$5:$E$14,MATCH(H187,Lists!$A$2:$A$11,0))="Yes",N(L187),0))+N(INDEX(Platforms!$D$5:$D$14,MATCH(H187,Lists!$A$2:$A$11,0)))))),""))</f>
        <v/>
      </c>
      <c r="R187" s="16" t="str">
        <f t="shared" si="9"/>
        <v/>
      </c>
      <c r="S187" s="17" t="str">
        <f t="shared" si="10"/>
        <v/>
      </c>
      <c r="T187" s="18" t="str">
        <f t="shared" ca="1" si="11"/>
        <v/>
      </c>
    </row>
    <row r="188" spans="1:20" x14ac:dyDescent="0.35">
      <c r="A188" s="11"/>
      <c r="B188" s="11"/>
      <c r="C188" s="11"/>
      <c r="D188" s="12"/>
      <c r="E188" s="11"/>
      <c r="F188" s="13"/>
      <c r="G188" s="13"/>
      <c r="H188" s="11"/>
      <c r="I188" s="12"/>
      <c r="J188" s="12"/>
      <c r="K188" s="13"/>
      <c r="L188" s="13"/>
      <c r="M188" s="13"/>
      <c r="N188" s="13"/>
      <c r="O188" s="13"/>
      <c r="P188" s="14" t="str">
        <f t="shared" si="8"/>
        <v/>
      </c>
      <c r="Q188" s="15" t="str">
        <f>IF(OR(J188="",H188=""),"",IFERROR(IF(ISNUMBER(N188),N188,IF(K188&lt;N(INDEX(Platforms!$G$5:$G$14,MATCH(H188,Lists!$A$2:$A$11,0))),N(INDEX(Platforms!$H$5:$H$14,MATCH(H188,Lists!$A$2:$A$11,0))),MAX(N(INDEX(Platforms!$F$5:$F$14,MATCH(H188,Lists!$A$2:$A$11,0))),N(INDEX(Platforms!$C$5:$C$14,MATCH(H188,Lists!$A$2:$A$11,0)))*(K188+IF(INDEX(Platforms!$E$5:$E$14,MATCH(H188,Lists!$A$2:$A$11,0))="Yes",N(L188),0))+N(INDEX(Platforms!$D$5:$D$14,MATCH(H188,Lists!$A$2:$A$11,0)))))),""))</f>
        <v/>
      </c>
      <c r="R188" s="16" t="str">
        <f t="shared" si="9"/>
        <v/>
      </c>
      <c r="S188" s="17" t="str">
        <f t="shared" si="10"/>
        <v/>
      </c>
      <c r="T188" s="18" t="str">
        <f t="shared" ca="1" si="11"/>
        <v/>
      </c>
    </row>
    <row r="189" spans="1:20" x14ac:dyDescent="0.35">
      <c r="A189" s="11"/>
      <c r="B189" s="11"/>
      <c r="C189" s="11"/>
      <c r="D189" s="12"/>
      <c r="E189" s="11"/>
      <c r="F189" s="13"/>
      <c r="G189" s="13"/>
      <c r="H189" s="11"/>
      <c r="I189" s="12"/>
      <c r="J189" s="12"/>
      <c r="K189" s="13"/>
      <c r="L189" s="13"/>
      <c r="M189" s="13"/>
      <c r="N189" s="13"/>
      <c r="O189" s="13"/>
      <c r="P189" s="14" t="str">
        <f t="shared" si="8"/>
        <v/>
      </c>
      <c r="Q189" s="15" t="str">
        <f>IF(OR(J189="",H189=""),"",IFERROR(IF(ISNUMBER(N189),N189,IF(K189&lt;N(INDEX(Platforms!$G$5:$G$14,MATCH(H189,Lists!$A$2:$A$11,0))),N(INDEX(Platforms!$H$5:$H$14,MATCH(H189,Lists!$A$2:$A$11,0))),MAX(N(INDEX(Platforms!$F$5:$F$14,MATCH(H189,Lists!$A$2:$A$11,0))),N(INDEX(Platforms!$C$5:$C$14,MATCH(H189,Lists!$A$2:$A$11,0)))*(K189+IF(INDEX(Platforms!$E$5:$E$14,MATCH(H189,Lists!$A$2:$A$11,0))="Yes",N(L189),0))+N(INDEX(Platforms!$D$5:$D$14,MATCH(H189,Lists!$A$2:$A$11,0)))))),""))</f>
        <v/>
      </c>
      <c r="R189" s="16" t="str">
        <f t="shared" si="9"/>
        <v/>
      </c>
      <c r="S189" s="17" t="str">
        <f t="shared" si="10"/>
        <v/>
      </c>
      <c r="T189" s="18" t="str">
        <f t="shared" ca="1" si="11"/>
        <v/>
      </c>
    </row>
    <row r="190" spans="1:20" x14ac:dyDescent="0.35">
      <c r="A190" s="11"/>
      <c r="B190" s="11"/>
      <c r="C190" s="11"/>
      <c r="D190" s="12"/>
      <c r="E190" s="11"/>
      <c r="F190" s="13"/>
      <c r="G190" s="13"/>
      <c r="H190" s="11"/>
      <c r="I190" s="12"/>
      <c r="J190" s="12"/>
      <c r="K190" s="13"/>
      <c r="L190" s="13"/>
      <c r="M190" s="13"/>
      <c r="N190" s="13"/>
      <c r="O190" s="13"/>
      <c r="P190" s="14" t="str">
        <f t="shared" si="8"/>
        <v/>
      </c>
      <c r="Q190" s="15" t="str">
        <f>IF(OR(J190="",H190=""),"",IFERROR(IF(ISNUMBER(N190),N190,IF(K190&lt;N(INDEX(Platforms!$G$5:$G$14,MATCH(H190,Lists!$A$2:$A$11,0))),N(INDEX(Platforms!$H$5:$H$14,MATCH(H190,Lists!$A$2:$A$11,0))),MAX(N(INDEX(Platforms!$F$5:$F$14,MATCH(H190,Lists!$A$2:$A$11,0))),N(INDEX(Platforms!$C$5:$C$14,MATCH(H190,Lists!$A$2:$A$11,0)))*(K190+IF(INDEX(Platforms!$E$5:$E$14,MATCH(H190,Lists!$A$2:$A$11,0))="Yes",N(L190),0))+N(INDEX(Platforms!$D$5:$D$14,MATCH(H190,Lists!$A$2:$A$11,0)))))),""))</f>
        <v/>
      </c>
      <c r="R190" s="16" t="str">
        <f t="shared" si="9"/>
        <v/>
      </c>
      <c r="S190" s="17" t="str">
        <f t="shared" si="10"/>
        <v/>
      </c>
      <c r="T190" s="18" t="str">
        <f t="shared" ca="1" si="11"/>
        <v/>
      </c>
    </row>
    <row r="191" spans="1:20" x14ac:dyDescent="0.35">
      <c r="A191" s="11"/>
      <c r="B191" s="11"/>
      <c r="C191" s="11"/>
      <c r="D191" s="12"/>
      <c r="E191" s="11"/>
      <c r="F191" s="13"/>
      <c r="G191" s="13"/>
      <c r="H191" s="11"/>
      <c r="I191" s="12"/>
      <c r="J191" s="12"/>
      <c r="K191" s="13"/>
      <c r="L191" s="13"/>
      <c r="M191" s="13"/>
      <c r="N191" s="13"/>
      <c r="O191" s="13"/>
      <c r="P191" s="14" t="str">
        <f t="shared" si="8"/>
        <v/>
      </c>
      <c r="Q191" s="15" t="str">
        <f>IF(OR(J191="",H191=""),"",IFERROR(IF(ISNUMBER(N191),N191,IF(K191&lt;N(INDEX(Platforms!$G$5:$G$14,MATCH(H191,Lists!$A$2:$A$11,0))),N(INDEX(Platforms!$H$5:$H$14,MATCH(H191,Lists!$A$2:$A$11,0))),MAX(N(INDEX(Platforms!$F$5:$F$14,MATCH(H191,Lists!$A$2:$A$11,0))),N(INDEX(Platforms!$C$5:$C$14,MATCH(H191,Lists!$A$2:$A$11,0)))*(K191+IF(INDEX(Platforms!$E$5:$E$14,MATCH(H191,Lists!$A$2:$A$11,0))="Yes",N(L191),0))+N(INDEX(Platforms!$D$5:$D$14,MATCH(H191,Lists!$A$2:$A$11,0)))))),""))</f>
        <v/>
      </c>
      <c r="R191" s="16" t="str">
        <f t="shared" si="9"/>
        <v/>
      </c>
      <c r="S191" s="17" t="str">
        <f t="shared" si="10"/>
        <v/>
      </c>
      <c r="T191" s="18" t="str">
        <f t="shared" ca="1" si="11"/>
        <v/>
      </c>
    </row>
    <row r="192" spans="1:20" x14ac:dyDescent="0.35">
      <c r="A192" s="11"/>
      <c r="B192" s="11"/>
      <c r="C192" s="11"/>
      <c r="D192" s="12"/>
      <c r="E192" s="11"/>
      <c r="F192" s="13"/>
      <c r="G192" s="13"/>
      <c r="H192" s="11"/>
      <c r="I192" s="12"/>
      <c r="J192" s="12"/>
      <c r="K192" s="13"/>
      <c r="L192" s="13"/>
      <c r="M192" s="13"/>
      <c r="N192" s="13"/>
      <c r="O192" s="13"/>
      <c r="P192" s="14" t="str">
        <f t="shared" si="8"/>
        <v/>
      </c>
      <c r="Q192" s="15" t="str">
        <f>IF(OR(J192="",H192=""),"",IFERROR(IF(ISNUMBER(N192),N192,IF(K192&lt;N(INDEX(Platforms!$G$5:$G$14,MATCH(H192,Lists!$A$2:$A$11,0))),N(INDEX(Platforms!$H$5:$H$14,MATCH(H192,Lists!$A$2:$A$11,0))),MAX(N(INDEX(Platforms!$F$5:$F$14,MATCH(H192,Lists!$A$2:$A$11,0))),N(INDEX(Platforms!$C$5:$C$14,MATCH(H192,Lists!$A$2:$A$11,0)))*(K192+IF(INDEX(Platforms!$E$5:$E$14,MATCH(H192,Lists!$A$2:$A$11,0))="Yes",N(L192),0))+N(INDEX(Platforms!$D$5:$D$14,MATCH(H192,Lists!$A$2:$A$11,0)))))),""))</f>
        <v/>
      </c>
      <c r="R192" s="16" t="str">
        <f t="shared" si="9"/>
        <v/>
      </c>
      <c r="S192" s="17" t="str">
        <f t="shared" si="10"/>
        <v/>
      </c>
      <c r="T192" s="18" t="str">
        <f t="shared" ca="1" si="11"/>
        <v/>
      </c>
    </row>
    <row r="193" spans="1:20" x14ac:dyDescent="0.35">
      <c r="A193" s="11"/>
      <c r="B193" s="11"/>
      <c r="C193" s="11"/>
      <c r="D193" s="12"/>
      <c r="E193" s="11"/>
      <c r="F193" s="13"/>
      <c r="G193" s="13"/>
      <c r="H193" s="11"/>
      <c r="I193" s="12"/>
      <c r="J193" s="12"/>
      <c r="K193" s="13"/>
      <c r="L193" s="13"/>
      <c r="M193" s="13"/>
      <c r="N193" s="13"/>
      <c r="O193" s="13"/>
      <c r="P193" s="14" t="str">
        <f t="shared" si="8"/>
        <v/>
      </c>
      <c r="Q193" s="15" t="str">
        <f>IF(OR(J193="",H193=""),"",IFERROR(IF(ISNUMBER(N193),N193,IF(K193&lt;N(INDEX(Platforms!$G$5:$G$14,MATCH(H193,Lists!$A$2:$A$11,0))),N(INDEX(Platforms!$H$5:$H$14,MATCH(H193,Lists!$A$2:$A$11,0))),MAX(N(INDEX(Platforms!$F$5:$F$14,MATCH(H193,Lists!$A$2:$A$11,0))),N(INDEX(Platforms!$C$5:$C$14,MATCH(H193,Lists!$A$2:$A$11,0)))*(K193+IF(INDEX(Platforms!$E$5:$E$14,MATCH(H193,Lists!$A$2:$A$11,0))="Yes",N(L193),0))+N(INDEX(Platforms!$D$5:$D$14,MATCH(H193,Lists!$A$2:$A$11,0)))))),""))</f>
        <v/>
      </c>
      <c r="R193" s="16" t="str">
        <f t="shared" si="9"/>
        <v/>
      </c>
      <c r="S193" s="17" t="str">
        <f t="shared" si="10"/>
        <v/>
      </c>
      <c r="T193" s="18" t="str">
        <f t="shared" ca="1" si="11"/>
        <v/>
      </c>
    </row>
    <row r="194" spans="1:20" x14ac:dyDescent="0.35">
      <c r="A194" s="11"/>
      <c r="B194" s="11"/>
      <c r="C194" s="11"/>
      <c r="D194" s="12"/>
      <c r="E194" s="11"/>
      <c r="F194" s="13"/>
      <c r="G194" s="13"/>
      <c r="H194" s="11"/>
      <c r="I194" s="12"/>
      <c r="J194" s="12"/>
      <c r="K194" s="13"/>
      <c r="L194" s="13"/>
      <c r="M194" s="13"/>
      <c r="N194" s="13"/>
      <c r="O194" s="13"/>
      <c r="P194" s="14" t="str">
        <f t="shared" si="8"/>
        <v/>
      </c>
      <c r="Q194" s="15" t="str">
        <f>IF(OR(J194="",H194=""),"",IFERROR(IF(ISNUMBER(N194),N194,IF(K194&lt;N(INDEX(Platforms!$G$5:$G$14,MATCH(H194,Lists!$A$2:$A$11,0))),N(INDEX(Platforms!$H$5:$H$14,MATCH(H194,Lists!$A$2:$A$11,0))),MAX(N(INDEX(Platforms!$F$5:$F$14,MATCH(H194,Lists!$A$2:$A$11,0))),N(INDEX(Platforms!$C$5:$C$14,MATCH(H194,Lists!$A$2:$A$11,0)))*(K194+IF(INDEX(Platforms!$E$5:$E$14,MATCH(H194,Lists!$A$2:$A$11,0))="Yes",N(L194),0))+N(INDEX(Platforms!$D$5:$D$14,MATCH(H194,Lists!$A$2:$A$11,0)))))),""))</f>
        <v/>
      </c>
      <c r="R194" s="16" t="str">
        <f t="shared" si="9"/>
        <v/>
      </c>
      <c r="S194" s="17" t="str">
        <f t="shared" si="10"/>
        <v/>
      </c>
      <c r="T194" s="18" t="str">
        <f t="shared" ca="1" si="11"/>
        <v/>
      </c>
    </row>
    <row r="195" spans="1:20" x14ac:dyDescent="0.35">
      <c r="A195" s="11"/>
      <c r="B195" s="11"/>
      <c r="C195" s="11"/>
      <c r="D195" s="12"/>
      <c r="E195" s="11"/>
      <c r="F195" s="13"/>
      <c r="G195" s="13"/>
      <c r="H195" s="11"/>
      <c r="I195" s="12"/>
      <c r="J195" s="12"/>
      <c r="K195" s="13"/>
      <c r="L195" s="13"/>
      <c r="M195" s="13"/>
      <c r="N195" s="13"/>
      <c r="O195" s="13"/>
      <c r="P195" s="14" t="str">
        <f t="shared" si="8"/>
        <v/>
      </c>
      <c r="Q195" s="15" t="str">
        <f>IF(OR(J195="",H195=""),"",IFERROR(IF(ISNUMBER(N195),N195,IF(K195&lt;N(INDEX(Platforms!$G$5:$G$14,MATCH(H195,Lists!$A$2:$A$11,0))),N(INDEX(Platforms!$H$5:$H$14,MATCH(H195,Lists!$A$2:$A$11,0))),MAX(N(INDEX(Platforms!$F$5:$F$14,MATCH(H195,Lists!$A$2:$A$11,0))),N(INDEX(Platforms!$C$5:$C$14,MATCH(H195,Lists!$A$2:$A$11,0)))*(K195+IF(INDEX(Platforms!$E$5:$E$14,MATCH(H195,Lists!$A$2:$A$11,0))="Yes",N(L195),0))+N(INDEX(Platforms!$D$5:$D$14,MATCH(H195,Lists!$A$2:$A$11,0)))))),""))</f>
        <v/>
      </c>
      <c r="R195" s="16" t="str">
        <f t="shared" si="9"/>
        <v/>
      </c>
      <c r="S195" s="17" t="str">
        <f t="shared" si="10"/>
        <v/>
      </c>
      <c r="T195" s="18" t="str">
        <f t="shared" ca="1" si="11"/>
        <v/>
      </c>
    </row>
    <row r="196" spans="1:20" x14ac:dyDescent="0.35">
      <c r="A196" s="11"/>
      <c r="B196" s="11"/>
      <c r="C196" s="11"/>
      <c r="D196" s="12"/>
      <c r="E196" s="11"/>
      <c r="F196" s="13"/>
      <c r="G196" s="13"/>
      <c r="H196" s="11"/>
      <c r="I196" s="12"/>
      <c r="J196" s="12"/>
      <c r="K196" s="13"/>
      <c r="L196" s="13"/>
      <c r="M196" s="13"/>
      <c r="N196" s="13"/>
      <c r="O196" s="13"/>
      <c r="P196" s="14" t="str">
        <f t="shared" si="8"/>
        <v/>
      </c>
      <c r="Q196" s="15" t="str">
        <f>IF(OR(J196="",H196=""),"",IFERROR(IF(ISNUMBER(N196),N196,IF(K196&lt;N(INDEX(Platforms!$G$5:$G$14,MATCH(H196,Lists!$A$2:$A$11,0))),N(INDEX(Platforms!$H$5:$H$14,MATCH(H196,Lists!$A$2:$A$11,0))),MAX(N(INDEX(Platforms!$F$5:$F$14,MATCH(H196,Lists!$A$2:$A$11,0))),N(INDEX(Platforms!$C$5:$C$14,MATCH(H196,Lists!$A$2:$A$11,0)))*(K196+IF(INDEX(Platforms!$E$5:$E$14,MATCH(H196,Lists!$A$2:$A$11,0))="Yes",N(L196),0))+N(INDEX(Platforms!$D$5:$D$14,MATCH(H196,Lists!$A$2:$A$11,0)))))),""))</f>
        <v/>
      </c>
      <c r="R196" s="16" t="str">
        <f t="shared" si="9"/>
        <v/>
      </c>
      <c r="S196" s="17" t="str">
        <f t="shared" si="10"/>
        <v/>
      </c>
      <c r="T196" s="18" t="str">
        <f t="shared" ca="1" si="11"/>
        <v/>
      </c>
    </row>
    <row r="197" spans="1:20" x14ac:dyDescent="0.35">
      <c r="A197" s="11"/>
      <c r="B197" s="11"/>
      <c r="C197" s="11"/>
      <c r="D197" s="12"/>
      <c r="E197" s="11"/>
      <c r="F197" s="13"/>
      <c r="G197" s="13"/>
      <c r="H197" s="11"/>
      <c r="I197" s="12"/>
      <c r="J197" s="12"/>
      <c r="K197" s="13"/>
      <c r="L197" s="13"/>
      <c r="M197" s="13"/>
      <c r="N197" s="13"/>
      <c r="O197" s="13"/>
      <c r="P197" s="14" t="str">
        <f t="shared" ref="P197:P260" si="12">IF(OR(B197&lt;&gt;"",F197&lt;&gt;"",H197&lt;&gt;"",J197&lt;&gt;"",K197&lt;&gt;""),IF(J197&lt;&gt;"","Sold",IF(I197&lt;&gt;"","Listed","In stock")),"")</f>
        <v/>
      </c>
      <c r="Q197" s="15" t="str">
        <f>IF(OR(J197="",H197=""),"",IFERROR(IF(ISNUMBER(N197),N197,IF(K197&lt;N(INDEX(Platforms!$G$5:$G$14,MATCH(H197,Lists!$A$2:$A$11,0))),N(INDEX(Platforms!$H$5:$H$14,MATCH(H197,Lists!$A$2:$A$11,0))),MAX(N(INDEX(Platforms!$F$5:$F$14,MATCH(H197,Lists!$A$2:$A$11,0))),N(INDEX(Platforms!$C$5:$C$14,MATCH(H197,Lists!$A$2:$A$11,0)))*(K197+IF(INDEX(Platforms!$E$5:$E$14,MATCH(H197,Lists!$A$2:$A$11,0))="Yes",N(L197),0))+N(INDEX(Platforms!$D$5:$D$14,MATCH(H197,Lists!$A$2:$A$11,0)))))),""))</f>
        <v/>
      </c>
      <c r="R197" s="16" t="str">
        <f t="shared" ref="R197:R260" si="13">IF(J197="","",IFERROR(K197+N(L197)-N(O197)-Q197-N(M197)-N(F197)-N(G197),""))</f>
        <v/>
      </c>
      <c r="S197" s="17" t="str">
        <f t="shared" ref="S197:S260" si="14">IF(OR(R197="",N(F197)+N(G197)=0),"",R197/(N(F197)+N(G197)))</f>
        <v/>
      </c>
      <c r="T197" s="18" t="str">
        <f t="shared" ref="T197:T260" ca="1" si="15">IFERROR(IF(ISNUMBER(D197),IF(ISNUMBER(J197),J197,IF(J197="",TODAY(),""))-D197,""),"")</f>
        <v/>
      </c>
    </row>
    <row r="198" spans="1:20" x14ac:dyDescent="0.35">
      <c r="A198" s="11"/>
      <c r="B198" s="11"/>
      <c r="C198" s="11"/>
      <c r="D198" s="12"/>
      <c r="E198" s="11"/>
      <c r="F198" s="13"/>
      <c r="G198" s="13"/>
      <c r="H198" s="11"/>
      <c r="I198" s="12"/>
      <c r="J198" s="12"/>
      <c r="K198" s="13"/>
      <c r="L198" s="13"/>
      <c r="M198" s="13"/>
      <c r="N198" s="13"/>
      <c r="O198" s="13"/>
      <c r="P198" s="14" t="str">
        <f t="shared" si="12"/>
        <v/>
      </c>
      <c r="Q198" s="15" t="str">
        <f>IF(OR(J198="",H198=""),"",IFERROR(IF(ISNUMBER(N198),N198,IF(K198&lt;N(INDEX(Platforms!$G$5:$G$14,MATCH(H198,Lists!$A$2:$A$11,0))),N(INDEX(Platforms!$H$5:$H$14,MATCH(H198,Lists!$A$2:$A$11,0))),MAX(N(INDEX(Platforms!$F$5:$F$14,MATCH(H198,Lists!$A$2:$A$11,0))),N(INDEX(Platforms!$C$5:$C$14,MATCH(H198,Lists!$A$2:$A$11,0)))*(K198+IF(INDEX(Platforms!$E$5:$E$14,MATCH(H198,Lists!$A$2:$A$11,0))="Yes",N(L198),0))+N(INDEX(Platforms!$D$5:$D$14,MATCH(H198,Lists!$A$2:$A$11,0)))))),""))</f>
        <v/>
      </c>
      <c r="R198" s="16" t="str">
        <f t="shared" si="13"/>
        <v/>
      </c>
      <c r="S198" s="17" t="str">
        <f t="shared" si="14"/>
        <v/>
      </c>
      <c r="T198" s="18" t="str">
        <f t="shared" ca="1" si="15"/>
        <v/>
      </c>
    </row>
    <row r="199" spans="1:20" x14ac:dyDescent="0.35">
      <c r="A199" s="11"/>
      <c r="B199" s="11"/>
      <c r="C199" s="11"/>
      <c r="D199" s="12"/>
      <c r="E199" s="11"/>
      <c r="F199" s="13"/>
      <c r="G199" s="13"/>
      <c r="H199" s="11"/>
      <c r="I199" s="12"/>
      <c r="J199" s="12"/>
      <c r="K199" s="13"/>
      <c r="L199" s="13"/>
      <c r="M199" s="13"/>
      <c r="N199" s="13"/>
      <c r="O199" s="13"/>
      <c r="P199" s="14" t="str">
        <f t="shared" si="12"/>
        <v/>
      </c>
      <c r="Q199" s="15" t="str">
        <f>IF(OR(J199="",H199=""),"",IFERROR(IF(ISNUMBER(N199),N199,IF(K199&lt;N(INDEX(Platforms!$G$5:$G$14,MATCH(H199,Lists!$A$2:$A$11,0))),N(INDEX(Platforms!$H$5:$H$14,MATCH(H199,Lists!$A$2:$A$11,0))),MAX(N(INDEX(Platforms!$F$5:$F$14,MATCH(H199,Lists!$A$2:$A$11,0))),N(INDEX(Platforms!$C$5:$C$14,MATCH(H199,Lists!$A$2:$A$11,0)))*(K199+IF(INDEX(Platforms!$E$5:$E$14,MATCH(H199,Lists!$A$2:$A$11,0))="Yes",N(L199),0))+N(INDEX(Platforms!$D$5:$D$14,MATCH(H199,Lists!$A$2:$A$11,0)))))),""))</f>
        <v/>
      </c>
      <c r="R199" s="16" t="str">
        <f t="shared" si="13"/>
        <v/>
      </c>
      <c r="S199" s="17" t="str">
        <f t="shared" si="14"/>
        <v/>
      </c>
      <c r="T199" s="18" t="str">
        <f t="shared" ca="1" si="15"/>
        <v/>
      </c>
    </row>
    <row r="200" spans="1:20" x14ac:dyDescent="0.35">
      <c r="A200" s="11"/>
      <c r="B200" s="11"/>
      <c r="C200" s="11"/>
      <c r="D200" s="12"/>
      <c r="E200" s="11"/>
      <c r="F200" s="13"/>
      <c r="G200" s="13"/>
      <c r="H200" s="11"/>
      <c r="I200" s="12"/>
      <c r="J200" s="12"/>
      <c r="K200" s="13"/>
      <c r="L200" s="13"/>
      <c r="M200" s="13"/>
      <c r="N200" s="13"/>
      <c r="O200" s="13"/>
      <c r="P200" s="14" t="str">
        <f t="shared" si="12"/>
        <v/>
      </c>
      <c r="Q200" s="15" t="str">
        <f>IF(OR(J200="",H200=""),"",IFERROR(IF(ISNUMBER(N200),N200,IF(K200&lt;N(INDEX(Platforms!$G$5:$G$14,MATCH(H200,Lists!$A$2:$A$11,0))),N(INDEX(Platforms!$H$5:$H$14,MATCH(H200,Lists!$A$2:$A$11,0))),MAX(N(INDEX(Platforms!$F$5:$F$14,MATCH(H200,Lists!$A$2:$A$11,0))),N(INDEX(Platforms!$C$5:$C$14,MATCH(H200,Lists!$A$2:$A$11,0)))*(K200+IF(INDEX(Platforms!$E$5:$E$14,MATCH(H200,Lists!$A$2:$A$11,0))="Yes",N(L200),0))+N(INDEX(Platforms!$D$5:$D$14,MATCH(H200,Lists!$A$2:$A$11,0)))))),""))</f>
        <v/>
      </c>
      <c r="R200" s="16" t="str">
        <f t="shared" si="13"/>
        <v/>
      </c>
      <c r="S200" s="17" t="str">
        <f t="shared" si="14"/>
        <v/>
      </c>
      <c r="T200" s="18" t="str">
        <f t="shared" ca="1" si="15"/>
        <v/>
      </c>
    </row>
    <row r="201" spans="1:20" x14ac:dyDescent="0.35">
      <c r="A201" s="11"/>
      <c r="B201" s="11"/>
      <c r="C201" s="11"/>
      <c r="D201" s="12"/>
      <c r="E201" s="11"/>
      <c r="F201" s="13"/>
      <c r="G201" s="13"/>
      <c r="H201" s="11"/>
      <c r="I201" s="12"/>
      <c r="J201" s="12"/>
      <c r="K201" s="13"/>
      <c r="L201" s="13"/>
      <c r="M201" s="13"/>
      <c r="N201" s="13"/>
      <c r="O201" s="13"/>
      <c r="P201" s="14" t="str">
        <f t="shared" si="12"/>
        <v/>
      </c>
      <c r="Q201" s="15" t="str">
        <f>IF(OR(J201="",H201=""),"",IFERROR(IF(ISNUMBER(N201),N201,IF(K201&lt;N(INDEX(Platforms!$G$5:$G$14,MATCH(H201,Lists!$A$2:$A$11,0))),N(INDEX(Platforms!$H$5:$H$14,MATCH(H201,Lists!$A$2:$A$11,0))),MAX(N(INDEX(Platforms!$F$5:$F$14,MATCH(H201,Lists!$A$2:$A$11,0))),N(INDEX(Platforms!$C$5:$C$14,MATCH(H201,Lists!$A$2:$A$11,0)))*(K201+IF(INDEX(Platforms!$E$5:$E$14,MATCH(H201,Lists!$A$2:$A$11,0))="Yes",N(L201),0))+N(INDEX(Platforms!$D$5:$D$14,MATCH(H201,Lists!$A$2:$A$11,0)))))),""))</f>
        <v/>
      </c>
      <c r="R201" s="16" t="str">
        <f t="shared" si="13"/>
        <v/>
      </c>
      <c r="S201" s="17" t="str">
        <f t="shared" si="14"/>
        <v/>
      </c>
      <c r="T201" s="18" t="str">
        <f t="shared" ca="1" si="15"/>
        <v/>
      </c>
    </row>
    <row r="202" spans="1:20" x14ac:dyDescent="0.35">
      <c r="A202" s="11"/>
      <c r="B202" s="11"/>
      <c r="C202" s="11"/>
      <c r="D202" s="12"/>
      <c r="E202" s="11"/>
      <c r="F202" s="13"/>
      <c r="G202" s="13"/>
      <c r="H202" s="11"/>
      <c r="I202" s="12"/>
      <c r="J202" s="12"/>
      <c r="K202" s="13"/>
      <c r="L202" s="13"/>
      <c r="M202" s="13"/>
      <c r="N202" s="13"/>
      <c r="O202" s="13"/>
      <c r="P202" s="14" t="str">
        <f t="shared" si="12"/>
        <v/>
      </c>
      <c r="Q202" s="15" t="str">
        <f>IF(OR(J202="",H202=""),"",IFERROR(IF(ISNUMBER(N202),N202,IF(K202&lt;N(INDEX(Platforms!$G$5:$G$14,MATCH(H202,Lists!$A$2:$A$11,0))),N(INDEX(Platforms!$H$5:$H$14,MATCH(H202,Lists!$A$2:$A$11,0))),MAX(N(INDEX(Platforms!$F$5:$F$14,MATCH(H202,Lists!$A$2:$A$11,0))),N(INDEX(Platforms!$C$5:$C$14,MATCH(H202,Lists!$A$2:$A$11,0)))*(K202+IF(INDEX(Platforms!$E$5:$E$14,MATCH(H202,Lists!$A$2:$A$11,0))="Yes",N(L202),0))+N(INDEX(Platforms!$D$5:$D$14,MATCH(H202,Lists!$A$2:$A$11,0)))))),""))</f>
        <v/>
      </c>
      <c r="R202" s="16" t="str">
        <f t="shared" si="13"/>
        <v/>
      </c>
      <c r="S202" s="17" t="str">
        <f t="shared" si="14"/>
        <v/>
      </c>
      <c r="T202" s="18" t="str">
        <f t="shared" ca="1" si="15"/>
        <v/>
      </c>
    </row>
    <row r="203" spans="1:20" x14ac:dyDescent="0.35">
      <c r="A203" s="11"/>
      <c r="B203" s="11"/>
      <c r="C203" s="11"/>
      <c r="D203" s="12"/>
      <c r="E203" s="11"/>
      <c r="F203" s="13"/>
      <c r="G203" s="13"/>
      <c r="H203" s="11"/>
      <c r="I203" s="12"/>
      <c r="J203" s="12"/>
      <c r="K203" s="13"/>
      <c r="L203" s="13"/>
      <c r="M203" s="13"/>
      <c r="N203" s="13"/>
      <c r="O203" s="13"/>
      <c r="P203" s="14" t="str">
        <f t="shared" si="12"/>
        <v/>
      </c>
      <c r="Q203" s="15" t="str">
        <f>IF(OR(J203="",H203=""),"",IFERROR(IF(ISNUMBER(N203),N203,IF(K203&lt;N(INDEX(Platforms!$G$5:$G$14,MATCH(H203,Lists!$A$2:$A$11,0))),N(INDEX(Platforms!$H$5:$H$14,MATCH(H203,Lists!$A$2:$A$11,0))),MAX(N(INDEX(Platforms!$F$5:$F$14,MATCH(H203,Lists!$A$2:$A$11,0))),N(INDEX(Platforms!$C$5:$C$14,MATCH(H203,Lists!$A$2:$A$11,0)))*(K203+IF(INDEX(Platforms!$E$5:$E$14,MATCH(H203,Lists!$A$2:$A$11,0))="Yes",N(L203),0))+N(INDEX(Platforms!$D$5:$D$14,MATCH(H203,Lists!$A$2:$A$11,0)))))),""))</f>
        <v/>
      </c>
      <c r="R203" s="16" t="str">
        <f t="shared" si="13"/>
        <v/>
      </c>
      <c r="S203" s="17" t="str">
        <f t="shared" si="14"/>
        <v/>
      </c>
      <c r="T203" s="18" t="str">
        <f t="shared" ca="1" si="15"/>
        <v/>
      </c>
    </row>
    <row r="204" spans="1:20" x14ac:dyDescent="0.35">
      <c r="A204" s="11"/>
      <c r="B204" s="11"/>
      <c r="C204" s="11"/>
      <c r="D204" s="12"/>
      <c r="E204" s="11"/>
      <c r="F204" s="13"/>
      <c r="G204" s="13"/>
      <c r="H204" s="11"/>
      <c r="I204" s="12"/>
      <c r="J204" s="12"/>
      <c r="K204" s="13"/>
      <c r="L204" s="13"/>
      <c r="M204" s="13"/>
      <c r="N204" s="13"/>
      <c r="O204" s="13"/>
      <c r="P204" s="14" t="str">
        <f t="shared" si="12"/>
        <v/>
      </c>
      <c r="Q204" s="15" t="str">
        <f>IF(OR(J204="",H204=""),"",IFERROR(IF(ISNUMBER(N204),N204,IF(K204&lt;N(INDEX(Platforms!$G$5:$G$14,MATCH(H204,Lists!$A$2:$A$11,0))),N(INDEX(Platforms!$H$5:$H$14,MATCH(H204,Lists!$A$2:$A$11,0))),MAX(N(INDEX(Platforms!$F$5:$F$14,MATCH(H204,Lists!$A$2:$A$11,0))),N(INDEX(Platforms!$C$5:$C$14,MATCH(H204,Lists!$A$2:$A$11,0)))*(K204+IF(INDEX(Platforms!$E$5:$E$14,MATCH(H204,Lists!$A$2:$A$11,0))="Yes",N(L204),0))+N(INDEX(Platforms!$D$5:$D$14,MATCH(H204,Lists!$A$2:$A$11,0)))))),""))</f>
        <v/>
      </c>
      <c r="R204" s="16" t="str">
        <f t="shared" si="13"/>
        <v/>
      </c>
      <c r="S204" s="17" t="str">
        <f t="shared" si="14"/>
        <v/>
      </c>
      <c r="T204" s="18" t="str">
        <f t="shared" ca="1" si="15"/>
        <v/>
      </c>
    </row>
    <row r="205" spans="1:20" x14ac:dyDescent="0.35">
      <c r="A205" s="11"/>
      <c r="B205" s="11"/>
      <c r="C205" s="11"/>
      <c r="D205" s="12"/>
      <c r="E205" s="11"/>
      <c r="F205" s="13"/>
      <c r="G205" s="13"/>
      <c r="H205" s="11"/>
      <c r="I205" s="12"/>
      <c r="J205" s="12"/>
      <c r="K205" s="13"/>
      <c r="L205" s="13"/>
      <c r="M205" s="13"/>
      <c r="N205" s="13"/>
      <c r="O205" s="13"/>
      <c r="P205" s="14" t="str">
        <f t="shared" si="12"/>
        <v/>
      </c>
      <c r="Q205" s="15" t="str">
        <f>IF(OR(J205="",H205=""),"",IFERROR(IF(ISNUMBER(N205),N205,IF(K205&lt;N(INDEX(Platforms!$G$5:$G$14,MATCH(H205,Lists!$A$2:$A$11,0))),N(INDEX(Platforms!$H$5:$H$14,MATCH(H205,Lists!$A$2:$A$11,0))),MAX(N(INDEX(Platforms!$F$5:$F$14,MATCH(H205,Lists!$A$2:$A$11,0))),N(INDEX(Platforms!$C$5:$C$14,MATCH(H205,Lists!$A$2:$A$11,0)))*(K205+IF(INDEX(Platforms!$E$5:$E$14,MATCH(H205,Lists!$A$2:$A$11,0))="Yes",N(L205),0))+N(INDEX(Platforms!$D$5:$D$14,MATCH(H205,Lists!$A$2:$A$11,0)))))),""))</f>
        <v/>
      </c>
      <c r="R205" s="16" t="str">
        <f t="shared" si="13"/>
        <v/>
      </c>
      <c r="S205" s="17" t="str">
        <f t="shared" si="14"/>
        <v/>
      </c>
      <c r="T205" s="18" t="str">
        <f t="shared" ca="1" si="15"/>
        <v/>
      </c>
    </row>
    <row r="206" spans="1:20" x14ac:dyDescent="0.35">
      <c r="A206" s="11"/>
      <c r="B206" s="11"/>
      <c r="C206" s="11"/>
      <c r="D206" s="12"/>
      <c r="E206" s="11"/>
      <c r="F206" s="13"/>
      <c r="G206" s="13"/>
      <c r="H206" s="11"/>
      <c r="I206" s="12"/>
      <c r="J206" s="12"/>
      <c r="K206" s="13"/>
      <c r="L206" s="13"/>
      <c r="M206" s="13"/>
      <c r="N206" s="13"/>
      <c r="O206" s="13"/>
      <c r="P206" s="14" t="str">
        <f t="shared" si="12"/>
        <v/>
      </c>
      <c r="Q206" s="15" t="str">
        <f>IF(OR(J206="",H206=""),"",IFERROR(IF(ISNUMBER(N206),N206,IF(K206&lt;N(INDEX(Platforms!$G$5:$G$14,MATCH(H206,Lists!$A$2:$A$11,0))),N(INDEX(Platforms!$H$5:$H$14,MATCH(H206,Lists!$A$2:$A$11,0))),MAX(N(INDEX(Platforms!$F$5:$F$14,MATCH(H206,Lists!$A$2:$A$11,0))),N(INDEX(Platforms!$C$5:$C$14,MATCH(H206,Lists!$A$2:$A$11,0)))*(K206+IF(INDEX(Platforms!$E$5:$E$14,MATCH(H206,Lists!$A$2:$A$11,0))="Yes",N(L206),0))+N(INDEX(Platforms!$D$5:$D$14,MATCH(H206,Lists!$A$2:$A$11,0)))))),""))</f>
        <v/>
      </c>
      <c r="R206" s="16" t="str">
        <f t="shared" si="13"/>
        <v/>
      </c>
      <c r="S206" s="17" t="str">
        <f t="shared" si="14"/>
        <v/>
      </c>
      <c r="T206" s="18" t="str">
        <f t="shared" ca="1" si="15"/>
        <v/>
      </c>
    </row>
    <row r="207" spans="1:20" x14ac:dyDescent="0.35">
      <c r="A207" s="11"/>
      <c r="B207" s="11"/>
      <c r="C207" s="11"/>
      <c r="D207" s="12"/>
      <c r="E207" s="11"/>
      <c r="F207" s="13"/>
      <c r="G207" s="13"/>
      <c r="H207" s="11"/>
      <c r="I207" s="12"/>
      <c r="J207" s="12"/>
      <c r="K207" s="13"/>
      <c r="L207" s="13"/>
      <c r="M207" s="13"/>
      <c r="N207" s="13"/>
      <c r="O207" s="13"/>
      <c r="P207" s="14" t="str">
        <f t="shared" si="12"/>
        <v/>
      </c>
      <c r="Q207" s="15" t="str">
        <f>IF(OR(J207="",H207=""),"",IFERROR(IF(ISNUMBER(N207),N207,IF(K207&lt;N(INDEX(Platforms!$G$5:$G$14,MATCH(H207,Lists!$A$2:$A$11,0))),N(INDEX(Platforms!$H$5:$H$14,MATCH(H207,Lists!$A$2:$A$11,0))),MAX(N(INDEX(Platforms!$F$5:$F$14,MATCH(H207,Lists!$A$2:$A$11,0))),N(INDEX(Platforms!$C$5:$C$14,MATCH(H207,Lists!$A$2:$A$11,0)))*(K207+IF(INDEX(Platforms!$E$5:$E$14,MATCH(H207,Lists!$A$2:$A$11,0))="Yes",N(L207),0))+N(INDEX(Platforms!$D$5:$D$14,MATCH(H207,Lists!$A$2:$A$11,0)))))),""))</f>
        <v/>
      </c>
      <c r="R207" s="16" t="str">
        <f t="shared" si="13"/>
        <v/>
      </c>
      <c r="S207" s="17" t="str">
        <f t="shared" si="14"/>
        <v/>
      </c>
      <c r="T207" s="18" t="str">
        <f t="shared" ca="1" si="15"/>
        <v/>
      </c>
    </row>
    <row r="208" spans="1:20" x14ac:dyDescent="0.35">
      <c r="A208" s="11"/>
      <c r="B208" s="11"/>
      <c r="C208" s="11"/>
      <c r="D208" s="12"/>
      <c r="E208" s="11"/>
      <c r="F208" s="13"/>
      <c r="G208" s="13"/>
      <c r="H208" s="11"/>
      <c r="I208" s="12"/>
      <c r="J208" s="12"/>
      <c r="K208" s="13"/>
      <c r="L208" s="13"/>
      <c r="M208" s="13"/>
      <c r="N208" s="13"/>
      <c r="O208" s="13"/>
      <c r="P208" s="14" t="str">
        <f t="shared" si="12"/>
        <v/>
      </c>
      <c r="Q208" s="15" t="str">
        <f>IF(OR(J208="",H208=""),"",IFERROR(IF(ISNUMBER(N208),N208,IF(K208&lt;N(INDEX(Platforms!$G$5:$G$14,MATCH(H208,Lists!$A$2:$A$11,0))),N(INDEX(Platforms!$H$5:$H$14,MATCH(H208,Lists!$A$2:$A$11,0))),MAX(N(INDEX(Platforms!$F$5:$F$14,MATCH(H208,Lists!$A$2:$A$11,0))),N(INDEX(Platforms!$C$5:$C$14,MATCH(H208,Lists!$A$2:$A$11,0)))*(K208+IF(INDEX(Platforms!$E$5:$E$14,MATCH(H208,Lists!$A$2:$A$11,0))="Yes",N(L208),0))+N(INDEX(Platforms!$D$5:$D$14,MATCH(H208,Lists!$A$2:$A$11,0)))))),""))</f>
        <v/>
      </c>
      <c r="R208" s="16" t="str">
        <f t="shared" si="13"/>
        <v/>
      </c>
      <c r="S208" s="17" t="str">
        <f t="shared" si="14"/>
        <v/>
      </c>
      <c r="T208" s="18" t="str">
        <f t="shared" ca="1" si="15"/>
        <v/>
      </c>
    </row>
    <row r="209" spans="1:20" x14ac:dyDescent="0.35">
      <c r="A209" s="11"/>
      <c r="B209" s="11"/>
      <c r="C209" s="11"/>
      <c r="D209" s="12"/>
      <c r="E209" s="11"/>
      <c r="F209" s="13"/>
      <c r="G209" s="13"/>
      <c r="H209" s="11"/>
      <c r="I209" s="12"/>
      <c r="J209" s="12"/>
      <c r="K209" s="13"/>
      <c r="L209" s="13"/>
      <c r="M209" s="13"/>
      <c r="N209" s="13"/>
      <c r="O209" s="13"/>
      <c r="P209" s="14" t="str">
        <f t="shared" si="12"/>
        <v/>
      </c>
      <c r="Q209" s="15" t="str">
        <f>IF(OR(J209="",H209=""),"",IFERROR(IF(ISNUMBER(N209),N209,IF(K209&lt;N(INDEX(Platforms!$G$5:$G$14,MATCH(H209,Lists!$A$2:$A$11,0))),N(INDEX(Platforms!$H$5:$H$14,MATCH(H209,Lists!$A$2:$A$11,0))),MAX(N(INDEX(Platforms!$F$5:$F$14,MATCH(H209,Lists!$A$2:$A$11,0))),N(INDEX(Platforms!$C$5:$C$14,MATCH(H209,Lists!$A$2:$A$11,0)))*(K209+IF(INDEX(Platforms!$E$5:$E$14,MATCH(H209,Lists!$A$2:$A$11,0))="Yes",N(L209),0))+N(INDEX(Platforms!$D$5:$D$14,MATCH(H209,Lists!$A$2:$A$11,0)))))),""))</f>
        <v/>
      </c>
      <c r="R209" s="16" t="str">
        <f t="shared" si="13"/>
        <v/>
      </c>
      <c r="S209" s="17" t="str">
        <f t="shared" si="14"/>
        <v/>
      </c>
      <c r="T209" s="18" t="str">
        <f t="shared" ca="1" si="15"/>
        <v/>
      </c>
    </row>
    <row r="210" spans="1:20" x14ac:dyDescent="0.35">
      <c r="A210" s="11"/>
      <c r="B210" s="11"/>
      <c r="C210" s="11"/>
      <c r="D210" s="12"/>
      <c r="E210" s="11"/>
      <c r="F210" s="13"/>
      <c r="G210" s="13"/>
      <c r="H210" s="11"/>
      <c r="I210" s="12"/>
      <c r="J210" s="12"/>
      <c r="K210" s="13"/>
      <c r="L210" s="13"/>
      <c r="M210" s="13"/>
      <c r="N210" s="13"/>
      <c r="O210" s="13"/>
      <c r="P210" s="14" t="str">
        <f t="shared" si="12"/>
        <v/>
      </c>
      <c r="Q210" s="15" t="str">
        <f>IF(OR(J210="",H210=""),"",IFERROR(IF(ISNUMBER(N210),N210,IF(K210&lt;N(INDEX(Platforms!$G$5:$G$14,MATCH(H210,Lists!$A$2:$A$11,0))),N(INDEX(Platforms!$H$5:$H$14,MATCH(H210,Lists!$A$2:$A$11,0))),MAX(N(INDEX(Platforms!$F$5:$F$14,MATCH(H210,Lists!$A$2:$A$11,0))),N(INDEX(Platforms!$C$5:$C$14,MATCH(H210,Lists!$A$2:$A$11,0)))*(K210+IF(INDEX(Platforms!$E$5:$E$14,MATCH(H210,Lists!$A$2:$A$11,0))="Yes",N(L210),0))+N(INDEX(Platforms!$D$5:$D$14,MATCH(H210,Lists!$A$2:$A$11,0)))))),""))</f>
        <v/>
      </c>
      <c r="R210" s="16" t="str">
        <f t="shared" si="13"/>
        <v/>
      </c>
      <c r="S210" s="17" t="str">
        <f t="shared" si="14"/>
        <v/>
      </c>
      <c r="T210" s="18" t="str">
        <f t="shared" ca="1" si="15"/>
        <v/>
      </c>
    </row>
    <row r="211" spans="1:20" x14ac:dyDescent="0.35">
      <c r="A211" s="11"/>
      <c r="B211" s="11"/>
      <c r="C211" s="11"/>
      <c r="D211" s="12"/>
      <c r="E211" s="11"/>
      <c r="F211" s="13"/>
      <c r="G211" s="13"/>
      <c r="H211" s="11"/>
      <c r="I211" s="12"/>
      <c r="J211" s="12"/>
      <c r="K211" s="13"/>
      <c r="L211" s="13"/>
      <c r="M211" s="13"/>
      <c r="N211" s="13"/>
      <c r="O211" s="13"/>
      <c r="P211" s="14" t="str">
        <f t="shared" si="12"/>
        <v/>
      </c>
      <c r="Q211" s="15" t="str">
        <f>IF(OR(J211="",H211=""),"",IFERROR(IF(ISNUMBER(N211),N211,IF(K211&lt;N(INDEX(Platforms!$G$5:$G$14,MATCH(H211,Lists!$A$2:$A$11,0))),N(INDEX(Platforms!$H$5:$H$14,MATCH(H211,Lists!$A$2:$A$11,0))),MAX(N(INDEX(Platforms!$F$5:$F$14,MATCH(H211,Lists!$A$2:$A$11,0))),N(INDEX(Platforms!$C$5:$C$14,MATCH(H211,Lists!$A$2:$A$11,0)))*(K211+IF(INDEX(Platforms!$E$5:$E$14,MATCH(H211,Lists!$A$2:$A$11,0))="Yes",N(L211),0))+N(INDEX(Platforms!$D$5:$D$14,MATCH(H211,Lists!$A$2:$A$11,0)))))),""))</f>
        <v/>
      </c>
      <c r="R211" s="16" t="str">
        <f t="shared" si="13"/>
        <v/>
      </c>
      <c r="S211" s="17" t="str">
        <f t="shared" si="14"/>
        <v/>
      </c>
      <c r="T211" s="18" t="str">
        <f t="shared" ca="1" si="15"/>
        <v/>
      </c>
    </row>
    <row r="212" spans="1:20" x14ac:dyDescent="0.35">
      <c r="A212" s="11"/>
      <c r="B212" s="11"/>
      <c r="C212" s="11"/>
      <c r="D212" s="12"/>
      <c r="E212" s="11"/>
      <c r="F212" s="13"/>
      <c r="G212" s="13"/>
      <c r="H212" s="11"/>
      <c r="I212" s="12"/>
      <c r="J212" s="12"/>
      <c r="K212" s="13"/>
      <c r="L212" s="13"/>
      <c r="M212" s="13"/>
      <c r="N212" s="13"/>
      <c r="O212" s="13"/>
      <c r="P212" s="14" t="str">
        <f t="shared" si="12"/>
        <v/>
      </c>
      <c r="Q212" s="15" t="str">
        <f>IF(OR(J212="",H212=""),"",IFERROR(IF(ISNUMBER(N212),N212,IF(K212&lt;N(INDEX(Platforms!$G$5:$G$14,MATCH(H212,Lists!$A$2:$A$11,0))),N(INDEX(Platforms!$H$5:$H$14,MATCH(H212,Lists!$A$2:$A$11,0))),MAX(N(INDEX(Platforms!$F$5:$F$14,MATCH(H212,Lists!$A$2:$A$11,0))),N(INDEX(Platforms!$C$5:$C$14,MATCH(H212,Lists!$A$2:$A$11,0)))*(K212+IF(INDEX(Platforms!$E$5:$E$14,MATCH(H212,Lists!$A$2:$A$11,0))="Yes",N(L212),0))+N(INDEX(Platforms!$D$5:$D$14,MATCH(H212,Lists!$A$2:$A$11,0)))))),""))</f>
        <v/>
      </c>
      <c r="R212" s="16" t="str">
        <f t="shared" si="13"/>
        <v/>
      </c>
      <c r="S212" s="17" t="str">
        <f t="shared" si="14"/>
        <v/>
      </c>
      <c r="T212" s="18" t="str">
        <f t="shared" ca="1" si="15"/>
        <v/>
      </c>
    </row>
    <row r="213" spans="1:20" x14ac:dyDescent="0.35">
      <c r="A213" s="11"/>
      <c r="B213" s="11"/>
      <c r="C213" s="11"/>
      <c r="D213" s="12"/>
      <c r="E213" s="11"/>
      <c r="F213" s="13"/>
      <c r="G213" s="13"/>
      <c r="H213" s="11"/>
      <c r="I213" s="12"/>
      <c r="J213" s="12"/>
      <c r="K213" s="13"/>
      <c r="L213" s="13"/>
      <c r="M213" s="13"/>
      <c r="N213" s="13"/>
      <c r="O213" s="13"/>
      <c r="P213" s="14" t="str">
        <f t="shared" si="12"/>
        <v/>
      </c>
      <c r="Q213" s="15" t="str">
        <f>IF(OR(J213="",H213=""),"",IFERROR(IF(ISNUMBER(N213),N213,IF(K213&lt;N(INDEX(Platforms!$G$5:$G$14,MATCH(H213,Lists!$A$2:$A$11,0))),N(INDEX(Platforms!$H$5:$H$14,MATCH(H213,Lists!$A$2:$A$11,0))),MAX(N(INDEX(Platforms!$F$5:$F$14,MATCH(H213,Lists!$A$2:$A$11,0))),N(INDEX(Platforms!$C$5:$C$14,MATCH(H213,Lists!$A$2:$A$11,0)))*(K213+IF(INDEX(Platforms!$E$5:$E$14,MATCH(H213,Lists!$A$2:$A$11,0))="Yes",N(L213),0))+N(INDEX(Platforms!$D$5:$D$14,MATCH(H213,Lists!$A$2:$A$11,0)))))),""))</f>
        <v/>
      </c>
      <c r="R213" s="16" t="str">
        <f t="shared" si="13"/>
        <v/>
      </c>
      <c r="S213" s="17" t="str">
        <f t="shared" si="14"/>
        <v/>
      </c>
      <c r="T213" s="18" t="str">
        <f t="shared" ca="1" si="15"/>
        <v/>
      </c>
    </row>
    <row r="214" spans="1:20" x14ac:dyDescent="0.35">
      <c r="A214" s="11"/>
      <c r="B214" s="11"/>
      <c r="C214" s="11"/>
      <c r="D214" s="12"/>
      <c r="E214" s="11"/>
      <c r="F214" s="13"/>
      <c r="G214" s="13"/>
      <c r="H214" s="11"/>
      <c r="I214" s="12"/>
      <c r="J214" s="12"/>
      <c r="K214" s="13"/>
      <c r="L214" s="13"/>
      <c r="M214" s="13"/>
      <c r="N214" s="13"/>
      <c r="O214" s="13"/>
      <c r="P214" s="14" t="str">
        <f t="shared" si="12"/>
        <v/>
      </c>
      <c r="Q214" s="15" t="str">
        <f>IF(OR(J214="",H214=""),"",IFERROR(IF(ISNUMBER(N214),N214,IF(K214&lt;N(INDEX(Platforms!$G$5:$G$14,MATCH(H214,Lists!$A$2:$A$11,0))),N(INDEX(Platforms!$H$5:$H$14,MATCH(H214,Lists!$A$2:$A$11,0))),MAX(N(INDEX(Platforms!$F$5:$F$14,MATCH(H214,Lists!$A$2:$A$11,0))),N(INDEX(Platforms!$C$5:$C$14,MATCH(H214,Lists!$A$2:$A$11,0)))*(K214+IF(INDEX(Platforms!$E$5:$E$14,MATCH(H214,Lists!$A$2:$A$11,0))="Yes",N(L214),0))+N(INDEX(Platforms!$D$5:$D$14,MATCH(H214,Lists!$A$2:$A$11,0)))))),""))</f>
        <v/>
      </c>
      <c r="R214" s="16" t="str">
        <f t="shared" si="13"/>
        <v/>
      </c>
      <c r="S214" s="17" t="str">
        <f t="shared" si="14"/>
        <v/>
      </c>
      <c r="T214" s="18" t="str">
        <f t="shared" ca="1" si="15"/>
        <v/>
      </c>
    </row>
    <row r="215" spans="1:20" x14ac:dyDescent="0.35">
      <c r="A215" s="11"/>
      <c r="B215" s="11"/>
      <c r="C215" s="11"/>
      <c r="D215" s="12"/>
      <c r="E215" s="11"/>
      <c r="F215" s="13"/>
      <c r="G215" s="13"/>
      <c r="H215" s="11"/>
      <c r="I215" s="12"/>
      <c r="J215" s="12"/>
      <c r="K215" s="13"/>
      <c r="L215" s="13"/>
      <c r="M215" s="13"/>
      <c r="N215" s="13"/>
      <c r="O215" s="13"/>
      <c r="P215" s="14" t="str">
        <f t="shared" si="12"/>
        <v/>
      </c>
      <c r="Q215" s="15" t="str">
        <f>IF(OR(J215="",H215=""),"",IFERROR(IF(ISNUMBER(N215),N215,IF(K215&lt;N(INDEX(Platforms!$G$5:$G$14,MATCH(H215,Lists!$A$2:$A$11,0))),N(INDEX(Platforms!$H$5:$H$14,MATCH(H215,Lists!$A$2:$A$11,0))),MAX(N(INDEX(Platforms!$F$5:$F$14,MATCH(H215,Lists!$A$2:$A$11,0))),N(INDEX(Platforms!$C$5:$C$14,MATCH(H215,Lists!$A$2:$A$11,0)))*(K215+IF(INDEX(Platforms!$E$5:$E$14,MATCH(H215,Lists!$A$2:$A$11,0))="Yes",N(L215),0))+N(INDEX(Platforms!$D$5:$D$14,MATCH(H215,Lists!$A$2:$A$11,0)))))),""))</f>
        <v/>
      </c>
      <c r="R215" s="16" t="str">
        <f t="shared" si="13"/>
        <v/>
      </c>
      <c r="S215" s="17" t="str">
        <f t="shared" si="14"/>
        <v/>
      </c>
      <c r="T215" s="18" t="str">
        <f t="shared" ca="1" si="15"/>
        <v/>
      </c>
    </row>
    <row r="216" spans="1:20" x14ac:dyDescent="0.35">
      <c r="A216" s="11"/>
      <c r="B216" s="11"/>
      <c r="C216" s="11"/>
      <c r="D216" s="12"/>
      <c r="E216" s="11"/>
      <c r="F216" s="13"/>
      <c r="G216" s="13"/>
      <c r="H216" s="11"/>
      <c r="I216" s="12"/>
      <c r="J216" s="12"/>
      <c r="K216" s="13"/>
      <c r="L216" s="13"/>
      <c r="M216" s="13"/>
      <c r="N216" s="13"/>
      <c r="O216" s="13"/>
      <c r="P216" s="14" t="str">
        <f t="shared" si="12"/>
        <v/>
      </c>
      <c r="Q216" s="15" t="str">
        <f>IF(OR(J216="",H216=""),"",IFERROR(IF(ISNUMBER(N216),N216,IF(K216&lt;N(INDEX(Platforms!$G$5:$G$14,MATCH(H216,Lists!$A$2:$A$11,0))),N(INDEX(Platforms!$H$5:$H$14,MATCH(H216,Lists!$A$2:$A$11,0))),MAX(N(INDEX(Platforms!$F$5:$F$14,MATCH(H216,Lists!$A$2:$A$11,0))),N(INDEX(Platforms!$C$5:$C$14,MATCH(H216,Lists!$A$2:$A$11,0)))*(K216+IF(INDEX(Platforms!$E$5:$E$14,MATCH(H216,Lists!$A$2:$A$11,0))="Yes",N(L216),0))+N(INDEX(Platforms!$D$5:$D$14,MATCH(H216,Lists!$A$2:$A$11,0)))))),""))</f>
        <v/>
      </c>
      <c r="R216" s="16" t="str">
        <f t="shared" si="13"/>
        <v/>
      </c>
      <c r="S216" s="17" t="str">
        <f t="shared" si="14"/>
        <v/>
      </c>
      <c r="T216" s="18" t="str">
        <f t="shared" ca="1" si="15"/>
        <v/>
      </c>
    </row>
    <row r="217" spans="1:20" x14ac:dyDescent="0.35">
      <c r="A217" s="11"/>
      <c r="B217" s="11"/>
      <c r="C217" s="11"/>
      <c r="D217" s="12"/>
      <c r="E217" s="11"/>
      <c r="F217" s="13"/>
      <c r="G217" s="13"/>
      <c r="H217" s="11"/>
      <c r="I217" s="12"/>
      <c r="J217" s="12"/>
      <c r="K217" s="13"/>
      <c r="L217" s="13"/>
      <c r="M217" s="13"/>
      <c r="N217" s="13"/>
      <c r="O217" s="13"/>
      <c r="P217" s="14" t="str">
        <f t="shared" si="12"/>
        <v/>
      </c>
      <c r="Q217" s="15" t="str">
        <f>IF(OR(J217="",H217=""),"",IFERROR(IF(ISNUMBER(N217),N217,IF(K217&lt;N(INDEX(Platforms!$G$5:$G$14,MATCH(H217,Lists!$A$2:$A$11,0))),N(INDEX(Platforms!$H$5:$H$14,MATCH(H217,Lists!$A$2:$A$11,0))),MAX(N(INDEX(Platforms!$F$5:$F$14,MATCH(H217,Lists!$A$2:$A$11,0))),N(INDEX(Platforms!$C$5:$C$14,MATCH(H217,Lists!$A$2:$A$11,0)))*(K217+IF(INDEX(Platforms!$E$5:$E$14,MATCH(H217,Lists!$A$2:$A$11,0))="Yes",N(L217),0))+N(INDEX(Platforms!$D$5:$D$14,MATCH(H217,Lists!$A$2:$A$11,0)))))),""))</f>
        <v/>
      </c>
      <c r="R217" s="16" t="str">
        <f t="shared" si="13"/>
        <v/>
      </c>
      <c r="S217" s="17" t="str">
        <f t="shared" si="14"/>
        <v/>
      </c>
      <c r="T217" s="18" t="str">
        <f t="shared" ca="1" si="15"/>
        <v/>
      </c>
    </row>
    <row r="218" spans="1:20" x14ac:dyDescent="0.35">
      <c r="A218" s="11"/>
      <c r="B218" s="11"/>
      <c r="C218" s="11"/>
      <c r="D218" s="12"/>
      <c r="E218" s="11"/>
      <c r="F218" s="13"/>
      <c r="G218" s="13"/>
      <c r="H218" s="11"/>
      <c r="I218" s="12"/>
      <c r="J218" s="12"/>
      <c r="K218" s="13"/>
      <c r="L218" s="13"/>
      <c r="M218" s="13"/>
      <c r="N218" s="13"/>
      <c r="O218" s="13"/>
      <c r="P218" s="14" t="str">
        <f t="shared" si="12"/>
        <v/>
      </c>
      <c r="Q218" s="15" t="str">
        <f>IF(OR(J218="",H218=""),"",IFERROR(IF(ISNUMBER(N218),N218,IF(K218&lt;N(INDEX(Platforms!$G$5:$G$14,MATCH(H218,Lists!$A$2:$A$11,0))),N(INDEX(Platforms!$H$5:$H$14,MATCH(H218,Lists!$A$2:$A$11,0))),MAX(N(INDEX(Platforms!$F$5:$F$14,MATCH(H218,Lists!$A$2:$A$11,0))),N(INDEX(Platforms!$C$5:$C$14,MATCH(H218,Lists!$A$2:$A$11,0)))*(K218+IF(INDEX(Platforms!$E$5:$E$14,MATCH(H218,Lists!$A$2:$A$11,0))="Yes",N(L218),0))+N(INDEX(Platforms!$D$5:$D$14,MATCH(H218,Lists!$A$2:$A$11,0)))))),""))</f>
        <v/>
      </c>
      <c r="R218" s="16" t="str">
        <f t="shared" si="13"/>
        <v/>
      </c>
      <c r="S218" s="17" t="str">
        <f t="shared" si="14"/>
        <v/>
      </c>
      <c r="T218" s="18" t="str">
        <f t="shared" ca="1" si="15"/>
        <v/>
      </c>
    </row>
    <row r="219" spans="1:20" x14ac:dyDescent="0.35">
      <c r="A219" s="11"/>
      <c r="B219" s="11"/>
      <c r="C219" s="11"/>
      <c r="D219" s="12"/>
      <c r="E219" s="11"/>
      <c r="F219" s="13"/>
      <c r="G219" s="13"/>
      <c r="H219" s="11"/>
      <c r="I219" s="12"/>
      <c r="J219" s="12"/>
      <c r="K219" s="13"/>
      <c r="L219" s="13"/>
      <c r="M219" s="13"/>
      <c r="N219" s="13"/>
      <c r="O219" s="13"/>
      <c r="P219" s="14" t="str">
        <f t="shared" si="12"/>
        <v/>
      </c>
      <c r="Q219" s="15" t="str">
        <f>IF(OR(J219="",H219=""),"",IFERROR(IF(ISNUMBER(N219),N219,IF(K219&lt;N(INDEX(Platforms!$G$5:$G$14,MATCH(H219,Lists!$A$2:$A$11,0))),N(INDEX(Platforms!$H$5:$H$14,MATCH(H219,Lists!$A$2:$A$11,0))),MAX(N(INDEX(Platforms!$F$5:$F$14,MATCH(H219,Lists!$A$2:$A$11,0))),N(INDEX(Platforms!$C$5:$C$14,MATCH(H219,Lists!$A$2:$A$11,0)))*(K219+IF(INDEX(Platforms!$E$5:$E$14,MATCH(H219,Lists!$A$2:$A$11,0))="Yes",N(L219),0))+N(INDEX(Platforms!$D$5:$D$14,MATCH(H219,Lists!$A$2:$A$11,0)))))),""))</f>
        <v/>
      </c>
      <c r="R219" s="16" t="str">
        <f t="shared" si="13"/>
        <v/>
      </c>
      <c r="S219" s="17" t="str">
        <f t="shared" si="14"/>
        <v/>
      </c>
      <c r="T219" s="18" t="str">
        <f t="shared" ca="1" si="15"/>
        <v/>
      </c>
    </row>
    <row r="220" spans="1:20" x14ac:dyDescent="0.35">
      <c r="A220" s="11"/>
      <c r="B220" s="11"/>
      <c r="C220" s="11"/>
      <c r="D220" s="12"/>
      <c r="E220" s="11"/>
      <c r="F220" s="13"/>
      <c r="G220" s="13"/>
      <c r="H220" s="11"/>
      <c r="I220" s="12"/>
      <c r="J220" s="12"/>
      <c r="K220" s="13"/>
      <c r="L220" s="13"/>
      <c r="M220" s="13"/>
      <c r="N220" s="13"/>
      <c r="O220" s="13"/>
      <c r="P220" s="14" t="str">
        <f t="shared" si="12"/>
        <v/>
      </c>
      <c r="Q220" s="15" t="str">
        <f>IF(OR(J220="",H220=""),"",IFERROR(IF(ISNUMBER(N220),N220,IF(K220&lt;N(INDEX(Platforms!$G$5:$G$14,MATCH(H220,Lists!$A$2:$A$11,0))),N(INDEX(Platforms!$H$5:$H$14,MATCH(H220,Lists!$A$2:$A$11,0))),MAX(N(INDEX(Platforms!$F$5:$F$14,MATCH(H220,Lists!$A$2:$A$11,0))),N(INDEX(Platforms!$C$5:$C$14,MATCH(H220,Lists!$A$2:$A$11,0)))*(K220+IF(INDEX(Platforms!$E$5:$E$14,MATCH(H220,Lists!$A$2:$A$11,0))="Yes",N(L220),0))+N(INDEX(Platforms!$D$5:$D$14,MATCH(H220,Lists!$A$2:$A$11,0)))))),""))</f>
        <v/>
      </c>
      <c r="R220" s="16" t="str">
        <f t="shared" si="13"/>
        <v/>
      </c>
      <c r="S220" s="17" t="str">
        <f t="shared" si="14"/>
        <v/>
      </c>
      <c r="T220" s="18" t="str">
        <f t="shared" ca="1" si="15"/>
        <v/>
      </c>
    </row>
    <row r="221" spans="1:20" x14ac:dyDescent="0.35">
      <c r="A221" s="11"/>
      <c r="B221" s="11"/>
      <c r="C221" s="11"/>
      <c r="D221" s="12"/>
      <c r="E221" s="11"/>
      <c r="F221" s="13"/>
      <c r="G221" s="13"/>
      <c r="H221" s="11"/>
      <c r="I221" s="12"/>
      <c r="J221" s="12"/>
      <c r="K221" s="13"/>
      <c r="L221" s="13"/>
      <c r="M221" s="13"/>
      <c r="N221" s="13"/>
      <c r="O221" s="13"/>
      <c r="P221" s="14" t="str">
        <f t="shared" si="12"/>
        <v/>
      </c>
      <c r="Q221" s="15" t="str">
        <f>IF(OR(J221="",H221=""),"",IFERROR(IF(ISNUMBER(N221),N221,IF(K221&lt;N(INDEX(Platforms!$G$5:$G$14,MATCH(H221,Lists!$A$2:$A$11,0))),N(INDEX(Platforms!$H$5:$H$14,MATCH(H221,Lists!$A$2:$A$11,0))),MAX(N(INDEX(Platforms!$F$5:$F$14,MATCH(H221,Lists!$A$2:$A$11,0))),N(INDEX(Platforms!$C$5:$C$14,MATCH(H221,Lists!$A$2:$A$11,0)))*(K221+IF(INDEX(Platforms!$E$5:$E$14,MATCH(H221,Lists!$A$2:$A$11,0))="Yes",N(L221),0))+N(INDEX(Platforms!$D$5:$D$14,MATCH(H221,Lists!$A$2:$A$11,0)))))),""))</f>
        <v/>
      </c>
      <c r="R221" s="16" t="str">
        <f t="shared" si="13"/>
        <v/>
      </c>
      <c r="S221" s="17" t="str">
        <f t="shared" si="14"/>
        <v/>
      </c>
      <c r="T221" s="18" t="str">
        <f t="shared" ca="1" si="15"/>
        <v/>
      </c>
    </row>
    <row r="222" spans="1:20" x14ac:dyDescent="0.35">
      <c r="A222" s="11"/>
      <c r="B222" s="11"/>
      <c r="C222" s="11"/>
      <c r="D222" s="12"/>
      <c r="E222" s="11"/>
      <c r="F222" s="13"/>
      <c r="G222" s="13"/>
      <c r="H222" s="11"/>
      <c r="I222" s="12"/>
      <c r="J222" s="12"/>
      <c r="K222" s="13"/>
      <c r="L222" s="13"/>
      <c r="M222" s="13"/>
      <c r="N222" s="13"/>
      <c r="O222" s="13"/>
      <c r="P222" s="14" t="str">
        <f t="shared" si="12"/>
        <v/>
      </c>
      <c r="Q222" s="15" t="str">
        <f>IF(OR(J222="",H222=""),"",IFERROR(IF(ISNUMBER(N222),N222,IF(K222&lt;N(INDEX(Platforms!$G$5:$G$14,MATCH(H222,Lists!$A$2:$A$11,0))),N(INDEX(Platforms!$H$5:$H$14,MATCH(H222,Lists!$A$2:$A$11,0))),MAX(N(INDEX(Platforms!$F$5:$F$14,MATCH(H222,Lists!$A$2:$A$11,0))),N(INDEX(Platforms!$C$5:$C$14,MATCH(H222,Lists!$A$2:$A$11,0)))*(K222+IF(INDEX(Platforms!$E$5:$E$14,MATCH(H222,Lists!$A$2:$A$11,0))="Yes",N(L222),0))+N(INDEX(Platforms!$D$5:$D$14,MATCH(H222,Lists!$A$2:$A$11,0)))))),""))</f>
        <v/>
      </c>
      <c r="R222" s="16" t="str">
        <f t="shared" si="13"/>
        <v/>
      </c>
      <c r="S222" s="17" t="str">
        <f t="shared" si="14"/>
        <v/>
      </c>
      <c r="T222" s="18" t="str">
        <f t="shared" ca="1" si="15"/>
        <v/>
      </c>
    </row>
    <row r="223" spans="1:20" x14ac:dyDescent="0.35">
      <c r="A223" s="11"/>
      <c r="B223" s="11"/>
      <c r="C223" s="11"/>
      <c r="D223" s="12"/>
      <c r="E223" s="11"/>
      <c r="F223" s="13"/>
      <c r="G223" s="13"/>
      <c r="H223" s="11"/>
      <c r="I223" s="12"/>
      <c r="J223" s="12"/>
      <c r="K223" s="13"/>
      <c r="L223" s="13"/>
      <c r="M223" s="13"/>
      <c r="N223" s="13"/>
      <c r="O223" s="13"/>
      <c r="P223" s="14" t="str">
        <f t="shared" si="12"/>
        <v/>
      </c>
      <c r="Q223" s="15" t="str">
        <f>IF(OR(J223="",H223=""),"",IFERROR(IF(ISNUMBER(N223),N223,IF(K223&lt;N(INDEX(Platforms!$G$5:$G$14,MATCH(H223,Lists!$A$2:$A$11,0))),N(INDEX(Platforms!$H$5:$H$14,MATCH(H223,Lists!$A$2:$A$11,0))),MAX(N(INDEX(Platforms!$F$5:$F$14,MATCH(H223,Lists!$A$2:$A$11,0))),N(INDEX(Platforms!$C$5:$C$14,MATCH(H223,Lists!$A$2:$A$11,0)))*(K223+IF(INDEX(Platforms!$E$5:$E$14,MATCH(H223,Lists!$A$2:$A$11,0))="Yes",N(L223),0))+N(INDEX(Platforms!$D$5:$D$14,MATCH(H223,Lists!$A$2:$A$11,0)))))),""))</f>
        <v/>
      </c>
      <c r="R223" s="16" t="str">
        <f t="shared" si="13"/>
        <v/>
      </c>
      <c r="S223" s="17" t="str">
        <f t="shared" si="14"/>
        <v/>
      </c>
      <c r="T223" s="18" t="str">
        <f t="shared" ca="1" si="15"/>
        <v/>
      </c>
    </row>
    <row r="224" spans="1:20" x14ac:dyDescent="0.35">
      <c r="A224" s="11"/>
      <c r="B224" s="11"/>
      <c r="C224" s="11"/>
      <c r="D224" s="12"/>
      <c r="E224" s="11"/>
      <c r="F224" s="13"/>
      <c r="G224" s="13"/>
      <c r="H224" s="11"/>
      <c r="I224" s="12"/>
      <c r="J224" s="12"/>
      <c r="K224" s="13"/>
      <c r="L224" s="13"/>
      <c r="M224" s="13"/>
      <c r="N224" s="13"/>
      <c r="O224" s="13"/>
      <c r="P224" s="14" t="str">
        <f t="shared" si="12"/>
        <v/>
      </c>
      <c r="Q224" s="15" t="str">
        <f>IF(OR(J224="",H224=""),"",IFERROR(IF(ISNUMBER(N224),N224,IF(K224&lt;N(INDEX(Platforms!$G$5:$G$14,MATCH(H224,Lists!$A$2:$A$11,0))),N(INDEX(Platforms!$H$5:$H$14,MATCH(H224,Lists!$A$2:$A$11,0))),MAX(N(INDEX(Platforms!$F$5:$F$14,MATCH(H224,Lists!$A$2:$A$11,0))),N(INDEX(Platforms!$C$5:$C$14,MATCH(H224,Lists!$A$2:$A$11,0)))*(K224+IF(INDEX(Platforms!$E$5:$E$14,MATCH(H224,Lists!$A$2:$A$11,0))="Yes",N(L224),0))+N(INDEX(Platforms!$D$5:$D$14,MATCH(H224,Lists!$A$2:$A$11,0)))))),""))</f>
        <v/>
      </c>
      <c r="R224" s="16" t="str">
        <f t="shared" si="13"/>
        <v/>
      </c>
      <c r="S224" s="17" t="str">
        <f t="shared" si="14"/>
        <v/>
      </c>
      <c r="T224" s="18" t="str">
        <f t="shared" ca="1" si="15"/>
        <v/>
      </c>
    </row>
    <row r="225" spans="1:20" x14ac:dyDescent="0.35">
      <c r="A225" s="11"/>
      <c r="B225" s="11"/>
      <c r="C225" s="11"/>
      <c r="D225" s="12"/>
      <c r="E225" s="11"/>
      <c r="F225" s="13"/>
      <c r="G225" s="13"/>
      <c r="H225" s="11"/>
      <c r="I225" s="12"/>
      <c r="J225" s="12"/>
      <c r="K225" s="13"/>
      <c r="L225" s="13"/>
      <c r="M225" s="13"/>
      <c r="N225" s="13"/>
      <c r="O225" s="13"/>
      <c r="P225" s="14" t="str">
        <f t="shared" si="12"/>
        <v/>
      </c>
      <c r="Q225" s="15" t="str">
        <f>IF(OR(J225="",H225=""),"",IFERROR(IF(ISNUMBER(N225),N225,IF(K225&lt;N(INDEX(Platforms!$G$5:$G$14,MATCH(H225,Lists!$A$2:$A$11,0))),N(INDEX(Platforms!$H$5:$H$14,MATCH(H225,Lists!$A$2:$A$11,0))),MAX(N(INDEX(Platforms!$F$5:$F$14,MATCH(H225,Lists!$A$2:$A$11,0))),N(INDEX(Platforms!$C$5:$C$14,MATCH(H225,Lists!$A$2:$A$11,0)))*(K225+IF(INDEX(Platforms!$E$5:$E$14,MATCH(H225,Lists!$A$2:$A$11,0))="Yes",N(L225),0))+N(INDEX(Platforms!$D$5:$D$14,MATCH(H225,Lists!$A$2:$A$11,0)))))),""))</f>
        <v/>
      </c>
      <c r="R225" s="16" t="str">
        <f t="shared" si="13"/>
        <v/>
      </c>
      <c r="S225" s="17" t="str">
        <f t="shared" si="14"/>
        <v/>
      </c>
      <c r="T225" s="18" t="str">
        <f t="shared" ca="1" si="15"/>
        <v/>
      </c>
    </row>
    <row r="226" spans="1:20" x14ac:dyDescent="0.35">
      <c r="A226" s="11"/>
      <c r="B226" s="11"/>
      <c r="C226" s="11"/>
      <c r="D226" s="12"/>
      <c r="E226" s="11"/>
      <c r="F226" s="13"/>
      <c r="G226" s="13"/>
      <c r="H226" s="11"/>
      <c r="I226" s="12"/>
      <c r="J226" s="12"/>
      <c r="K226" s="13"/>
      <c r="L226" s="13"/>
      <c r="M226" s="13"/>
      <c r="N226" s="13"/>
      <c r="O226" s="13"/>
      <c r="P226" s="14" t="str">
        <f t="shared" si="12"/>
        <v/>
      </c>
      <c r="Q226" s="15" t="str">
        <f>IF(OR(J226="",H226=""),"",IFERROR(IF(ISNUMBER(N226),N226,IF(K226&lt;N(INDEX(Platforms!$G$5:$G$14,MATCH(H226,Lists!$A$2:$A$11,0))),N(INDEX(Platforms!$H$5:$H$14,MATCH(H226,Lists!$A$2:$A$11,0))),MAX(N(INDEX(Platforms!$F$5:$F$14,MATCH(H226,Lists!$A$2:$A$11,0))),N(INDEX(Platforms!$C$5:$C$14,MATCH(H226,Lists!$A$2:$A$11,0)))*(K226+IF(INDEX(Platforms!$E$5:$E$14,MATCH(H226,Lists!$A$2:$A$11,0))="Yes",N(L226),0))+N(INDEX(Platforms!$D$5:$D$14,MATCH(H226,Lists!$A$2:$A$11,0)))))),""))</f>
        <v/>
      </c>
      <c r="R226" s="16" t="str">
        <f t="shared" si="13"/>
        <v/>
      </c>
      <c r="S226" s="17" t="str">
        <f t="shared" si="14"/>
        <v/>
      </c>
      <c r="T226" s="18" t="str">
        <f t="shared" ca="1" si="15"/>
        <v/>
      </c>
    </row>
    <row r="227" spans="1:20" x14ac:dyDescent="0.35">
      <c r="A227" s="11"/>
      <c r="B227" s="11"/>
      <c r="C227" s="11"/>
      <c r="D227" s="12"/>
      <c r="E227" s="11"/>
      <c r="F227" s="13"/>
      <c r="G227" s="13"/>
      <c r="H227" s="11"/>
      <c r="I227" s="12"/>
      <c r="J227" s="12"/>
      <c r="K227" s="13"/>
      <c r="L227" s="13"/>
      <c r="M227" s="13"/>
      <c r="N227" s="13"/>
      <c r="O227" s="13"/>
      <c r="P227" s="14" t="str">
        <f t="shared" si="12"/>
        <v/>
      </c>
      <c r="Q227" s="15" t="str">
        <f>IF(OR(J227="",H227=""),"",IFERROR(IF(ISNUMBER(N227),N227,IF(K227&lt;N(INDEX(Platforms!$G$5:$G$14,MATCH(H227,Lists!$A$2:$A$11,0))),N(INDEX(Platforms!$H$5:$H$14,MATCH(H227,Lists!$A$2:$A$11,0))),MAX(N(INDEX(Platforms!$F$5:$F$14,MATCH(H227,Lists!$A$2:$A$11,0))),N(INDEX(Platforms!$C$5:$C$14,MATCH(H227,Lists!$A$2:$A$11,0)))*(K227+IF(INDEX(Platforms!$E$5:$E$14,MATCH(H227,Lists!$A$2:$A$11,0))="Yes",N(L227),0))+N(INDEX(Platforms!$D$5:$D$14,MATCH(H227,Lists!$A$2:$A$11,0)))))),""))</f>
        <v/>
      </c>
      <c r="R227" s="16" t="str">
        <f t="shared" si="13"/>
        <v/>
      </c>
      <c r="S227" s="17" t="str">
        <f t="shared" si="14"/>
        <v/>
      </c>
      <c r="T227" s="18" t="str">
        <f t="shared" ca="1" si="15"/>
        <v/>
      </c>
    </row>
    <row r="228" spans="1:20" x14ac:dyDescent="0.35">
      <c r="A228" s="11"/>
      <c r="B228" s="11"/>
      <c r="C228" s="11"/>
      <c r="D228" s="12"/>
      <c r="E228" s="11"/>
      <c r="F228" s="13"/>
      <c r="G228" s="13"/>
      <c r="H228" s="11"/>
      <c r="I228" s="12"/>
      <c r="J228" s="12"/>
      <c r="K228" s="13"/>
      <c r="L228" s="13"/>
      <c r="M228" s="13"/>
      <c r="N228" s="13"/>
      <c r="O228" s="13"/>
      <c r="P228" s="14" t="str">
        <f t="shared" si="12"/>
        <v/>
      </c>
      <c r="Q228" s="15" t="str">
        <f>IF(OR(J228="",H228=""),"",IFERROR(IF(ISNUMBER(N228),N228,IF(K228&lt;N(INDEX(Platforms!$G$5:$G$14,MATCH(H228,Lists!$A$2:$A$11,0))),N(INDEX(Platforms!$H$5:$H$14,MATCH(H228,Lists!$A$2:$A$11,0))),MAX(N(INDEX(Platforms!$F$5:$F$14,MATCH(H228,Lists!$A$2:$A$11,0))),N(INDEX(Platforms!$C$5:$C$14,MATCH(H228,Lists!$A$2:$A$11,0)))*(K228+IF(INDEX(Platforms!$E$5:$E$14,MATCH(H228,Lists!$A$2:$A$11,0))="Yes",N(L228),0))+N(INDEX(Platforms!$D$5:$D$14,MATCH(H228,Lists!$A$2:$A$11,0)))))),""))</f>
        <v/>
      </c>
      <c r="R228" s="16" t="str">
        <f t="shared" si="13"/>
        <v/>
      </c>
      <c r="S228" s="17" t="str">
        <f t="shared" si="14"/>
        <v/>
      </c>
      <c r="T228" s="18" t="str">
        <f t="shared" ca="1" si="15"/>
        <v/>
      </c>
    </row>
    <row r="229" spans="1:20" x14ac:dyDescent="0.35">
      <c r="A229" s="11"/>
      <c r="B229" s="11"/>
      <c r="C229" s="11"/>
      <c r="D229" s="12"/>
      <c r="E229" s="11"/>
      <c r="F229" s="13"/>
      <c r="G229" s="13"/>
      <c r="H229" s="11"/>
      <c r="I229" s="12"/>
      <c r="J229" s="12"/>
      <c r="K229" s="13"/>
      <c r="L229" s="13"/>
      <c r="M229" s="13"/>
      <c r="N229" s="13"/>
      <c r="O229" s="13"/>
      <c r="P229" s="14" t="str">
        <f t="shared" si="12"/>
        <v/>
      </c>
      <c r="Q229" s="15" t="str">
        <f>IF(OR(J229="",H229=""),"",IFERROR(IF(ISNUMBER(N229),N229,IF(K229&lt;N(INDEX(Platforms!$G$5:$G$14,MATCH(H229,Lists!$A$2:$A$11,0))),N(INDEX(Platforms!$H$5:$H$14,MATCH(H229,Lists!$A$2:$A$11,0))),MAX(N(INDEX(Platforms!$F$5:$F$14,MATCH(H229,Lists!$A$2:$A$11,0))),N(INDEX(Platforms!$C$5:$C$14,MATCH(H229,Lists!$A$2:$A$11,0)))*(K229+IF(INDEX(Platforms!$E$5:$E$14,MATCH(H229,Lists!$A$2:$A$11,0))="Yes",N(L229),0))+N(INDEX(Platforms!$D$5:$D$14,MATCH(H229,Lists!$A$2:$A$11,0)))))),""))</f>
        <v/>
      </c>
      <c r="R229" s="16" t="str">
        <f t="shared" si="13"/>
        <v/>
      </c>
      <c r="S229" s="17" t="str">
        <f t="shared" si="14"/>
        <v/>
      </c>
      <c r="T229" s="18" t="str">
        <f t="shared" ca="1" si="15"/>
        <v/>
      </c>
    </row>
    <row r="230" spans="1:20" x14ac:dyDescent="0.35">
      <c r="A230" s="11"/>
      <c r="B230" s="11"/>
      <c r="C230" s="11"/>
      <c r="D230" s="12"/>
      <c r="E230" s="11"/>
      <c r="F230" s="13"/>
      <c r="G230" s="13"/>
      <c r="H230" s="11"/>
      <c r="I230" s="12"/>
      <c r="J230" s="12"/>
      <c r="K230" s="13"/>
      <c r="L230" s="13"/>
      <c r="M230" s="13"/>
      <c r="N230" s="13"/>
      <c r="O230" s="13"/>
      <c r="P230" s="14" t="str">
        <f t="shared" si="12"/>
        <v/>
      </c>
      <c r="Q230" s="15" t="str">
        <f>IF(OR(J230="",H230=""),"",IFERROR(IF(ISNUMBER(N230),N230,IF(K230&lt;N(INDEX(Platforms!$G$5:$G$14,MATCH(H230,Lists!$A$2:$A$11,0))),N(INDEX(Platforms!$H$5:$H$14,MATCH(H230,Lists!$A$2:$A$11,0))),MAX(N(INDEX(Platforms!$F$5:$F$14,MATCH(H230,Lists!$A$2:$A$11,0))),N(INDEX(Platforms!$C$5:$C$14,MATCH(H230,Lists!$A$2:$A$11,0)))*(K230+IF(INDEX(Platforms!$E$5:$E$14,MATCH(H230,Lists!$A$2:$A$11,0))="Yes",N(L230),0))+N(INDEX(Platforms!$D$5:$D$14,MATCH(H230,Lists!$A$2:$A$11,0)))))),""))</f>
        <v/>
      </c>
      <c r="R230" s="16" t="str">
        <f t="shared" si="13"/>
        <v/>
      </c>
      <c r="S230" s="17" t="str">
        <f t="shared" si="14"/>
        <v/>
      </c>
      <c r="T230" s="18" t="str">
        <f t="shared" ca="1" si="15"/>
        <v/>
      </c>
    </row>
    <row r="231" spans="1:20" x14ac:dyDescent="0.35">
      <c r="A231" s="11"/>
      <c r="B231" s="11"/>
      <c r="C231" s="11"/>
      <c r="D231" s="12"/>
      <c r="E231" s="11"/>
      <c r="F231" s="13"/>
      <c r="G231" s="13"/>
      <c r="H231" s="11"/>
      <c r="I231" s="12"/>
      <c r="J231" s="12"/>
      <c r="K231" s="13"/>
      <c r="L231" s="13"/>
      <c r="M231" s="13"/>
      <c r="N231" s="13"/>
      <c r="O231" s="13"/>
      <c r="P231" s="14" t="str">
        <f t="shared" si="12"/>
        <v/>
      </c>
      <c r="Q231" s="15" t="str">
        <f>IF(OR(J231="",H231=""),"",IFERROR(IF(ISNUMBER(N231),N231,IF(K231&lt;N(INDEX(Platforms!$G$5:$G$14,MATCH(H231,Lists!$A$2:$A$11,0))),N(INDEX(Platforms!$H$5:$H$14,MATCH(H231,Lists!$A$2:$A$11,0))),MAX(N(INDEX(Platforms!$F$5:$F$14,MATCH(H231,Lists!$A$2:$A$11,0))),N(INDEX(Platforms!$C$5:$C$14,MATCH(H231,Lists!$A$2:$A$11,0)))*(K231+IF(INDEX(Platforms!$E$5:$E$14,MATCH(H231,Lists!$A$2:$A$11,0))="Yes",N(L231),0))+N(INDEX(Platforms!$D$5:$D$14,MATCH(H231,Lists!$A$2:$A$11,0)))))),""))</f>
        <v/>
      </c>
      <c r="R231" s="16" t="str">
        <f t="shared" si="13"/>
        <v/>
      </c>
      <c r="S231" s="17" t="str">
        <f t="shared" si="14"/>
        <v/>
      </c>
      <c r="T231" s="18" t="str">
        <f t="shared" ca="1" si="15"/>
        <v/>
      </c>
    </row>
    <row r="232" spans="1:20" x14ac:dyDescent="0.35">
      <c r="A232" s="11"/>
      <c r="B232" s="11"/>
      <c r="C232" s="11"/>
      <c r="D232" s="12"/>
      <c r="E232" s="11"/>
      <c r="F232" s="13"/>
      <c r="G232" s="13"/>
      <c r="H232" s="11"/>
      <c r="I232" s="12"/>
      <c r="J232" s="12"/>
      <c r="K232" s="13"/>
      <c r="L232" s="13"/>
      <c r="M232" s="13"/>
      <c r="N232" s="13"/>
      <c r="O232" s="13"/>
      <c r="P232" s="14" t="str">
        <f t="shared" si="12"/>
        <v/>
      </c>
      <c r="Q232" s="15" t="str">
        <f>IF(OR(J232="",H232=""),"",IFERROR(IF(ISNUMBER(N232),N232,IF(K232&lt;N(INDEX(Platforms!$G$5:$G$14,MATCH(H232,Lists!$A$2:$A$11,0))),N(INDEX(Platforms!$H$5:$H$14,MATCH(H232,Lists!$A$2:$A$11,0))),MAX(N(INDEX(Platforms!$F$5:$F$14,MATCH(H232,Lists!$A$2:$A$11,0))),N(INDEX(Platforms!$C$5:$C$14,MATCH(H232,Lists!$A$2:$A$11,0)))*(K232+IF(INDEX(Platforms!$E$5:$E$14,MATCH(H232,Lists!$A$2:$A$11,0))="Yes",N(L232),0))+N(INDEX(Platforms!$D$5:$D$14,MATCH(H232,Lists!$A$2:$A$11,0)))))),""))</f>
        <v/>
      </c>
      <c r="R232" s="16" t="str">
        <f t="shared" si="13"/>
        <v/>
      </c>
      <c r="S232" s="17" t="str">
        <f t="shared" si="14"/>
        <v/>
      </c>
      <c r="T232" s="18" t="str">
        <f t="shared" ca="1" si="15"/>
        <v/>
      </c>
    </row>
    <row r="233" spans="1:20" x14ac:dyDescent="0.35">
      <c r="A233" s="11"/>
      <c r="B233" s="11"/>
      <c r="C233" s="11"/>
      <c r="D233" s="12"/>
      <c r="E233" s="11"/>
      <c r="F233" s="13"/>
      <c r="G233" s="13"/>
      <c r="H233" s="11"/>
      <c r="I233" s="12"/>
      <c r="J233" s="12"/>
      <c r="K233" s="13"/>
      <c r="L233" s="13"/>
      <c r="M233" s="13"/>
      <c r="N233" s="13"/>
      <c r="O233" s="13"/>
      <c r="P233" s="14" t="str">
        <f t="shared" si="12"/>
        <v/>
      </c>
      <c r="Q233" s="15" t="str">
        <f>IF(OR(J233="",H233=""),"",IFERROR(IF(ISNUMBER(N233),N233,IF(K233&lt;N(INDEX(Platforms!$G$5:$G$14,MATCH(H233,Lists!$A$2:$A$11,0))),N(INDEX(Platforms!$H$5:$H$14,MATCH(H233,Lists!$A$2:$A$11,0))),MAX(N(INDEX(Platforms!$F$5:$F$14,MATCH(H233,Lists!$A$2:$A$11,0))),N(INDEX(Platforms!$C$5:$C$14,MATCH(H233,Lists!$A$2:$A$11,0)))*(K233+IF(INDEX(Platforms!$E$5:$E$14,MATCH(H233,Lists!$A$2:$A$11,0))="Yes",N(L233),0))+N(INDEX(Platforms!$D$5:$D$14,MATCH(H233,Lists!$A$2:$A$11,0)))))),""))</f>
        <v/>
      </c>
      <c r="R233" s="16" t="str">
        <f t="shared" si="13"/>
        <v/>
      </c>
      <c r="S233" s="17" t="str">
        <f t="shared" si="14"/>
        <v/>
      </c>
      <c r="T233" s="18" t="str">
        <f t="shared" ca="1" si="15"/>
        <v/>
      </c>
    </row>
    <row r="234" spans="1:20" x14ac:dyDescent="0.35">
      <c r="A234" s="11"/>
      <c r="B234" s="11"/>
      <c r="C234" s="11"/>
      <c r="D234" s="12"/>
      <c r="E234" s="11"/>
      <c r="F234" s="13"/>
      <c r="G234" s="13"/>
      <c r="H234" s="11"/>
      <c r="I234" s="12"/>
      <c r="J234" s="12"/>
      <c r="K234" s="13"/>
      <c r="L234" s="13"/>
      <c r="M234" s="13"/>
      <c r="N234" s="13"/>
      <c r="O234" s="13"/>
      <c r="P234" s="14" t="str">
        <f t="shared" si="12"/>
        <v/>
      </c>
      <c r="Q234" s="15" t="str">
        <f>IF(OR(J234="",H234=""),"",IFERROR(IF(ISNUMBER(N234),N234,IF(K234&lt;N(INDEX(Platforms!$G$5:$G$14,MATCH(H234,Lists!$A$2:$A$11,0))),N(INDEX(Platforms!$H$5:$H$14,MATCH(H234,Lists!$A$2:$A$11,0))),MAX(N(INDEX(Platforms!$F$5:$F$14,MATCH(H234,Lists!$A$2:$A$11,0))),N(INDEX(Platforms!$C$5:$C$14,MATCH(H234,Lists!$A$2:$A$11,0)))*(K234+IF(INDEX(Platforms!$E$5:$E$14,MATCH(H234,Lists!$A$2:$A$11,0))="Yes",N(L234),0))+N(INDEX(Platforms!$D$5:$D$14,MATCH(H234,Lists!$A$2:$A$11,0)))))),""))</f>
        <v/>
      </c>
      <c r="R234" s="16" t="str">
        <f t="shared" si="13"/>
        <v/>
      </c>
      <c r="S234" s="17" t="str">
        <f t="shared" si="14"/>
        <v/>
      </c>
      <c r="T234" s="18" t="str">
        <f t="shared" ca="1" si="15"/>
        <v/>
      </c>
    </row>
    <row r="235" spans="1:20" x14ac:dyDescent="0.35">
      <c r="A235" s="11"/>
      <c r="B235" s="11"/>
      <c r="C235" s="11"/>
      <c r="D235" s="12"/>
      <c r="E235" s="11"/>
      <c r="F235" s="13"/>
      <c r="G235" s="13"/>
      <c r="H235" s="11"/>
      <c r="I235" s="12"/>
      <c r="J235" s="12"/>
      <c r="K235" s="13"/>
      <c r="L235" s="13"/>
      <c r="M235" s="13"/>
      <c r="N235" s="13"/>
      <c r="O235" s="13"/>
      <c r="P235" s="14" t="str">
        <f t="shared" si="12"/>
        <v/>
      </c>
      <c r="Q235" s="15" t="str">
        <f>IF(OR(J235="",H235=""),"",IFERROR(IF(ISNUMBER(N235),N235,IF(K235&lt;N(INDEX(Platforms!$G$5:$G$14,MATCH(H235,Lists!$A$2:$A$11,0))),N(INDEX(Platforms!$H$5:$H$14,MATCH(H235,Lists!$A$2:$A$11,0))),MAX(N(INDEX(Platforms!$F$5:$F$14,MATCH(H235,Lists!$A$2:$A$11,0))),N(INDEX(Platforms!$C$5:$C$14,MATCH(H235,Lists!$A$2:$A$11,0)))*(K235+IF(INDEX(Platforms!$E$5:$E$14,MATCH(H235,Lists!$A$2:$A$11,0))="Yes",N(L235),0))+N(INDEX(Platforms!$D$5:$D$14,MATCH(H235,Lists!$A$2:$A$11,0)))))),""))</f>
        <v/>
      </c>
      <c r="R235" s="16" t="str">
        <f t="shared" si="13"/>
        <v/>
      </c>
      <c r="S235" s="17" t="str">
        <f t="shared" si="14"/>
        <v/>
      </c>
      <c r="T235" s="18" t="str">
        <f t="shared" ca="1" si="15"/>
        <v/>
      </c>
    </row>
    <row r="236" spans="1:20" x14ac:dyDescent="0.35">
      <c r="A236" s="11"/>
      <c r="B236" s="11"/>
      <c r="C236" s="11"/>
      <c r="D236" s="12"/>
      <c r="E236" s="11"/>
      <c r="F236" s="13"/>
      <c r="G236" s="13"/>
      <c r="H236" s="11"/>
      <c r="I236" s="12"/>
      <c r="J236" s="12"/>
      <c r="K236" s="13"/>
      <c r="L236" s="13"/>
      <c r="M236" s="13"/>
      <c r="N236" s="13"/>
      <c r="O236" s="13"/>
      <c r="P236" s="14" t="str">
        <f t="shared" si="12"/>
        <v/>
      </c>
      <c r="Q236" s="15" t="str">
        <f>IF(OR(J236="",H236=""),"",IFERROR(IF(ISNUMBER(N236),N236,IF(K236&lt;N(INDEX(Platforms!$G$5:$G$14,MATCH(H236,Lists!$A$2:$A$11,0))),N(INDEX(Platforms!$H$5:$H$14,MATCH(H236,Lists!$A$2:$A$11,0))),MAX(N(INDEX(Platforms!$F$5:$F$14,MATCH(H236,Lists!$A$2:$A$11,0))),N(INDEX(Platforms!$C$5:$C$14,MATCH(H236,Lists!$A$2:$A$11,0)))*(K236+IF(INDEX(Platforms!$E$5:$E$14,MATCH(H236,Lists!$A$2:$A$11,0))="Yes",N(L236),0))+N(INDEX(Platforms!$D$5:$D$14,MATCH(H236,Lists!$A$2:$A$11,0)))))),""))</f>
        <v/>
      </c>
      <c r="R236" s="16" t="str">
        <f t="shared" si="13"/>
        <v/>
      </c>
      <c r="S236" s="17" t="str">
        <f t="shared" si="14"/>
        <v/>
      </c>
      <c r="T236" s="18" t="str">
        <f t="shared" ca="1" si="15"/>
        <v/>
      </c>
    </row>
    <row r="237" spans="1:20" x14ac:dyDescent="0.35">
      <c r="A237" s="11"/>
      <c r="B237" s="11"/>
      <c r="C237" s="11"/>
      <c r="D237" s="12"/>
      <c r="E237" s="11"/>
      <c r="F237" s="13"/>
      <c r="G237" s="13"/>
      <c r="H237" s="11"/>
      <c r="I237" s="12"/>
      <c r="J237" s="12"/>
      <c r="K237" s="13"/>
      <c r="L237" s="13"/>
      <c r="M237" s="13"/>
      <c r="N237" s="13"/>
      <c r="O237" s="13"/>
      <c r="P237" s="14" t="str">
        <f t="shared" si="12"/>
        <v/>
      </c>
      <c r="Q237" s="15" t="str">
        <f>IF(OR(J237="",H237=""),"",IFERROR(IF(ISNUMBER(N237),N237,IF(K237&lt;N(INDEX(Platforms!$G$5:$G$14,MATCH(H237,Lists!$A$2:$A$11,0))),N(INDEX(Platforms!$H$5:$H$14,MATCH(H237,Lists!$A$2:$A$11,0))),MAX(N(INDEX(Platforms!$F$5:$F$14,MATCH(H237,Lists!$A$2:$A$11,0))),N(INDEX(Platforms!$C$5:$C$14,MATCH(H237,Lists!$A$2:$A$11,0)))*(K237+IF(INDEX(Platforms!$E$5:$E$14,MATCH(H237,Lists!$A$2:$A$11,0))="Yes",N(L237),0))+N(INDEX(Platforms!$D$5:$D$14,MATCH(H237,Lists!$A$2:$A$11,0)))))),""))</f>
        <v/>
      </c>
      <c r="R237" s="16" t="str">
        <f t="shared" si="13"/>
        <v/>
      </c>
      <c r="S237" s="17" t="str">
        <f t="shared" si="14"/>
        <v/>
      </c>
      <c r="T237" s="18" t="str">
        <f t="shared" ca="1" si="15"/>
        <v/>
      </c>
    </row>
    <row r="238" spans="1:20" x14ac:dyDescent="0.35">
      <c r="A238" s="11"/>
      <c r="B238" s="11"/>
      <c r="C238" s="11"/>
      <c r="D238" s="12"/>
      <c r="E238" s="11"/>
      <c r="F238" s="13"/>
      <c r="G238" s="13"/>
      <c r="H238" s="11"/>
      <c r="I238" s="12"/>
      <c r="J238" s="12"/>
      <c r="K238" s="13"/>
      <c r="L238" s="13"/>
      <c r="M238" s="13"/>
      <c r="N238" s="13"/>
      <c r="O238" s="13"/>
      <c r="P238" s="14" t="str">
        <f t="shared" si="12"/>
        <v/>
      </c>
      <c r="Q238" s="15" t="str">
        <f>IF(OR(J238="",H238=""),"",IFERROR(IF(ISNUMBER(N238),N238,IF(K238&lt;N(INDEX(Platforms!$G$5:$G$14,MATCH(H238,Lists!$A$2:$A$11,0))),N(INDEX(Platforms!$H$5:$H$14,MATCH(H238,Lists!$A$2:$A$11,0))),MAX(N(INDEX(Platforms!$F$5:$F$14,MATCH(H238,Lists!$A$2:$A$11,0))),N(INDEX(Platforms!$C$5:$C$14,MATCH(H238,Lists!$A$2:$A$11,0)))*(K238+IF(INDEX(Platforms!$E$5:$E$14,MATCH(H238,Lists!$A$2:$A$11,0))="Yes",N(L238),0))+N(INDEX(Platforms!$D$5:$D$14,MATCH(H238,Lists!$A$2:$A$11,0)))))),""))</f>
        <v/>
      </c>
      <c r="R238" s="16" t="str">
        <f t="shared" si="13"/>
        <v/>
      </c>
      <c r="S238" s="17" t="str">
        <f t="shared" si="14"/>
        <v/>
      </c>
      <c r="T238" s="18" t="str">
        <f t="shared" ca="1" si="15"/>
        <v/>
      </c>
    </row>
    <row r="239" spans="1:20" x14ac:dyDescent="0.35">
      <c r="A239" s="11"/>
      <c r="B239" s="11"/>
      <c r="C239" s="11"/>
      <c r="D239" s="12"/>
      <c r="E239" s="11"/>
      <c r="F239" s="13"/>
      <c r="G239" s="13"/>
      <c r="H239" s="11"/>
      <c r="I239" s="12"/>
      <c r="J239" s="12"/>
      <c r="K239" s="13"/>
      <c r="L239" s="13"/>
      <c r="M239" s="13"/>
      <c r="N239" s="13"/>
      <c r="O239" s="13"/>
      <c r="P239" s="14" t="str">
        <f t="shared" si="12"/>
        <v/>
      </c>
      <c r="Q239" s="15" t="str">
        <f>IF(OR(J239="",H239=""),"",IFERROR(IF(ISNUMBER(N239),N239,IF(K239&lt;N(INDEX(Platforms!$G$5:$G$14,MATCH(H239,Lists!$A$2:$A$11,0))),N(INDEX(Platforms!$H$5:$H$14,MATCH(H239,Lists!$A$2:$A$11,0))),MAX(N(INDEX(Platforms!$F$5:$F$14,MATCH(H239,Lists!$A$2:$A$11,0))),N(INDEX(Platforms!$C$5:$C$14,MATCH(H239,Lists!$A$2:$A$11,0)))*(K239+IF(INDEX(Platforms!$E$5:$E$14,MATCH(H239,Lists!$A$2:$A$11,0))="Yes",N(L239),0))+N(INDEX(Platforms!$D$5:$D$14,MATCH(H239,Lists!$A$2:$A$11,0)))))),""))</f>
        <v/>
      </c>
      <c r="R239" s="16" t="str">
        <f t="shared" si="13"/>
        <v/>
      </c>
      <c r="S239" s="17" t="str">
        <f t="shared" si="14"/>
        <v/>
      </c>
      <c r="T239" s="18" t="str">
        <f t="shared" ca="1" si="15"/>
        <v/>
      </c>
    </row>
    <row r="240" spans="1:20" x14ac:dyDescent="0.35">
      <c r="A240" s="11"/>
      <c r="B240" s="11"/>
      <c r="C240" s="11"/>
      <c r="D240" s="12"/>
      <c r="E240" s="11"/>
      <c r="F240" s="13"/>
      <c r="G240" s="13"/>
      <c r="H240" s="11"/>
      <c r="I240" s="12"/>
      <c r="J240" s="12"/>
      <c r="K240" s="13"/>
      <c r="L240" s="13"/>
      <c r="M240" s="13"/>
      <c r="N240" s="13"/>
      <c r="O240" s="13"/>
      <c r="P240" s="14" t="str">
        <f t="shared" si="12"/>
        <v/>
      </c>
      <c r="Q240" s="15" t="str">
        <f>IF(OR(J240="",H240=""),"",IFERROR(IF(ISNUMBER(N240),N240,IF(K240&lt;N(INDEX(Platforms!$G$5:$G$14,MATCH(H240,Lists!$A$2:$A$11,0))),N(INDEX(Platforms!$H$5:$H$14,MATCH(H240,Lists!$A$2:$A$11,0))),MAX(N(INDEX(Platforms!$F$5:$F$14,MATCH(H240,Lists!$A$2:$A$11,0))),N(INDEX(Platforms!$C$5:$C$14,MATCH(H240,Lists!$A$2:$A$11,0)))*(K240+IF(INDEX(Platforms!$E$5:$E$14,MATCH(H240,Lists!$A$2:$A$11,0))="Yes",N(L240),0))+N(INDEX(Platforms!$D$5:$D$14,MATCH(H240,Lists!$A$2:$A$11,0)))))),""))</f>
        <v/>
      </c>
      <c r="R240" s="16" t="str">
        <f t="shared" si="13"/>
        <v/>
      </c>
      <c r="S240" s="17" t="str">
        <f t="shared" si="14"/>
        <v/>
      </c>
      <c r="T240" s="18" t="str">
        <f t="shared" ca="1" si="15"/>
        <v/>
      </c>
    </row>
    <row r="241" spans="1:20" x14ac:dyDescent="0.35">
      <c r="A241" s="11"/>
      <c r="B241" s="11"/>
      <c r="C241" s="11"/>
      <c r="D241" s="12"/>
      <c r="E241" s="11"/>
      <c r="F241" s="13"/>
      <c r="G241" s="13"/>
      <c r="H241" s="11"/>
      <c r="I241" s="12"/>
      <c r="J241" s="12"/>
      <c r="K241" s="13"/>
      <c r="L241" s="13"/>
      <c r="M241" s="13"/>
      <c r="N241" s="13"/>
      <c r="O241" s="13"/>
      <c r="P241" s="14" t="str">
        <f t="shared" si="12"/>
        <v/>
      </c>
      <c r="Q241" s="15" t="str">
        <f>IF(OR(J241="",H241=""),"",IFERROR(IF(ISNUMBER(N241),N241,IF(K241&lt;N(INDEX(Platforms!$G$5:$G$14,MATCH(H241,Lists!$A$2:$A$11,0))),N(INDEX(Platforms!$H$5:$H$14,MATCH(H241,Lists!$A$2:$A$11,0))),MAX(N(INDEX(Platforms!$F$5:$F$14,MATCH(H241,Lists!$A$2:$A$11,0))),N(INDEX(Platforms!$C$5:$C$14,MATCH(H241,Lists!$A$2:$A$11,0)))*(K241+IF(INDEX(Platforms!$E$5:$E$14,MATCH(H241,Lists!$A$2:$A$11,0))="Yes",N(L241),0))+N(INDEX(Platforms!$D$5:$D$14,MATCH(H241,Lists!$A$2:$A$11,0)))))),""))</f>
        <v/>
      </c>
      <c r="R241" s="16" t="str">
        <f t="shared" si="13"/>
        <v/>
      </c>
      <c r="S241" s="17" t="str">
        <f t="shared" si="14"/>
        <v/>
      </c>
      <c r="T241" s="18" t="str">
        <f t="shared" ca="1" si="15"/>
        <v/>
      </c>
    </row>
    <row r="242" spans="1:20" x14ac:dyDescent="0.35">
      <c r="A242" s="11"/>
      <c r="B242" s="11"/>
      <c r="C242" s="11"/>
      <c r="D242" s="12"/>
      <c r="E242" s="11"/>
      <c r="F242" s="13"/>
      <c r="G242" s="13"/>
      <c r="H242" s="11"/>
      <c r="I242" s="12"/>
      <c r="J242" s="12"/>
      <c r="K242" s="13"/>
      <c r="L242" s="13"/>
      <c r="M242" s="13"/>
      <c r="N242" s="13"/>
      <c r="O242" s="13"/>
      <c r="P242" s="14" t="str">
        <f t="shared" si="12"/>
        <v/>
      </c>
      <c r="Q242" s="15" t="str">
        <f>IF(OR(J242="",H242=""),"",IFERROR(IF(ISNUMBER(N242),N242,IF(K242&lt;N(INDEX(Platforms!$G$5:$G$14,MATCH(H242,Lists!$A$2:$A$11,0))),N(INDEX(Platforms!$H$5:$H$14,MATCH(H242,Lists!$A$2:$A$11,0))),MAX(N(INDEX(Platforms!$F$5:$F$14,MATCH(H242,Lists!$A$2:$A$11,0))),N(INDEX(Platforms!$C$5:$C$14,MATCH(H242,Lists!$A$2:$A$11,0)))*(K242+IF(INDEX(Platforms!$E$5:$E$14,MATCH(H242,Lists!$A$2:$A$11,0))="Yes",N(L242),0))+N(INDEX(Platforms!$D$5:$D$14,MATCH(H242,Lists!$A$2:$A$11,0)))))),""))</f>
        <v/>
      </c>
      <c r="R242" s="16" t="str">
        <f t="shared" si="13"/>
        <v/>
      </c>
      <c r="S242" s="17" t="str">
        <f t="shared" si="14"/>
        <v/>
      </c>
      <c r="T242" s="18" t="str">
        <f t="shared" ca="1" si="15"/>
        <v/>
      </c>
    </row>
    <row r="243" spans="1:20" x14ac:dyDescent="0.35">
      <c r="A243" s="11"/>
      <c r="B243" s="11"/>
      <c r="C243" s="11"/>
      <c r="D243" s="12"/>
      <c r="E243" s="11"/>
      <c r="F243" s="13"/>
      <c r="G243" s="13"/>
      <c r="H243" s="11"/>
      <c r="I243" s="12"/>
      <c r="J243" s="12"/>
      <c r="K243" s="13"/>
      <c r="L243" s="13"/>
      <c r="M243" s="13"/>
      <c r="N243" s="13"/>
      <c r="O243" s="13"/>
      <c r="P243" s="14" t="str">
        <f t="shared" si="12"/>
        <v/>
      </c>
      <c r="Q243" s="15" t="str">
        <f>IF(OR(J243="",H243=""),"",IFERROR(IF(ISNUMBER(N243),N243,IF(K243&lt;N(INDEX(Platforms!$G$5:$G$14,MATCH(H243,Lists!$A$2:$A$11,0))),N(INDEX(Platforms!$H$5:$H$14,MATCH(H243,Lists!$A$2:$A$11,0))),MAX(N(INDEX(Platforms!$F$5:$F$14,MATCH(H243,Lists!$A$2:$A$11,0))),N(INDEX(Platforms!$C$5:$C$14,MATCH(H243,Lists!$A$2:$A$11,0)))*(K243+IF(INDEX(Platforms!$E$5:$E$14,MATCH(H243,Lists!$A$2:$A$11,0))="Yes",N(L243),0))+N(INDEX(Platforms!$D$5:$D$14,MATCH(H243,Lists!$A$2:$A$11,0)))))),""))</f>
        <v/>
      </c>
      <c r="R243" s="16" t="str">
        <f t="shared" si="13"/>
        <v/>
      </c>
      <c r="S243" s="17" t="str">
        <f t="shared" si="14"/>
        <v/>
      </c>
      <c r="T243" s="18" t="str">
        <f t="shared" ca="1" si="15"/>
        <v/>
      </c>
    </row>
    <row r="244" spans="1:20" x14ac:dyDescent="0.35">
      <c r="A244" s="11"/>
      <c r="B244" s="11"/>
      <c r="C244" s="11"/>
      <c r="D244" s="12"/>
      <c r="E244" s="11"/>
      <c r="F244" s="13"/>
      <c r="G244" s="13"/>
      <c r="H244" s="11"/>
      <c r="I244" s="12"/>
      <c r="J244" s="12"/>
      <c r="K244" s="13"/>
      <c r="L244" s="13"/>
      <c r="M244" s="13"/>
      <c r="N244" s="13"/>
      <c r="O244" s="13"/>
      <c r="P244" s="14" t="str">
        <f t="shared" si="12"/>
        <v/>
      </c>
      <c r="Q244" s="15" t="str">
        <f>IF(OR(J244="",H244=""),"",IFERROR(IF(ISNUMBER(N244),N244,IF(K244&lt;N(INDEX(Platforms!$G$5:$G$14,MATCH(H244,Lists!$A$2:$A$11,0))),N(INDEX(Platforms!$H$5:$H$14,MATCH(H244,Lists!$A$2:$A$11,0))),MAX(N(INDEX(Platforms!$F$5:$F$14,MATCH(H244,Lists!$A$2:$A$11,0))),N(INDEX(Platforms!$C$5:$C$14,MATCH(H244,Lists!$A$2:$A$11,0)))*(K244+IF(INDEX(Platforms!$E$5:$E$14,MATCH(H244,Lists!$A$2:$A$11,0))="Yes",N(L244),0))+N(INDEX(Platforms!$D$5:$D$14,MATCH(H244,Lists!$A$2:$A$11,0)))))),""))</f>
        <v/>
      </c>
      <c r="R244" s="16" t="str">
        <f t="shared" si="13"/>
        <v/>
      </c>
      <c r="S244" s="17" t="str">
        <f t="shared" si="14"/>
        <v/>
      </c>
      <c r="T244" s="18" t="str">
        <f t="shared" ca="1" si="15"/>
        <v/>
      </c>
    </row>
    <row r="245" spans="1:20" x14ac:dyDescent="0.35">
      <c r="A245" s="11"/>
      <c r="B245" s="11"/>
      <c r="C245" s="11"/>
      <c r="D245" s="12"/>
      <c r="E245" s="11"/>
      <c r="F245" s="13"/>
      <c r="G245" s="13"/>
      <c r="H245" s="11"/>
      <c r="I245" s="12"/>
      <c r="J245" s="12"/>
      <c r="K245" s="13"/>
      <c r="L245" s="13"/>
      <c r="M245" s="13"/>
      <c r="N245" s="13"/>
      <c r="O245" s="13"/>
      <c r="P245" s="14" t="str">
        <f t="shared" si="12"/>
        <v/>
      </c>
      <c r="Q245" s="15" t="str">
        <f>IF(OR(J245="",H245=""),"",IFERROR(IF(ISNUMBER(N245),N245,IF(K245&lt;N(INDEX(Platforms!$G$5:$G$14,MATCH(H245,Lists!$A$2:$A$11,0))),N(INDEX(Platforms!$H$5:$H$14,MATCH(H245,Lists!$A$2:$A$11,0))),MAX(N(INDEX(Platforms!$F$5:$F$14,MATCH(H245,Lists!$A$2:$A$11,0))),N(INDEX(Platforms!$C$5:$C$14,MATCH(H245,Lists!$A$2:$A$11,0)))*(K245+IF(INDEX(Platforms!$E$5:$E$14,MATCH(H245,Lists!$A$2:$A$11,0))="Yes",N(L245),0))+N(INDEX(Platforms!$D$5:$D$14,MATCH(H245,Lists!$A$2:$A$11,0)))))),""))</f>
        <v/>
      </c>
      <c r="R245" s="16" t="str">
        <f t="shared" si="13"/>
        <v/>
      </c>
      <c r="S245" s="17" t="str">
        <f t="shared" si="14"/>
        <v/>
      </c>
      <c r="T245" s="18" t="str">
        <f t="shared" ca="1" si="15"/>
        <v/>
      </c>
    </row>
    <row r="246" spans="1:20" x14ac:dyDescent="0.35">
      <c r="A246" s="11"/>
      <c r="B246" s="11"/>
      <c r="C246" s="11"/>
      <c r="D246" s="12"/>
      <c r="E246" s="11"/>
      <c r="F246" s="13"/>
      <c r="G246" s="13"/>
      <c r="H246" s="11"/>
      <c r="I246" s="12"/>
      <c r="J246" s="12"/>
      <c r="K246" s="13"/>
      <c r="L246" s="13"/>
      <c r="M246" s="13"/>
      <c r="N246" s="13"/>
      <c r="O246" s="13"/>
      <c r="P246" s="14" t="str">
        <f t="shared" si="12"/>
        <v/>
      </c>
      <c r="Q246" s="15" t="str">
        <f>IF(OR(J246="",H246=""),"",IFERROR(IF(ISNUMBER(N246),N246,IF(K246&lt;N(INDEX(Platforms!$G$5:$G$14,MATCH(H246,Lists!$A$2:$A$11,0))),N(INDEX(Platforms!$H$5:$H$14,MATCH(H246,Lists!$A$2:$A$11,0))),MAX(N(INDEX(Platforms!$F$5:$F$14,MATCH(H246,Lists!$A$2:$A$11,0))),N(INDEX(Platforms!$C$5:$C$14,MATCH(H246,Lists!$A$2:$A$11,0)))*(K246+IF(INDEX(Platforms!$E$5:$E$14,MATCH(H246,Lists!$A$2:$A$11,0))="Yes",N(L246),0))+N(INDEX(Platforms!$D$5:$D$14,MATCH(H246,Lists!$A$2:$A$11,0)))))),""))</f>
        <v/>
      </c>
      <c r="R246" s="16" t="str">
        <f t="shared" si="13"/>
        <v/>
      </c>
      <c r="S246" s="17" t="str">
        <f t="shared" si="14"/>
        <v/>
      </c>
      <c r="T246" s="18" t="str">
        <f t="shared" ca="1" si="15"/>
        <v/>
      </c>
    </row>
    <row r="247" spans="1:20" x14ac:dyDescent="0.35">
      <c r="A247" s="11"/>
      <c r="B247" s="11"/>
      <c r="C247" s="11"/>
      <c r="D247" s="12"/>
      <c r="E247" s="11"/>
      <c r="F247" s="13"/>
      <c r="G247" s="13"/>
      <c r="H247" s="11"/>
      <c r="I247" s="12"/>
      <c r="J247" s="12"/>
      <c r="K247" s="13"/>
      <c r="L247" s="13"/>
      <c r="M247" s="13"/>
      <c r="N247" s="13"/>
      <c r="O247" s="13"/>
      <c r="P247" s="14" t="str">
        <f t="shared" si="12"/>
        <v/>
      </c>
      <c r="Q247" s="15" t="str">
        <f>IF(OR(J247="",H247=""),"",IFERROR(IF(ISNUMBER(N247),N247,IF(K247&lt;N(INDEX(Platforms!$G$5:$G$14,MATCH(H247,Lists!$A$2:$A$11,0))),N(INDEX(Platforms!$H$5:$H$14,MATCH(H247,Lists!$A$2:$A$11,0))),MAX(N(INDEX(Platforms!$F$5:$F$14,MATCH(H247,Lists!$A$2:$A$11,0))),N(INDEX(Platforms!$C$5:$C$14,MATCH(H247,Lists!$A$2:$A$11,0)))*(K247+IF(INDEX(Platforms!$E$5:$E$14,MATCH(H247,Lists!$A$2:$A$11,0))="Yes",N(L247),0))+N(INDEX(Platforms!$D$5:$D$14,MATCH(H247,Lists!$A$2:$A$11,0)))))),""))</f>
        <v/>
      </c>
      <c r="R247" s="16" t="str">
        <f t="shared" si="13"/>
        <v/>
      </c>
      <c r="S247" s="17" t="str">
        <f t="shared" si="14"/>
        <v/>
      </c>
      <c r="T247" s="18" t="str">
        <f t="shared" ca="1" si="15"/>
        <v/>
      </c>
    </row>
    <row r="248" spans="1:20" x14ac:dyDescent="0.35">
      <c r="A248" s="11"/>
      <c r="B248" s="11"/>
      <c r="C248" s="11"/>
      <c r="D248" s="12"/>
      <c r="E248" s="11"/>
      <c r="F248" s="13"/>
      <c r="G248" s="13"/>
      <c r="H248" s="11"/>
      <c r="I248" s="12"/>
      <c r="J248" s="12"/>
      <c r="K248" s="13"/>
      <c r="L248" s="13"/>
      <c r="M248" s="13"/>
      <c r="N248" s="13"/>
      <c r="O248" s="13"/>
      <c r="P248" s="14" t="str">
        <f t="shared" si="12"/>
        <v/>
      </c>
      <c r="Q248" s="15" t="str">
        <f>IF(OR(J248="",H248=""),"",IFERROR(IF(ISNUMBER(N248),N248,IF(K248&lt;N(INDEX(Platforms!$G$5:$G$14,MATCH(H248,Lists!$A$2:$A$11,0))),N(INDEX(Platforms!$H$5:$H$14,MATCH(H248,Lists!$A$2:$A$11,0))),MAX(N(INDEX(Platforms!$F$5:$F$14,MATCH(H248,Lists!$A$2:$A$11,0))),N(INDEX(Platforms!$C$5:$C$14,MATCH(H248,Lists!$A$2:$A$11,0)))*(K248+IF(INDEX(Platforms!$E$5:$E$14,MATCH(H248,Lists!$A$2:$A$11,0))="Yes",N(L248),0))+N(INDEX(Platforms!$D$5:$D$14,MATCH(H248,Lists!$A$2:$A$11,0)))))),""))</f>
        <v/>
      </c>
      <c r="R248" s="16" t="str">
        <f t="shared" si="13"/>
        <v/>
      </c>
      <c r="S248" s="17" t="str">
        <f t="shared" si="14"/>
        <v/>
      </c>
      <c r="T248" s="18" t="str">
        <f t="shared" ca="1" si="15"/>
        <v/>
      </c>
    </row>
    <row r="249" spans="1:20" x14ac:dyDescent="0.35">
      <c r="A249" s="11"/>
      <c r="B249" s="11"/>
      <c r="C249" s="11"/>
      <c r="D249" s="12"/>
      <c r="E249" s="11"/>
      <c r="F249" s="13"/>
      <c r="G249" s="13"/>
      <c r="H249" s="11"/>
      <c r="I249" s="12"/>
      <c r="J249" s="12"/>
      <c r="K249" s="13"/>
      <c r="L249" s="13"/>
      <c r="M249" s="13"/>
      <c r="N249" s="13"/>
      <c r="O249" s="13"/>
      <c r="P249" s="14" t="str">
        <f t="shared" si="12"/>
        <v/>
      </c>
      <c r="Q249" s="15" t="str">
        <f>IF(OR(J249="",H249=""),"",IFERROR(IF(ISNUMBER(N249),N249,IF(K249&lt;N(INDEX(Platforms!$G$5:$G$14,MATCH(H249,Lists!$A$2:$A$11,0))),N(INDEX(Platforms!$H$5:$H$14,MATCH(H249,Lists!$A$2:$A$11,0))),MAX(N(INDEX(Platforms!$F$5:$F$14,MATCH(H249,Lists!$A$2:$A$11,0))),N(INDEX(Platforms!$C$5:$C$14,MATCH(H249,Lists!$A$2:$A$11,0)))*(K249+IF(INDEX(Platforms!$E$5:$E$14,MATCH(H249,Lists!$A$2:$A$11,0))="Yes",N(L249),0))+N(INDEX(Platforms!$D$5:$D$14,MATCH(H249,Lists!$A$2:$A$11,0)))))),""))</f>
        <v/>
      </c>
      <c r="R249" s="16" t="str">
        <f t="shared" si="13"/>
        <v/>
      </c>
      <c r="S249" s="17" t="str">
        <f t="shared" si="14"/>
        <v/>
      </c>
      <c r="T249" s="18" t="str">
        <f t="shared" ca="1" si="15"/>
        <v/>
      </c>
    </row>
    <row r="250" spans="1:20" x14ac:dyDescent="0.35">
      <c r="A250" s="11"/>
      <c r="B250" s="11"/>
      <c r="C250" s="11"/>
      <c r="D250" s="12"/>
      <c r="E250" s="11"/>
      <c r="F250" s="13"/>
      <c r="G250" s="13"/>
      <c r="H250" s="11"/>
      <c r="I250" s="12"/>
      <c r="J250" s="12"/>
      <c r="K250" s="13"/>
      <c r="L250" s="13"/>
      <c r="M250" s="13"/>
      <c r="N250" s="13"/>
      <c r="O250" s="13"/>
      <c r="P250" s="14" t="str">
        <f t="shared" si="12"/>
        <v/>
      </c>
      <c r="Q250" s="15" t="str">
        <f>IF(OR(J250="",H250=""),"",IFERROR(IF(ISNUMBER(N250),N250,IF(K250&lt;N(INDEX(Platforms!$G$5:$G$14,MATCH(H250,Lists!$A$2:$A$11,0))),N(INDEX(Platforms!$H$5:$H$14,MATCH(H250,Lists!$A$2:$A$11,0))),MAX(N(INDEX(Platforms!$F$5:$F$14,MATCH(H250,Lists!$A$2:$A$11,0))),N(INDEX(Platforms!$C$5:$C$14,MATCH(H250,Lists!$A$2:$A$11,0)))*(K250+IF(INDEX(Platforms!$E$5:$E$14,MATCH(H250,Lists!$A$2:$A$11,0))="Yes",N(L250),0))+N(INDEX(Platforms!$D$5:$D$14,MATCH(H250,Lists!$A$2:$A$11,0)))))),""))</f>
        <v/>
      </c>
      <c r="R250" s="16" t="str">
        <f t="shared" si="13"/>
        <v/>
      </c>
      <c r="S250" s="17" t="str">
        <f t="shared" si="14"/>
        <v/>
      </c>
      <c r="T250" s="18" t="str">
        <f t="shared" ca="1" si="15"/>
        <v/>
      </c>
    </row>
    <row r="251" spans="1:20" x14ac:dyDescent="0.35">
      <c r="A251" s="11"/>
      <c r="B251" s="11"/>
      <c r="C251" s="11"/>
      <c r="D251" s="12"/>
      <c r="E251" s="11"/>
      <c r="F251" s="13"/>
      <c r="G251" s="13"/>
      <c r="H251" s="11"/>
      <c r="I251" s="12"/>
      <c r="J251" s="12"/>
      <c r="K251" s="13"/>
      <c r="L251" s="13"/>
      <c r="M251" s="13"/>
      <c r="N251" s="13"/>
      <c r="O251" s="13"/>
      <c r="P251" s="14" t="str">
        <f t="shared" si="12"/>
        <v/>
      </c>
      <c r="Q251" s="15" t="str">
        <f>IF(OR(J251="",H251=""),"",IFERROR(IF(ISNUMBER(N251),N251,IF(K251&lt;N(INDEX(Platforms!$G$5:$G$14,MATCH(H251,Lists!$A$2:$A$11,0))),N(INDEX(Platforms!$H$5:$H$14,MATCH(H251,Lists!$A$2:$A$11,0))),MAX(N(INDEX(Platforms!$F$5:$F$14,MATCH(H251,Lists!$A$2:$A$11,0))),N(INDEX(Platforms!$C$5:$C$14,MATCH(H251,Lists!$A$2:$A$11,0)))*(K251+IF(INDEX(Platforms!$E$5:$E$14,MATCH(H251,Lists!$A$2:$A$11,0))="Yes",N(L251),0))+N(INDEX(Platforms!$D$5:$D$14,MATCH(H251,Lists!$A$2:$A$11,0)))))),""))</f>
        <v/>
      </c>
      <c r="R251" s="16" t="str">
        <f t="shared" si="13"/>
        <v/>
      </c>
      <c r="S251" s="17" t="str">
        <f t="shared" si="14"/>
        <v/>
      </c>
      <c r="T251" s="18" t="str">
        <f t="shared" ca="1" si="15"/>
        <v/>
      </c>
    </row>
    <row r="252" spans="1:20" x14ac:dyDescent="0.35">
      <c r="A252" s="11"/>
      <c r="B252" s="11"/>
      <c r="C252" s="11"/>
      <c r="D252" s="12"/>
      <c r="E252" s="11"/>
      <c r="F252" s="13"/>
      <c r="G252" s="13"/>
      <c r="H252" s="11"/>
      <c r="I252" s="12"/>
      <c r="J252" s="12"/>
      <c r="K252" s="13"/>
      <c r="L252" s="13"/>
      <c r="M252" s="13"/>
      <c r="N252" s="13"/>
      <c r="O252" s="13"/>
      <c r="P252" s="14" t="str">
        <f t="shared" si="12"/>
        <v/>
      </c>
      <c r="Q252" s="15" t="str">
        <f>IF(OR(J252="",H252=""),"",IFERROR(IF(ISNUMBER(N252),N252,IF(K252&lt;N(INDEX(Platforms!$G$5:$G$14,MATCH(H252,Lists!$A$2:$A$11,0))),N(INDEX(Platforms!$H$5:$H$14,MATCH(H252,Lists!$A$2:$A$11,0))),MAX(N(INDEX(Platforms!$F$5:$F$14,MATCH(H252,Lists!$A$2:$A$11,0))),N(INDEX(Platforms!$C$5:$C$14,MATCH(H252,Lists!$A$2:$A$11,0)))*(K252+IF(INDEX(Platforms!$E$5:$E$14,MATCH(H252,Lists!$A$2:$A$11,0))="Yes",N(L252),0))+N(INDEX(Platforms!$D$5:$D$14,MATCH(H252,Lists!$A$2:$A$11,0)))))),""))</f>
        <v/>
      </c>
      <c r="R252" s="16" t="str">
        <f t="shared" si="13"/>
        <v/>
      </c>
      <c r="S252" s="17" t="str">
        <f t="shared" si="14"/>
        <v/>
      </c>
      <c r="T252" s="18" t="str">
        <f t="shared" ca="1" si="15"/>
        <v/>
      </c>
    </row>
    <row r="253" spans="1:20" x14ac:dyDescent="0.35">
      <c r="A253" s="11"/>
      <c r="B253" s="11"/>
      <c r="C253" s="11"/>
      <c r="D253" s="12"/>
      <c r="E253" s="11"/>
      <c r="F253" s="13"/>
      <c r="G253" s="13"/>
      <c r="H253" s="11"/>
      <c r="I253" s="12"/>
      <c r="J253" s="12"/>
      <c r="K253" s="13"/>
      <c r="L253" s="13"/>
      <c r="M253" s="13"/>
      <c r="N253" s="13"/>
      <c r="O253" s="13"/>
      <c r="P253" s="14" t="str">
        <f t="shared" si="12"/>
        <v/>
      </c>
      <c r="Q253" s="15" t="str">
        <f>IF(OR(J253="",H253=""),"",IFERROR(IF(ISNUMBER(N253),N253,IF(K253&lt;N(INDEX(Platforms!$G$5:$G$14,MATCH(H253,Lists!$A$2:$A$11,0))),N(INDEX(Platforms!$H$5:$H$14,MATCH(H253,Lists!$A$2:$A$11,0))),MAX(N(INDEX(Platforms!$F$5:$F$14,MATCH(H253,Lists!$A$2:$A$11,0))),N(INDEX(Platforms!$C$5:$C$14,MATCH(H253,Lists!$A$2:$A$11,0)))*(K253+IF(INDEX(Platforms!$E$5:$E$14,MATCH(H253,Lists!$A$2:$A$11,0))="Yes",N(L253),0))+N(INDEX(Platforms!$D$5:$D$14,MATCH(H253,Lists!$A$2:$A$11,0)))))),""))</f>
        <v/>
      </c>
      <c r="R253" s="16" t="str">
        <f t="shared" si="13"/>
        <v/>
      </c>
      <c r="S253" s="17" t="str">
        <f t="shared" si="14"/>
        <v/>
      </c>
      <c r="T253" s="18" t="str">
        <f t="shared" ca="1" si="15"/>
        <v/>
      </c>
    </row>
    <row r="254" spans="1:20" x14ac:dyDescent="0.35">
      <c r="A254" s="11"/>
      <c r="B254" s="11"/>
      <c r="C254" s="11"/>
      <c r="D254" s="12"/>
      <c r="E254" s="11"/>
      <c r="F254" s="13"/>
      <c r="G254" s="13"/>
      <c r="H254" s="11"/>
      <c r="I254" s="12"/>
      <c r="J254" s="12"/>
      <c r="K254" s="13"/>
      <c r="L254" s="13"/>
      <c r="M254" s="13"/>
      <c r="N254" s="13"/>
      <c r="O254" s="13"/>
      <c r="P254" s="14" t="str">
        <f t="shared" si="12"/>
        <v/>
      </c>
      <c r="Q254" s="15" t="str">
        <f>IF(OR(J254="",H254=""),"",IFERROR(IF(ISNUMBER(N254),N254,IF(K254&lt;N(INDEX(Platforms!$G$5:$G$14,MATCH(H254,Lists!$A$2:$A$11,0))),N(INDEX(Platforms!$H$5:$H$14,MATCH(H254,Lists!$A$2:$A$11,0))),MAX(N(INDEX(Platforms!$F$5:$F$14,MATCH(H254,Lists!$A$2:$A$11,0))),N(INDEX(Platforms!$C$5:$C$14,MATCH(H254,Lists!$A$2:$A$11,0)))*(K254+IF(INDEX(Platforms!$E$5:$E$14,MATCH(H254,Lists!$A$2:$A$11,0))="Yes",N(L254),0))+N(INDEX(Platforms!$D$5:$D$14,MATCH(H254,Lists!$A$2:$A$11,0)))))),""))</f>
        <v/>
      </c>
      <c r="R254" s="16" t="str">
        <f t="shared" si="13"/>
        <v/>
      </c>
      <c r="S254" s="17" t="str">
        <f t="shared" si="14"/>
        <v/>
      </c>
      <c r="T254" s="18" t="str">
        <f t="shared" ca="1" si="15"/>
        <v/>
      </c>
    </row>
    <row r="255" spans="1:20" x14ac:dyDescent="0.35">
      <c r="A255" s="11"/>
      <c r="B255" s="11"/>
      <c r="C255" s="11"/>
      <c r="D255" s="12"/>
      <c r="E255" s="11"/>
      <c r="F255" s="13"/>
      <c r="G255" s="13"/>
      <c r="H255" s="11"/>
      <c r="I255" s="12"/>
      <c r="J255" s="12"/>
      <c r="K255" s="13"/>
      <c r="L255" s="13"/>
      <c r="M255" s="13"/>
      <c r="N255" s="13"/>
      <c r="O255" s="13"/>
      <c r="P255" s="14" t="str">
        <f t="shared" si="12"/>
        <v/>
      </c>
      <c r="Q255" s="15" t="str">
        <f>IF(OR(J255="",H255=""),"",IFERROR(IF(ISNUMBER(N255),N255,IF(K255&lt;N(INDEX(Platforms!$G$5:$G$14,MATCH(H255,Lists!$A$2:$A$11,0))),N(INDEX(Platforms!$H$5:$H$14,MATCH(H255,Lists!$A$2:$A$11,0))),MAX(N(INDEX(Platforms!$F$5:$F$14,MATCH(H255,Lists!$A$2:$A$11,0))),N(INDEX(Platforms!$C$5:$C$14,MATCH(H255,Lists!$A$2:$A$11,0)))*(K255+IF(INDEX(Platforms!$E$5:$E$14,MATCH(H255,Lists!$A$2:$A$11,0))="Yes",N(L255),0))+N(INDEX(Platforms!$D$5:$D$14,MATCH(H255,Lists!$A$2:$A$11,0)))))),""))</f>
        <v/>
      </c>
      <c r="R255" s="16" t="str">
        <f t="shared" si="13"/>
        <v/>
      </c>
      <c r="S255" s="17" t="str">
        <f t="shared" si="14"/>
        <v/>
      </c>
      <c r="T255" s="18" t="str">
        <f t="shared" ca="1" si="15"/>
        <v/>
      </c>
    </row>
    <row r="256" spans="1:20" x14ac:dyDescent="0.35">
      <c r="A256" s="11"/>
      <c r="B256" s="11"/>
      <c r="C256" s="11"/>
      <c r="D256" s="12"/>
      <c r="E256" s="11"/>
      <c r="F256" s="13"/>
      <c r="G256" s="13"/>
      <c r="H256" s="11"/>
      <c r="I256" s="12"/>
      <c r="J256" s="12"/>
      <c r="K256" s="13"/>
      <c r="L256" s="13"/>
      <c r="M256" s="13"/>
      <c r="N256" s="13"/>
      <c r="O256" s="13"/>
      <c r="P256" s="14" t="str">
        <f t="shared" si="12"/>
        <v/>
      </c>
      <c r="Q256" s="15" t="str">
        <f>IF(OR(J256="",H256=""),"",IFERROR(IF(ISNUMBER(N256),N256,IF(K256&lt;N(INDEX(Platforms!$G$5:$G$14,MATCH(H256,Lists!$A$2:$A$11,0))),N(INDEX(Platforms!$H$5:$H$14,MATCH(H256,Lists!$A$2:$A$11,0))),MAX(N(INDEX(Platforms!$F$5:$F$14,MATCH(H256,Lists!$A$2:$A$11,0))),N(INDEX(Platforms!$C$5:$C$14,MATCH(H256,Lists!$A$2:$A$11,0)))*(K256+IF(INDEX(Platforms!$E$5:$E$14,MATCH(H256,Lists!$A$2:$A$11,0))="Yes",N(L256),0))+N(INDEX(Platforms!$D$5:$D$14,MATCH(H256,Lists!$A$2:$A$11,0)))))),""))</f>
        <v/>
      </c>
      <c r="R256" s="16" t="str">
        <f t="shared" si="13"/>
        <v/>
      </c>
      <c r="S256" s="17" t="str">
        <f t="shared" si="14"/>
        <v/>
      </c>
      <c r="T256" s="18" t="str">
        <f t="shared" ca="1" si="15"/>
        <v/>
      </c>
    </row>
    <row r="257" spans="1:20" x14ac:dyDescent="0.35">
      <c r="A257" s="11"/>
      <c r="B257" s="11"/>
      <c r="C257" s="11"/>
      <c r="D257" s="12"/>
      <c r="E257" s="11"/>
      <c r="F257" s="13"/>
      <c r="G257" s="13"/>
      <c r="H257" s="11"/>
      <c r="I257" s="12"/>
      <c r="J257" s="12"/>
      <c r="K257" s="13"/>
      <c r="L257" s="13"/>
      <c r="M257" s="13"/>
      <c r="N257" s="13"/>
      <c r="O257" s="13"/>
      <c r="P257" s="14" t="str">
        <f t="shared" si="12"/>
        <v/>
      </c>
      <c r="Q257" s="15" t="str">
        <f>IF(OR(J257="",H257=""),"",IFERROR(IF(ISNUMBER(N257),N257,IF(K257&lt;N(INDEX(Platforms!$G$5:$G$14,MATCH(H257,Lists!$A$2:$A$11,0))),N(INDEX(Platforms!$H$5:$H$14,MATCH(H257,Lists!$A$2:$A$11,0))),MAX(N(INDEX(Platforms!$F$5:$F$14,MATCH(H257,Lists!$A$2:$A$11,0))),N(INDEX(Platforms!$C$5:$C$14,MATCH(H257,Lists!$A$2:$A$11,0)))*(K257+IF(INDEX(Platforms!$E$5:$E$14,MATCH(H257,Lists!$A$2:$A$11,0))="Yes",N(L257),0))+N(INDEX(Platforms!$D$5:$D$14,MATCH(H257,Lists!$A$2:$A$11,0)))))),""))</f>
        <v/>
      </c>
      <c r="R257" s="16" t="str">
        <f t="shared" si="13"/>
        <v/>
      </c>
      <c r="S257" s="17" t="str">
        <f t="shared" si="14"/>
        <v/>
      </c>
      <c r="T257" s="18" t="str">
        <f t="shared" ca="1" si="15"/>
        <v/>
      </c>
    </row>
    <row r="258" spans="1:20" x14ac:dyDescent="0.35">
      <c r="A258" s="11"/>
      <c r="B258" s="11"/>
      <c r="C258" s="11"/>
      <c r="D258" s="12"/>
      <c r="E258" s="11"/>
      <c r="F258" s="13"/>
      <c r="G258" s="13"/>
      <c r="H258" s="11"/>
      <c r="I258" s="12"/>
      <c r="J258" s="12"/>
      <c r="K258" s="13"/>
      <c r="L258" s="13"/>
      <c r="M258" s="13"/>
      <c r="N258" s="13"/>
      <c r="O258" s="13"/>
      <c r="P258" s="14" t="str">
        <f t="shared" si="12"/>
        <v/>
      </c>
      <c r="Q258" s="15" t="str">
        <f>IF(OR(J258="",H258=""),"",IFERROR(IF(ISNUMBER(N258),N258,IF(K258&lt;N(INDEX(Platforms!$G$5:$G$14,MATCH(H258,Lists!$A$2:$A$11,0))),N(INDEX(Platforms!$H$5:$H$14,MATCH(H258,Lists!$A$2:$A$11,0))),MAX(N(INDEX(Platforms!$F$5:$F$14,MATCH(H258,Lists!$A$2:$A$11,0))),N(INDEX(Platforms!$C$5:$C$14,MATCH(H258,Lists!$A$2:$A$11,0)))*(K258+IF(INDEX(Platforms!$E$5:$E$14,MATCH(H258,Lists!$A$2:$A$11,0))="Yes",N(L258),0))+N(INDEX(Platforms!$D$5:$D$14,MATCH(H258,Lists!$A$2:$A$11,0)))))),""))</f>
        <v/>
      </c>
      <c r="R258" s="16" t="str">
        <f t="shared" si="13"/>
        <v/>
      </c>
      <c r="S258" s="17" t="str">
        <f t="shared" si="14"/>
        <v/>
      </c>
      <c r="T258" s="18" t="str">
        <f t="shared" ca="1" si="15"/>
        <v/>
      </c>
    </row>
    <row r="259" spans="1:20" x14ac:dyDescent="0.35">
      <c r="A259" s="11"/>
      <c r="B259" s="11"/>
      <c r="C259" s="11"/>
      <c r="D259" s="12"/>
      <c r="E259" s="11"/>
      <c r="F259" s="13"/>
      <c r="G259" s="13"/>
      <c r="H259" s="11"/>
      <c r="I259" s="12"/>
      <c r="J259" s="12"/>
      <c r="K259" s="13"/>
      <c r="L259" s="13"/>
      <c r="M259" s="13"/>
      <c r="N259" s="13"/>
      <c r="O259" s="13"/>
      <c r="P259" s="14" t="str">
        <f t="shared" si="12"/>
        <v/>
      </c>
      <c r="Q259" s="15" t="str">
        <f>IF(OR(J259="",H259=""),"",IFERROR(IF(ISNUMBER(N259),N259,IF(K259&lt;N(INDEX(Platforms!$G$5:$G$14,MATCH(H259,Lists!$A$2:$A$11,0))),N(INDEX(Platforms!$H$5:$H$14,MATCH(H259,Lists!$A$2:$A$11,0))),MAX(N(INDEX(Platforms!$F$5:$F$14,MATCH(H259,Lists!$A$2:$A$11,0))),N(INDEX(Platforms!$C$5:$C$14,MATCH(H259,Lists!$A$2:$A$11,0)))*(K259+IF(INDEX(Platforms!$E$5:$E$14,MATCH(H259,Lists!$A$2:$A$11,0))="Yes",N(L259),0))+N(INDEX(Platforms!$D$5:$D$14,MATCH(H259,Lists!$A$2:$A$11,0)))))),""))</f>
        <v/>
      </c>
      <c r="R259" s="16" t="str">
        <f t="shared" si="13"/>
        <v/>
      </c>
      <c r="S259" s="17" t="str">
        <f t="shared" si="14"/>
        <v/>
      </c>
      <c r="T259" s="18" t="str">
        <f t="shared" ca="1" si="15"/>
        <v/>
      </c>
    </row>
    <row r="260" spans="1:20" x14ac:dyDescent="0.35">
      <c r="A260" s="11"/>
      <c r="B260" s="11"/>
      <c r="C260" s="11"/>
      <c r="D260" s="12"/>
      <c r="E260" s="11"/>
      <c r="F260" s="13"/>
      <c r="G260" s="13"/>
      <c r="H260" s="11"/>
      <c r="I260" s="12"/>
      <c r="J260" s="12"/>
      <c r="K260" s="13"/>
      <c r="L260" s="13"/>
      <c r="M260" s="13"/>
      <c r="N260" s="13"/>
      <c r="O260" s="13"/>
      <c r="P260" s="14" t="str">
        <f t="shared" si="12"/>
        <v/>
      </c>
      <c r="Q260" s="15" t="str">
        <f>IF(OR(J260="",H260=""),"",IFERROR(IF(ISNUMBER(N260),N260,IF(K260&lt;N(INDEX(Platforms!$G$5:$G$14,MATCH(H260,Lists!$A$2:$A$11,0))),N(INDEX(Platforms!$H$5:$H$14,MATCH(H260,Lists!$A$2:$A$11,0))),MAX(N(INDEX(Platforms!$F$5:$F$14,MATCH(H260,Lists!$A$2:$A$11,0))),N(INDEX(Platforms!$C$5:$C$14,MATCH(H260,Lists!$A$2:$A$11,0)))*(K260+IF(INDEX(Platforms!$E$5:$E$14,MATCH(H260,Lists!$A$2:$A$11,0))="Yes",N(L260),0))+N(INDEX(Platforms!$D$5:$D$14,MATCH(H260,Lists!$A$2:$A$11,0)))))),""))</f>
        <v/>
      </c>
      <c r="R260" s="16" t="str">
        <f t="shared" si="13"/>
        <v/>
      </c>
      <c r="S260" s="17" t="str">
        <f t="shared" si="14"/>
        <v/>
      </c>
      <c r="T260" s="18" t="str">
        <f t="shared" ca="1" si="15"/>
        <v/>
      </c>
    </row>
    <row r="261" spans="1:20" x14ac:dyDescent="0.35">
      <c r="A261" s="11"/>
      <c r="B261" s="11"/>
      <c r="C261" s="11"/>
      <c r="D261" s="12"/>
      <c r="E261" s="11"/>
      <c r="F261" s="13"/>
      <c r="G261" s="13"/>
      <c r="H261" s="11"/>
      <c r="I261" s="12"/>
      <c r="J261" s="12"/>
      <c r="K261" s="13"/>
      <c r="L261" s="13"/>
      <c r="M261" s="13"/>
      <c r="N261" s="13"/>
      <c r="O261" s="13"/>
      <c r="P261" s="14" t="str">
        <f t="shared" ref="P261:P324" si="16">IF(OR(B261&lt;&gt;"",F261&lt;&gt;"",H261&lt;&gt;"",J261&lt;&gt;"",K261&lt;&gt;""),IF(J261&lt;&gt;"","Sold",IF(I261&lt;&gt;"","Listed","In stock")),"")</f>
        <v/>
      </c>
      <c r="Q261" s="15" t="str">
        <f>IF(OR(J261="",H261=""),"",IFERROR(IF(ISNUMBER(N261),N261,IF(K261&lt;N(INDEX(Platforms!$G$5:$G$14,MATCH(H261,Lists!$A$2:$A$11,0))),N(INDEX(Platforms!$H$5:$H$14,MATCH(H261,Lists!$A$2:$A$11,0))),MAX(N(INDEX(Platforms!$F$5:$F$14,MATCH(H261,Lists!$A$2:$A$11,0))),N(INDEX(Platforms!$C$5:$C$14,MATCH(H261,Lists!$A$2:$A$11,0)))*(K261+IF(INDEX(Platforms!$E$5:$E$14,MATCH(H261,Lists!$A$2:$A$11,0))="Yes",N(L261),0))+N(INDEX(Platforms!$D$5:$D$14,MATCH(H261,Lists!$A$2:$A$11,0)))))),""))</f>
        <v/>
      </c>
      <c r="R261" s="16" t="str">
        <f t="shared" ref="R261:R324" si="17">IF(J261="","",IFERROR(K261+N(L261)-N(O261)-Q261-N(M261)-N(F261)-N(G261),""))</f>
        <v/>
      </c>
      <c r="S261" s="17" t="str">
        <f t="shared" ref="S261:S324" si="18">IF(OR(R261="",N(F261)+N(G261)=0),"",R261/(N(F261)+N(G261)))</f>
        <v/>
      </c>
      <c r="T261" s="18" t="str">
        <f t="shared" ref="T261:T324" ca="1" si="19">IFERROR(IF(ISNUMBER(D261),IF(ISNUMBER(J261),J261,IF(J261="",TODAY(),""))-D261,""),"")</f>
        <v/>
      </c>
    </row>
    <row r="262" spans="1:20" x14ac:dyDescent="0.35">
      <c r="A262" s="11"/>
      <c r="B262" s="11"/>
      <c r="C262" s="11"/>
      <c r="D262" s="12"/>
      <c r="E262" s="11"/>
      <c r="F262" s="13"/>
      <c r="G262" s="13"/>
      <c r="H262" s="11"/>
      <c r="I262" s="12"/>
      <c r="J262" s="12"/>
      <c r="K262" s="13"/>
      <c r="L262" s="13"/>
      <c r="M262" s="13"/>
      <c r="N262" s="13"/>
      <c r="O262" s="13"/>
      <c r="P262" s="14" t="str">
        <f t="shared" si="16"/>
        <v/>
      </c>
      <c r="Q262" s="15" t="str">
        <f>IF(OR(J262="",H262=""),"",IFERROR(IF(ISNUMBER(N262),N262,IF(K262&lt;N(INDEX(Platforms!$G$5:$G$14,MATCH(H262,Lists!$A$2:$A$11,0))),N(INDEX(Platforms!$H$5:$H$14,MATCH(H262,Lists!$A$2:$A$11,0))),MAX(N(INDEX(Platforms!$F$5:$F$14,MATCH(H262,Lists!$A$2:$A$11,0))),N(INDEX(Platforms!$C$5:$C$14,MATCH(H262,Lists!$A$2:$A$11,0)))*(K262+IF(INDEX(Platforms!$E$5:$E$14,MATCH(H262,Lists!$A$2:$A$11,0))="Yes",N(L262),0))+N(INDEX(Platforms!$D$5:$D$14,MATCH(H262,Lists!$A$2:$A$11,0)))))),""))</f>
        <v/>
      </c>
      <c r="R262" s="16" t="str">
        <f t="shared" si="17"/>
        <v/>
      </c>
      <c r="S262" s="17" t="str">
        <f t="shared" si="18"/>
        <v/>
      </c>
      <c r="T262" s="18" t="str">
        <f t="shared" ca="1" si="19"/>
        <v/>
      </c>
    </row>
    <row r="263" spans="1:20" x14ac:dyDescent="0.35">
      <c r="A263" s="11"/>
      <c r="B263" s="11"/>
      <c r="C263" s="11"/>
      <c r="D263" s="12"/>
      <c r="E263" s="11"/>
      <c r="F263" s="13"/>
      <c r="G263" s="13"/>
      <c r="H263" s="11"/>
      <c r="I263" s="12"/>
      <c r="J263" s="12"/>
      <c r="K263" s="13"/>
      <c r="L263" s="13"/>
      <c r="M263" s="13"/>
      <c r="N263" s="13"/>
      <c r="O263" s="13"/>
      <c r="P263" s="14" t="str">
        <f t="shared" si="16"/>
        <v/>
      </c>
      <c r="Q263" s="15" t="str">
        <f>IF(OR(J263="",H263=""),"",IFERROR(IF(ISNUMBER(N263),N263,IF(K263&lt;N(INDEX(Platforms!$G$5:$G$14,MATCH(H263,Lists!$A$2:$A$11,0))),N(INDEX(Platforms!$H$5:$H$14,MATCH(H263,Lists!$A$2:$A$11,0))),MAX(N(INDEX(Platforms!$F$5:$F$14,MATCH(H263,Lists!$A$2:$A$11,0))),N(INDEX(Platforms!$C$5:$C$14,MATCH(H263,Lists!$A$2:$A$11,0)))*(K263+IF(INDEX(Platforms!$E$5:$E$14,MATCH(H263,Lists!$A$2:$A$11,0))="Yes",N(L263),0))+N(INDEX(Platforms!$D$5:$D$14,MATCH(H263,Lists!$A$2:$A$11,0)))))),""))</f>
        <v/>
      </c>
      <c r="R263" s="16" t="str">
        <f t="shared" si="17"/>
        <v/>
      </c>
      <c r="S263" s="17" t="str">
        <f t="shared" si="18"/>
        <v/>
      </c>
      <c r="T263" s="18" t="str">
        <f t="shared" ca="1" si="19"/>
        <v/>
      </c>
    </row>
    <row r="264" spans="1:20" x14ac:dyDescent="0.35">
      <c r="A264" s="11"/>
      <c r="B264" s="11"/>
      <c r="C264" s="11"/>
      <c r="D264" s="12"/>
      <c r="E264" s="11"/>
      <c r="F264" s="13"/>
      <c r="G264" s="13"/>
      <c r="H264" s="11"/>
      <c r="I264" s="12"/>
      <c r="J264" s="12"/>
      <c r="K264" s="13"/>
      <c r="L264" s="13"/>
      <c r="M264" s="13"/>
      <c r="N264" s="13"/>
      <c r="O264" s="13"/>
      <c r="P264" s="14" t="str">
        <f t="shared" si="16"/>
        <v/>
      </c>
      <c r="Q264" s="15" t="str">
        <f>IF(OR(J264="",H264=""),"",IFERROR(IF(ISNUMBER(N264),N264,IF(K264&lt;N(INDEX(Platforms!$G$5:$G$14,MATCH(H264,Lists!$A$2:$A$11,0))),N(INDEX(Platforms!$H$5:$H$14,MATCH(H264,Lists!$A$2:$A$11,0))),MAX(N(INDEX(Platforms!$F$5:$F$14,MATCH(H264,Lists!$A$2:$A$11,0))),N(INDEX(Platforms!$C$5:$C$14,MATCH(H264,Lists!$A$2:$A$11,0)))*(K264+IF(INDEX(Platforms!$E$5:$E$14,MATCH(H264,Lists!$A$2:$A$11,0))="Yes",N(L264),0))+N(INDEX(Platforms!$D$5:$D$14,MATCH(H264,Lists!$A$2:$A$11,0)))))),""))</f>
        <v/>
      </c>
      <c r="R264" s="16" t="str">
        <f t="shared" si="17"/>
        <v/>
      </c>
      <c r="S264" s="17" t="str">
        <f t="shared" si="18"/>
        <v/>
      </c>
      <c r="T264" s="18" t="str">
        <f t="shared" ca="1" si="19"/>
        <v/>
      </c>
    </row>
    <row r="265" spans="1:20" x14ac:dyDescent="0.35">
      <c r="A265" s="11"/>
      <c r="B265" s="11"/>
      <c r="C265" s="11"/>
      <c r="D265" s="12"/>
      <c r="E265" s="11"/>
      <c r="F265" s="13"/>
      <c r="G265" s="13"/>
      <c r="H265" s="11"/>
      <c r="I265" s="12"/>
      <c r="J265" s="12"/>
      <c r="K265" s="13"/>
      <c r="L265" s="13"/>
      <c r="M265" s="13"/>
      <c r="N265" s="13"/>
      <c r="O265" s="13"/>
      <c r="P265" s="14" t="str">
        <f t="shared" si="16"/>
        <v/>
      </c>
      <c r="Q265" s="15" t="str">
        <f>IF(OR(J265="",H265=""),"",IFERROR(IF(ISNUMBER(N265),N265,IF(K265&lt;N(INDEX(Platforms!$G$5:$G$14,MATCH(H265,Lists!$A$2:$A$11,0))),N(INDEX(Platforms!$H$5:$H$14,MATCH(H265,Lists!$A$2:$A$11,0))),MAX(N(INDEX(Platforms!$F$5:$F$14,MATCH(H265,Lists!$A$2:$A$11,0))),N(INDEX(Platforms!$C$5:$C$14,MATCH(H265,Lists!$A$2:$A$11,0)))*(K265+IF(INDEX(Platforms!$E$5:$E$14,MATCH(H265,Lists!$A$2:$A$11,0))="Yes",N(L265),0))+N(INDEX(Platforms!$D$5:$D$14,MATCH(H265,Lists!$A$2:$A$11,0)))))),""))</f>
        <v/>
      </c>
      <c r="R265" s="16" t="str">
        <f t="shared" si="17"/>
        <v/>
      </c>
      <c r="S265" s="17" t="str">
        <f t="shared" si="18"/>
        <v/>
      </c>
      <c r="T265" s="18" t="str">
        <f t="shared" ca="1" si="19"/>
        <v/>
      </c>
    </row>
    <row r="266" spans="1:20" x14ac:dyDescent="0.35">
      <c r="A266" s="11"/>
      <c r="B266" s="11"/>
      <c r="C266" s="11"/>
      <c r="D266" s="12"/>
      <c r="E266" s="11"/>
      <c r="F266" s="13"/>
      <c r="G266" s="13"/>
      <c r="H266" s="11"/>
      <c r="I266" s="12"/>
      <c r="J266" s="12"/>
      <c r="K266" s="13"/>
      <c r="L266" s="13"/>
      <c r="M266" s="13"/>
      <c r="N266" s="13"/>
      <c r="O266" s="13"/>
      <c r="P266" s="14" t="str">
        <f t="shared" si="16"/>
        <v/>
      </c>
      <c r="Q266" s="15" t="str">
        <f>IF(OR(J266="",H266=""),"",IFERROR(IF(ISNUMBER(N266),N266,IF(K266&lt;N(INDEX(Platforms!$G$5:$G$14,MATCH(H266,Lists!$A$2:$A$11,0))),N(INDEX(Platforms!$H$5:$H$14,MATCH(H266,Lists!$A$2:$A$11,0))),MAX(N(INDEX(Platforms!$F$5:$F$14,MATCH(H266,Lists!$A$2:$A$11,0))),N(INDEX(Platforms!$C$5:$C$14,MATCH(H266,Lists!$A$2:$A$11,0)))*(K266+IF(INDEX(Platforms!$E$5:$E$14,MATCH(H266,Lists!$A$2:$A$11,0))="Yes",N(L266),0))+N(INDEX(Platforms!$D$5:$D$14,MATCH(H266,Lists!$A$2:$A$11,0)))))),""))</f>
        <v/>
      </c>
      <c r="R266" s="16" t="str">
        <f t="shared" si="17"/>
        <v/>
      </c>
      <c r="S266" s="17" t="str">
        <f t="shared" si="18"/>
        <v/>
      </c>
      <c r="T266" s="18" t="str">
        <f t="shared" ca="1" si="19"/>
        <v/>
      </c>
    </row>
    <row r="267" spans="1:20" x14ac:dyDescent="0.35">
      <c r="A267" s="11"/>
      <c r="B267" s="11"/>
      <c r="C267" s="11"/>
      <c r="D267" s="12"/>
      <c r="E267" s="11"/>
      <c r="F267" s="13"/>
      <c r="G267" s="13"/>
      <c r="H267" s="11"/>
      <c r="I267" s="12"/>
      <c r="J267" s="12"/>
      <c r="K267" s="13"/>
      <c r="L267" s="13"/>
      <c r="M267" s="13"/>
      <c r="N267" s="13"/>
      <c r="O267" s="13"/>
      <c r="P267" s="14" t="str">
        <f t="shared" si="16"/>
        <v/>
      </c>
      <c r="Q267" s="15" t="str">
        <f>IF(OR(J267="",H267=""),"",IFERROR(IF(ISNUMBER(N267),N267,IF(K267&lt;N(INDEX(Platforms!$G$5:$G$14,MATCH(H267,Lists!$A$2:$A$11,0))),N(INDEX(Platforms!$H$5:$H$14,MATCH(H267,Lists!$A$2:$A$11,0))),MAX(N(INDEX(Platforms!$F$5:$F$14,MATCH(H267,Lists!$A$2:$A$11,0))),N(INDEX(Platforms!$C$5:$C$14,MATCH(H267,Lists!$A$2:$A$11,0)))*(K267+IF(INDEX(Platforms!$E$5:$E$14,MATCH(H267,Lists!$A$2:$A$11,0))="Yes",N(L267),0))+N(INDEX(Platforms!$D$5:$D$14,MATCH(H267,Lists!$A$2:$A$11,0)))))),""))</f>
        <v/>
      </c>
      <c r="R267" s="16" t="str">
        <f t="shared" si="17"/>
        <v/>
      </c>
      <c r="S267" s="17" t="str">
        <f t="shared" si="18"/>
        <v/>
      </c>
      <c r="T267" s="18" t="str">
        <f t="shared" ca="1" si="19"/>
        <v/>
      </c>
    </row>
    <row r="268" spans="1:20" x14ac:dyDescent="0.35">
      <c r="A268" s="11"/>
      <c r="B268" s="11"/>
      <c r="C268" s="11"/>
      <c r="D268" s="12"/>
      <c r="E268" s="11"/>
      <c r="F268" s="13"/>
      <c r="G268" s="13"/>
      <c r="H268" s="11"/>
      <c r="I268" s="12"/>
      <c r="J268" s="12"/>
      <c r="K268" s="13"/>
      <c r="L268" s="13"/>
      <c r="M268" s="13"/>
      <c r="N268" s="13"/>
      <c r="O268" s="13"/>
      <c r="P268" s="14" t="str">
        <f t="shared" si="16"/>
        <v/>
      </c>
      <c r="Q268" s="15" t="str">
        <f>IF(OR(J268="",H268=""),"",IFERROR(IF(ISNUMBER(N268),N268,IF(K268&lt;N(INDEX(Platforms!$G$5:$G$14,MATCH(H268,Lists!$A$2:$A$11,0))),N(INDEX(Platforms!$H$5:$H$14,MATCH(H268,Lists!$A$2:$A$11,0))),MAX(N(INDEX(Platforms!$F$5:$F$14,MATCH(H268,Lists!$A$2:$A$11,0))),N(INDEX(Platforms!$C$5:$C$14,MATCH(H268,Lists!$A$2:$A$11,0)))*(K268+IF(INDEX(Platforms!$E$5:$E$14,MATCH(H268,Lists!$A$2:$A$11,0))="Yes",N(L268),0))+N(INDEX(Platforms!$D$5:$D$14,MATCH(H268,Lists!$A$2:$A$11,0)))))),""))</f>
        <v/>
      </c>
      <c r="R268" s="16" t="str">
        <f t="shared" si="17"/>
        <v/>
      </c>
      <c r="S268" s="17" t="str">
        <f t="shared" si="18"/>
        <v/>
      </c>
      <c r="T268" s="18" t="str">
        <f t="shared" ca="1" si="19"/>
        <v/>
      </c>
    </row>
    <row r="269" spans="1:20" x14ac:dyDescent="0.35">
      <c r="A269" s="11"/>
      <c r="B269" s="11"/>
      <c r="C269" s="11"/>
      <c r="D269" s="12"/>
      <c r="E269" s="11"/>
      <c r="F269" s="13"/>
      <c r="G269" s="13"/>
      <c r="H269" s="11"/>
      <c r="I269" s="12"/>
      <c r="J269" s="12"/>
      <c r="K269" s="13"/>
      <c r="L269" s="13"/>
      <c r="M269" s="13"/>
      <c r="N269" s="13"/>
      <c r="O269" s="13"/>
      <c r="P269" s="14" t="str">
        <f t="shared" si="16"/>
        <v/>
      </c>
      <c r="Q269" s="15" t="str">
        <f>IF(OR(J269="",H269=""),"",IFERROR(IF(ISNUMBER(N269),N269,IF(K269&lt;N(INDEX(Platforms!$G$5:$G$14,MATCH(H269,Lists!$A$2:$A$11,0))),N(INDEX(Platforms!$H$5:$H$14,MATCH(H269,Lists!$A$2:$A$11,0))),MAX(N(INDEX(Platforms!$F$5:$F$14,MATCH(H269,Lists!$A$2:$A$11,0))),N(INDEX(Platforms!$C$5:$C$14,MATCH(H269,Lists!$A$2:$A$11,0)))*(K269+IF(INDEX(Platforms!$E$5:$E$14,MATCH(H269,Lists!$A$2:$A$11,0))="Yes",N(L269),0))+N(INDEX(Platforms!$D$5:$D$14,MATCH(H269,Lists!$A$2:$A$11,0)))))),""))</f>
        <v/>
      </c>
      <c r="R269" s="16" t="str">
        <f t="shared" si="17"/>
        <v/>
      </c>
      <c r="S269" s="17" t="str">
        <f t="shared" si="18"/>
        <v/>
      </c>
      <c r="T269" s="18" t="str">
        <f t="shared" ca="1" si="19"/>
        <v/>
      </c>
    </row>
    <row r="270" spans="1:20" x14ac:dyDescent="0.35">
      <c r="A270" s="11"/>
      <c r="B270" s="11"/>
      <c r="C270" s="11"/>
      <c r="D270" s="12"/>
      <c r="E270" s="11"/>
      <c r="F270" s="13"/>
      <c r="G270" s="13"/>
      <c r="H270" s="11"/>
      <c r="I270" s="12"/>
      <c r="J270" s="12"/>
      <c r="K270" s="13"/>
      <c r="L270" s="13"/>
      <c r="M270" s="13"/>
      <c r="N270" s="13"/>
      <c r="O270" s="13"/>
      <c r="P270" s="14" t="str">
        <f t="shared" si="16"/>
        <v/>
      </c>
      <c r="Q270" s="15" t="str">
        <f>IF(OR(J270="",H270=""),"",IFERROR(IF(ISNUMBER(N270),N270,IF(K270&lt;N(INDEX(Platforms!$G$5:$G$14,MATCH(H270,Lists!$A$2:$A$11,0))),N(INDEX(Platforms!$H$5:$H$14,MATCH(H270,Lists!$A$2:$A$11,0))),MAX(N(INDEX(Platforms!$F$5:$F$14,MATCH(H270,Lists!$A$2:$A$11,0))),N(INDEX(Platforms!$C$5:$C$14,MATCH(H270,Lists!$A$2:$A$11,0)))*(K270+IF(INDEX(Platforms!$E$5:$E$14,MATCH(H270,Lists!$A$2:$A$11,0))="Yes",N(L270),0))+N(INDEX(Platforms!$D$5:$D$14,MATCH(H270,Lists!$A$2:$A$11,0)))))),""))</f>
        <v/>
      </c>
      <c r="R270" s="16" t="str">
        <f t="shared" si="17"/>
        <v/>
      </c>
      <c r="S270" s="17" t="str">
        <f t="shared" si="18"/>
        <v/>
      </c>
      <c r="T270" s="18" t="str">
        <f t="shared" ca="1" si="19"/>
        <v/>
      </c>
    </row>
    <row r="271" spans="1:20" x14ac:dyDescent="0.35">
      <c r="A271" s="11"/>
      <c r="B271" s="11"/>
      <c r="C271" s="11"/>
      <c r="D271" s="12"/>
      <c r="E271" s="11"/>
      <c r="F271" s="13"/>
      <c r="G271" s="13"/>
      <c r="H271" s="11"/>
      <c r="I271" s="12"/>
      <c r="J271" s="12"/>
      <c r="K271" s="13"/>
      <c r="L271" s="13"/>
      <c r="M271" s="13"/>
      <c r="N271" s="13"/>
      <c r="O271" s="13"/>
      <c r="P271" s="14" t="str">
        <f t="shared" si="16"/>
        <v/>
      </c>
      <c r="Q271" s="15" t="str">
        <f>IF(OR(J271="",H271=""),"",IFERROR(IF(ISNUMBER(N271),N271,IF(K271&lt;N(INDEX(Platforms!$G$5:$G$14,MATCH(H271,Lists!$A$2:$A$11,0))),N(INDEX(Platforms!$H$5:$H$14,MATCH(H271,Lists!$A$2:$A$11,0))),MAX(N(INDEX(Platforms!$F$5:$F$14,MATCH(H271,Lists!$A$2:$A$11,0))),N(INDEX(Platforms!$C$5:$C$14,MATCH(H271,Lists!$A$2:$A$11,0)))*(K271+IF(INDEX(Platforms!$E$5:$E$14,MATCH(H271,Lists!$A$2:$A$11,0))="Yes",N(L271),0))+N(INDEX(Platforms!$D$5:$D$14,MATCH(H271,Lists!$A$2:$A$11,0)))))),""))</f>
        <v/>
      </c>
      <c r="R271" s="16" t="str">
        <f t="shared" si="17"/>
        <v/>
      </c>
      <c r="S271" s="17" t="str">
        <f t="shared" si="18"/>
        <v/>
      </c>
      <c r="T271" s="18" t="str">
        <f t="shared" ca="1" si="19"/>
        <v/>
      </c>
    </row>
    <row r="272" spans="1:20" x14ac:dyDescent="0.35">
      <c r="A272" s="11"/>
      <c r="B272" s="11"/>
      <c r="C272" s="11"/>
      <c r="D272" s="12"/>
      <c r="E272" s="11"/>
      <c r="F272" s="13"/>
      <c r="G272" s="13"/>
      <c r="H272" s="11"/>
      <c r="I272" s="12"/>
      <c r="J272" s="12"/>
      <c r="K272" s="13"/>
      <c r="L272" s="13"/>
      <c r="M272" s="13"/>
      <c r="N272" s="13"/>
      <c r="O272" s="13"/>
      <c r="P272" s="14" t="str">
        <f t="shared" si="16"/>
        <v/>
      </c>
      <c r="Q272" s="15" t="str">
        <f>IF(OR(J272="",H272=""),"",IFERROR(IF(ISNUMBER(N272),N272,IF(K272&lt;N(INDEX(Platforms!$G$5:$G$14,MATCH(H272,Lists!$A$2:$A$11,0))),N(INDEX(Platforms!$H$5:$H$14,MATCH(H272,Lists!$A$2:$A$11,0))),MAX(N(INDEX(Platforms!$F$5:$F$14,MATCH(H272,Lists!$A$2:$A$11,0))),N(INDEX(Platforms!$C$5:$C$14,MATCH(H272,Lists!$A$2:$A$11,0)))*(K272+IF(INDEX(Platforms!$E$5:$E$14,MATCH(H272,Lists!$A$2:$A$11,0))="Yes",N(L272),0))+N(INDEX(Platforms!$D$5:$D$14,MATCH(H272,Lists!$A$2:$A$11,0)))))),""))</f>
        <v/>
      </c>
      <c r="R272" s="16" t="str">
        <f t="shared" si="17"/>
        <v/>
      </c>
      <c r="S272" s="17" t="str">
        <f t="shared" si="18"/>
        <v/>
      </c>
      <c r="T272" s="18" t="str">
        <f t="shared" ca="1" si="19"/>
        <v/>
      </c>
    </row>
    <row r="273" spans="1:20" x14ac:dyDescent="0.35">
      <c r="A273" s="11"/>
      <c r="B273" s="11"/>
      <c r="C273" s="11"/>
      <c r="D273" s="12"/>
      <c r="E273" s="11"/>
      <c r="F273" s="13"/>
      <c r="G273" s="13"/>
      <c r="H273" s="11"/>
      <c r="I273" s="12"/>
      <c r="J273" s="12"/>
      <c r="K273" s="13"/>
      <c r="L273" s="13"/>
      <c r="M273" s="13"/>
      <c r="N273" s="13"/>
      <c r="O273" s="13"/>
      <c r="P273" s="14" t="str">
        <f t="shared" si="16"/>
        <v/>
      </c>
      <c r="Q273" s="15" t="str">
        <f>IF(OR(J273="",H273=""),"",IFERROR(IF(ISNUMBER(N273),N273,IF(K273&lt;N(INDEX(Platforms!$G$5:$G$14,MATCH(H273,Lists!$A$2:$A$11,0))),N(INDEX(Platforms!$H$5:$H$14,MATCH(H273,Lists!$A$2:$A$11,0))),MAX(N(INDEX(Platforms!$F$5:$F$14,MATCH(H273,Lists!$A$2:$A$11,0))),N(INDEX(Platforms!$C$5:$C$14,MATCH(H273,Lists!$A$2:$A$11,0)))*(K273+IF(INDEX(Platforms!$E$5:$E$14,MATCH(H273,Lists!$A$2:$A$11,0))="Yes",N(L273),0))+N(INDEX(Platforms!$D$5:$D$14,MATCH(H273,Lists!$A$2:$A$11,0)))))),""))</f>
        <v/>
      </c>
      <c r="R273" s="16" t="str">
        <f t="shared" si="17"/>
        <v/>
      </c>
      <c r="S273" s="17" t="str">
        <f t="shared" si="18"/>
        <v/>
      </c>
      <c r="T273" s="18" t="str">
        <f t="shared" ca="1" si="19"/>
        <v/>
      </c>
    </row>
    <row r="274" spans="1:20" x14ac:dyDescent="0.35">
      <c r="A274" s="11"/>
      <c r="B274" s="11"/>
      <c r="C274" s="11"/>
      <c r="D274" s="12"/>
      <c r="E274" s="11"/>
      <c r="F274" s="13"/>
      <c r="G274" s="13"/>
      <c r="H274" s="11"/>
      <c r="I274" s="12"/>
      <c r="J274" s="12"/>
      <c r="K274" s="13"/>
      <c r="L274" s="13"/>
      <c r="M274" s="13"/>
      <c r="N274" s="13"/>
      <c r="O274" s="13"/>
      <c r="P274" s="14" t="str">
        <f t="shared" si="16"/>
        <v/>
      </c>
      <c r="Q274" s="15" t="str">
        <f>IF(OR(J274="",H274=""),"",IFERROR(IF(ISNUMBER(N274),N274,IF(K274&lt;N(INDEX(Platforms!$G$5:$G$14,MATCH(H274,Lists!$A$2:$A$11,0))),N(INDEX(Platforms!$H$5:$H$14,MATCH(H274,Lists!$A$2:$A$11,0))),MAX(N(INDEX(Platforms!$F$5:$F$14,MATCH(H274,Lists!$A$2:$A$11,0))),N(INDEX(Platforms!$C$5:$C$14,MATCH(H274,Lists!$A$2:$A$11,0)))*(K274+IF(INDEX(Platforms!$E$5:$E$14,MATCH(H274,Lists!$A$2:$A$11,0))="Yes",N(L274),0))+N(INDEX(Platforms!$D$5:$D$14,MATCH(H274,Lists!$A$2:$A$11,0)))))),""))</f>
        <v/>
      </c>
      <c r="R274" s="16" t="str">
        <f t="shared" si="17"/>
        <v/>
      </c>
      <c r="S274" s="17" t="str">
        <f t="shared" si="18"/>
        <v/>
      </c>
      <c r="T274" s="18" t="str">
        <f t="shared" ca="1" si="19"/>
        <v/>
      </c>
    </row>
    <row r="275" spans="1:20" x14ac:dyDescent="0.35">
      <c r="A275" s="11"/>
      <c r="B275" s="11"/>
      <c r="C275" s="11"/>
      <c r="D275" s="12"/>
      <c r="E275" s="11"/>
      <c r="F275" s="13"/>
      <c r="G275" s="13"/>
      <c r="H275" s="11"/>
      <c r="I275" s="12"/>
      <c r="J275" s="12"/>
      <c r="K275" s="13"/>
      <c r="L275" s="13"/>
      <c r="M275" s="13"/>
      <c r="N275" s="13"/>
      <c r="O275" s="13"/>
      <c r="P275" s="14" t="str">
        <f t="shared" si="16"/>
        <v/>
      </c>
      <c r="Q275" s="15" t="str">
        <f>IF(OR(J275="",H275=""),"",IFERROR(IF(ISNUMBER(N275),N275,IF(K275&lt;N(INDEX(Platforms!$G$5:$G$14,MATCH(H275,Lists!$A$2:$A$11,0))),N(INDEX(Platforms!$H$5:$H$14,MATCH(H275,Lists!$A$2:$A$11,0))),MAX(N(INDEX(Platforms!$F$5:$F$14,MATCH(H275,Lists!$A$2:$A$11,0))),N(INDEX(Platforms!$C$5:$C$14,MATCH(H275,Lists!$A$2:$A$11,0)))*(K275+IF(INDEX(Platforms!$E$5:$E$14,MATCH(H275,Lists!$A$2:$A$11,0))="Yes",N(L275),0))+N(INDEX(Platforms!$D$5:$D$14,MATCH(H275,Lists!$A$2:$A$11,0)))))),""))</f>
        <v/>
      </c>
      <c r="R275" s="16" t="str">
        <f t="shared" si="17"/>
        <v/>
      </c>
      <c r="S275" s="17" t="str">
        <f t="shared" si="18"/>
        <v/>
      </c>
      <c r="T275" s="18" t="str">
        <f t="shared" ca="1" si="19"/>
        <v/>
      </c>
    </row>
    <row r="276" spans="1:20" x14ac:dyDescent="0.35">
      <c r="A276" s="11"/>
      <c r="B276" s="11"/>
      <c r="C276" s="11"/>
      <c r="D276" s="12"/>
      <c r="E276" s="11"/>
      <c r="F276" s="13"/>
      <c r="G276" s="13"/>
      <c r="H276" s="11"/>
      <c r="I276" s="12"/>
      <c r="J276" s="12"/>
      <c r="K276" s="13"/>
      <c r="L276" s="13"/>
      <c r="M276" s="13"/>
      <c r="N276" s="13"/>
      <c r="O276" s="13"/>
      <c r="P276" s="14" t="str">
        <f t="shared" si="16"/>
        <v/>
      </c>
      <c r="Q276" s="15" t="str">
        <f>IF(OR(J276="",H276=""),"",IFERROR(IF(ISNUMBER(N276),N276,IF(K276&lt;N(INDEX(Platforms!$G$5:$G$14,MATCH(H276,Lists!$A$2:$A$11,0))),N(INDEX(Platforms!$H$5:$H$14,MATCH(H276,Lists!$A$2:$A$11,0))),MAX(N(INDEX(Platforms!$F$5:$F$14,MATCH(H276,Lists!$A$2:$A$11,0))),N(INDEX(Platforms!$C$5:$C$14,MATCH(H276,Lists!$A$2:$A$11,0)))*(K276+IF(INDEX(Platforms!$E$5:$E$14,MATCH(H276,Lists!$A$2:$A$11,0))="Yes",N(L276),0))+N(INDEX(Platforms!$D$5:$D$14,MATCH(H276,Lists!$A$2:$A$11,0)))))),""))</f>
        <v/>
      </c>
      <c r="R276" s="16" t="str">
        <f t="shared" si="17"/>
        <v/>
      </c>
      <c r="S276" s="17" t="str">
        <f t="shared" si="18"/>
        <v/>
      </c>
      <c r="T276" s="18" t="str">
        <f t="shared" ca="1" si="19"/>
        <v/>
      </c>
    </row>
    <row r="277" spans="1:20" x14ac:dyDescent="0.35">
      <c r="A277" s="11"/>
      <c r="B277" s="11"/>
      <c r="C277" s="11"/>
      <c r="D277" s="12"/>
      <c r="E277" s="11"/>
      <c r="F277" s="13"/>
      <c r="G277" s="13"/>
      <c r="H277" s="11"/>
      <c r="I277" s="12"/>
      <c r="J277" s="12"/>
      <c r="K277" s="13"/>
      <c r="L277" s="13"/>
      <c r="M277" s="13"/>
      <c r="N277" s="13"/>
      <c r="O277" s="13"/>
      <c r="P277" s="14" t="str">
        <f t="shared" si="16"/>
        <v/>
      </c>
      <c r="Q277" s="15" t="str">
        <f>IF(OR(J277="",H277=""),"",IFERROR(IF(ISNUMBER(N277),N277,IF(K277&lt;N(INDEX(Platforms!$G$5:$G$14,MATCH(H277,Lists!$A$2:$A$11,0))),N(INDEX(Platforms!$H$5:$H$14,MATCH(H277,Lists!$A$2:$A$11,0))),MAX(N(INDEX(Platforms!$F$5:$F$14,MATCH(H277,Lists!$A$2:$A$11,0))),N(INDEX(Platforms!$C$5:$C$14,MATCH(H277,Lists!$A$2:$A$11,0)))*(K277+IF(INDEX(Platforms!$E$5:$E$14,MATCH(H277,Lists!$A$2:$A$11,0))="Yes",N(L277),0))+N(INDEX(Platforms!$D$5:$D$14,MATCH(H277,Lists!$A$2:$A$11,0)))))),""))</f>
        <v/>
      </c>
      <c r="R277" s="16" t="str">
        <f t="shared" si="17"/>
        <v/>
      </c>
      <c r="S277" s="17" t="str">
        <f t="shared" si="18"/>
        <v/>
      </c>
      <c r="T277" s="18" t="str">
        <f t="shared" ca="1" si="19"/>
        <v/>
      </c>
    </row>
    <row r="278" spans="1:20" x14ac:dyDescent="0.35">
      <c r="A278" s="11"/>
      <c r="B278" s="11"/>
      <c r="C278" s="11"/>
      <c r="D278" s="12"/>
      <c r="E278" s="11"/>
      <c r="F278" s="13"/>
      <c r="G278" s="13"/>
      <c r="H278" s="11"/>
      <c r="I278" s="12"/>
      <c r="J278" s="12"/>
      <c r="K278" s="13"/>
      <c r="L278" s="13"/>
      <c r="M278" s="13"/>
      <c r="N278" s="13"/>
      <c r="O278" s="13"/>
      <c r="P278" s="14" t="str">
        <f t="shared" si="16"/>
        <v/>
      </c>
      <c r="Q278" s="15" t="str">
        <f>IF(OR(J278="",H278=""),"",IFERROR(IF(ISNUMBER(N278),N278,IF(K278&lt;N(INDEX(Platforms!$G$5:$G$14,MATCH(H278,Lists!$A$2:$A$11,0))),N(INDEX(Platforms!$H$5:$H$14,MATCH(H278,Lists!$A$2:$A$11,0))),MAX(N(INDEX(Platforms!$F$5:$F$14,MATCH(H278,Lists!$A$2:$A$11,0))),N(INDEX(Platforms!$C$5:$C$14,MATCH(H278,Lists!$A$2:$A$11,0)))*(K278+IF(INDEX(Platforms!$E$5:$E$14,MATCH(H278,Lists!$A$2:$A$11,0))="Yes",N(L278),0))+N(INDEX(Platforms!$D$5:$D$14,MATCH(H278,Lists!$A$2:$A$11,0)))))),""))</f>
        <v/>
      </c>
      <c r="R278" s="16" t="str">
        <f t="shared" si="17"/>
        <v/>
      </c>
      <c r="S278" s="17" t="str">
        <f t="shared" si="18"/>
        <v/>
      </c>
      <c r="T278" s="18" t="str">
        <f t="shared" ca="1" si="19"/>
        <v/>
      </c>
    </row>
    <row r="279" spans="1:20" x14ac:dyDescent="0.35">
      <c r="A279" s="11"/>
      <c r="B279" s="11"/>
      <c r="C279" s="11"/>
      <c r="D279" s="12"/>
      <c r="E279" s="11"/>
      <c r="F279" s="13"/>
      <c r="G279" s="13"/>
      <c r="H279" s="11"/>
      <c r="I279" s="12"/>
      <c r="J279" s="12"/>
      <c r="K279" s="13"/>
      <c r="L279" s="13"/>
      <c r="M279" s="13"/>
      <c r="N279" s="13"/>
      <c r="O279" s="13"/>
      <c r="P279" s="14" t="str">
        <f t="shared" si="16"/>
        <v/>
      </c>
      <c r="Q279" s="15" t="str">
        <f>IF(OR(J279="",H279=""),"",IFERROR(IF(ISNUMBER(N279),N279,IF(K279&lt;N(INDEX(Platforms!$G$5:$G$14,MATCH(H279,Lists!$A$2:$A$11,0))),N(INDEX(Platforms!$H$5:$H$14,MATCH(H279,Lists!$A$2:$A$11,0))),MAX(N(INDEX(Platforms!$F$5:$F$14,MATCH(H279,Lists!$A$2:$A$11,0))),N(INDEX(Platforms!$C$5:$C$14,MATCH(H279,Lists!$A$2:$A$11,0)))*(K279+IF(INDEX(Platforms!$E$5:$E$14,MATCH(H279,Lists!$A$2:$A$11,0))="Yes",N(L279),0))+N(INDEX(Platforms!$D$5:$D$14,MATCH(H279,Lists!$A$2:$A$11,0)))))),""))</f>
        <v/>
      </c>
      <c r="R279" s="16" t="str">
        <f t="shared" si="17"/>
        <v/>
      </c>
      <c r="S279" s="17" t="str">
        <f t="shared" si="18"/>
        <v/>
      </c>
      <c r="T279" s="18" t="str">
        <f t="shared" ca="1" si="19"/>
        <v/>
      </c>
    </row>
    <row r="280" spans="1:20" x14ac:dyDescent="0.35">
      <c r="A280" s="11"/>
      <c r="B280" s="11"/>
      <c r="C280" s="11"/>
      <c r="D280" s="12"/>
      <c r="E280" s="11"/>
      <c r="F280" s="13"/>
      <c r="G280" s="13"/>
      <c r="H280" s="11"/>
      <c r="I280" s="12"/>
      <c r="J280" s="12"/>
      <c r="K280" s="13"/>
      <c r="L280" s="13"/>
      <c r="M280" s="13"/>
      <c r="N280" s="13"/>
      <c r="O280" s="13"/>
      <c r="P280" s="14" t="str">
        <f t="shared" si="16"/>
        <v/>
      </c>
      <c r="Q280" s="15" t="str">
        <f>IF(OR(J280="",H280=""),"",IFERROR(IF(ISNUMBER(N280),N280,IF(K280&lt;N(INDEX(Platforms!$G$5:$G$14,MATCH(H280,Lists!$A$2:$A$11,0))),N(INDEX(Platforms!$H$5:$H$14,MATCH(H280,Lists!$A$2:$A$11,0))),MAX(N(INDEX(Platforms!$F$5:$F$14,MATCH(H280,Lists!$A$2:$A$11,0))),N(INDEX(Platforms!$C$5:$C$14,MATCH(H280,Lists!$A$2:$A$11,0)))*(K280+IF(INDEX(Platforms!$E$5:$E$14,MATCH(H280,Lists!$A$2:$A$11,0))="Yes",N(L280),0))+N(INDEX(Platforms!$D$5:$D$14,MATCH(H280,Lists!$A$2:$A$11,0)))))),""))</f>
        <v/>
      </c>
      <c r="R280" s="16" t="str">
        <f t="shared" si="17"/>
        <v/>
      </c>
      <c r="S280" s="17" t="str">
        <f t="shared" si="18"/>
        <v/>
      </c>
      <c r="T280" s="18" t="str">
        <f t="shared" ca="1" si="19"/>
        <v/>
      </c>
    </row>
    <row r="281" spans="1:20" x14ac:dyDescent="0.35">
      <c r="A281" s="11"/>
      <c r="B281" s="11"/>
      <c r="C281" s="11"/>
      <c r="D281" s="12"/>
      <c r="E281" s="11"/>
      <c r="F281" s="13"/>
      <c r="G281" s="13"/>
      <c r="H281" s="11"/>
      <c r="I281" s="12"/>
      <c r="J281" s="12"/>
      <c r="K281" s="13"/>
      <c r="L281" s="13"/>
      <c r="M281" s="13"/>
      <c r="N281" s="13"/>
      <c r="O281" s="13"/>
      <c r="P281" s="14" t="str">
        <f t="shared" si="16"/>
        <v/>
      </c>
      <c r="Q281" s="15" t="str">
        <f>IF(OR(J281="",H281=""),"",IFERROR(IF(ISNUMBER(N281),N281,IF(K281&lt;N(INDEX(Platforms!$G$5:$G$14,MATCH(H281,Lists!$A$2:$A$11,0))),N(INDEX(Platforms!$H$5:$H$14,MATCH(H281,Lists!$A$2:$A$11,0))),MAX(N(INDEX(Platforms!$F$5:$F$14,MATCH(H281,Lists!$A$2:$A$11,0))),N(INDEX(Platforms!$C$5:$C$14,MATCH(H281,Lists!$A$2:$A$11,0)))*(K281+IF(INDEX(Platforms!$E$5:$E$14,MATCH(H281,Lists!$A$2:$A$11,0))="Yes",N(L281),0))+N(INDEX(Platforms!$D$5:$D$14,MATCH(H281,Lists!$A$2:$A$11,0)))))),""))</f>
        <v/>
      </c>
      <c r="R281" s="16" t="str">
        <f t="shared" si="17"/>
        <v/>
      </c>
      <c r="S281" s="17" t="str">
        <f t="shared" si="18"/>
        <v/>
      </c>
      <c r="T281" s="18" t="str">
        <f t="shared" ca="1" si="19"/>
        <v/>
      </c>
    </row>
    <row r="282" spans="1:20" x14ac:dyDescent="0.35">
      <c r="A282" s="11"/>
      <c r="B282" s="11"/>
      <c r="C282" s="11"/>
      <c r="D282" s="12"/>
      <c r="E282" s="11"/>
      <c r="F282" s="13"/>
      <c r="G282" s="13"/>
      <c r="H282" s="11"/>
      <c r="I282" s="12"/>
      <c r="J282" s="12"/>
      <c r="K282" s="13"/>
      <c r="L282" s="13"/>
      <c r="M282" s="13"/>
      <c r="N282" s="13"/>
      <c r="O282" s="13"/>
      <c r="P282" s="14" t="str">
        <f t="shared" si="16"/>
        <v/>
      </c>
      <c r="Q282" s="15" t="str">
        <f>IF(OR(J282="",H282=""),"",IFERROR(IF(ISNUMBER(N282),N282,IF(K282&lt;N(INDEX(Platforms!$G$5:$G$14,MATCH(H282,Lists!$A$2:$A$11,0))),N(INDEX(Platforms!$H$5:$H$14,MATCH(H282,Lists!$A$2:$A$11,0))),MAX(N(INDEX(Platforms!$F$5:$F$14,MATCH(H282,Lists!$A$2:$A$11,0))),N(INDEX(Platforms!$C$5:$C$14,MATCH(H282,Lists!$A$2:$A$11,0)))*(K282+IF(INDEX(Platforms!$E$5:$E$14,MATCH(H282,Lists!$A$2:$A$11,0))="Yes",N(L282),0))+N(INDEX(Platforms!$D$5:$D$14,MATCH(H282,Lists!$A$2:$A$11,0)))))),""))</f>
        <v/>
      </c>
      <c r="R282" s="16" t="str">
        <f t="shared" si="17"/>
        <v/>
      </c>
      <c r="S282" s="17" t="str">
        <f t="shared" si="18"/>
        <v/>
      </c>
      <c r="T282" s="18" t="str">
        <f t="shared" ca="1" si="19"/>
        <v/>
      </c>
    </row>
    <row r="283" spans="1:20" x14ac:dyDescent="0.35">
      <c r="A283" s="11"/>
      <c r="B283" s="11"/>
      <c r="C283" s="11"/>
      <c r="D283" s="12"/>
      <c r="E283" s="11"/>
      <c r="F283" s="13"/>
      <c r="G283" s="13"/>
      <c r="H283" s="11"/>
      <c r="I283" s="12"/>
      <c r="J283" s="12"/>
      <c r="K283" s="13"/>
      <c r="L283" s="13"/>
      <c r="M283" s="13"/>
      <c r="N283" s="13"/>
      <c r="O283" s="13"/>
      <c r="P283" s="14" t="str">
        <f t="shared" si="16"/>
        <v/>
      </c>
      <c r="Q283" s="15" t="str">
        <f>IF(OR(J283="",H283=""),"",IFERROR(IF(ISNUMBER(N283),N283,IF(K283&lt;N(INDEX(Platforms!$G$5:$G$14,MATCH(H283,Lists!$A$2:$A$11,0))),N(INDEX(Platforms!$H$5:$H$14,MATCH(H283,Lists!$A$2:$A$11,0))),MAX(N(INDEX(Platforms!$F$5:$F$14,MATCH(H283,Lists!$A$2:$A$11,0))),N(INDEX(Platforms!$C$5:$C$14,MATCH(H283,Lists!$A$2:$A$11,0)))*(K283+IF(INDEX(Platforms!$E$5:$E$14,MATCH(H283,Lists!$A$2:$A$11,0))="Yes",N(L283),0))+N(INDEX(Platforms!$D$5:$D$14,MATCH(H283,Lists!$A$2:$A$11,0)))))),""))</f>
        <v/>
      </c>
      <c r="R283" s="16" t="str">
        <f t="shared" si="17"/>
        <v/>
      </c>
      <c r="S283" s="17" t="str">
        <f t="shared" si="18"/>
        <v/>
      </c>
      <c r="T283" s="18" t="str">
        <f t="shared" ca="1" si="19"/>
        <v/>
      </c>
    </row>
    <row r="284" spans="1:20" x14ac:dyDescent="0.35">
      <c r="A284" s="11"/>
      <c r="B284" s="11"/>
      <c r="C284" s="11"/>
      <c r="D284" s="12"/>
      <c r="E284" s="11"/>
      <c r="F284" s="13"/>
      <c r="G284" s="13"/>
      <c r="H284" s="11"/>
      <c r="I284" s="12"/>
      <c r="J284" s="12"/>
      <c r="K284" s="13"/>
      <c r="L284" s="13"/>
      <c r="M284" s="13"/>
      <c r="N284" s="13"/>
      <c r="O284" s="13"/>
      <c r="P284" s="14" t="str">
        <f t="shared" si="16"/>
        <v/>
      </c>
      <c r="Q284" s="15" t="str">
        <f>IF(OR(J284="",H284=""),"",IFERROR(IF(ISNUMBER(N284),N284,IF(K284&lt;N(INDEX(Platforms!$G$5:$G$14,MATCH(H284,Lists!$A$2:$A$11,0))),N(INDEX(Platforms!$H$5:$H$14,MATCH(H284,Lists!$A$2:$A$11,0))),MAX(N(INDEX(Platforms!$F$5:$F$14,MATCH(H284,Lists!$A$2:$A$11,0))),N(INDEX(Platforms!$C$5:$C$14,MATCH(H284,Lists!$A$2:$A$11,0)))*(K284+IF(INDEX(Platforms!$E$5:$E$14,MATCH(H284,Lists!$A$2:$A$11,0))="Yes",N(L284),0))+N(INDEX(Platforms!$D$5:$D$14,MATCH(H284,Lists!$A$2:$A$11,0)))))),""))</f>
        <v/>
      </c>
      <c r="R284" s="16" t="str">
        <f t="shared" si="17"/>
        <v/>
      </c>
      <c r="S284" s="17" t="str">
        <f t="shared" si="18"/>
        <v/>
      </c>
      <c r="T284" s="18" t="str">
        <f t="shared" ca="1" si="19"/>
        <v/>
      </c>
    </row>
    <row r="285" spans="1:20" x14ac:dyDescent="0.35">
      <c r="A285" s="11"/>
      <c r="B285" s="11"/>
      <c r="C285" s="11"/>
      <c r="D285" s="12"/>
      <c r="E285" s="11"/>
      <c r="F285" s="13"/>
      <c r="G285" s="13"/>
      <c r="H285" s="11"/>
      <c r="I285" s="12"/>
      <c r="J285" s="12"/>
      <c r="K285" s="13"/>
      <c r="L285" s="13"/>
      <c r="M285" s="13"/>
      <c r="N285" s="13"/>
      <c r="O285" s="13"/>
      <c r="P285" s="14" t="str">
        <f t="shared" si="16"/>
        <v/>
      </c>
      <c r="Q285" s="15" t="str">
        <f>IF(OR(J285="",H285=""),"",IFERROR(IF(ISNUMBER(N285),N285,IF(K285&lt;N(INDEX(Platforms!$G$5:$G$14,MATCH(H285,Lists!$A$2:$A$11,0))),N(INDEX(Platforms!$H$5:$H$14,MATCH(H285,Lists!$A$2:$A$11,0))),MAX(N(INDEX(Platforms!$F$5:$F$14,MATCH(H285,Lists!$A$2:$A$11,0))),N(INDEX(Platforms!$C$5:$C$14,MATCH(H285,Lists!$A$2:$A$11,0)))*(K285+IF(INDEX(Platforms!$E$5:$E$14,MATCH(H285,Lists!$A$2:$A$11,0))="Yes",N(L285),0))+N(INDEX(Platforms!$D$5:$D$14,MATCH(H285,Lists!$A$2:$A$11,0)))))),""))</f>
        <v/>
      </c>
      <c r="R285" s="16" t="str">
        <f t="shared" si="17"/>
        <v/>
      </c>
      <c r="S285" s="17" t="str">
        <f t="shared" si="18"/>
        <v/>
      </c>
      <c r="T285" s="18" t="str">
        <f t="shared" ca="1" si="19"/>
        <v/>
      </c>
    </row>
    <row r="286" spans="1:20" x14ac:dyDescent="0.35">
      <c r="A286" s="11"/>
      <c r="B286" s="11"/>
      <c r="C286" s="11"/>
      <c r="D286" s="12"/>
      <c r="E286" s="11"/>
      <c r="F286" s="13"/>
      <c r="G286" s="13"/>
      <c r="H286" s="11"/>
      <c r="I286" s="12"/>
      <c r="J286" s="12"/>
      <c r="K286" s="13"/>
      <c r="L286" s="13"/>
      <c r="M286" s="13"/>
      <c r="N286" s="13"/>
      <c r="O286" s="13"/>
      <c r="P286" s="14" t="str">
        <f t="shared" si="16"/>
        <v/>
      </c>
      <c r="Q286" s="15" t="str">
        <f>IF(OR(J286="",H286=""),"",IFERROR(IF(ISNUMBER(N286),N286,IF(K286&lt;N(INDEX(Platforms!$G$5:$G$14,MATCH(H286,Lists!$A$2:$A$11,0))),N(INDEX(Platforms!$H$5:$H$14,MATCH(H286,Lists!$A$2:$A$11,0))),MAX(N(INDEX(Platforms!$F$5:$F$14,MATCH(H286,Lists!$A$2:$A$11,0))),N(INDEX(Platforms!$C$5:$C$14,MATCH(H286,Lists!$A$2:$A$11,0)))*(K286+IF(INDEX(Platforms!$E$5:$E$14,MATCH(H286,Lists!$A$2:$A$11,0))="Yes",N(L286),0))+N(INDEX(Platforms!$D$5:$D$14,MATCH(H286,Lists!$A$2:$A$11,0)))))),""))</f>
        <v/>
      </c>
      <c r="R286" s="16" t="str">
        <f t="shared" si="17"/>
        <v/>
      </c>
      <c r="S286" s="17" t="str">
        <f t="shared" si="18"/>
        <v/>
      </c>
      <c r="T286" s="18" t="str">
        <f t="shared" ca="1" si="19"/>
        <v/>
      </c>
    </row>
    <row r="287" spans="1:20" x14ac:dyDescent="0.35">
      <c r="A287" s="11"/>
      <c r="B287" s="11"/>
      <c r="C287" s="11"/>
      <c r="D287" s="12"/>
      <c r="E287" s="11"/>
      <c r="F287" s="13"/>
      <c r="G287" s="13"/>
      <c r="H287" s="11"/>
      <c r="I287" s="12"/>
      <c r="J287" s="12"/>
      <c r="K287" s="13"/>
      <c r="L287" s="13"/>
      <c r="M287" s="13"/>
      <c r="N287" s="13"/>
      <c r="O287" s="13"/>
      <c r="P287" s="14" t="str">
        <f t="shared" si="16"/>
        <v/>
      </c>
      <c r="Q287" s="15" t="str">
        <f>IF(OR(J287="",H287=""),"",IFERROR(IF(ISNUMBER(N287),N287,IF(K287&lt;N(INDEX(Platforms!$G$5:$G$14,MATCH(H287,Lists!$A$2:$A$11,0))),N(INDEX(Platforms!$H$5:$H$14,MATCH(H287,Lists!$A$2:$A$11,0))),MAX(N(INDEX(Platforms!$F$5:$F$14,MATCH(H287,Lists!$A$2:$A$11,0))),N(INDEX(Platforms!$C$5:$C$14,MATCH(H287,Lists!$A$2:$A$11,0)))*(K287+IF(INDEX(Platforms!$E$5:$E$14,MATCH(H287,Lists!$A$2:$A$11,0))="Yes",N(L287),0))+N(INDEX(Platforms!$D$5:$D$14,MATCH(H287,Lists!$A$2:$A$11,0)))))),""))</f>
        <v/>
      </c>
      <c r="R287" s="16" t="str">
        <f t="shared" si="17"/>
        <v/>
      </c>
      <c r="S287" s="17" t="str">
        <f t="shared" si="18"/>
        <v/>
      </c>
      <c r="T287" s="18" t="str">
        <f t="shared" ca="1" si="19"/>
        <v/>
      </c>
    </row>
    <row r="288" spans="1:20" x14ac:dyDescent="0.35">
      <c r="A288" s="11"/>
      <c r="B288" s="11"/>
      <c r="C288" s="11"/>
      <c r="D288" s="12"/>
      <c r="E288" s="11"/>
      <c r="F288" s="13"/>
      <c r="G288" s="13"/>
      <c r="H288" s="11"/>
      <c r="I288" s="12"/>
      <c r="J288" s="12"/>
      <c r="K288" s="13"/>
      <c r="L288" s="13"/>
      <c r="M288" s="13"/>
      <c r="N288" s="13"/>
      <c r="O288" s="13"/>
      <c r="P288" s="14" t="str">
        <f t="shared" si="16"/>
        <v/>
      </c>
      <c r="Q288" s="15" t="str">
        <f>IF(OR(J288="",H288=""),"",IFERROR(IF(ISNUMBER(N288),N288,IF(K288&lt;N(INDEX(Platforms!$G$5:$G$14,MATCH(H288,Lists!$A$2:$A$11,0))),N(INDEX(Platforms!$H$5:$H$14,MATCH(H288,Lists!$A$2:$A$11,0))),MAX(N(INDEX(Platforms!$F$5:$F$14,MATCH(H288,Lists!$A$2:$A$11,0))),N(INDEX(Platforms!$C$5:$C$14,MATCH(H288,Lists!$A$2:$A$11,0)))*(K288+IF(INDEX(Platforms!$E$5:$E$14,MATCH(H288,Lists!$A$2:$A$11,0))="Yes",N(L288),0))+N(INDEX(Platforms!$D$5:$D$14,MATCH(H288,Lists!$A$2:$A$11,0)))))),""))</f>
        <v/>
      </c>
      <c r="R288" s="16" t="str">
        <f t="shared" si="17"/>
        <v/>
      </c>
      <c r="S288" s="17" t="str">
        <f t="shared" si="18"/>
        <v/>
      </c>
      <c r="T288" s="18" t="str">
        <f t="shared" ca="1" si="19"/>
        <v/>
      </c>
    </row>
    <row r="289" spans="1:20" x14ac:dyDescent="0.35">
      <c r="A289" s="11"/>
      <c r="B289" s="11"/>
      <c r="C289" s="11"/>
      <c r="D289" s="12"/>
      <c r="E289" s="11"/>
      <c r="F289" s="13"/>
      <c r="G289" s="13"/>
      <c r="H289" s="11"/>
      <c r="I289" s="12"/>
      <c r="J289" s="12"/>
      <c r="K289" s="13"/>
      <c r="L289" s="13"/>
      <c r="M289" s="13"/>
      <c r="N289" s="13"/>
      <c r="O289" s="13"/>
      <c r="P289" s="14" t="str">
        <f t="shared" si="16"/>
        <v/>
      </c>
      <c r="Q289" s="15" t="str">
        <f>IF(OR(J289="",H289=""),"",IFERROR(IF(ISNUMBER(N289),N289,IF(K289&lt;N(INDEX(Platforms!$G$5:$G$14,MATCH(H289,Lists!$A$2:$A$11,0))),N(INDEX(Platforms!$H$5:$H$14,MATCH(H289,Lists!$A$2:$A$11,0))),MAX(N(INDEX(Platforms!$F$5:$F$14,MATCH(H289,Lists!$A$2:$A$11,0))),N(INDEX(Platforms!$C$5:$C$14,MATCH(H289,Lists!$A$2:$A$11,0)))*(K289+IF(INDEX(Platforms!$E$5:$E$14,MATCH(H289,Lists!$A$2:$A$11,0))="Yes",N(L289),0))+N(INDEX(Platforms!$D$5:$D$14,MATCH(H289,Lists!$A$2:$A$11,0)))))),""))</f>
        <v/>
      </c>
      <c r="R289" s="16" t="str">
        <f t="shared" si="17"/>
        <v/>
      </c>
      <c r="S289" s="17" t="str">
        <f t="shared" si="18"/>
        <v/>
      </c>
      <c r="T289" s="18" t="str">
        <f t="shared" ca="1" si="19"/>
        <v/>
      </c>
    </row>
    <row r="290" spans="1:20" x14ac:dyDescent="0.35">
      <c r="A290" s="11"/>
      <c r="B290" s="11"/>
      <c r="C290" s="11"/>
      <c r="D290" s="12"/>
      <c r="E290" s="11"/>
      <c r="F290" s="13"/>
      <c r="G290" s="13"/>
      <c r="H290" s="11"/>
      <c r="I290" s="12"/>
      <c r="J290" s="12"/>
      <c r="K290" s="13"/>
      <c r="L290" s="13"/>
      <c r="M290" s="13"/>
      <c r="N290" s="13"/>
      <c r="O290" s="13"/>
      <c r="P290" s="14" t="str">
        <f t="shared" si="16"/>
        <v/>
      </c>
      <c r="Q290" s="15" t="str">
        <f>IF(OR(J290="",H290=""),"",IFERROR(IF(ISNUMBER(N290),N290,IF(K290&lt;N(INDEX(Platforms!$G$5:$G$14,MATCH(H290,Lists!$A$2:$A$11,0))),N(INDEX(Platforms!$H$5:$H$14,MATCH(H290,Lists!$A$2:$A$11,0))),MAX(N(INDEX(Platforms!$F$5:$F$14,MATCH(H290,Lists!$A$2:$A$11,0))),N(INDEX(Platforms!$C$5:$C$14,MATCH(H290,Lists!$A$2:$A$11,0)))*(K290+IF(INDEX(Platforms!$E$5:$E$14,MATCH(H290,Lists!$A$2:$A$11,0))="Yes",N(L290),0))+N(INDEX(Platforms!$D$5:$D$14,MATCH(H290,Lists!$A$2:$A$11,0)))))),""))</f>
        <v/>
      </c>
      <c r="R290" s="16" t="str">
        <f t="shared" si="17"/>
        <v/>
      </c>
      <c r="S290" s="17" t="str">
        <f t="shared" si="18"/>
        <v/>
      </c>
      <c r="T290" s="18" t="str">
        <f t="shared" ca="1" si="19"/>
        <v/>
      </c>
    </row>
    <row r="291" spans="1:20" x14ac:dyDescent="0.35">
      <c r="A291" s="11"/>
      <c r="B291" s="11"/>
      <c r="C291" s="11"/>
      <c r="D291" s="12"/>
      <c r="E291" s="11"/>
      <c r="F291" s="13"/>
      <c r="G291" s="13"/>
      <c r="H291" s="11"/>
      <c r="I291" s="12"/>
      <c r="J291" s="12"/>
      <c r="K291" s="13"/>
      <c r="L291" s="13"/>
      <c r="M291" s="13"/>
      <c r="N291" s="13"/>
      <c r="O291" s="13"/>
      <c r="P291" s="14" t="str">
        <f t="shared" si="16"/>
        <v/>
      </c>
      <c r="Q291" s="15" t="str">
        <f>IF(OR(J291="",H291=""),"",IFERROR(IF(ISNUMBER(N291),N291,IF(K291&lt;N(INDEX(Platforms!$G$5:$G$14,MATCH(H291,Lists!$A$2:$A$11,0))),N(INDEX(Platforms!$H$5:$H$14,MATCH(H291,Lists!$A$2:$A$11,0))),MAX(N(INDEX(Platforms!$F$5:$F$14,MATCH(H291,Lists!$A$2:$A$11,0))),N(INDEX(Platforms!$C$5:$C$14,MATCH(H291,Lists!$A$2:$A$11,0)))*(K291+IF(INDEX(Platforms!$E$5:$E$14,MATCH(H291,Lists!$A$2:$A$11,0))="Yes",N(L291),0))+N(INDEX(Platforms!$D$5:$D$14,MATCH(H291,Lists!$A$2:$A$11,0)))))),""))</f>
        <v/>
      </c>
      <c r="R291" s="16" t="str">
        <f t="shared" si="17"/>
        <v/>
      </c>
      <c r="S291" s="17" t="str">
        <f t="shared" si="18"/>
        <v/>
      </c>
      <c r="T291" s="18" t="str">
        <f t="shared" ca="1" si="19"/>
        <v/>
      </c>
    </row>
    <row r="292" spans="1:20" x14ac:dyDescent="0.35">
      <c r="A292" s="11"/>
      <c r="B292" s="11"/>
      <c r="C292" s="11"/>
      <c r="D292" s="12"/>
      <c r="E292" s="11"/>
      <c r="F292" s="13"/>
      <c r="G292" s="13"/>
      <c r="H292" s="11"/>
      <c r="I292" s="12"/>
      <c r="J292" s="12"/>
      <c r="K292" s="13"/>
      <c r="L292" s="13"/>
      <c r="M292" s="13"/>
      <c r="N292" s="13"/>
      <c r="O292" s="13"/>
      <c r="P292" s="14" t="str">
        <f t="shared" si="16"/>
        <v/>
      </c>
      <c r="Q292" s="15" t="str">
        <f>IF(OR(J292="",H292=""),"",IFERROR(IF(ISNUMBER(N292),N292,IF(K292&lt;N(INDEX(Platforms!$G$5:$G$14,MATCH(H292,Lists!$A$2:$A$11,0))),N(INDEX(Platforms!$H$5:$H$14,MATCH(H292,Lists!$A$2:$A$11,0))),MAX(N(INDEX(Platforms!$F$5:$F$14,MATCH(H292,Lists!$A$2:$A$11,0))),N(INDEX(Platforms!$C$5:$C$14,MATCH(H292,Lists!$A$2:$A$11,0)))*(K292+IF(INDEX(Platforms!$E$5:$E$14,MATCH(H292,Lists!$A$2:$A$11,0))="Yes",N(L292),0))+N(INDEX(Platforms!$D$5:$D$14,MATCH(H292,Lists!$A$2:$A$11,0)))))),""))</f>
        <v/>
      </c>
      <c r="R292" s="16" t="str">
        <f t="shared" si="17"/>
        <v/>
      </c>
      <c r="S292" s="17" t="str">
        <f t="shared" si="18"/>
        <v/>
      </c>
      <c r="T292" s="18" t="str">
        <f t="shared" ca="1" si="19"/>
        <v/>
      </c>
    </row>
    <row r="293" spans="1:20" x14ac:dyDescent="0.35">
      <c r="A293" s="11"/>
      <c r="B293" s="11"/>
      <c r="C293" s="11"/>
      <c r="D293" s="12"/>
      <c r="E293" s="11"/>
      <c r="F293" s="13"/>
      <c r="G293" s="13"/>
      <c r="H293" s="11"/>
      <c r="I293" s="12"/>
      <c r="J293" s="12"/>
      <c r="K293" s="13"/>
      <c r="L293" s="13"/>
      <c r="M293" s="13"/>
      <c r="N293" s="13"/>
      <c r="O293" s="13"/>
      <c r="P293" s="14" t="str">
        <f t="shared" si="16"/>
        <v/>
      </c>
      <c r="Q293" s="15" t="str">
        <f>IF(OR(J293="",H293=""),"",IFERROR(IF(ISNUMBER(N293),N293,IF(K293&lt;N(INDEX(Platforms!$G$5:$G$14,MATCH(H293,Lists!$A$2:$A$11,0))),N(INDEX(Platforms!$H$5:$H$14,MATCH(H293,Lists!$A$2:$A$11,0))),MAX(N(INDEX(Platforms!$F$5:$F$14,MATCH(H293,Lists!$A$2:$A$11,0))),N(INDEX(Platforms!$C$5:$C$14,MATCH(H293,Lists!$A$2:$A$11,0)))*(K293+IF(INDEX(Platforms!$E$5:$E$14,MATCH(H293,Lists!$A$2:$A$11,0))="Yes",N(L293),0))+N(INDEX(Platforms!$D$5:$D$14,MATCH(H293,Lists!$A$2:$A$11,0)))))),""))</f>
        <v/>
      </c>
      <c r="R293" s="16" t="str">
        <f t="shared" si="17"/>
        <v/>
      </c>
      <c r="S293" s="17" t="str">
        <f t="shared" si="18"/>
        <v/>
      </c>
      <c r="T293" s="18" t="str">
        <f t="shared" ca="1" si="19"/>
        <v/>
      </c>
    </row>
    <row r="294" spans="1:20" x14ac:dyDescent="0.35">
      <c r="A294" s="11"/>
      <c r="B294" s="11"/>
      <c r="C294" s="11"/>
      <c r="D294" s="12"/>
      <c r="E294" s="11"/>
      <c r="F294" s="13"/>
      <c r="G294" s="13"/>
      <c r="H294" s="11"/>
      <c r="I294" s="12"/>
      <c r="J294" s="12"/>
      <c r="K294" s="13"/>
      <c r="L294" s="13"/>
      <c r="M294" s="13"/>
      <c r="N294" s="13"/>
      <c r="O294" s="13"/>
      <c r="P294" s="14" t="str">
        <f t="shared" si="16"/>
        <v/>
      </c>
      <c r="Q294" s="15" t="str">
        <f>IF(OR(J294="",H294=""),"",IFERROR(IF(ISNUMBER(N294),N294,IF(K294&lt;N(INDEX(Platforms!$G$5:$G$14,MATCH(H294,Lists!$A$2:$A$11,0))),N(INDEX(Platforms!$H$5:$H$14,MATCH(H294,Lists!$A$2:$A$11,0))),MAX(N(INDEX(Platforms!$F$5:$F$14,MATCH(H294,Lists!$A$2:$A$11,0))),N(INDEX(Platforms!$C$5:$C$14,MATCH(H294,Lists!$A$2:$A$11,0)))*(K294+IF(INDEX(Platforms!$E$5:$E$14,MATCH(H294,Lists!$A$2:$A$11,0))="Yes",N(L294),0))+N(INDEX(Platforms!$D$5:$D$14,MATCH(H294,Lists!$A$2:$A$11,0)))))),""))</f>
        <v/>
      </c>
      <c r="R294" s="16" t="str">
        <f t="shared" si="17"/>
        <v/>
      </c>
      <c r="S294" s="17" t="str">
        <f t="shared" si="18"/>
        <v/>
      </c>
      <c r="T294" s="18" t="str">
        <f t="shared" ca="1" si="19"/>
        <v/>
      </c>
    </row>
    <row r="295" spans="1:20" x14ac:dyDescent="0.35">
      <c r="A295" s="11"/>
      <c r="B295" s="11"/>
      <c r="C295" s="11"/>
      <c r="D295" s="12"/>
      <c r="E295" s="11"/>
      <c r="F295" s="13"/>
      <c r="G295" s="13"/>
      <c r="H295" s="11"/>
      <c r="I295" s="12"/>
      <c r="J295" s="12"/>
      <c r="K295" s="13"/>
      <c r="L295" s="13"/>
      <c r="M295" s="13"/>
      <c r="N295" s="13"/>
      <c r="O295" s="13"/>
      <c r="P295" s="14" t="str">
        <f t="shared" si="16"/>
        <v/>
      </c>
      <c r="Q295" s="15" t="str">
        <f>IF(OR(J295="",H295=""),"",IFERROR(IF(ISNUMBER(N295),N295,IF(K295&lt;N(INDEX(Platforms!$G$5:$G$14,MATCH(H295,Lists!$A$2:$A$11,0))),N(INDEX(Platforms!$H$5:$H$14,MATCH(H295,Lists!$A$2:$A$11,0))),MAX(N(INDEX(Platforms!$F$5:$F$14,MATCH(H295,Lists!$A$2:$A$11,0))),N(INDEX(Platforms!$C$5:$C$14,MATCH(H295,Lists!$A$2:$A$11,0)))*(K295+IF(INDEX(Platforms!$E$5:$E$14,MATCH(H295,Lists!$A$2:$A$11,0))="Yes",N(L295),0))+N(INDEX(Platforms!$D$5:$D$14,MATCH(H295,Lists!$A$2:$A$11,0)))))),""))</f>
        <v/>
      </c>
      <c r="R295" s="16" t="str">
        <f t="shared" si="17"/>
        <v/>
      </c>
      <c r="S295" s="17" t="str">
        <f t="shared" si="18"/>
        <v/>
      </c>
      <c r="T295" s="18" t="str">
        <f t="shared" ca="1" si="19"/>
        <v/>
      </c>
    </row>
    <row r="296" spans="1:20" x14ac:dyDescent="0.35">
      <c r="A296" s="11"/>
      <c r="B296" s="11"/>
      <c r="C296" s="11"/>
      <c r="D296" s="12"/>
      <c r="E296" s="11"/>
      <c r="F296" s="13"/>
      <c r="G296" s="13"/>
      <c r="H296" s="11"/>
      <c r="I296" s="12"/>
      <c r="J296" s="12"/>
      <c r="K296" s="13"/>
      <c r="L296" s="13"/>
      <c r="M296" s="13"/>
      <c r="N296" s="13"/>
      <c r="O296" s="13"/>
      <c r="P296" s="14" t="str">
        <f t="shared" si="16"/>
        <v/>
      </c>
      <c r="Q296" s="15" t="str">
        <f>IF(OR(J296="",H296=""),"",IFERROR(IF(ISNUMBER(N296),N296,IF(K296&lt;N(INDEX(Platforms!$G$5:$G$14,MATCH(H296,Lists!$A$2:$A$11,0))),N(INDEX(Platforms!$H$5:$H$14,MATCH(H296,Lists!$A$2:$A$11,0))),MAX(N(INDEX(Platforms!$F$5:$F$14,MATCH(H296,Lists!$A$2:$A$11,0))),N(INDEX(Platforms!$C$5:$C$14,MATCH(H296,Lists!$A$2:$A$11,0)))*(K296+IF(INDEX(Platforms!$E$5:$E$14,MATCH(H296,Lists!$A$2:$A$11,0))="Yes",N(L296),0))+N(INDEX(Platforms!$D$5:$D$14,MATCH(H296,Lists!$A$2:$A$11,0)))))),""))</f>
        <v/>
      </c>
      <c r="R296" s="16" t="str">
        <f t="shared" si="17"/>
        <v/>
      </c>
      <c r="S296" s="17" t="str">
        <f t="shared" si="18"/>
        <v/>
      </c>
      <c r="T296" s="18" t="str">
        <f t="shared" ca="1" si="19"/>
        <v/>
      </c>
    </row>
    <row r="297" spans="1:20" x14ac:dyDescent="0.35">
      <c r="A297" s="11"/>
      <c r="B297" s="11"/>
      <c r="C297" s="11"/>
      <c r="D297" s="12"/>
      <c r="E297" s="11"/>
      <c r="F297" s="13"/>
      <c r="G297" s="13"/>
      <c r="H297" s="11"/>
      <c r="I297" s="12"/>
      <c r="J297" s="12"/>
      <c r="K297" s="13"/>
      <c r="L297" s="13"/>
      <c r="M297" s="13"/>
      <c r="N297" s="13"/>
      <c r="O297" s="13"/>
      <c r="P297" s="14" t="str">
        <f t="shared" si="16"/>
        <v/>
      </c>
      <c r="Q297" s="15" t="str">
        <f>IF(OR(J297="",H297=""),"",IFERROR(IF(ISNUMBER(N297),N297,IF(K297&lt;N(INDEX(Platforms!$G$5:$G$14,MATCH(H297,Lists!$A$2:$A$11,0))),N(INDEX(Platforms!$H$5:$H$14,MATCH(H297,Lists!$A$2:$A$11,0))),MAX(N(INDEX(Platforms!$F$5:$F$14,MATCH(H297,Lists!$A$2:$A$11,0))),N(INDEX(Platforms!$C$5:$C$14,MATCH(H297,Lists!$A$2:$A$11,0)))*(K297+IF(INDEX(Platforms!$E$5:$E$14,MATCH(H297,Lists!$A$2:$A$11,0))="Yes",N(L297),0))+N(INDEX(Platforms!$D$5:$D$14,MATCH(H297,Lists!$A$2:$A$11,0)))))),""))</f>
        <v/>
      </c>
      <c r="R297" s="16" t="str">
        <f t="shared" si="17"/>
        <v/>
      </c>
      <c r="S297" s="17" t="str">
        <f t="shared" si="18"/>
        <v/>
      </c>
      <c r="T297" s="18" t="str">
        <f t="shared" ca="1" si="19"/>
        <v/>
      </c>
    </row>
    <row r="298" spans="1:20" x14ac:dyDescent="0.35">
      <c r="A298" s="11"/>
      <c r="B298" s="11"/>
      <c r="C298" s="11"/>
      <c r="D298" s="12"/>
      <c r="E298" s="11"/>
      <c r="F298" s="13"/>
      <c r="G298" s="13"/>
      <c r="H298" s="11"/>
      <c r="I298" s="12"/>
      <c r="J298" s="12"/>
      <c r="K298" s="13"/>
      <c r="L298" s="13"/>
      <c r="M298" s="13"/>
      <c r="N298" s="13"/>
      <c r="O298" s="13"/>
      <c r="P298" s="14" t="str">
        <f t="shared" si="16"/>
        <v/>
      </c>
      <c r="Q298" s="15" t="str">
        <f>IF(OR(J298="",H298=""),"",IFERROR(IF(ISNUMBER(N298),N298,IF(K298&lt;N(INDEX(Platforms!$G$5:$G$14,MATCH(H298,Lists!$A$2:$A$11,0))),N(INDEX(Platforms!$H$5:$H$14,MATCH(H298,Lists!$A$2:$A$11,0))),MAX(N(INDEX(Platforms!$F$5:$F$14,MATCH(H298,Lists!$A$2:$A$11,0))),N(INDEX(Platforms!$C$5:$C$14,MATCH(H298,Lists!$A$2:$A$11,0)))*(K298+IF(INDEX(Platforms!$E$5:$E$14,MATCH(H298,Lists!$A$2:$A$11,0))="Yes",N(L298),0))+N(INDEX(Platforms!$D$5:$D$14,MATCH(H298,Lists!$A$2:$A$11,0)))))),""))</f>
        <v/>
      </c>
      <c r="R298" s="16" t="str">
        <f t="shared" si="17"/>
        <v/>
      </c>
      <c r="S298" s="17" t="str">
        <f t="shared" si="18"/>
        <v/>
      </c>
      <c r="T298" s="18" t="str">
        <f t="shared" ca="1" si="19"/>
        <v/>
      </c>
    </row>
    <row r="299" spans="1:20" x14ac:dyDescent="0.35">
      <c r="A299" s="11"/>
      <c r="B299" s="11"/>
      <c r="C299" s="11"/>
      <c r="D299" s="12"/>
      <c r="E299" s="11"/>
      <c r="F299" s="13"/>
      <c r="G299" s="13"/>
      <c r="H299" s="11"/>
      <c r="I299" s="12"/>
      <c r="J299" s="12"/>
      <c r="K299" s="13"/>
      <c r="L299" s="13"/>
      <c r="M299" s="13"/>
      <c r="N299" s="13"/>
      <c r="O299" s="13"/>
      <c r="P299" s="14" t="str">
        <f t="shared" si="16"/>
        <v/>
      </c>
      <c r="Q299" s="15" t="str">
        <f>IF(OR(J299="",H299=""),"",IFERROR(IF(ISNUMBER(N299),N299,IF(K299&lt;N(INDEX(Platforms!$G$5:$G$14,MATCH(H299,Lists!$A$2:$A$11,0))),N(INDEX(Platforms!$H$5:$H$14,MATCH(H299,Lists!$A$2:$A$11,0))),MAX(N(INDEX(Platforms!$F$5:$F$14,MATCH(H299,Lists!$A$2:$A$11,0))),N(INDEX(Platforms!$C$5:$C$14,MATCH(H299,Lists!$A$2:$A$11,0)))*(K299+IF(INDEX(Platforms!$E$5:$E$14,MATCH(H299,Lists!$A$2:$A$11,0))="Yes",N(L299),0))+N(INDEX(Platforms!$D$5:$D$14,MATCH(H299,Lists!$A$2:$A$11,0)))))),""))</f>
        <v/>
      </c>
      <c r="R299" s="16" t="str">
        <f t="shared" si="17"/>
        <v/>
      </c>
      <c r="S299" s="17" t="str">
        <f t="shared" si="18"/>
        <v/>
      </c>
      <c r="T299" s="18" t="str">
        <f t="shared" ca="1" si="19"/>
        <v/>
      </c>
    </row>
    <row r="300" spans="1:20" x14ac:dyDescent="0.35">
      <c r="A300" s="11"/>
      <c r="B300" s="11"/>
      <c r="C300" s="11"/>
      <c r="D300" s="12"/>
      <c r="E300" s="11"/>
      <c r="F300" s="13"/>
      <c r="G300" s="13"/>
      <c r="H300" s="11"/>
      <c r="I300" s="12"/>
      <c r="J300" s="12"/>
      <c r="K300" s="13"/>
      <c r="L300" s="13"/>
      <c r="M300" s="13"/>
      <c r="N300" s="13"/>
      <c r="O300" s="13"/>
      <c r="P300" s="14" t="str">
        <f t="shared" si="16"/>
        <v/>
      </c>
      <c r="Q300" s="15" t="str">
        <f>IF(OR(J300="",H300=""),"",IFERROR(IF(ISNUMBER(N300),N300,IF(K300&lt;N(INDEX(Platforms!$G$5:$G$14,MATCH(H300,Lists!$A$2:$A$11,0))),N(INDEX(Platforms!$H$5:$H$14,MATCH(H300,Lists!$A$2:$A$11,0))),MAX(N(INDEX(Platforms!$F$5:$F$14,MATCH(H300,Lists!$A$2:$A$11,0))),N(INDEX(Platforms!$C$5:$C$14,MATCH(H300,Lists!$A$2:$A$11,0)))*(K300+IF(INDEX(Platforms!$E$5:$E$14,MATCH(H300,Lists!$A$2:$A$11,0))="Yes",N(L300),0))+N(INDEX(Platforms!$D$5:$D$14,MATCH(H300,Lists!$A$2:$A$11,0)))))),""))</f>
        <v/>
      </c>
      <c r="R300" s="16" t="str">
        <f t="shared" si="17"/>
        <v/>
      </c>
      <c r="S300" s="17" t="str">
        <f t="shared" si="18"/>
        <v/>
      </c>
      <c r="T300" s="18" t="str">
        <f t="shared" ca="1" si="19"/>
        <v/>
      </c>
    </row>
    <row r="301" spans="1:20" x14ac:dyDescent="0.35">
      <c r="A301" s="11"/>
      <c r="B301" s="11"/>
      <c r="C301" s="11"/>
      <c r="D301" s="12"/>
      <c r="E301" s="11"/>
      <c r="F301" s="13"/>
      <c r="G301" s="13"/>
      <c r="H301" s="11"/>
      <c r="I301" s="12"/>
      <c r="J301" s="12"/>
      <c r="K301" s="13"/>
      <c r="L301" s="13"/>
      <c r="M301" s="13"/>
      <c r="N301" s="13"/>
      <c r="O301" s="13"/>
      <c r="P301" s="14" t="str">
        <f t="shared" si="16"/>
        <v/>
      </c>
      <c r="Q301" s="15" t="str">
        <f>IF(OR(J301="",H301=""),"",IFERROR(IF(ISNUMBER(N301),N301,IF(K301&lt;N(INDEX(Platforms!$G$5:$G$14,MATCH(H301,Lists!$A$2:$A$11,0))),N(INDEX(Platforms!$H$5:$H$14,MATCH(H301,Lists!$A$2:$A$11,0))),MAX(N(INDEX(Platforms!$F$5:$F$14,MATCH(H301,Lists!$A$2:$A$11,0))),N(INDEX(Platforms!$C$5:$C$14,MATCH(H301,Lists!$A$2:$A$11,0)))*(K301+IF(INDEX(Platforms!$E$5:$E$14,MATCH(H301,Lists!$A$2:$A$11,0))="Yes",N(L301),0))+N(INDEX(Platforms!$D$5:$D$14,MATCH(H301,Lists!$A$2:$A$11,0)))))),""))</f>
        <v/>
      </c>
      <c r="R301" s="16" t="str">
        <f t="shared" si="17"/>
        <v/>
      </c>
      <c r="S301" s="17" t="str">
        <f t="shared" si="18"/>
        <v/>
      </c>
      <c r="T301" s="18" t="str">
        <f t="shared" ca="1" si="19"/>
        <v/>
      </c>
    </row>
    <row r="302" spans="1:20" x14ac:dyDescent="0.35">
      <c r="A302" s="11"/>
      <c r="B302" s="11"/>
      <c r="C302" s="11"/>
      <c r="D302" s="12"/>
      <c r="E302" s="11"/>
      <c r="F302" s="13"/>
      <c r="G302" s="13"/>
      <c r="H302" s="11"/>
      <c r="I302" s="12"/>
      <c r="J302" s="12"/>
      <c r="K302" s="13"/>
      <c r="L302" s="13"/>
      <c r="M302" s="13"/>
      <c r="N302" s="13"/>
      <c r="O302" s="13"/>
      <c r="P302" s="14" t="str">
        <f t="shared" si="16"/>
        <v/>
      </c>
      <c r="Q302" s="15" t="str">
        <f>IF(OR(J302="",H302=""),"",IFERROR(IF(ISNUMBER(N302),N302,IF(K302&lt;N(INDEX(Platforms!$G$5:$G$14,MATCH(H302,Lists!$A$2:$A$11,0))),N(INDEX(Platforms!$H$5:$H$14,MATCH(H302,Lists!$A$2:$A$11,0))),MAX(N(INDEX(Platforms!$F$5:$F$14,MATCH(H302,Lists!$A$2:$A$11,0))),N(INDEX(Platforms!$C$5:$C$14,MATCH(H302,Lists!$A$2:$A$11,0)))*(K302+IF(INDEX(Platforms!$E$5:$E$14,MATCH(H302,Lists!$A$2:$A$11,0))="Yes",N(L302),0))+N(INDEX(Platforms!$D$5:$D$14,MATCH(H302,Lists!$A$2:$A$11,0)))))),""))</f>
        <v/>
      </c>
      <c r="R302" s="16" t="str">
        <f t="shared" si="17"/>
        <v/>
      </c>
      <c r="S302" s="17" t="str">
        <f t="shared" si="18"/>
        <v/>
      </c>
      <c r="T302" s="18" t="str">
        <f t="shared" ca="1" si="19"/>
        <v/>
      </c>
    </row>
    <row r="303" spans="1:20" x14ac:dyDescent="0.35">
      <c r="A303" s="11"/>
      <c r="B303" s="11"/>
      <c r="C303" s="11"/>
      <c r="D303" s="12"/>
      <c r="E303" s="11"/>
      <c r="F303" s="13"/>
      <c r="G303" s="13"/>
      <c r="H303" s="11"/>
      <c r="I303" s="12"/>
      <c r="J303" s="12"/>
      <c r="K303" s="13"/>
      <c r="L303" s="13"/>
      <c r="M303" s="13"/>
      <c r="N303" s="13"/>
      <c r="O303" s="13"/>
      <c r="P303" s="14" t="str">
        <f t="shared" si="16"/>
        <v/>
      </c>
      <c r="Q303" s="15" t="str">
        <f>IF(OR(J303="",H303=""),"",IFERROR(IF(ISNUMBER(N303),N303,IF(K303&lt;N(INDEX(Platforms!$G$5:$G$14,MATCH(H303,Lists!$A$2:$A$11,0))),N(INDEX(Platforms!$H$5:$H$14,MATCH(H303,Lists!$A$2:$A$11,0))),MAX(N(INDEX(Platforms!$F$5:$F$14,MATCH(H303,Lists!$A$2:$A$11,0))),N(INDEX(Platforms!$C$5:$C$14,MATCH(H303,Lists!$A$2:$A$11,0)))*(K303+IF(INDEX(Platforms!$E$5:$E$14,MATCH(H303,Lists!$A$2:$A$11,0))="Yes",N(L303),0))+N(INDEX(Platforms!$D$5:$D$14,MATCH(H303,Lists!$A$2:$A$11,0)))))),""))</f>
        <v/>
      </c>
      <c r="R303" s="16" t="str">
        <f t="shared" si="17"/>
        <v/>
      </c>
      <c r="S303" s="17" t="str">
        <f t="shared" si="18"/>
        <v/>
      </c>
      <c r="T303" s="18" t="str">
        <f t="shared" ca="1" si="19"/>
        <v/>
      </c>
    </row>
    <row r="304" spans="1:20" x14ac:dyDescent="0.35">
      <c r="A304" s="11"/>
      <c r="B304" s="11"/>
      <c r="C304" s="11"/>
      <c r="D304" s="12"/>
      <c r="E304" s="11"/>
      <c r="F304" s="13"/>
      <c r="G304" s="13"/>
      <c r="H304" s="11"/>
      <c r="I304" s="12"/>
      <c r="J304" s="12"/>
      <c r="K304" s="13"/>
      <c r="L304" s="13"/>
      <c r="M304" s="13"/>
      <c r="N304" s="13"/>
      <c r="O304" s="13"/>
      <c r="P304" s="14" t="str">
        <f t="shared" si="16"/>
        <v/>
      </c>
      <c r="Q304" s="15" t="str">
        <f>IF(OR(J304="",H304=""),"",IFERROR(IF(ISNUMBER(N304),N304,IF(K304&lt;N(INDEX(Platforms!$G$5:$G$14,MATCH(H304,Lists!$A$2:$A$11,0))),N(INDEX(Platforms!$H$5:$H$14,MATCH(H304,Lists!$A$2:$A$11,0))),MAX(N(INDEX(Platforms!$F$5:$F$14,MATCH(H304,Lists!$A$2:$A$11,0))),N(INDEX(Platforms!$C$5:$C$14,MATCH(H304,Lists!$A$2:$A$11,0)))*(K304+IF(INDEX(Platforms!$E$5:$E$14,MATCH(H304,Lists!$A$2:$A$11,0))="Yes",N(L304),0))+N(INDEX(Platforms!$D$5:$D$14,MATCH(H304,Lists!$A$2:$A$11,0)))))),""))</f>
        <v/>
      </c>
      <c r="R304" s="16" t="str">
        <f t="shared" si="17"/>
        <v/>
      </c>
      <c r="S304" s="17" t="str">
        <f t="shared" si="18"/>
        <v/>
      </c>
      <c r="T304" s="18" t="str">
        <f t="shared" ca="1" si="19"/>
        <v/>
      </c>
    </row>
    <row r="305" spans="1:20" x14ac:dyDescent="0.35">
      <c r="A305" s="11"/>
      <c r="B305" s="11"/>
      <c r="C305" s="11"/>
      <c r="D305" s="12"/>
      <c r="E305" s="11"/>
      <c r="F305" s="13"/>
      <c r="G305" s="13"/>
      <c r="H305" s="11"/>
      <c r="I305" s="12"/>
      <c r="J305" s="12"/>
      <c r="K305" s="13"/>
      <c r="L305" s="13"/>
      <c r="M305" s="13"/>
      <c r="N305" s="13"/>
      <c r="O305" s="13"/>
      <c r="P305" s="14" t="str">
        <f t="shared" si="16"/>
        <v/>
      </c>
      <c r="Q305" s="15" t="str">
        <f>IF(OR(J305="",H305=""),"",IFERROR(IF(ISNUMBER(N305),N305,IF(K305&lt;N(INDEX(Platforms!$G$5:$G$14,MATCH(H305,Lists!$A$2:$A$11,0))),N(INDEX(Platforms!$H$5:$H$14,MATCH(H305,Lists!$A$2:$A$11,0))),MAX(N(INDEX(Platforms!$F$5:$F$14,MATCH(H305,Lists!$A$2:$A$11,0))),N(INDEX(Platforms!$C$5:$C$14,MATCH(H305,Lists!$A$2:$A$11,0)))*(K305+IF(INDEX(Platforms!$E$5:$E$14,MATCH(H305,Lists!$A$2:$A$11,0))="Yes",N(L305),0))+N(INDEX(Platforms!$D$5:$D$14,MATCH(H305,Lists!$A$2:$A$11,0)))))),""))</f>
        <v/>
      </c>
      <c r="R305" s="16" t="str">
        <f t="shared" si="17"/>
        <v/>
      </c>
      <c r="S305" s="17" t="str">
        <f t="shared" si="18"/>
        <v/>
      </c>
      <c r="T305" s="18" t="str">
        <f t="shared" ca="1" si="19"/>
        <v/>
      </c>
    </row>
    <row r="306" spans="1:20" x14ac:dyDescent="0.35">
      <c r="A306" s="11"/>
      <c r="B306" s="11"/>
      <c r="C306" s="11"/>
      <c r="D306" s="12"/>
      <c r="E306" s="11"/>
      <c r="F306" s="13"/>
      <c r="G306" s="13"/>
      <c r="H306" s="11"/>
      <c r="I306" s="12"/>
      <c r="J306" s="12"/>
      <c r="K306" s="13"/>
      <c r="L306" s="13"/>
      <c r="M306" s="13"/>
      <c r="N306" s="13"/>
      <c r="O306" s="13"/>
      <c r="P306" s="14" t="str">
        <f t="shared" si="16"/>
        <v/>
      </c>
      <c r="Q306" s="15" t="str">
        <f>IF(OR(J306="",H306=""),"",IFERROR(IF(ISNUMBER(N306),N306,IF(K306&lt;N(INDEX(Platforms!$G$5:$G$14,MATCH(H306,Lists!$A$2:$A$11,0))),N(INDEX(Platforms!$H$5:$H$14,MATCH(H306,Lists!$A$2:$A$11,0))),MAX(N(INDEX(Platforms!$F$5:$F$14,MATCH(H306,Lists!$A$2:$A$11,0))),N(INDEX(Platforms!$C$5:$C$14,MATCH(H306,Lists!$A$2:$A$11,0)))*(K306+IF(INDEX(Platforms!$E$5:$E$14,MATCH(H306,Lists!$A$2:$A$11,0))="Yes",N(L306),0))+N(INDEX(Platforms!$D$5:$D$14,MATCH(H306,Lists!$A$2:$A$11,0)))))),""))</f>
        <v/>
      </c>
      <c r="R306" s="16" t="str">
        <f t="shared" si="17"/>
        <v/>
      </c>
      <c r="S306" s="17" t="str">
        <f t="shared" si="18"/>
        <v/>
      </c>
      <c r="T306" s="18" t="str">
        <f t="shared" ca="1" si="19"/>
        <v/>
      </c>
    </row>
    <row r="307" spans="1:20" x14ac:dyDescent="0.35">
      <c r="A307" s="11"/>
      <c r="B307" s="11"/>
      <c r="C307" s="11"/>
      <c r="D307" s="12"/>
      <c r="E307" s="11"/>
      <c r="F307" s="13"/>
      <c r="G307" s="13"/>
      <c r="H307" s="11"/>
      <c r="I307" s="12"/>
      <c r="J307" s="12"/>
      <c r="K307" s="13"/>
      <c r="L307" s="13"/>
      <c r="M307" s="13"/>
      <c r="N307" s="13"/>
      <c r="O307" s="13"/>
      <c r="P307" s="14" t="str">
        <f t="shared" si="16"/>
        <v/>
      </c>
      <c r="Q307" s="15" t="str">
        <f>IF(OR(J307="",H307=""),"",IFERROR(IF(ISNUMBER(N307),N307,IF(K307&lt;N(INDEX(Platforms!$G$5:$G$14,MATCH(H307,Lists!$A$2:$A$11,0))),N(INDEX(Platforms!$H$5:$H$14,MATCH(H307,Lists!$A$2:$A$11,0))),MAX(N(INDEX(Platforms!$F$5:$F$14,MATCH(H307,Lists!$A$2:$A$11,0))),N(INDEX(Platforms!$C$5:$C$14,MATCH(H307,Lists!$A$2:$A$11,0)))*(K307+IF(INDEX(Platforms!$E$5:$E$14,MATCH(H307,Lists!$A$2:$A$11,0))="Yes",N(L307),0))+N(INDEX(Platforms!$D$5:$D$14,MATCH(H307,Lists!$A$2:$A$11,0)))))),""))</f>
        <v/>
      </c>
      <c r="R307" s="16" t="str">
        <f t="shared" si="17"/>
        <v/>
      </c>
      <c r="S307" s="17" t="str">
        <f t="shared" si="18"/>
        <v/>
      </c>
      <c r="T307" s="18" t="str">
        <f t="shared" ca="1" si="19"/>
        <v/>
      </c>
    </row>
    <row r="308" spans="1:20" x14ac:dyDescent="0.35">
      <c r="A308" s="11"/>
      <c r="B308" s="11"/>
      <c r="C308" s="11"/>
      <c r="D308" s="12"/>
      <c r="E308" s="11"/>
      <c r="F308" s="13"/>
      <c r="G308" s="13"/>
      <c r="H308" s="11"/>
      <c r="I308" s="12"/>
      <c r="J308" s="12"/>
      <c r="K308" s="13"/>
      <c r="L308" s="13"/>
      <c r="M308" s="13"/>
      <c r="N308" s="13"/>
      <c r="O308" s="13"/>
      <c r="P308" s="14" t="str">
        <f t="shared" si="16"/>
        <v/>
      </c>
      <c r="Q308" s="15" t="str">
        <f>IF(OR(J308="",H308=""),"",IFERROR(IF(ISNUMBER(N308),N308,IF(K308&lt;N(INDEX(Platforms!$G$5:$G$14,MATCH(H308,Lists!$A$2:$A$11,0))),N(INDEX(Platforms!$H$5:$H$14,MATCH(H308,Lists!$A$2:$A$11,0))),MAX(N(INDEX(Platforms!$F$5:$F$14,MATCH(H308,Lists!$A$2:$A$11,0))),N(INDEX(Platforms!$C$5:$C$14,MATCH(H308,Lists!$A$2:$A$11,0)))*(K308+IF(INDEX(Platforms!$E$5:$E$14,MATCH(H308,Lists!$A$2:$A$11,0))="Yes",N(L308),0))+N(INDEX(Platforms!$D$5:$D$14,MATCH(H308,Lists!$A$2:$A$11,0)))))),""))</f>
        <v/>
      </c>
      <c r="R308" s="16" t="str">
        <f t="shared" si="17"/>
        <v/>
      </c>
      <c r="S308" s="17" t="str">
        <f t="shared" si="18"/>
        <v/>
      </c>
      <c r="T308" s="18" t="str">
        <f t="shared" ca="1" si="19"/>
        <v/>
      </c>
    </row>
    <row r="309" spans="1:20" x14ac:dyDescent="0.35">
      <c r="A309" s="11"/>
      <c r="B309" s="11"/>
      <c r="C309" s="11"/>
      <c r="D309" s="12"/>
      <c r="E309" s="11"/>
      <c r="F309" s="13"/>
      <c r="G309" s="13"/>
      <c r="H309" s="11"/>
      <c r="I309" s="12"/>
      <c r="J309" s="12"/>
      <c r="K309" s="13"/>
      <c r="L309" s="13"/>
      <c r="M309" s="13"/>
      <c r="N309" s="13"/>
      <c r="O309" s="13"/>
      <c r="P309" s="14" t="str">
        <f t="shared" si="16"/>
        <v/>
      </c>
      <c r="Q309" s="15" t="str">
        <f>IF(OR(J309="",H309=""),"",IFERROR(IF(ISNUMBER(N309),N309,IF(K309&lt;N(INDEX(Platforms!$G$5:$G$14,MATCH(H309,Lists!$A$2:$A$11,0))),N(INDEX(Platforms!$H$5:$H$14,MATCH(H309,Lists!$A$2:$A$11,0))),MAX(N(INDEX(Platforms!$F$5:$F$14,MATCH(H309,Lists!$A$2:$A$11,0))),N(INDEX(Platforms!$C$5:$C$14,MATCH(H309,Lists!$A$2:$A$11,0)))*(K309+IF(INDEX(Platforms!$E$5:$E$14,MATCH(H309,Lists!$A$2:$A$11,0))="Yes",N(L309),0))+N(INDEX(Platforms!$D$5:$D$14,MATCH(H309,Lists!$A$2:$A$11,0)))))),""))</f>
        <v/>
      </c>
      <c r="R309" s="16" t="str">
        <f t="shared" si="17"/>
        <v/>
      </c>
      <c r="S309" s="17" t="str">
        <f t="shared" si="18"/>
        <v/>
      </c>
      <c r="T309" s="18" t="str">
        <f t="shared" ca="1" si="19"/>
        <v/>
      </c>
    </row>
    <row r="310" spans="1:20" x14ac:dyDescent="0.35">
      <c r="A310" s="11"/>
      <c r="B310" s="11"/>
      <c r="C310" s="11"/>
      <c r="D310" s="12"/>
      <c r="E310" s="11"/>
      <c r="F310" s="13"/>
      <c r="G310" s="13"/>
      <c r="H310" s="11"/>
      <c r="I310" s="12"/>
      <c r="J310" s="12"/>
      <c r="K310" s="13"/>
      <c r="L310" s="13"/>
      <c r="M310" s="13"/>
      <c r="N310" s="13"/>
      <c r="O310" s="13"/>
      <c r="P310" s="14" t="str">
        <f t="shared" si="16"/>
        <v/>
      </c>
      <c r="Q310" s="15" t="str">
        <f>IF(OR(J310="",H310=""),"",IFERROR(IF(ISNUMBER(N310),N310,IF(K310&lt;N(INDEX(Platforms!$G$5:$G$14,MATCH(H310,Lists!$A$2:$A$11,0))),N(INDEX(Platforms!$H$5:$H$14,MATCH(H310,Lists!$A$2:$A$11,0))),MAX(N(INDEX(Platforms!$F$5:$F$14,MATCH(H310,Lists!$A$2:$A$11,0))),N(INDEX(Platforms!$C$5:$C$14,MATCH(H310,Lists!$A$2:$A$11,0)))*(K310+IF(INDEX(Platforms!$E$5:$E$14,MATCH(H310,Lists!$A$2:$A$11,0))="Yes",N(L310),0))+N(INDEX(Platforms!$D$5:$D$14,MATCH(H310,Lists!$A$2:$A$11,0)))))),""))</f>
        <v/>
      </c>
      <c r="R310" s="16" t="str">
        <f t="shared" si="17"/>
        <v/>
      </c>
      <c r="S310" s="17" t="str">
        <f t="shared" si="18"/>
        <v/>
      </c>
      <c r="T310" s="18" t="str">
        <f t="shared" ca="1" si="19"/>
        <v/>
      </c>
    </row>
    <row r="311" spans="1:20" x14ac:dyDescent="0.35">
      <c r="A311" s="11"/>
      <c r="B311" s="11"/>
      <c r="C311" s="11"/>
      <c r="D311" s="12"/>
      <c r="E311" s="11"/>
      <c r="F311" s="13"/>
      <c r="G311" s="13"/>
      <c r="H311" s="11"/>
      <c r="I311" s="12"/>
      <c r="J311" s="12"/>
      <c r="K311" s="13"/>
      <c r="L311" s="13"/>
      <c r="M311" s="13"/>
      <c r="N311" s="13"/>
      <c r="O311" s="13"/>
      <c r="P311" s="14" t="str">
        <f t="shared" si="16"/>
        <v/>
      </c>
      <c r="Q311" s="15" t="str">
        <f>IF(OR(J311="",H311=""),"",IFERROR(IF(ISNUMBER(N311),N311,IF(K311&lt;N(INDEX(Platforms!$G$5:$G$14,MATCH(H311,Lists!$A$2:$A$11,0))),N(INDEX(Platforms!$H$5:$H$14,MATCH(H311,Lists!$A$2:$A$11,0))),MAX(N(INDEX(Platforms!$F$5:$F$14,MATCH(H311,Lists!$A$2:$A$11,0))),N(INDEX(Platforms!$C$5:$C$14,MATCH(H311,Lists!$A$2:$A$11,0)))*(K311+IF(INDEX(Platforms!$E$5:$E$14,MATCH(H311,Lists!$A$2:$A$11,0))="Yes",N(L311),0))+N(INDEX(Platforms!$D$5:$D$14,MATCH(H311,Lists!$A$2:$A$11,0)))))),""))</f>
        <v/>
      </c>
      <c r="R311" s="16" t="str">
        <f t="shared" si="17"/>
        <v/>
      </c>
      <c r="S311" s="17" t="str">
        <f t="shared" si="18"/>
        <v/>
      </c>
      <c r="T311" s="18" t="str">
        <f t="shared" ca="1" si="19"/>
        <v/>
      </c>
    </row>
    <row r="312" spans="1:20" x14ac:dyDescent="0.35">
      <c r="A312" s="11"/>
      <c r="B312" s="11"/>
      <c r="C312" s="11"/>
      <c r="D312" s="12"/>
      <c r="E312" s="11"/>
      <c r="F312" s="13"/>
      <c r="G312" s="13"/>
      <c r="H312" s="11"/>
      <c r="I312" s="12"/>
      <c r="J312" s="12"/>
      <c r="K312" s="13"/>
      <c r="L312" s="13"/>
      <c r="M312" s="13"/>
      <c r="N312" s="13"/>
      <c r="O312" s="13"/>
      <c r="P312" s="14" t="str">
        <f t="shared" si="16"/>
        <v/>
      </c>
      <c r="Q312" s="15" t="str">
        <f>IF(OR(J312="",H312=""),"",IFERROR(IF(ISNUMBER(N312),N312,IF(K312&lt;N(INDEX(Platforms!$G$5:$G$14,MATCH(H312,Lists!$A$2:$A$11,0))),N(INDEX(Platforms!$H$5:$H$14,MATCH(H312,Lists!$A$2:$A$11,0))),MAX(N(INDEX(Platforms!$F$5:$F$14,MATCH(H312,Lists!$A$2:$A$11,0))),N(INDEX(Platforms!$C$5:$C$14,MATCH(H312,Lists!$A$2:$A$11,0)))*(K312+IF(INDEX(Platforms!$E$5:$E$14,MATCH(H312,Lists!$A$2:$A$11,0))="Yes",N(L312),0))+N(INDEX(Platforms!$D$5:$D$14,MATCH(H312,Lists!$A$2:$A$11,0)))))),""))</f>
        <v/>
      </c>
      <c r="R312" s="16" t="str">
        <f t="shared" si="17"/>
        <v/>
      </c>
      <c r="S312" s="17" t="str">
        <f t="shared" si="18"/>
        <v/>
      </c>
      <c r="T312" s="18" t="str">
        <f t="shared" ca="1" si="19"/>
        <v/>
      </c>
    </row>
    <row r="313" spans="1:20" x14ac:dyDescent="0.35">
      <c r="A313" s="11"/>
      <c r="B313" s="11"/>
      <c r="C313" s="11"/>
      <c r="D313" s="12"/>
      <c r="E313" s="11"/>
      <c r="F313" s="13"/>
      <c r="G313" s="13"/>
      <c r="H313" s="11"/>
      <c r="I313" s="12"/>
      <c r="J313" s="12"/>
      <c r="K313" s="13"/>
      <c r="L313" s="13"/>
      <c r="M313" s="13"/>
      <c r="N313" s="13"/>
      <c r="O313" s="13"/>
      <c r="P313" s="14" t="str">
        <f t="shared" si="16"/>
        <v/>
      </c>
      <c r="Q313" s="15" t="str">
        <f>IF(OR(J313="",H313=""),"",IFERROR(IF(ISNUMBER(N313),N313,IF(K313&lt;N(INDEX(Platforms!$G$5:$G$14,MATCH(H313,Lists!$A$2:$A$11,0))),N(INDEX(Platforms!$H$5:$H$14,MATCH(H313,Lists!$A$2:$A$11,0))),MAX(N(INDEX(Platforms!$F$5:$F$14,MATCH(H313,Lists!$A$2:$A$11,0))),N(INDEX(Platforms!$C$5:$C$14,MATCH(H313,Lists!$A$2:$A$11,0)))*(K313+IF(INDEX(Platforms!$E$5:$E$14,MATCH(H313,Lists!$A$2:$A$11,0))="Yes",N(L313),0))+N(INDEX(Platforms!$D$5:$D$14,MATCH(H313,Lists!$A$2:$A$11,0)))))),""))</f>
        <v/>
      </c>
      <c r="R313" s="16" t="str">
        <f t="shared" si="17"/>
        <v/>
      </c>
      <c r="S313" s="17" t="str">
        <f t="shared" si="18"/>
        <v/>
      </c>
      <c r="T313" s="18" t="str">
        <f t="shared" ca="1" si="19"/>
        <v/>
      </c>
    </row>
    <row r="314" spans="1:20" x14ac:dyDescent="0.35">
      <c r="A314" s="11"/>
      <c r="B314" s="11"/>
      <c r="C314" s="11"/>
      <c r="D314" s="12"/>
      <c r="E314" s="11"/>
      <c r="F314" s="13"/>
      <c r="G314" s="13"/>
      <c r="H314" s="11"/>
      <c r="I314" s="12"/>
      <c r="J314" s="12"/>
      <c r="K314" s="13"/>
      <c r="L314" s="13"/>
      <c r="M314" s="13"/>
      <c r="N314" s="13"/>
      <c r="O314" s="13"/>
      <c r="P314" s="14" t="str">
        <f t="shared" si="16"/>
        <v/>
      </c>
      <c r="Q314" s="15" t="str">
        <f>IF(OR(J314="",H314=""),"",IFERROR(IF(ISNUMBER(N314),N314,IF(K314&lt;N(INDEX(Platforms!$G$5:$G$14,MATCH(H314,Lists!$A$2:$A$11,0))),N(INDEX(Platforms!$H$5:$H$14,MATCH(H314,Lists!$A$2:$A$11,0))),MAX(N(INDEX(Platforms!$F$5:$F$14,MATCH(H314,Lists!$A$2:$A$11,0))),N(INDEX(Platforms!$C$5:$C$14,MATCH(H314,Lists!$A$2:$A$11,0)))*(K314+IF(INDEX(Platforms!$E$5:$E$14,MATCH(H314,Lists!$A$2:$A$11,0))="Yes",N(L314),0))+N(INDEX(Platforms!$D$5:$D$14,MATCH(H314,Lists!$A$2:$A$11,0)))))),""))</f>
        <v/>
      </c>
      <c r="R314" s="16" t="str">
        <f t="shared" si="17"/>
        <v/>
      </c>
      <c r="S314" s="17" t="str">
        <f t="shared" si="18"/>
        <v/>
      </c>
      <c r="T314" s="18" t="str">
        <f t="shared" ca="1" si="19"/>
        <v/>
      </c>
    </row>
    <row r="315" spans="1:20" x14ac:dyDescent="0.35">
      <c r="A315" s="11"/>
      <c r="B315" s="11"/>
      <c r="C315" s="11"/>
      <c r="D315" s="12"/>
      <c r="E315" s="11"/>
      <c r="F315" s="13"/>
      <c r="G315" s="13"/>
      <c r="H315" s="11"/>
      <c r="I315" s="12"/>
      <c r="J315" s="12"/>
      <c r="K315" s="13"/>
      <c r="L315" s="13"/>
      <c r="M315" s="13"/>
      <c r="N315" s="13"/>
      <c r="O315" s="13"/>
      <c r="P315" s="14" t="str">
        <f t="shared" si="16"/>
        <v/>
      </c>
      <c r="Q315" s="15" t="str">
        <f>IF(OR(J315="",H315=""),"",IFERROR(IF(ISNUMBER(N315),N315,IF(K315&lt;N(INDEX(Platforms!$G$5:$G$14,MATCH(H315,Lists!$A$2:$A$11,0))),N(INDEX(Platforms!$H$5:$H$14,MATCH(H315,Lists!$A$2:$A$11,0))),MAX(N(INDEX(Platforms!$F$5:$F$14,MATCH(H315,Lists!$A$2:$A$11,0))),N(INDEX(Platforms!$C$5:$C$14,MATCH(H315,Lists!$A$2:$A$11,0)))*(K315+IF(INDEX(Platforms!$E$5:$E$14,MATCH(H315,Lists!$A$2:$A$11,0))="Yes",N(L315),0))+N(INDEX(Platforms!$D$5:$D$14,MATCH(H315,Lists!$A$2:$A$11,0)))))),""))</f>
        <v/>
      </c>
      <c r="R315" s="16" t="str">
        <f t="shared" si="17"/>
        <v/>
      </c>
      <c r="S315" s="17" t="str">
        <f t="shared" si="18"/>
        <v/>
      </c>
      <c r="T315" s="18" t="str">
        <f t="shared" ca="1" si="19"/>
        <v/>
      </c>
    </row>
    <row r="316" spans="1:20" x14ac:dyDescent="0.35">
      <c r="A316" s="11"/>
      <c r="B316" s="11"/>
      <c r="C316" s="11"/>
      <c r="D316" s="12"/>
      <c r="E316" s="11"/>
      <c r="F316" s="13"/>
      <c r="G316" s="13"/>
      <c r="H316" s="11"/>
      <c r="I316" s="12"/>
      <c r="J316" s="12"/>
      <c r="K316" s="13"/>
      <c r="L316" s="13"/>
      <c r="M316" s="13"/>
      <c r="N316" s="13"/>
      <c r="O316" s="13"/>
      <c r="P316" s="14" t="str">
        <f t="shared" si="16"/>
        <v/>
      </c>
      <c r="Q316" s="15" t="str">
        <f>IF(OR(J316="",H316=""),"",IFERROR(IF(ISNUMBER(N316),N316,IF(K316&lt;N(INDEX(Platforms!$G$5:$G$14,MATCH(H316,Lists!$A$2:$A$11,0))),N(INDEX(Platforms!$H$5:$H$14,MATCH(H316,Lists!$A$2:$A$11,0))),MAX(N(INDEX(Platforms!$F$5:$F$14,MATCH(H316,Lists!$A$2:$A$11,0))),N(INDEX(Platforms!$C$5:$C$14,MATCH(H316,Lists!$A$2:$A$11,0)))*(K316+IF(INDEX(Platforms!$E$5:$E$14,MATCH(H316,Lists!$A$2:$A$11,0))="Yes",N(L316),0))+N(INDEX(Platforms!$D$5:$D$14,MATCH(H316,Lists!$A$2:$A$11,0)))))),""))</f>
        <v/>
      </c>
      <c r="R316" s="16" t="str">
        <f t="shared" si="17"/>
        <v/>
      </c>
      <c r="S316" s="17" t="str">
        <f t="shared" si="18"/>
        <v/>
      </c>
      <c r="T316" s="18" t="str">
        <f t="shared" ca="1" si="19"/>
        <v/>
      </c>
    </row>
    <row r="317" spans="1:20" x14ac:dyDescent="0.35">
      <c r="A317" s="11"/>
      <c r="B317" s="11"/>
      <c r="C317" s="11"/>
      <c r="D317" s="12"/>
      <c r="E317" s="11"/>
      <c r="F317" s="13"/>
      <c r="G317" s="13"/>
      <c r="H317" s="11"/>
      <c r="I317" s="12"/>
      <c r="J317" s="12"/>
      <c r="K317" s="13"/>
      <c r="L317" s="13"/>
      <c r="M317" s="13"/>
      <c r="N317" s="13"/>
      <c r="O317" s="13"/>
      <c r="P317" s="14" t="str">
        <f t="shared" si="16"/>
        <v/>
      </c>
      <c r="Q317" s="15" t="str">
        <f>IF(OR(J317="",H317=""),"",IFERROR(IF(ISNUMBER(N317),N317,IF(K317&lt;N(INDEX(Platforms!$G$5:$G$14,MATCH(H317,Lists!$A$2:$A$11,0))),N(INDEX(Platforms!$H$5:$H$14,MATCH(H317,Lists!$A$2:$A$11,0))),MAX(N(INDEX(Platforms!$F$5:$F$14,MATCH(H317,Lists!$A$2:$A$11,0))),N(INDEX(Platforms!$C$5:$C$14,MATCH(H317,Lists!$A$2:$A$11,0)))*(K317+IF(INDEX(Platforms!$E$5:$E$14,MATCH(H317,Lists!$A$2:$A$11,0))="Yes",N(L317),0))+N(INDEX(Platforms!$D$5:$D$14,MATCH(H317,Lists!$A$2:$A$11,0)))))),""))</f>
        <v/>
      </c>
      <c r="R317" s="16" t="str">
        <f t="shared" si="17"/>
        <v/>
      </c>
      <c r="S317" s="17" t="str">
        <f t="shared" si="18"/>
        <v/>
      </c>
      <c r="T317" s="18" t="str">
        <f t="shared" ca="1" si="19"/>
        <v/>
      </c>
    </row>
    <row r="318" spans="1:20" x14ac:dyDescent="0.35">
      <c r="A318" s="11"/>
      <c r="B318" s="11"/>
      <c r="C318" s="11"/>
      <c r="D318" s="12"/>
      <c r="E318" s="11"/>
      <c r="F318" s="13"/>
      <c r="G318" s="13"/>
      <c r="H318" s="11"/>
      <c r="I318" s="12"/>
      <c r="J318" s="12"/>
      <c r="K318" s="13"/>
      <c r="L318" s="13"/>
      <c r="M318" s="13"/>
      <c r="N318" s="13"/>
      <c r="O318" s="13"/>
      <c r="P318" s="14" t="str">
        <f t="shared" si="16"/>
        <v/>
      </c>
      <c r="Q318" s="15" t="str">
        <f>IF(OR(J318="",H318=""),"",IFERROR(IF(ISNUMBER(N318),N318,IF(K318&lt;N(INDEX(Platforms!$G$5:$G$14,MATCH(H318,Lists!$A$2:$A$11,0))),N(INDEX(Platforms!$H$5:$H$14,MATCH(H318,Lists!$A$2:$A$11,0))),MAX(N(INDEX(Platforms!$F$5:$F$14,MATCH(H318,Lists!$A$2:$A$11,0))),N(INDEX(Platforms!$C$5:$C$14,MATCH(H318,Lists!$A$2:$A$11,0)))*(K318+IF(INDEX(Platforms!$E$5:$E$14,MATCH(H318,Lists!$A$2:$A$11,0))="Yes",N(L318),0))+N(INDEX(Platforms!$D$5:$D$14,MATCH(H318,Lists!$A$2:$A$11,0)))))),""))</f>
        <v/>
      </c>
      <c r="R318" s="16" t="str">
        <f t="shared" si="17"/>
        <v/>
      </c>
      <c r="S318" s="17" t="str">
        <f t="shared" si="18"/>
        <v/>
      </c>
      <c r="T318" s="18" t="str">
        <f t="shared" ca="1" si="19"/>
        <v/>
      </c>
    </row>
    <row r="319" spans="1:20" x14ac:dyDescent="0.35">
      <c r="A319" s="11"/>
      <c r="B319" s="11"/>
      <c r="C319" s="11"/>
      <c r="D319" s="12"/>
      <c r="E319" s="11"/>
      <c r="F319" s="13"/>
      <c r="G319" s="13"/>
      <c r="H319" s="11"/>
      <c r="I319" s="12"/>
      <c r="J319" s="12"/>
      <c r="K319" s="13"/>
      <c r="L319" s="13"/>
      <c r="M319" s="13"/>
      <c r="N319" s="13"/>
      <c r="O319" s="13"/>
      <c r="P319" s="14" t="str">
        <f t="shared" si="16"/>
        <v/>
      </c>
      <c r="Q319" s="15" t="str">
        <f>IF(OR(J319="",H319=""),"",IFERROR(IF(ISNUMBER(N319),N319,IF(K319&lt;N(INDEX(Platforms!$G$5:$G$14,MATCH(H319,Lists!$A$2:$A$11,0))),N(INDEX(Platforms!$H$5:$H$14,MATCH(H319,Lists!$A$2:$A$11,0))),MAX(N(INDEX(Platforms!$F$5:$F$14,MATCH(H319,Lists!$A$2:$A$11,0))),N(INDEX(Platforms!$C$5:$C$14,MATCH(H319,Lists!$A$2:$A$11,0)))*(K319+IF(INDEX(Platforms!$E$5:$E$14,MATCH(H319,Lists!$A$2:$A$11,0))="Yes",N(L319),0))+N(INDEX(Platforms!$D$5:$D$14,MATCH(H319,Lists!$A$2:$A$11,0)))))),""))</f>
        <v/>
      </c>
      <c r="R319" s="16" t="str">
        <f t="shared" si="17"/>
        <v/>
      </c>
      <c r="S319" s="17" t="str">
        <f t="shared" si="18"/>
        <v/>
      </c>
      <c r="T319" s="18" t="str">
        <f t="shared" ca="1" si="19"/>
        <v/>
      </c>
    </row>
    <row r="320" spans="1:20" x14ac:dyDescent="0.35">
      <c r="A320" s="11"/>
      <c r="B320" s="11"/>
      <c r="C320" s="11"/>
      <c r="D320" s="12"/>
      <c r="E320" s="11"/>
      <c r="F320" s="13"/>
      <c r="G320" s="13"/>
      <c r="H320" s="11"/>
      <c r="I320" s="12"/>
      <c r="J320" s="12"/>
      <c r="K320" s="13"/>
      <c r="L320" s="13"/>
      <c r="M320" s="13"/>
      <c r="N320" s="13"/>
      <c r="O320" s="13"/>
      <c r="P320" s="14" t="str">
        <f t="shared" si="16"/>
        <v/>
      </c>
      <c r="Q320" s="15" t="str">
        <f>IF(OR(J320="",H320=""),"",IFERROR(IF(ISNUMBER(N320),N320,IF(K320&lt;N(INDEX(Platforms!$G$5:$G$14,MATCH(H320,Lists!$A$2:$A$11,0))),N(INDEX(Platforms!$H$5:$H$14,MATCH(H320,Lists!$A$2:$A$11,0))),MAX(N(INDEX(Platforms!$F$5:$F$14,MATCH(H320,Lists!$A$2:$A$11,0))),N(INDEX(Platforms!$C$5:$C$14,MATCH(H320,Lists!$A$2:$A$11,0)))*(K320+IF(INDEX(Platforms!$E$5:$E$14,MATCH(H320,Lists!$A$2:$A$11,0))="Yes",N(L320),0))+N(INDEX(Platforms!$D$5:$D$14,MATCH(H320,Lists!$A$2:$A$11,0)))))),""))</f>
        <v/>
      </c>
      <c r="R320" s="16" t="str">
        <f t="shared" si="17"/>
        <v/>
      </c>
      <c r="S320" s="17" t="str">
        <f t="shared" si="18"/>
        <v/>
      </c>
      <c r="T320" s="18" t="str">
        <f t="shared" ca="1" si="19"/>
        <v/>
      </c>
    </row>
    <row r="321" spans="1:20" x14ac:dyDescent="0.35">
      <c r="A321" s="11"/>
      <c r="B321" s="11"/>
      <c r="C321" s="11"/>
      <c r="D321" s="12"/>
      <c r="E321" s="11"/>
      <c r="F321" s="13"/>
      <c r="G321" s="13"/>
      <c r="H321" s="11"/>
      <c r="I321" s="12"/>
      <c r="J321" s="12"/>
      <c r="K321" s="13"/>
      <c r="L321" s="13"/>
      <c r="M321" s="13"/>
      <c r="N321" s="13"/>
      <c r="O321" s="13"/>
      <c r="P321" s="14" t="str">
        <f t="shared" si="16"/>
        <v/>
      </c>
      <c r="Q321" s="15" t="str">
        <f>IF(OR(J321="",H321=""),"",IFERROR(IF(ISNUMBER(N321),N321,IF(K321&lt;N(INDEX(Platforms!$G$5:$G$14,MATCH(H321,Lists!$A$2:$A$11,0))),N(INDEX(Platforms!$H$5:$H$14,MATCH(H321,Lists!$A$2:$A$11,0))),MAX(N(INDEX(Platforms!$F$5:$F$14,MATCH(H321,Lists!$A$2:$A$11,0))),N(INDEX(Platforms!$C$5:$C$14,MATCH(H321,Lists!$A$2:$A$11,0)))*(K321+IF(INDEX(Platforms!$E$5:$E$14,MATCH(H321,Lists!$A$2:$A$11,0))="Yes",N(L321),0))+N(INDEX(Platforms!$D$5:$D$14,MATCH(H321,Lists!$A$2:$A$11,0)))))),""))</f>
        <v/>
      </c>
      <c r="R321" s="16" t="str">
        <f t="shared" si="17"/>
        <v/>
      </c>
      <c r="S321" s="17" t="str">
        <f t="shared" si="18"/>
        <v/>
      </c>
      <c r="T321" s="18" t="str">
        <f t="shared" ca="1" si="19"/>
        <v/>
      </c>
    </row>
    <row r="322" spans="1:20" x14ac:dyDescent="0.35">
      <c r="A322" s="11"/>
      <c r="B322" s="11"/>
      <c r="C322" s="11"/>
      <c r="D322" s="12"/>
      <c r="E322" s="11"/>
      <c r="F322" s="13"/>
      <c r="G322" s="13"/>
      <c r="H322" s="11"/>
      <c r="I322" s="12"/>
      <c r="J322" s="12"/>
      <c r="K322" s="13"/>
      <c r="L322" s="13"/>
      <c r="M322" s="13"/>
      <c r="N322" s="13"/>
      <c r="O322" s="13"/>
      <c r="P322" s="14" t="str">
        <f t="shared" si="16"/>
        <v/>
      </c>
      <c r="Q322" s="15" t="str">
        <f>IF(OR(J322="",H322=""),"",IFERROR(IF(ISNUMBER(N322),N322,IF(K322&lt;N(INDEX(Platforms!$G$5:$G$14,MATCH(H322,Lists!$A$2:$A$11,0))),N(INDEX(Platforms!$H$5:$H$14,MATCH(H322,Lists!$A$2:$A$11,0))),MAX(N(INDEX(Platforms!$F$5:$F$14,MATCH(H322,Lists!$A$2:$A$11,0))),N(INDEX(Platforms!$C$5:$C$14,MATCH(H322,Lists!$A$2:$A$11,0)))*(K322+IF(INDEX(Platforms!$E$5:$E$14,MATCH(H322,Lists!$A$2:$A$11,0))="Yes",N(L322),0))+N(INDEX(Platforms!$D$5:$D$14,MATCH(H322,Lists!$A$2:$A$11,0)))))),""))</f>
        <v/>
      </c>
      <c r="R322" s="16" t="str">
        <f t="shared" si="17"/>
        <v/>
      </c>
      <c r="S322" s="17" t="str">
        <f t="shared" si="18"/>
        <v/>
      </c>
      <c r="T322" s="18" t="str">
        <f t="shared" ca="1" si="19"/>
        <v/>
      </c>
    </row>
    <row r="323" spans="1:20" x14ac:dyDescent="0.35">
      <c r="A323" s="11"/>
      <c r="B323" s="11"/>
      <c r="C323" s="11"/>
      <c r="D323" s="12"/>
      <c r="E323" s="11"/>
      <c r="F323" s="13"/>
      <c r="G323" s="13"/>
      <c r="H323" s="11"/>
      <c r="I323" s="12"/>
      <c r="J323" s="12"/>
      <c r="K323" s="13"/>
      <c r="L323" s="13"/>
      <c r="M323" s="13"/>
      <c r="N323" s="13"/>
      <c r="O323" s="13"/>
      <c r="P323" s="14" t="str">
        <f t="shared" si="16"/>
        <v/>
      </c>
      <c r="Q323" s="15" t="str">
        <f>IF(OR(J323="",H323=""),"",IFERROR(IF(ISNUMBER(N323),N323,IF(K323&lt;N(INDEX(Platforms!$G$5:$G$14,MATCH(H323,Lists!$A$2:$A$11,0))),N(INDEX(Platforms!$H$5:$H$14,MATCH(H323,Lists!$A$2:$A$11,0))),MAX(N(INDEX(Platforms!$F$5:$F$14,MATCH(H323,Lists!$A$2:$A$11,0))),N(INDEX(Platforms!$C$5:$C$14,MATCH(H323,Lists!$A$2:$A$11,0)))*(K323+IF(INDEX(Platforms!$E$5:$E$14,MATCH(H323,Lists!$A$2:$A$11,0))="Yes",N(L323),0))+N(INDEX(Platforms!$D$5:$D$14,MATCH(H323,Lists!$A$2:$A$11,0)))))),""))</f>
        <v/>
      </c>
      <c r="R323" s="16" t="str">
        <f t="shared" si="17"/>
        <v/>
      </c>
      <c r="S323" s="17" t="str">
        <f t="shared" si="18"/>
        <v/>
      </c>
      <c r="T323" s="18" t="str">
        <f t="shared" ca="1" si="19"/>
        <v/>
      </c>
    </row>
    <row r="324" spans="1:20" x14ac:dyDescent="0.35">
      <c r="A324" s="11"/>
      <c r="B324" s="11"/>
      <c r="C324" s="11"/>
      <c r="D324" s="12"/>
      <c r="E324" s="11"/>
      <c r="F324" s="13"/>
      <c r="G324" s="13"/>
      <c r="H324" s="11"/>
      <c r="I324" s="12"/>
      <c r="J324" s="12"/>
      <c r="K324" s="13"/>
      <c r="L324" s="13"/>
      <c r="M324" s="13"/>
      <c r="N324" s="13"/>
      <c r="O324" s="13"/>
      <c r="P324" s="14" t="str">
        <f t="shared" si="16"/>
        <v/>
      </c>
      <c r="Q324" s="15" t="str">
        <f>IF(OR(J324="",H324=""),"",IFERROR(IF(ISNUMBER(N324),N324,IF(K324&lt;N(INDEX(Platforms!$G$5:$G$14,MATCH(H324,Lists!$A$2:$A$11,0))),N(INDEX(Platforms!$H$5:$H$14,MATCH(H324,Lists!$A$2:$A$11,0))),MAX(N(INDEX(Platforms!$F$5:$F$14,MATCH(H324,Lists!$A$2:$A$11,0))),N(INDEX(Platforms!$C$5:$C$14,MATCH(H324,Lists!$A$2:$A$11,0)))*(K324+IF(INDEX(Platforms!$E$5:$E$14,MATCH(H324,Lists!$A$2:$A$11,0))="Yes",N(L324),0))+N(INDEX(Platforms!$D$5:$D$14,MATCH(H324,Lists!$A$2:$A$11,0)))))),""))</f>
        <v/>
      </c>
      <c r="R324" s="16" t="str">
        <f t="shared" si="17"/>
        <v/>
      </c>
      <c r="S324" s="17" t="str">
        <f t="shared" si="18"/>
        <v/>
      </c>
      <c r="T324" s="18" t="str">
        <f t="shared" ca="1" si="19"/>
        <v/>
      </c>
    </row>
    <row r="325" spans="1:20" x14ac:dyDescent="0.35">
      <c r="A325" s="11"/>
      <c r="B325" s="11"/>
      <c r="C325" s="11"/>
      <c r="D325" s="12"/>
      <c r="E325" s="11"/>
      <c r="F325" s="13"/>
      <c r="G325" s="13"/>
      <c r="H325" s="11"/>
      <c r="I325" s="12"/>
      <c r="J325" s="12"/>
      <c r="K325" s="13"/>
      <c r="L325" s="13"/>
      <c r="M325" s="13"/>
      <c r="N325" s="13"/>
      <c r="O325" s="13"/>
      <c r="P325" s="14" t="str">
        <f t="shared" ref="P325:P388" si="20">IF(OR(B325&lt;&gt;"",F325&lt;&gt;"",H325&lt;&gt;"",J325&lt;&gt;"",K325&lt;&gt;""),IF(J325&lt;&gt;"","Sold",IF(I325&lt;&gt;"","Listed","In stock")),"")</f>
        <v/>
      </c>
      <c r="Q325" s="15" t="str">
        <f>IF(OR(J325="",H325=""),"",IFERROR(IF(ISNUMBER(N325),N325,IF(K325&lt;N(INDEX(Platforms!$G$5:$G$14,MATCH(H325,Lists!$A$2:$A$11,0))),N(INDEX(Platforms!$H$5:$H$14,MATCH(H325,Lists!$A$2:$A$11,0))),MAX(N(INDEX(Platforms!$F$5:$F$14,MATCH(H325,Lists!$A$2:$A$11,0))),N(INDEX(Platforms!$C$5:$C$14,MATCH(H325,Lists!$A$2:$A$11,0)))*(K325+IF(INDEX(Platforms!$E$5:$E$14,MATCH(H325,Lists!$A$2:$A$11,0))="Yes",N(L325),0))+N(INDEX(Platforms!$D$5:$D$14,MATCH(H325,Lists!$A$2:$A$11,0)))))),""))</f>
        <v/>
      </c>
      <c r="R325" s="16" t="str">
        <f t="shared" ref="R325:R388" si="21">IF(J325="","",IFERROR(K325+N(L325)-N(O325)-Q325-N(M325)-N(F325)-N(G325),""))</f>
        <v/>
      </c>
      <c r="S325" s="17" t="str">
        <f t="shared" ref="S325:S388" si="22">IF(OR(R325="",N(F325)+N(G325)=0),"",R325/(N(F325)+N(G325)))</f>
        <v/>
      </c>
      <c r="T325" s="18" t="str">
        <f t="shared" ref="T325:T388" ca="1" si="23">IFERROR(IF(ISNUMBER(D325),IF(ISNUMBER(J325),J325,IF(J325="",TODAY(),""))-D325,""),"")</f>
        <v/>
      </c>
    </row>
    <row r="326" spans="1:20" x14ac:dyDescent="0.35">
      <c r="A326" s="11"/>
      <c r="B326" s="11"/>
      <c r="C326" s="11"/>
      <c r="D326" s="12"/>
      <c r="E326" s="11"/>
      <c r="F326" s="13"/>
      <c r="G326" s="13"/>
      <c r="H326" s="11"/>
      <c r="I326" s="12"/>
      <c r="J326" s="12"/>
      <c r="K326" s="13"/>
      <c r="L326" s="13"/>
      <c r="M326" s="13"/>
      <c r="N326" s="13"/>
      <c r="O326" s="13"/>
      <c r="P326" s="14" t="str">
        <f t="shared" si="20"/>
        <v/>
      </c>
      <c r="Q326" s="15" t="str">
        <f>IF(OR(J326="",H326=""),"",IFERROR(IF(ISNUMBER(N326),N326,IF(K326&lt;N(INDEX(Platforms!$G$5:$G$14,MATCH(H326,Lists!$A$2:$A$11,0))),N(INDEX(Platforms!$H$5:$H$14,MATCH(H326,Lists!$A$2:$A$11,0))),MAX(N(INDEX(Platforms!$F$5:$F$14,MATCH(H326,Lists!$A$2:$A$11,0))),N(INDEX(Platforms!$C$5:$C$14,MATCH(H326,Lists!$A$2:$A$11,0)))*(K326+IF(INDEX(Platforms!$E$5:$E$14,MATCH(H326,Lists!$A$2:$A$11,0))="Yes",N(L326),0))+N(INDEX(Platforms!$D$5:$D$14,MATCH(H326,Lists!$A$2:$A$11,0)))))),""))</f>
        <v/>
      </c>
      <c r="R326" s="16" t="str">
        <f t="shared" si="21"/>
        <v/>
      </c>
      <c r="S326" s="17" t="str">
        <f t="shared" si="22"/>
        <v/>
      </c>
      <c r="T326" s="18" t="str">
        <f t="shared" ca="1" si="23"/>
        <v/>
      </c>
    </row>
    <row r="327" spans="1:20" x14ac:dyDescent="0.35">
      <c r="A327" s="11"/>
      <c r="B327" s="11"/>
      <c r="C327" s="11"/>
      <c r="D327" s="12"/>
      <c r="E327" s="11"/>
      <c r="F327" s="13"/>
      <c r="G327" s="13"/>
      <c r="H327" s="11"/>
      <c r="I327" s="12"/>
      <c r="J327" s="12"/>
      <c r="K327" s="13"/>
      <c r="L327" s="13"/>
      <c r="M327" s="13"/>
      <c r="N327" s="13"/>
      <c r="O327" s="13"/>
      <c r="P327" s="14" t="str">
        <f t="shared" si="20"/>
        <v/>
      </c>
      <c r="Q327" s="15" t="str">
        <f>IF(OR(J327="",H327=""),"",IFERROR(IF(ISNUMBER(N327),N327,IF(K327&lt;N(INDEX(Platforms!$G$5:$G$14,MATCH(H327,Lists!$A$2:$A$11,0))),N(INDEX(Platforms!$H$5:$H$14,MATCH(H327,Lists!$A$2:$A$11,0))),MAX(N(INDEX(Platforms!$F$5:$F$14,MATCH(H327,Lists!$A$2:$A$11,0))),N(INDEX(Platforms!$C$5:$C$14,MATCH(H327,Lists!$A$2:$A$11,0)))*(K327+IF(INDEX(Platforms!$E$5:$E$14,MATCH(H327,Lists!$A$2:$A$11,0))="Yes",N(L327),0))+N(INDEX(Platforms!$D$5:$D$14,MATCH(H327,Lists!$A$2:$A$11,0)))))),""))</f>
        <v/>
      </c>
      <c r="R327" s="16" t="str">
        <f t="shared" si="21"/>
        <v/>
      </c>
      <c r="S327" s="17" t="str">
        <f t="shared" si="22"/>
        <v/>
      </c>
      <c r="T327" s="18" t="str">
        <f t="shared" ca="1" si="23"/>
        <v/>
      </c>
    </row>
    <row r="328" spans="1:20" x14ac:dyDescent="0.35">
      <c r="A328" s="11"/>
      <c r="B328" s="11"/>
      <c r="C328" s="11"/>
      <c r="D328" s="12"/>
      <c r="E328" s="11"/>
      <c r="F328" s="13"/>
      <c r="G328" s="13"/>
      <c r="H328" s="11"/>
      <c r="I328" s="12"/>
      <c r="J328" s="12"/>
      <c r="K328" s="13"/>
      <c r="L328" s="13"/>
      <c r="M328" s="13"/>
      <c r="N328" s="13"/>
      <c r="O328" s="13"/>
      <c r="P328" s="14" t="str">
        <f t="shared" si="20"/>
        <v/>
      </c>
      <c r="Q328" s="15" t="str">
        <f>IF(OR(J328="",H328=""),"",IFERROR(IF(ISNUMBER(N328),N328,IF(K328&lt;N(INDEX(Platforms!$G$5:$G$14,MATCH(H328,Lists!$A$2:$A$11,0))),N(INDEX(Platforms!$H$5:$H$14,MATCH(H328,Lists!$A$2:$A$11,0))),MAX(N(INDEX(Platforms!$F$5:$F$14,MATCH(H328,Lists!$A$2:$A$11,0))),N(INDEX(Platforms!$C$5:$C$14,MATCH(H328,Lists!$A$2:$A$11,0)))*(K328+IF(INDEX(Platforms!$E$5:$E$14,MATCH(H328,Lists!$A$2:$A$11,0))="Yes",N(L328),0))+N(INDEX(Platforms!$D$5:$D$14,MATCH(H328,Lists!$A$2:$A$11,0)))))),""))</f>
        <v/>
      </c>
      <c r="R328" s="16" t="str">
        <f t="shared" si="21"/>
        <v/>
      </c>
      <c r="S328" s="17" t="str">
        <f t="shared" si="22"/>
        <v/>
      </c>
      <c r="T328" s="18" t="str">
        <f t="shared" ca="1" si="23"/>
        <v/>
      </c>
    </row>
    <row r="329" spans="1:20" x14ac:dyDescent="0.35">
      <c r="A329" s="11"/>
      <c r="B329" s="11"/>
      <c r="C329" s="11"/>
      <c r="D329" s="12"/>
      <c r="E329" s="11"/>
      <c r="F329" s="13"/>
      <c r="G329" s="13"/>
      <c r="H329" s="11"/>
      <c r="I329" s="12"/>
      <c r="J329" s="12"/>
      <c r="K329" s="13"/>
      <c r="L329" s="13"/>
      <c r="M329" s="13"/>
      <c r="N329" s="13"/>
      <c r="O329" s="13"/>
      <c r="P329" s="14" t="str">
        <f t="shared" si="20"/>
        <v/>
      </c>
      <c r="Q329" s="15" t="str">
        <f>IF(OR(J329="",H329=""),"",IFERROR(IF(ISNUMBER(N329),N329,IF(K329&lt;N(INDEX(Platforms!$G$5:$G$14,MATCH(H329,Lists!$A$2:$A$11,0))),N(INDEX(Platforms!$H$5:$H$14,MATCH(H329,Lists!$A$2:$A$11,0))),MAX(N(INDEX(Platforms!$F$5:$F$14,MATCH(H329,Lists!$A$2:$A$11,0))),N(INDEX(Platforms!$C$5:$C$14,MATCH(H329,Lists!$A$2:$A$11,0)))*(K329+IF(INDEX(Platforms!$E$5:$E$14,MATCH(H329,Lists!$A$2:$A$11,0))="Yes",N(L329),0))+N(INDEX(Platforms!$D$5:$D$14,MATCH(H329,Lists!$A$2:$A$11,0)))))),""))</f>
        <v/>
      </c>
      <c r="R329" s="16" t="str">
        <f t="shared" si="21"/>
        <v/>
      </c>
      <c r="S329" s="17" t="str">
        <f t="shared" si="22"/>
        <v/>
      </c>
      <c r="T329" s="18" t="str">
        <f t="shared" ca="1" si="23"/>
        <v/>
      </c>
    </row>
    <row r="330" spans="1:20" x14ac:dyDescent="0.35">
      <c r="A330" s="11"/>
      <c r="B330" s="11"/>
      <c r="C330" s="11"/>
      <c r="D330" s="12"/>
      <c r="E330" s="11"/>
      <c r="F330" s="13"/>
      <c r="G330" s="13"/>
      <c r="H330" s="11"/>
      <c r="I330" s="12"/>
      <c r="J330" s="12"/>
      <c r="K330" s="13"/>
      <c r="L330" s="13"/>
      <c r="M330" s="13"/>
      <c r="N330" s="13"/>
      <c r="O330" s="13"/>
      <c r="P330" s="14" t="str">
        <f t="shared" si="20"/>
        <v/>
      </c>
      <c r="Q330" s="15" t="str">
        <f>IF(OR(J330="",H330=""),"",IFERROR(IF(ISNUMBER(N330),N330,IF(K330&lt;N(INDEX(Platforms!$G$5:$G$14,MATCH(H330,Lists!$A$2:$A$11,0))),N(INDEX(Platforms!$H$5:$H$14,MATCH(H330,Lists!$A$2:$A$11,0))),MAX(N(INDEX(Platforms!$F$5:$F$14,MATCH(H330,Lists!$A$2:$A$11,0))),N(INDEX(Platforms!$C$5:$C$14,MATCH(H330,Lists!$A$2:$A$11,0)))*(K330+IF(INDEX(Platforms!$E$5:$E$14,MATCH(H330,Lists!$A$2:$A$11,0))="Yes",N(L330),0))+N(INDEX(Platforms!$D$5:$D$14,MATCH(H330,Lists!$A$2:$A$11,0)))))),""))</f>
        <v/>
      </c>
      <c r="R330" s="16" t="str">
        <f t="shared" si="21"/>
        <v/>
      </c>
      <c r="S330" s="17" t="str">
        <f t="shared" si="22"/>
        <v/>
      </c>
      <c r="T330" s="18" t="str">
        <f t="shared" ca="1" si="23"/>
        <v/>
      </c>
    </row>
    <row r="331" spans="1:20" x14ac:dyDescent="0.35">
      <c r="A331" s="11"/>
      <c r="B331" s="11"/>
      <c r="C331" s="11"/>
      <c r="D331" s="12"/>
      <c r="E331" s="11"/>
      <c r="F331" s="13"/>
      <c r="G331" s="13"/>
      <c r="H331" s="11"/>
      <c r="I331" s="12"/>
      <c r="J331" s="12"/>
      <c r="K331" s="13"/>
      <c r="L331" s="13"/>
      <c r="M331" s="13"/>
      <c r="N331" s="13"/>
      <c r="O331" s="13"/>
      <c r="P331" s="14" t="str">
        <f t="shared" si="20"/>
        <v/>
      </c>
      <c r="Q331" s="15" t="str">
        <f>IF(OR(J331="",H331=""),"",IFERROR(IF(ISNUMBER(N331),N331,IF(K331&lt;N(INDEX(Platforms!$G$5:$G$14,MATCH(H331,Lists!$A$2:$A$11,0))),N(INDEX(Platforms!$H$5:$H$14,MATCH(H331,Lists!$A$2:$A$11,0))),MAX(N(INDEX(Platforms!$F$5:$F$14,MATCH(H331,Lists!$A$2:$A$11,0))),N(INDEX(Platforms!$C$5:$C$14,MATCH(H331,Lists!$A$2:$A$11,0)))*(K331+IF(INDEX(Platforms!$E$5:$E$14,MATCH(H331,Lists!$A$2:$A$11,0))="Yes",N(L331),0))+N(INDEX(Platforms!$D$5:$D$14,MATCH(H331,Lists!$A$2:$A$11,0)))))),""))</f>
        <v/>
      </c>
      <c r="R331" s="16" t="str">
        <f t="shared" si="21"/>
        <v/>
      </c>
      <c r="S331" s="17" t="str">
        <f t="shared" si="22"/>
        <v/>
      </c>
      <c r="T331" s="18" t="str">
        <f t="shared" ca="1" si="23"/>
        <v/>
      </c>
    </row>
    <row r="332" spans="1:20" x14ac:dyDescent="0.35">
      <c r="A332" s="11"/>
      <c r="B332" s="11"/>
      <c r="C332" s="11"/>
      <c r="D332" s="12"/>
      <c r="E332" s="11"/>
      <c r="F332" s="13"/>
      <c r="G332" s="13"/>
      <c r="H332" s="11"/>
      <c r="I332" s="12"/>
      <c r="J332" s="12"/>
      <c r="K332" s="13"/>
      <c r="L332" s="13"/>
      <c r="M332" s="13"/>
      <c r="N332" s="13"/>
      <c r="O332" s="13"/>
      <c r="P332" s="14" t="str">
        <f t="shared" si="20"/>
        <v/>
      </c>
      <c r="Q332" s="15" t="str">
        <f>IF(OR(J332="",H332=""),"",IFERROR(IF(ISNUMBER(N332),N332,IF(K332&lt;N(INDEX(Platforms!$G$5:$G$14,MATCH(H332,Lists!$A$2:$A$11,0))),N(INDEX(Platforms!$H$5:$H$14,MATCH(H332,Lists!$A$2:$A$11,0))),MAX(N(INDEX(Platforms!$F$5:$F$14,MATCH(H332,Lists!$A$2:$A$11,0))),N(INDEX(Platforms!$C$5:$C$14,MATCH(H332,Lists!$A$2:$A$11,0)))*(K332+IF(INDEX(Platforms!$E$5:$E$14,MATCH(H332,Lists!$A$2:$A$11,0))="Yes",N(L332),0))+N(INDEX(Platforms!$D$5:$D$14,MATCH(H332,Lists!$A$2:$A$11,0)))))),""))</f>
        <v/>
      </c>
      <c r="R332" s="16" t="str">
        <f t="shared" si="21"/>
        <v/>
      </c>
      <c r="S332" s="17" t="str">
        <f t="shared" si="22"/>
        <v/>
      </c>
      <c r="T332" s="18" t="str">
        <f t="shared" ca="1" si="23"/>
        <v/>
      </c>
    </row>
    <row r="333" spans="1:20" x14ac:dyDescent="0.35">
      <c r="A333" s="11"/>
      <c r="B333" s="11"/>
      <c r="C333" s="11"/>
      <c r="D333" s="12"/>
      <c r="E333" s="11"/>
      <c r="F333" s="13"/>
      <c r="G333" s="13"/>
      <c r="H333" s="11"/>
      <c r="I333" s="12"/>
      <c r="J333" s="12"/>
      <c r="K333" s="13"/>
      <c r="L333" s="13"/>
      <c r="M333" s="13"/>
      <c r="N333" s="13"/>
      <c r="O333" s="13"/>
      <c r="P333" s="14" t="str">
        <f t="shared" si="20"/>
        <v/>
      </c>
      <c r="Q333" s="15" t="str">
        <f>IF(OR(J333="",H333=""),"",IFERROR(IF(ISNUMBER(N333),N333,IF(K333&lt;N(INDEX(Platforms!$G$5:$G$14,MATCH(H333,Lists!$A$2:$A$11,0))),N(INDEX(Platforms!$H$5:$H$14,MATCH(H333,Lists!$A$2:$A$11,0))),MAX(N(INDEX(Platforms!$F$5:$F$14,MATCH(H333,Lists!$A$2:$A$11,0))),N(INDEX(Platforms!$C$5:$C$14,MATCH(H333,Lists!$A$2:$A$11,0)))*(K333+IF(INDEX(Platforms!$E$5:$E$14,MATCH(H333,Lists!$A$2:$A$11,0))="Yes",N(L333),0))+N(INDEX(Platforms!$D$5:$D$14,MATCH(H333,Lists!$A$2:$A$11,0)))))),""))</f>
        <v/>
      </c>
      <c r="R333" s="16" t="str">
        <f t="shared" si="21"/>
        <v/>
      </c>
      <c r="S333" s="17" t="str">
        <f t="shared" si="22"/>
        <v/>
      </c>
      <c r="T333" s="18" t="str">
        <f t="shared" ca="1" si="23"/>
        <v/>
      </c>
    </row>
    <row r="334" spans="1:20" x14ac:dyDescent="0.35">
      <c r="A334" s="11"/>
      <c r="B334" s="11"/>
      <c r="C334" s="11"/>
      <c r="D334" s="12"/>
      <c r="E334" s="11"/>
      <c r="F334" s="13"/>
      <c r="G334" s="13"/>
      <c r="H334" s="11"/>
      <c r="I334" s="12"/>
      <c r="J334" s="12"/>
      <c r="K334" s="13"/>
      <c r="L334" s="13"/>
      <c r="M334" s="13"/>
      <c r="N334" s="13"/>
      <c r="O334" s="13"/>
      <c r="P334" s="14" t="str">
        <f t="shared" si="20"/>
        <v/>
      </c>
      <c r="Q334" s="15" t="str">
        <f>IF(OR(J334="",H334=""),"",IFERROR(IF(ISNUMBER(N334),N334,IF(K334&lt;N(INDEX(Platforms!$G$5:$G$14,MATCH(H334,Lists!$A$2:$A$11,0))),N(INDEX(Platforms!$H$5:$H$14,MATCH(H334,Lists!$A$2:$A$11,0))),MAX(N(INDEX(Platforms!$F$5:$F$14,MATCH(H334,Lists!$A$2:$A$11,0))),N(INDEX(Platforms!$C$5:$C$14,MATCH(H334,Lists!$A$2:$A$11,0)))*(K334+IF(INDEX(Platforms!$E$5:$E$14,MATCH(H334,Lists!$A$2:$A$11,0))="Yes",N(L334),0))+N(INDEX(Platforms!$D$5:$D$14,MATCH(H334,Lists!$A$2:$A$11,0)))))),""))</f>
        <v/>
      </c>
      <c r="R334" s="16" t="str">
        <f t="shared" si="21"/>
        <v/>
      </c>
      <c r="S334" s="17" t="str">
        <f t="shared" si="22"/>
        <v/>
      </c>
      <c r="T334" s="18" t="str">
        <f t="shared" ca="1" si="23"/>
        <v/>
      </c>
    </row>
    <row r="335" spans="1:20" x14ac:dyDescent="0.35">
      <c r="A335" s="11"/>
      <c r="B335" s="11"/>
      <c r="C335" s="11"/>
      <c r="D335" s="12"/>
      <c r="E335" s="11"/>
      <c r="F335" s="13"/>
      <c r="G335" s="13"/>
      <c r="H335" s="11"/>
      <c r="I335" s="12"/>
      <c r="J335" s="12"/>
      <c r="K335" s="13"/>
      <c r="L335" s="13"/>
      <c r="M335" s="13"/>
      <c r="N335" s="13"/>
      <c r="O335" s="13"/>
      <c r="P335" s="14" t="str">
        <f t="shared" si="20"/>
        <v/>
      </c>
      <c r="Q335" s="15" t="str">
        <f>IF(OR(J335="",H335=""),"",IFERROR(IF(ISNUMBER(N335),N335,IF(K335&lt;N(INDEX(Platforms!$G$5:$G$14,MATCH(H335,Lists!$A$2:$A$11,0))),N(INDEX(Platforms!$H$5:$H$14,MATCH(H335,Lists!$A$2:$A$11,0))),MAX(N(INDEX(Platforms!$F$5:$F$14,MATCH(H335,Lists!$A$2:$A$11,0))),N(INDEX(Platforms!$C$5:$C$14,MATCH(H335,Lists!$A$2:$A$11,0)))*(K335+IF(INDEX(Platforms!$E$5:$E$14,MATCH(H335,Lists!$A$2:$A$11,0))="Yes",N(L335),0))+N(INDEX(Platforms!$D$5:$D$14,MATCH(H335,Lists!$A$2:$A$11,0)))))),""))</f>
        <v/>
      </c>
      <c r="R335" s="16" t="str">
        <f t="shared" si="21"/>
        <v/>
      </c>
      <c r="S335" s="17" t="str">
        <f t="shared" si="22"/>
        <v/>
      </c>
      <c r="T335" s="18" t="str">
        <f t="shared" ca="1" si="23"/>
        <v/>
      </c>
    </row>
    <row r="336" spans="1:20" x14ac:dyDescent="0.35">
      <c r="A336" s="11"/>
      <c r="B336" s="11"/>
      <c r="C336" s="11"/>
      <c r="D336" s="12"/>
      <c r="E336" s="11"/>
      <c r="F336" s="13"/>
      <c r="G336" s="13"/>
      <c r="H336" s="11"/>
      <c r="I336" s="12"/>
      <c r="J336" s="12"/>
      <c r="K336" s="13"/>
      <c r="L336" s="13"/>
      <c r="M336" s="13"/>
      <c r="N336" s="13"/>
      <c r="O336" s="13"/>
      <c r="P336" s="14" t="str">
        <f t="shared" si="20"/>
        <v/>
      </c>
      <c r="Q336" s="15" t="str">
        <f>IF(OR(J336="",H336=""),"",IFERROR(IF(ISNUMBER(N336),N336,IF(K336&lt;N(INDEX(Platforms!$G$5:$G$14,MATCH(H336,Lists!$A$2:$A$11,0))),N(INDEX(Platforms!$H$5:$H$14,MATCH(H336,Lists!$A$2:$A$11,0))),MAX(N(INDEX(Platforms!$F$5:$F$14,MATCH(H336,Lists!$A$2:$A$11,0))),N(INDEX(Platforms!$C$5:$C$14,MATCH(H336,Lists!$A$2:$A$11,0)))*(K336+IF(INDEX(Platforms!$E$5:$E$14,MATCH(H336,Lists!$A$2:$A$11,0))="Yes",N(L336),0))+N(INDEX(Platforms!$D$5:$D$14,MATCH(H336,Lists!$A$2:$A$11,0)))))),""))</f>
        <v/>
      </c>
      <c r="R336" s="16" t="str">
        <f t="shared" si="21"/>
        <v/>
      </c>
      <c r="S336" s="17" t="str">
        <f t="shared" si="22"/>
        <v/>
      </c>
      <c r="T336" s="18" t="str">
        <f t="shared" ca="1" si="23"/>
        <v/>
      </c>
    </row>
    <row r="337" spans="1:20" x14ac:dyDescent="0.35">
      <c r="A337" s="11"/>
      <c r="B337" s="11"/>
      <c r="C337" s="11"/>
      <c r="D337" s="12"/>
      <c r="E337" s="11"/>
      <c r="F337" s="13"/>
      <c r="G337" s="13"/>
      <c r="H337" s="11"/>
      <c r="I337" s="12"/>
      <c r="J337" s="12"/>
      <c r="K337" s="13"/>
      <c r="L337" s="13"/>
      <c r="M337" s="13"/>
      <c r="N337" s="13"/>
      <c r="O337" s="13"/>
      <c r="P337" s="14" t="str">
        <f t="shared" si="20"/>
        <v/>
      </c>
      <c r="Q337" s="15" t="str">
        <f>IF(OR(J337="",H337=""),"",IFERROR(IF(ISNUMBER(N337),N337,IF(K337&lt;N(INDEX(Platforms!$G$5:$G$14,MATCH(H337,Lists!$A$2:$A$11,0))),N(INDEX(Platforms!$H$5:$H$14,MATCH(H337,Lists!$A$2:$A$11,0))),MAX(N(INDEX(Platforms!$F$5:$F$14,MATCH(H337,Lists!$A$2:$A$11,0))),N(INDEX(Platforms!$C$5:$C$14,MATCH(H337,Lists!$A$2:$A$11,0)))*(K337+IF(INDEX(Platforms!$E$5:$E$14,MATCH(H337,Lists!$A$2:$A$11,0))="Yes",N(L337),0))+N(INDEX(Platforms!$D$5:$D$14,MATCH(H337,Lists!$A$2:$A$11,0)))))),""))</f>
        <v/>
      </c>
      <c r="R337" s="16" t="str">
        <f t="shared" si="21"/>
        <v/>
      </c>
      <c r="S337" s="17" t="str">
        <f t="shared" si="22"/>
        <v/>
      </c>
      <c r="T337" s="18" t="str">
        <f t="shared" ca="1" si="23"/>
        <v/>
      </c>
    </row>
    <row r="338" spans="1:20" x14ac:dyDescent="0.35">
      <c r="A338" s="11"/>
      <c r="B338" s="11"/>
      <c r="C338" s="11"/>
      <c r="D338" s="12"/>
      <c r="E338" s="11"/>
      <c r="F338" s="13"/>
      <c r="G338" s="13"/>
      <c r="H338" s="11"/>
      <c r="I338" s="12"/>
      <c r="J338" s="12"/>
      <c r="K338" s="13"/>
      <c r="L338" s="13"/>
      <c r="M338" s="13"/>
      <c r="N338" s="13"/>
      <c r="O338" s="13"/>
      <c r="P338" s="14" t="str">
        <f t="shared" si="20"/>
        <v/>
      </c>
      <c r="Q338" s="15" t="str">
        <f>IF(OR(J338="",H338=""),"",IFERROR(IF(ISNUMBER(N338),N338,IF(K338&lt;N(INDEX(Platforms!$G$5:$G$14,MATCH(H338,Lists!$A$2:$A$11,0))),N(INDEX(Platforms!$H$5:$H$14,MATCH(H338,Lists!$A$2:$A$11,0))),MAX(N(INDEX(Platforms!$F$5:$F$14,MATCH(H338,Lists!$A$2:$A$11,0))),N(INDEX(Platforms!$C$5:$C$14,MATCH(H338,Lists!$A$2:$A$11,0)))*(K338+IF(INDEX(Platforms!$E$5:$E$14,MATCH(H338,Lists!$A$2:$A$11,0))="Yes",N(L338),0))+N(INDEX(Platforms!$D$5:$D$14,MATCH(H338,Lists!$A$2:$A$11,0)))))),""))</f>
        <v/>
      </c>
      <c r="R338" s="16" t="str">
        <f t="shared" si="21"/>
        <v/>
      </c>
      <c r="S338" s="17" t="str">
        <f t="shared" si="22"/>
        <v/>
      </c>
      <c r="T338" s="18" t="str">
        <f t="shared" ca="1" si="23"/>
        <v/>
      </c>
    </row>
    <row r="339" spans="1:20" x14ac:dyDescent="0.35">
      <c r="A339" s="11"/>
      <c r="B339" s="11"/>
      <c r="C339" s="11"/>
      <c r="D339" s="12"/>
      <c r="E339" s="11"/>
      <c r="F339" s="13"/>
      <c r="G339" s="13"/>
      <c r="H339" s="11"/>
      <c r="I339" s="12"/>
      <c r="J339" s="12"/>
      <c r="K339" s="13"/>
      <c r="L339" s="13"/>
      <c r="M339" s="13"/>
      <c r="N339" s="13"/>
      <c r="O339" s="13"/>
      <c r="P339" s="14" t="str">
        <f t="shared" si="20"/>
        <v/>
      </c>
      <c r="Q339" s="15" t="str">
        <f>IF(OR(J339="",H339=""),"",IFERROR(IF(ISNUMBER(N339),N339,IF(K339&lt;N(INDEX(Platforms!$G$5:$G$14,MATCH(H339,Lists!$A$2:$A$11,0))),N(INDEX(Platforms!$H$5:$H$14,MATCH(H339,Lists!$A$2:$A$11,0))),MAX(N(INDEX(Platforms!$F$5:$F$14,MATCH(H339,Lists!$A$2:$A$11,0))),N(INDEX(Platforms!$C$5:$C$14,MATCH(H339,Lists!$A$2:$A$11,0)))*(K339+IF(INDEX(Platforms!$E$5:$E$14,MATCH(H339,Lists!$A$2:$A$11,0))="Yes",N(L339),0))+N(INDEX(Platforms!$D$5:$D$14,MATCH(H339,Lists!$A$2:$A$11,0)))))),""))</f>
        <v/>
      </c>
      <c r="R339" s="16" t="str">
        <f t="shared" si="21"/>
        <v/>
      </c>
      <c r="S339" s="17" t="str">
        <f t="shared" si="22"/>
        <v/>
      </c>
      <c r="T339" s="18" t="str">
        <f t="shared" ca="1" si="23"/>
        <v/>
      </c>
    </row>
    <row r="340" spans="1:20" x14ac:dyDescent="0.35">
      <c r="A340" s="11"/>
      <c r="B340" s="11"/>
      <c r="C340" s="11"/>
      <c r="D340" s="12"/>
      <c r="E340" s="11"/>
      <c r="F340" s="13"/>
      <c r="G340" s="13"/>
      <c r="H340" s="11"/>
      <c r="I340" s="12"/>
      <c r="J340" s="12"/>
      <c r="K340" s="13"/>
      <c r="L340" s="13"/>
      <c r="M340" s="13"/>
      <c r="N340" s="13"/>
      <c r="O340" s="13"/>
      <c r="P340" s="14" t="str">
        <f t="shared" si="20"/>
        <v/>
      </c>
      <c r="Q340" s="15" t="str">
        <f>IF(OR(J340="",H340=""),"",IFERROR(IF(ISNUMBER(N340),N340,IF(K340&lt;N(INDEX(Platforms!$G$5:$G$14,MATCH(H340,Lists!$A$2:$A$11,0))),N(INDEX(Platforms!$H$5:$H$14,MATCH(H340,Lists!$A$2:$A$11,0))),MAX(N(INDEX(Platforms!$F$5:$F$14,MATCH(H340,Lists!$A$2:$A$11,0))),N(INDEX(Platforms!$C$5:$C$14,MATCH(H340,Lists!$A$2:$A$11,0)))*(K340+IF(INDEX(Platforms!$E$5:$E$14,MATCH(H340,Lists!$A$2:$A$11,0))="Yes",N(L340),0))+N(INDEX(Platforms!$D$5:$D$14,MATCH(H340,Lists!$A$2:$A$11,0)))))),""))</f>
        <v/>
      </c>
      <c r="R340" s="16" t="str">
        <f t="shared" si="21"/>
        <v/>
      </c>
      <c r="S340" s="17" t="str">
        <f t="shared" si="22"/>
        <v/>
      </c>
      <c r="T340" s="18" t="str">
        <f t="shared" ca="1" si="23"/>
        <v/>
      </c>
    </row>
    <row r="341" spans="1:20" x14ac:dyDescent="0.35">
      <c r="A341" s="11"/>
      <c r="B341" s="11"/>
      <c r="C341" s="11"/>
      <c r="D341" s="12"/>
      <c r="E341" s="11"/>
      <c r="F341" s="13"/>
      <c r="G341" s="13"/>
      <c r="H341" s="11"/>
      <c r="I341" s="12"/>
      <c r="J341" s="12"/>
      <c r="K341" s="13"/>
      <c r="L341" s="13"/>
      <c r="M341" s="13"/>
      <c r="N341" s="13"/>
      <c r="O341" s="13"/>
      <c r="P341" s="14" t="str">
        <f t="shared" si="20"/>
        <v/>
      </c>
      <c r="Q341" s="15" t="str">
        <f>IF(OR(J341="",H341=""),"",IFERROR(IF(ISNUMBER(N341),N341,IF(K341&lt;N(INDEX(Platforms!$G$5:$G$14,MATCH(H341,Lists!$A$2:$A$11,0))),N(INDEX(Platforms!$H$5:$H$14,MATCH(H341,Lists!$A$2:$A$11,0))),MAX(N(INDEX(Platforms!$F$5:$F$14,MATCH(H341,Lists!$A$2:$A$11,0))),N(INDEX(Platforms!$C$5:$C$14,MATCH(H341,Lists!$A$2:$A$11,0)))*(K341+IF(INDEX(Platforms!$E$5:$E$14,MATCH(H341,Lists!$A$2:$A$11,0))="Yes",N(L341),0))+N(INDEX(Platforms!$D$5:$D$14,MATCH(H341,Lists!$A$2:$A$11,0)))))),""))</f>
        <v/>
      </c>
      <c r="R341" s="16" t="str">
        <f t="shared" si="21"/>
        <v/>
      </c>
      <c r="S341" s="17" t="str">
        <f t="shared" si="22"/>
        <v/>
      </c>
      <c r="T341" s="18" t="str">
        <f t="shared" ca="1" si="23"/>
        <v/>
      </c>
    </row>
    <row r="342" spans="1:20" x14ac:dyDescent="0.35">
      <c r="A342" s="11"/>
      <c r="B342" s="11"/>
      <c r="C342" s="11"/>
      <c r="D342" s="12"/>
      <c r="E342" s="11"/>
      <c r="F342" s="13"/>
      <c r="G342" s="13"/>
      <c r="H342" s="11"/>
      <c r="I342" s="12"/>
      <c r="J342" s="12"/>
      <c r="K342" s="13"/>
      <c r="L342" s="13"/>
      <c r="M342" s="13"/>
      <c r="N342" s="13"/>
      <c r="O342" s="13"/>
      <c r="P342" s="14" t="str">
        <f t="shared" si="20"/>
        <v/>
      </c>
      <c r="Q342" s="15" t="str">
        <f>IF(OR(J342="",H342=""),"",IFERROR(IF(ISNUMBER(N342),N342,IF(K342&lt;N(INDEX(Platforms!$G$5:$G$14,MATCH(H342,Lists!$A$2:$A$11,0))),N(INDEX(Platforms!$H$5:$H$14,MATCH(H342,Lists!$A$2:$A$11,0))),MAX(N(INDEX(Platforms!$F$5:$F$14,MATCH(H342,Lists!$A$2:$A$11,0))),N(INDEX(Platforms!$C$5:$C$14,MATCH(H342,Lists!$A$2:$A$11,0)))*(K342+IF(INDEX(Platforms!$E$5:$E$14,MATCH(H342,Lists!$A$2:$A$11,0))="Yes",N(L342),0))+N(INDEX(Platforms!$D$5:$D$14,MATCH(H342,Lists!$A$2:$A$11,0)))))),""))</f>
        <v/>
      </c>
      <c r="R342" s="16" t="str">
        <f t="shared" si="21"/>
        <v/>
      </c>
      <c r="S342" s="17" t="str">
        <f t="shared" si="22"/>
        <v/>
      </c>
      <c r="T342" s="18" t="str">
        <f t="shared" ca="1" si="23"/>
        <v/>
      </c>
    </row>
    <row r="343" spans="1:20" x14ac:dyDescent="0.35">
      <c r="A343" s="11"/>
      <c r="B343" s="11"/>
      <c r="C343" s="11"/>
      <c r="D343" s="12"/>
      <c r="E343" s="11"/>
      <c r="F343" s="13"/>
      <c r="G343" s="13"/>
      <c r="H343" s="11"/>
      <c r="I343" s="12"/>
      <c r="J343" s="12"/>
      <c r="K343" s="13"/>
      <c r="L343" s="13"/>
      <c r="M343" s="13"/>
      <c r="N343" s="13"/>
      <c r="O343" s="13"/>
      <c r="P343" s="14" t="str">
        <f t="shared" si="20"/>
        <v/>
      </c>
      <c r="Q343" s="15" t="str">
        <f>IF(OR(J343="",H343=""),"",IFERROR(IF(ISNUMBER(N343),N343,IF(K343&lt;N(INDEX(Platforms!$G$5:$G$14,MATCH(H343,Lists!$A$2:$A$11,0))),N(INDEX(Platforms!$H$5:$H$14,MATCH(H343,Lists!$A$2:$A$11,0))),MAX(N(INDEX(Platforms!$F$5:$F$14,MATCH(H343,Lists!$A$2:$A$11,0))),N(INDEX(Platforms!$C$5:$C$14,MATCH(H343,Lists!$A$2:$A$11,0)))*(K343+IF(INDEX(Platforms!$E$5:$E$14,MATCH(H343,Lists!$A$2:$A$11,0))="Yes",N(L343),0))+N(INDEX(Platforms!$D$5:$D$14,MATCH(H343,Lists!$A$2:$A$11,0)))))),""))</f>
        <v/>
      </c>
      <c r="R343" s="16" t="str">
        <f t="shared" si="21"/>
        <v/>
      </c>
      <c r="S343" s="17" t="str">
        <f t="shared" si="22"/>
        <v/>
      </c>
      <c r="T343" s="18" t="str">
        <f t="shared" ca="1" si="23"/>
        <v/>
      </c>
    </row>
    <row r="344" spans="1:20" x14ac:dyDescent="0.35">
      <c r="A344" s="11"/>
      <c r="B344" s="11"/>
      <c r="C344" s="11"/>
      <c r="D344" s="12"/>
      <c r="E344" s="11"/>
      <c r="F344" s="13"/>
      <c r="G344" s="13"/>
      <c r="H344" s="11"/>
      <c r="I344" s="12"/>
      <c r="J344" s="12"/>
      <c r="K344" s="13"/>
      <c r="L344" s="13"/>
      <c r="M344" s="13"/>
      <c r="N344" s="13"/>
      <c r="O344" s="13"/>
      <c r="P344" s="14" t="str">
        <f t="shared" si="20"/>
        <v/>
      </c>
      <c r="Q344" s="15" t="str">
        <f>IF(OR(J344="",H344=""),"",IFERROR(IF(ISNUMBER(N344),N344,IF(K344&lt;N(INDEX(Platforms!$G$5:$G$14,MATCH(H344,Lists!$A$2:$A$11,0))),N(INDEX(Platforms!$H$5:$H$14,MATCH(H344,Lists!$A$2:$A$11,0))),MAX(N(INDEX(Platforms!$F$5:$F$14,MATCH(H344,Lists!$A$2:$A$11,0))),N(INDEX(Platforms!$C$5:$C$14,MATCH(H344,Lists!$A$2:$A$11,0)))*(K344+IF(INDEX(Platforms!$E$5:$E$14,MATCH(H344,Lists!$A$2:$A$11,0))="Yes",N(L344),0))+N(INDEX(Platforms!$D$5:$D$14,MATCH(H344,Lists!$A$2:$A$11,0)))))),""))</f>
        <v/>
      </c>
      <c r="R344" s="16" t="str">
        <f t="shared" si="21"/>
        <v/>
      </c>
      <c r="S344" s="17" t="str">
        <f t="shared" si="22"/>
        <v/>
      </c>
      <c r="T344" s="18" t="str">
        <f t="shared" ca="1" si="23"/>
        <v/>
      </c>
    </row>
    <row r="345" spans="1:20" x14ac:dyDescent="0.35">
      <c r="A345" s="11"/>
      <c r="B345" s="11"/>
      <c r="C345" s="11"/>
      <c r="D345" s="12"/>
      <c r="E345" s="11"/>
      <c r="F345" s="13"/>
      <c r="G345" s="13"/>
      <c r="H345" s="11"/>
      <c r="I345" s="12"/>
      <c r="J345" s="12"/>
      <c r="K345" s="13"/>
      <c r="L345" s="13"/>
      <c r="M345" s="13"/>
      <c r="N345" s="13"/>
      <c r="O345" s="13"/>
      <c r="P345" s="14" t="str">
        <f t="shared" si="20"/>
        <v/>
      </c>
      <c r="Q345" s="15" t="str">
        <f>IF(OR(J345="",H345=""),"",IFERROR(IF(ISNUMBER(N345),N345,IF(K345&lt;N(INDEX(Platforms!$G$5:$G$14,MATCH(H345,Lists!$A$2:$A$11,0))),N(INDEX(Platforms!$H$5:$H$14,MATCH(H345,Lists!$A$2:$A$11,0))),MAX(N(INDEX(Platforms!$F$5:$F$14,MATCH(H345,Lists!$A$2:$A$11,0))),N(INDEX(Platforms!$C$5:$C$14,MATCH(H345,Lists!$A$2:$A$11,0)))*(K345+IF(INDEX(Platforms!$E$5:$E$14,MATCH(H345,Lists!$A$2:$A$11,0))="Yes",N(L345),0))+N(INDEX(Platforms!$D$5:$D$14,MATCH(H345,Lists!$A$2:$A$11,0)))))),""))</f>
        <v/>
      </c>
      <c r="R345" s="16" t="str">
        <f t="shared" si="21"/>
        <v/>
      </c>
      <c r="S345" s="17" t="str">
        <f t="shared" si="22"/>
        <v/>
      </c>
      <c r="T345" s="18" t="str">
        <f t="shared" ca="1" si="23"/>
        <v/>
      </c>
    </row>
    <row r="346" spans="1:20" x14ac:dyDescent="0.35">
      <c r="A346" s="11"/>
      <c r="B346" s="11"/>
      <c r="C346" s="11"/>
      <c r="D346" s="12"/>
      <c r="E346" s="11"/>
      <c r="F346" s="13"/>
      <c r="G346" s="13"/>
      <c r="H346" s="11"/>
      <c r="I346" s="12"/>
      <c r="J346" s="12"/>
      <c r="K346" s="13"/>
      <c r="L346" s="13"/>
      <c r="M346" s="13"/>
      <c r="N346" s="13"/>
      <c r="O346" s="13"/>
      <c r="P346" s="14" t="str">
        <f t="shared" si="20"/>
        <v/>
      </c>
      <c r="Q346" s="15" t="str">
        <f>IF(OR(J346="",H346=""),"",IFERROR(IF(ISNUMBER(N346),N346,IF(K346&lt;N(INDEX(Platforms!$G$5:$G$14,MATCH(H346,Lists!$A$2:$A$11,0))),N(INDEX(Platforms!$H$5:$H$14,MATCH(H346,Lists!$A$2:$A$11,0))),MAX(N(INDEX(Platforms!$F$5:$F$14,MATCH(H346,Lists!$A$2:$A$11,0))),N(INDEX(Platforms!$C$5:$C$14,MATCH(H346,Lists!$A$2:$A$11,0)))*(K346+IF(INDEX(Platforms!$E$5:$E$14,MATCH(H346,Lists!$A$2:$A$11,0))="Yes",N(L346),0))+N(INDEX(Platforms!$D$5:$D$14,MATCH(H346,Lists!$A$2:$A$11,0)))))),""))</f>
        <v/>
      </c>
      <c r="R346" s="16" t="str">
        <f t="shared" si="21"/>
        <v/>
      </c>
      <c r="S346" s="17" t="str">
        <f t="shared" si="22"/>
        <v/>
      </c>
      <c r="T346" s="18" t="str">
        <f t="shared" ca="1" si="23"/>
        <v/>
      </c>
    </row>
    <row r="347" spans="1:20" x14ac:dyDescent="0.35">
      <c r="A347" s="11"/>
      <c r="B347" s="11"/>
      <c r="C347" s="11"/>
      <c r="D347" s="12"/>
      <c r="E347" s="11"/>
      <c r="F347" s="13"/>
      <c r="G347" s="13"/>
      <c r="H347" s="11"/>
      <c r="I347" s="12"/>
      <c r="J347" s="12"/>
      <c r="K347" s="13"/>
      <c r="L347" s="13"/>
      <c r="M347" s="13"/>
      <c r="N347" s="13"/>
      <c r="O347" s="13"/>
      <c r="P347" s="14" t="str">
        <f t="shared" si="20"/>
        <v/>
      </c>
      <c r="Q347" s="15" t="str">
        <f>IF(OR(J347="",H347=""),"",IFERROR(IF(ISNUMBER(N347),N347,IF(K347&lt;N(INDEX(Platforms!$G$5:$G$14,MATCH(H347,Lists!$A$2:$A$11,0))),N(INDEX(Platforms!$H$5:$H$14,MATCH(H347,Lists!$A$2:$A$11,0))),MAX(N(INDEX(Platforms!$F$5:$F$14,MATCH(H347,Lists!$A$2:$A$11,0))),N(INDEX(Platforms!$C$5:$C$14,MATCH(H347,Lists!$A$2:$A$11,0)))*(K347+IF(INDEX(Platforms!$E$5:$E$14,MATCH(H347,Lists!$A$2:$A$11,0))="Yes",N(L347),0))+N(INDEX(Platforms!$D$5:$D$14,MATCH(H347,Lists!$A$2:$A$11,0)))))),""))</f>
        <v/>
      </c>
      <c r="R347" s="16" t="str">
        <f t="shared" si="21"/>
        <v/>
      </c>
      <c r="S347" s="17" t="str">
        <f t="shared" si="22"/>
        <v/>
      </c>
      <c r="T347" s="18" t="str">
        <f t="shared" ca="1" si="23"/>
        <v/>
      </c>
    </row>
    <row r="348" spans="1:20" x14ac:dyDescent="0.35">
      <c r="A348" s="11"/>
      <c r="B348" s="11"/>
      <c r="C348" s="11"/>
      <c r="D348" s="12"/>
      <c r="E348" s="11"/>
      <c r="F348" s="13"/>
      <c r="G348" s="13"/>
      <c r="H348" s="11"/>
      <c r="I348" s="12"/>
      <c r="J348" s="12"/>
      <c r="K348" s="13"/>
      <c r="L348" s="13"/>
      <c r="M348" s="13"/>
      <c r="N348" s="13"/>
      <c r="O348" s="13"/>
      <c r="P348" s="14" t="str">
        <f t="shared" si="20"/>
        <v/>
      </c>
      <c r="Q348" s="15" t="str">
        <f>IF(OR(J348="",H348=""),"",IFERROR(IF(ISNUMBER(N348),N348,IF(K348&lt;N(INDEX(Platforms!$G$5:$G$14,MATCH(H348,Lists!$A$2:$A$11,0))),N(INDEX(Platforms!$H$5:$H$14,MATCH(H348,Lists!$A$2:$A$11,0))),MAX(N(INDEX(Platforms!$F$5:$F$14,MATCH(H348,Lists!$A$2:$A$11,0))),N(INDEX(Platforms!$C$5:$C$14,MATCH(H348,Lists!$A$2:$A$11,0)))*(K348+IF(INDEX(Platforms!$E$5:$E$14,MATCH(H348,Lists!$A$2:$A$11,0))="Yes",N(L348),0))+N(INDEX(Platforms!$D$5:$D$14,MATCH(H348,Lists!$A$2:$A$11,0)))))),""))</f>
        <v/>
      </c>
      <c r="R348" s="16" t="str">
        <f t="shared" si="21"/>
        <v/>
      </c>
      <c r="S348" s="17" t="str">
        <f t="shared" si="22"/>
        <v/>
      </c>
      <c r="T348" s="18" t="str">
        <f t="shared" ca="1" si="23"/>
        <v/>
      </c>
    </row>
    <row r="349" spans="1:20" x14ac:dyDescent="0.35">
      <c r="A349" s="11"/>
      <c r="B349" s="11"/>
      <c r="C349" s="11"/>
      <c r="D349" s="12"/>
      <c r="E349" s="11"/>
      <c r="F349" s="13"/>
      <c r="G349" s="13"/>
      <c r="H349" s="11"/>
      <c r="I349" s="12"/>
      <c r="J349" s="12"/>
      <c r="K349" s="13"/>
      <c r="L349" s="13"/>
      <c r="M349" s="13"/>
      <c r="N349" s="13"/>
      <c r="O349" s="13"/>
      <c r="P349" s="14" t="str">
        <f t="shared" si="20"/>
        <v/>
      </c>
      <c r="Q349" s="15" t="str">
        <f>IF(OR(J349="",H349=""),"",IFERROR(IF(ISNUMBER(N349),N349,IF(K349&lt;N(INDEX(Platforms!$G$5:$G$14,MATCH(H349,Lists!$A$2:$A$11,0))),N(INDEX(Platforms!$H$5:$H$14,MATCH(H349,Lists!$A$2:$A$11,0))),MAX(N(INDEX(Platforms!$F$5:$F$14,MATCH(H349,Lists!$A$2:$A$11,0))),N(INDEX(Platforms!$C$5:$C$14,MATCH(H349,Lists!$A$2:$A$11,0)))*(K349+IF(INDEX(Platforms!$E$5:$E$14,MATCH(H349,Lists!$A$2:$A$11,0))="Yes",N(L349),0))+N(INDEX(Platforms!$D$5:$D$14,MATCH(H349,Lists!$A$2:$A$11,0)))))),""))</f>
        <v/>
      </c>
      <c r="R349" s="16" t="str">
        <f t="shared" si="21"/>
        <v/>
      </c>
      <c r="S349" s="17" t="str">
        <f t="shared" si="22"/>
        <v/>
      </c>
      <c r="T349" s="18" t="str">
        <f t="shared" ca="1" si="23"/>
        <v/>
      </c>
    </row>
    <row r="350" spans="1:20" x14ac:dyDescent="0.35">
      <c r="A350" s="11"/>
      <c r="B350" s="11"/>
      <c r="C350" s="11"/>
      <c r="D350" s="12"/>
      <c r="E350" s="11"/>
      <c r="F350" s="13"/>
      <c r="G350" s="13"/>
      <c r="H350" s="11"/>
      <c r="I350" s="12"/>
      <c r="J350" s="12"/>
      <c r="K350" s="13"/>
      <c r="L350" s="13"/>
      <c r="M350" s="13"/>
      <c r="N350" s="13"/>
      <c r="O350" s="13"/>
      <c r="P350" s="14" t="str">
        <f t="shared" si="20"/>
        <v/>
      </c>
      <c r="Q350" s="15" t="str">
        <f>IF(OR(J350="",H350=""),"",IFERROR(IF(ISNUMBER(N350),N350,IF(K350&lt;N(INDEX(Platforms!$G$5:$G$14,MATCH(H350,Lists!$A$2:$A$11,0))),N(INDEX(Platforms!$H$5:$H$14,MATCH(H350,Lists!$A$2:$A$11,0))),MAX(N(INDEX(Platforms!$F$5:$F$14,MATCH(H350,Lists!$A$2:$A$11,0))),N(INDEX(Platforms!$C$5:$C$14,MATCH(H350,Lists!$A$2:$A$11,0)))*(K350+IF(INDEX(Platforms!$E$5:$E$14,MATCH(H350,Lists!$A$2:$A$11,0))="Yes",N(L350),0))+N(INDEX(Platforms!$D$5:$D$14,MATCH(H350,Lists!$A$2:$A$11,0)))))),""))</f>
        <v/>
      </c>
      <c r="R350" s="16" t="str">
        <f t="shared" si="21"/>
        <v/>
      </c>
      <c r="S350" s="17" t="str">
        <f t="shared" si="22"/>
        <v/>
      </c>
      <c r="T350" s="18" t="str">
        <f t="shared" ca="1" si="23"/>
        <v/>
      </c>
    </row>
    <row r="351" spans="1:20" x14ac:dyDescent="0.35">
      <c r="A351" s="11"/>
      <c r="B351" s="11"/>
      <c r="C351" s="11"/>
      <c r="D351" s="12"/>
      <c r="E351" s="11"/>
      <c r="F351" s="13"/>
      <c r="G351" s="13"/>
      <c r="H351" s="11"/>
      <c r="I351" s="12"/>
      <c r="J351" s="12"/>
      <c r="K351" s="13"/>
      <c r="L351" s="13"/>
      <c r="M351" s="13"/>
      <c r="N351" s="13"/>
      <c r="O351" s="13"/>
      <c r="P351" s="14" t="str">
        <f t="shared" si="20"/>
        <v/>
      </c>
      <c r="Q351" s="15" t="str">
        <f>IF(OR(J351="",H351=""),"",IFERROR(IF(ISNUMBER(N351),N351,IF(K351&lt;N(INDEX(Platforms!$G$5:$G$14,MATCH(H351,Lists!$A$2:$A$11,0))),N(INDEX(Platforms!$H$5:$H$14,MATCH(H351,Lists!$A$2:$A$11,0))),MAX(N(INDEX(Platforms!$F$5:$F$14,MATCH(H351,Lists!$A$2:$A$11,0))),N(INDEX(Platforms!$C$5:$C$14,MATCH(H351,Lists!$A$2:$A$11,0)))*(K351+IF(INDEX(Platforms!$E$5:$E$14,MATCH(H351,Lists!$A$2:$A$11,0))="Yes",N(L351),0))+N(INDEX(Platforms!$D$5:$D$14,MATCH(H351,Lists!$A$2:$A$11,0)))))),""))</f>
        <v/>
      </c>
      <c r="R351" s="16" t="str">
        <f t="shared" si="21"/>
        <v/>
      </c>
      <c r="S351" s="17" t="str">
        <f t="shared" si="22"/>
        <v/>
      </c>
      <c r="T351" s="18" t="str">
        <f t="shared" ca="1" si="23"/>
        <v/>
      </c>
    </row>
    <row r="352" spans="1:20" x14ac:dyDescent="0.35">
      <c r="A352" s="11"/>
      <c r="B352" s="11"/>
      <c r="C352" s="11"/>
      <c r="D352" s="12"/>
      <c r="E352" s="11"/>
      <c r="F352" s="13"/>
      <c r="G352" s="13"/>
      <c r="H352" s="11"/>
      <c r="I352" s="12"/>
      <c r="J352" s="12"/>
      <c r="K352" s="13"/>
      <c r="L352" s="13"/>
      <c r="M352" s="13"/>
      <c r="N352" s="13"/>
      <c r="O352" s="13"/>
      <c r="P352" s="14" t="str">
        <f t="shared" si="20"/>
        <v/>
      </c>
      <c r="Q352" s="15" t="str">
        <f>IF(OR(J352="",H352=""),"",IFERROR(IF(ISNUMBER(N352),N352,IF(K352&lt;N(INDEX(Platforms!$G$5:$G$14,MATCH(H352,Lists!$A$2:$A$11,0))),N(INDEX(Platforms!$H$5:$H$14,MATCH(H352,Lists!$A$2:$A$11,0))),MAX(N(INDEX(Platforms!$F$5:$F$14,MATCH(H352,Lists!$A$2:$A$11,0))),N(INDEX(Platforms!$C$5:$C$14,MATCH(H352,Lists!$A$2:$A$11,0)))*(K352+IF(INDEX(Platforms!$E$5:$E$14,MATCH(H352,Lists!$A$2:$A$11,0))="Yes",N(L352),0))+N(INDEX(Platforms!$D$5:$D$14,MATCH(H352,Lists!$A$2:$A$11,0)))))),""))</f>
        <v/>
      </c>
      <c r="R352" s="16" t="str">
        <f t="shared" si="21"/>
        <v/>
      </c>
      <c r="S352" s="17" t="str">
        <f t="shared" si="22"/>
        <v/>
      </c>
      <c r="T352" s="18" t="str">
        <f t="shared" ca="1" si="23"/>
        <v/>
      </c>
    </row>
    <row r="353" spans="1:20" x14ac:dyDescent="0.35">
      <c r="A353" s="11"/>
      <c r="B353" s="11"/>
      <c r="C353" s="11"/>
      <c r="D353" s="12"/>
      <c r="E353" s="11"/>
      <c r="F353" s="13"/>
      <c r="G353" s="13"/>
      <c r="H353" s="11"/>
      <c r="I353" s="12"/>
      <c r="J353" s="12"/>
      <c r="K353" s="13"/>
      <c r="L353" s="13"/>
      <c r="M353" s="13"/>
      <c r="N353" s="13"/>
      <c r="O353" s="13"/>
      <c r="P353" s="14" t="str">
        <f t="shared" si="20"/>
        <v/>
      </c>
      <c r="Q353" s="15" t="str">
        <f>IF(OR(J353="",H353=""),"",IFERROR(IF(ISNUMBER(N353),N353,IF(K353&lt;N(INDEX(Platforms!$G$5:$G$14,MATCH(H353,Lists!$A$2:$A$11,0))),N(INDEX(Platforms!$H$5:$H$14,MATCH(H353,Lists!$A$2:$A$11,0))),MAX(N(INDEX(Platforms!$F$5:$F$14,MATCH(H353,Lists!$A$2:$A$11,0))),N(INDEX(Platforms!$C$5:$C$14,MATCH(H353,Lists!$A$2:$A$11,0)))*(K353+IF(INDEX(Platforms!$E$5:$E$14,MATCH(H353,Lists!$A$2:$A$11,0))="Yes",N(L353),0))+N(INDEX(Platforms!$D$5:$D$14,MATCH(H353,Lists!$A$2:$A$11,0)))))),""))</f>
        <v/>
      </c>
      <c r="R353" s="16" t="str">
        <f t="shared" si="21"/>
        <v/>
      </c>
      <c r="S353" s="17" t="str">
        <f t="shared" si="22"/>
        <v/>
      </c>
      <c r="T353" s="18" t="str">
        <f t="shared" ca="1" si="23"/>
        <v/>
      </c>
    </row>
    <row r="354" spans="1:20" x14ac:dyDescent="0.35">
      <c r="A354" s="11"/>
      <c r="B354" s="11"/>
      <c r="C354" s="11"/>
      <c r="D354" s="12"/>
      <c r="E354" s="11"/>
      <c r="F354" s="13"/>
      <c r="G354" s="13"/>
      <c r="H354" s="11"/>
      <c r="I354" s="12"/>
      <c r="J354" s="12"/>
      <c r="K354" s="13"/>
      <c r="L354" s="13"/>
      <c r="M354" s="13"/>
      <c r="N354" s="13"/>
      <c r="O354" s="13"/>
      <c r="P354" s="14" t="str">
        <f t="shared" si="20"/>
        <v/>
      </c>
      <c r="Q354" s="15" t="str">
        <f>IF(OR(J354="",H354=""),"",IFERROR(IF(ISNUMBER(N354),N354,IF(K354&lt;N(INDEX(Platforms!$G$5:$G$14,MATCH(H354,Lists!$A$2:$A$11,0))),N(INDEX(Platforms!$H$5:$H$14,MATCH(H354,Lists!$A$2:$A$11,0))),MAX(N(INDEX(Platforms!$F$5:$F$14,MATCH(H354,Lists!$A$2:$A$11,0))),N(INDEX(Platforms!$C$5:$C$14,MATCH(H354,Lists!$A$2:$A$11,0)))*(K354+IF(INDEX(Platforms!$E$5:$E$14,MATCH(H354,Lists!$A$2:$A$11,0))="Yes",N(L354),0))+N(INDEX(Platforms!$D$5:$D$14,MATCH(H354,Lists!$A$2:$A$11,0)))))),""))</f>
        <v/>
      </c>
      <c r="R354" s="16" t="str">
        <f t="shared" si="21"/>
        <v/>
      </c>
      <c r="S354" s="17" t="str">
        <f t="shared" si="22"/>
        <v/>
      </c>
      <c r="T354" s="18" t="str">
        <f t="shared" ca="1" si="23"/>
        <v/>
      </c>
    </row>
    <row r="355" spans="1:20" x14ac:dyDescent="0.35">
      <c r="A355" s="11"/>
      <c r="B355" s="11"/>
      <c r="C355" s="11"/>
      <c r="D355" s="12"/>
      <c r="E355" s="11"/>
      <c r="F355" s="13"/>
      <c r="G355" s="13"/>
      <c r="H355" s="11"/>
      <c r="I355" s="12"/>
      <c r="J355" s="12"/>
      <c r="K355" s="13"/>
      <c r="L355" s="13"/>
      <c r="M355" s="13"/>
      <c r="N355" s="13"/>
      <c r="O355" s="13"/>
      <c r="P355" s="14" t="str">
        <f t="shared" si="20"/>
        <v/>
      </c>
      <c r="Q355" s="15" t="str">
        <f>IF(OR(J355="",H355=""),"",IFERROR(IF(ISNUMBER(N355),N355,IF(K355&lt;N(INDEX(Platforms!$G$5:$G$14,MATCH(H355,Lists!$A$2:$A$11,0))),N(INDEX(Platforms!$H$5:$H$14,MATCH(H355,Lists!$A$2:$A$11,0))),MAX(N(INDEX(Platforms!$F$5:$F$14,MATCH(H355,Lists!$A$2:$A$11,0))),N(INDEX(Platforms!$C$5:$C$14,MATCH(H355,Lists!$A$2:$A$11,0)))*(K355+IF(INDEX(Platforms!$E$5:$E$14,MATCH(H355,Lists!$A$2:$A$11,0))="Yes",N(L355),0))+N(INDEX(Platforms!$D$5:$D$14,MATCH(H355,Lists!$A$2:$A$11,0)))))),""))</f>
        <v/>
      </c>
      <c r="R355" s="16" t="str">
        <f t="shared" si="21"/>
        <v/>
      </c>
      <c r="S355" s="17" t="str">
        <f t="shared" si="22"/>
        <v/>
      </c>
      <c r="T355" s="18" t="str">
        <f t="shared" ca="1" si="23"/>
        <v/>
      </c>
    </row>
    <row r="356" spans="1:20" x14ac:dyDescent="0.35">
      <c r="A356" s="11"/>
      <c r="B356" s="11"/>
      <c r="C356" s="11"/>
      <c r="D356" s="12"/>
      <c r="E356" s="11"/>
      <c r="F356" s="13"/>
      <c r="G356" s="13"/>
      <c r="H356" s="11"/>
      <c r="I356" s="12"/>
      <c r="J356" s="12"/>
      <c r="K356" s="13"/>
      <c r="L356" s="13"/>
      <c r="M356" s="13"/>
      <c r="N356" s="13"/>
      <c r="O356" s="13"/>
      <c r="P356" s="14" t="str">
        <f t="shared" si="20"/>
        <v/>
      </c>
      <c r="Q356" s="15" t="str">
        <f>IF(OR(J356="",H356=""),"",IFERROR(IF(ISNUMBER(N356),N356,IF(K356&lt;N(INDEX(Platforms!$G$5:$G$14,MATCH(H356,Lists!$A$2:$A$11,0))),N(INDEX(Platforms!$H$5:$H$14,MATCH(H356,Lists!$A$2:$A$11,0))),MAX(N(INDEX(Platforms!$F$5:$F$14,MATCH(H356,Lists!$A$2:$A$11,0))),N(INDEX(Platforms!$C$5:$C$14,MATCH(H356,Lists!$A$2:$A$11,0)))*(K356+IF(INDEX(Platforms!$E$5:$E$14,MATCH(H356,Lists!$A$2:$A$11,0))="Yes",N(L356),0))+N(INDEX(Platforms!$D$5:$D$14,MATCH(H356,Lists!$A$2:$A$11,0)))))),""))</f>
        <v/>
      </c>
      <c r="R356" s="16" t="str">
        <f t="shared" si="21"/>
        <v/>
      </c>
      <c r="S356" s="17" t="str">
        <f t="shared" si="22"/>
        <v/>
      </c>
      <c r="T356" s="18" t="str">
        <f t="shared" ca="1" si="23"/>
        <v/>
      </c>
    </row>
    <row r="357" spans="1:20" x14ac:dyDescent="0.35">
      <c r="A357" s="11"/>
      <c r="B357" s="11"/>
      <c r="C357" s="11"/>
      <c r="D357" s="12"/>
      <c r="E357" s="11"/>
      <c r="F357" s="13"/>
      <c r="G357" s="13"/>
      <c r="H357" s="11"/>
      <c r="I357" s="12"/>
      <c r="J357" s="12"/>
      <c r="K357" s="13"/>
      <c r="L357" s="13"/>
      <c r="M357" s="13"/>
      <c r="N357" s="13"/>
      <c r="O357" s="13"/>
      <c r="P357" s="14" t="str">
        <f t="shared" si="20"/>
        <v/>
      </c>
      <c r="Q357" s="15" t="str">
        <f>IF(OR(J357="",H357=""),"",IFERROR(IF(ISNUMBER(N357),N357,IF(K357&lt;N(INDEX(Platforms!$G$5:$G$14,MATCH(H357,Lists!$A$2:$A$11,0))),N(INDEX(Platforms!$H$5:$H$14,MATCH(H357,Lists!$A$2:$A$11,0))),MAX(N(INDEX(Platforms!$F$5:$F$14,MATCH(H357,Lists!$A$2:$A$11,0))),N(INDEX(Platforms!$C$5:$C$14,MATCH(H357,Lists!$A$2:$A$11,0)))*(K357+IF(INDEX(Platforms!$E$5:$E$14,MATCH(H357,Lists!$A$2:$A$11,0))="Yes",N(L357),0))+N(INDEX(Platforms!$D$5:$D$14,MATCH(H357,Lists!$A$2:$A$11,0)))))),""))</f>
        <v/>
      </c>
      <c r="R357" s="16" t="str">
        <f t="shared" si="21"/>
        <v/>
      </c>
      <c r="S357" s="17" t="str">
        <f t="shared" si="22"/>
        <v/>
      </c>
      <c r="T357" s="18" t="str">
        <f t="shared" ca="1" si="23"/>
        <v/>
      </c>
    </row>
    <row r="358" spans="1:20" x14ac:dyDescent="0.35">
      <c r="A358" s="11"/>
      <c r="B358" s="11"/>
      <c r="C358" s="11"/>
      <c r="D358" s="12"/>
      <c r="E358" s="11"/>
      <c r="F358" s="13"/>
      <c r="G358" s="13"/>
      <c r="H358" s="11"/>
      <c r="I358" s="12"/>
      <c r="J358" s="12"/>
      <c r="K358" s="13"/>
      <c r="L358" s="13"/>
      <c r="M358" s="13"/>
      <c r="N358" s="13"/>
      <c r="O358" s="13"/>
      <c r="P358" s="14" t="str">
        <f t="shared" si="20"/>
        <v/>
      </c>
      <c r="Q358" s="15" t="str">
        <f>IF(OR(J358="",H358=""),"",IFERROR(IF(ISNUMBER(N358),N358,IF(K358&lt;N(INDEX(Platforms!$G$5:$G$14,MATCH(H358,Lists!$A$2:$A$11,0))),N(INDEX(Platforms!$H$5:$H$14,MATCH(H358,Lists!$A$2:$A$11,0))),MAX(N(INDEX(Platforms!$F$5:$F$14,MATCH(H358,Lists!$A$2:$A$11,0))),N(INDEX(Platforms!$C$5:$C$14,MATCH(H358,Lists!$A$2:$A$11,0)))*(K358+IF(INDEX(Platforms!$E$5:$E$14,MATCH(H358,Lists!$A$2:$A$11,0))="Yes",N(L358),0))+N(INDEX(Platforms!$D$5:$D$14,MATCH(H358,Lists!$A$2:$A$11,0)))))),""))</f>
        <v/>
      </c>
      <c r="R358" s="16" t="str">
        <f t="shared" si="21"/>
        <v/>
      </c>
      <c r="S358" s="17" t="str">
        <f t="shared" si="22"/>
        <v/>
      </c>
      <c r="T358" s="18" t="str">
        <f t="shared" ca="1" si="23"/>
        <v/>
      </c>
    </row>
    <row r="359" spans="1:20" x14ac:dyDescent="0.35">
      <c r="A359" s="11"/>
      <c r="B359" s="11"/>
      <c r="C359" s="11"/>
      <c r="D359" s="12"/>
      <c r="E359" s="11"/>
      <c r="F359" s="13"/>
      <c r="G359" s="13"/>
      <c r="H359" s="11"/>
      <c r="I359" s="12"/>
      <c r="J359" s="12"/>
      <c r="K359" s="13"/>
      <c r="L359" s="13"/>
      <c r="M359" s="13"/>
      <c r="N359" s="13"/>
      <c r="O359" s="13"/>
      <c r="P359" s="14" t="str">
        <f t="shared" si="20"/>
        <v/>
      </c>
      <c r="Q359" s="15" t="str">
        <f>IF(OR(J359="",H359=""),"",IFERROR(IF(ISNUMBER(N359),N359,IF(K359&lt;N(INDEX(Platforms!$G$5:$G$14,MATCH(H359,Lists!$A$2:$A$11,0))),N(INDEX(Platforms!$H$5:$H$14,MATCH(H359,Lists!$A$2:$A$11,0))),MAX(N(INDEX(Platforms!$F$5:$F$14,MATCH(H359,Lists!$A$2:$A$11,0))),N(INDEX(Platforms!$C$5:$C$14,MATCH(H359,Lists!$A$2:$A$11,0)))*(K359+IF(INDEX(Platforms!$E$5:$E$14,MATCH(H359,Lists!$A$2:$A$11,0))="Yes",N(L359),0))+N(INDEX(Platforms!$D$5:$D$14,MATCH(H359,Lists!$A$2:$A$11,0)))))),""))</f>
        <v/>
      </c>
      <c r="R359" s="16" t="str">
        <f t="shared" si="21"/>
        <v/>
      </c>
      <c r="S359" s="17" t="str">
        <f t="shared" si="22"/>
        <v/>
      </c>
      <c r="T359" s="18" t="str">
        <f t="shared" ca="1" si="23"/>
        <v/>
      </c>
    </row>
    <row r="360" spans="1:20" x14ac:dyDescent="0.35">
      <c r="A360" s="11"/>
      <c r="B360" s="11"/>
      <c r="C360" s="11"/>
      <c r="D360" s="12"/>
      <c r="E360" s="11"/>
      <c r="F360" s="13"/>
      <c r="G360" s="13"/>
      <c r="H360" s="11"/>
      <c r="I360" s="12"/>
      <c r="J360" s="12"/>
      <c r="K360" s="13"/>
      <c r="L360" s="13"/>
      <c r="M360" s="13"/>
      <c r="N360" s="13"/>
      <c r="O360" s="13"/>
      <c r="P360" s="14" t="str">
        <f t="shared" si="20"/>
        <v/>
      </c>
      <c r="Q360" s="15" t="str">
        <f>IF(OR(J360="",H360=""),"",IFERROR(IF(ISNUMBER(N360),N360,IF(K360&lt;N(INDEX(Platforms!$G$5:$G$14,MATCH(H360,Lists!$A$2:$A$11,0))),N(INDEX(Platforms!$H$5:$H$14,MATCH(H360,Lists!$A$2:$A$11,0))),MAX(N(INDEX(Platforms!$F$5:$F$14,MATCH(H360,Lists!$A$2:$A$11,0))),N(INDEX(Platforms!$C$5:$C$14,MATCH(H360,Lists!$A$2:$A$11,0)))*(K360+IF(INDEX(Platforms!$E$5:$E$14,MATCH(H360,Lists!$A$2:$A$11,0))="Yes",N(L360),0))+N(INDEX(Platforms!$D$5:$D$14,MATCH(H360,Lists!$A$2:$A$11,0)))))),""))</f>
        <v/>
      </c>
      <c r="R360" s="16" t="str">
        <f t="shared" si="21"/>
        <v/>
      </c>
      <c r="S360" s="17" t="str">
        <f t="shared" si="22"/>
        <v/>
      </c>
      <c r="T360" s="18" t="str">
        <f t="shared" ca="1" si="23"/>
        <v/>
      </c>
    </row>
    <row r="361" spans="1:20" x14ac:dyDescent="0.35">
      <c r="A361" s="11"/>
      <c r="B361" s="11"/>
      <c r="C361" s="11"/>
      <c r="D361" s="12"/>
      <c r="E361" s="11"/>
      <c r="F361" s="13"/>
      <c r="G361" s="13"/>
      <c r="H361" s="11"/>
      <c r="I361" s="12"/>
      <c r="J361" s="12"/>
      <c r="K361" s="13"/>
      <c r="L361" s="13"/>
      <c r="M361" s="13"/>
      <c r="N361" s="13"/>
      <c r="O361" s="13"/>
      <c r="P361" s="14" t="str">
        <f t="shared" si="20"/>
        <v/>
      </c>
      <c r="Q361" s="15" t="str">
        <f>IF(OR(J361="",H361=""),"",IFERROR(IF(ISNUMBER(N361),N361,IF(K361&lt;N(INDEX(Platforms!$G$5:$G$14,MATCH(H361,Lists!$A$2:$A$11,0))),N(INDEX(Platforms!$H$5:$H$14,MATCH(H361,Lists!$A$2:$A$11,0))),MAX(N(INDEX(Platforms!$F$5:$F$14,MATCH(H361,Lists!$A$2:$A$11,0))),N(INDEX(Platforms!$C$5:$C$14,MATCH(H361,Lists!$A$2:$A$11,0)))*(K361+IF(INDEX(Platforms!$E$5:$E$14,MATCH(H361,Lists!$A$2:$A$11,0))="Yes",N(L361),0))+N(INDEX(Platforms!$D$5:$D$14,MATCH(H361,Lists!$A$2:$A$11,0)))))),""))</f>
        <v/>
      </c>
      <c r="R361" s="16" t="str">
        <f t="shared" si="21"/>
        <v/>
      </c>
      <c r="S361" s="17" t="str">
        <f t="shared" si="22"/>
        <v/>
      </c>
      <c r="T361" s="18" t="str">
        <f t="shared" ca="1" si="23"/>
        <v/>
      </c>
    </row>
    <row r="362" spans="1:20" x14ac:dyDescent="0.35">
      <c r="A362" s="11"/>
      <c r="B362" s="11"/>
      <c r="C362" s="11"/>
      <c r="D362" s="12"/>
      <c r="E362" s="11"/>
      <c r="F362" s="13"/>
      <c r="G362" s="13"/>
      <c r="H362" s="11"/>
      <c r="I362" s="12"/>
      <c r="J362" s="12"/>
      <c r="K362" s="13"/>
      <c r="L362" s="13"/>
      <c r="M362" s="13"/>
      <c r="N362" s="13"/>
      <c r="O362" s="13"/>
      <c r="P362" s="14" t="str">
        <f t="shared" si="20"/>
        <v/>
      </c>
      <c r="Q362" s="15" t="str">
        <f>IF(OR(J362="",H362=""),"",IFERROR(IF(ISNUMBER(N362),N362,IF(K362&lt;N(INDEX(Platforms!$G$5:$G$14,MATCH(H362,Lists!$A$2:$A$11,0))),N(INDEX(Platforms!$H$5:$H$14,MATCH(H362,Lists!$A$2:$A$11,0))),MAX(N(INDEX(Platforms!$F$5:$F$14,MATCH(H362,Lists!$A$2:$A$11,0))),N(INDEX(Platforms!$C$5:$C$14,MATCH(H362,Lists!$A$2:$A$11,0)))*(K362+IF(INDEX(Platforms!$E$5:$E$14,MATCH(H362,Lists!$A$2:$A$11,0))="Yes",N(L362),0))+N(INDEX(Platforms!$D$5:$D$14,MATCH(H362,Lists!$A$2:$A$11,0)))))),""))</f>
        <v/>
      </c>
      <c r="R362" s="16" t="str">
        <f t="shared" si="21"/>
        <v/>
      </c>
      <c r="S362" s="17" t="str">
        <f t="shared" si="22"/>
        <v/>
      </c>
      <c r="T362" s="18" t="str">
        <f t="shared" ca="1" si="23"/>
        <v/>
      </c>
    </row>
    <row r="363" spans="1:20" x14ac:dyDescent="0.35">
      <c r="A363" s="11"/>
      <c r="B363" s="11"/>
      <c r="C363" s="11"/>
      <c r="D363" s="12"/>
      <c r="E363" s="11"/>
      <c r="F363" s="13"/>
      <c r="G363" s="13"/>
      <c r="H363" s="11"/>
      <c r="I363" s="12"/>
      <c r="J363" s="12"/>
      <c r="K363" s="13"/>
      <c r="L363" s="13"/>
      <c r="M363" s="13"/>
      <c r="N363" s="13"/>
      <c r="O363" s="13"/>
      <c r="P363" s="14" t="str">
        <f t="shared" si="20"/>
        <v/>
      </c>
      <c r="Q363" s="15" t="str">
        <f>IF(OR(J363="",H363=""),"",IFERROR(IF(ISNUMBER(N363),N363,IF(K363&lt;N(INDEX(Platforms!$G$5:$G$14,MATCH(H363,Lists!$A$2:$A$11,0))),N(INDEX(Platforms!$H$5:$H$14,MATCH(H363,Lists!$A$2:$A$11,0))),MAX(N(INDEX(Platforms!$F$5:$F$14,MATCH(H363,Lists!$A$2:$A$11,0))),N(INDEX(Platforms!$C$5:$C$14,MATCH(H363,Lists!$A$2:$A$11,0)))*(K363+IF(INDEX(Platforms!$E$5:$E$14,MATCH(H363,Lists!$A$2:$A$11,0))="Yes",N(L363),0))+N(INDEX(Platforms!$D$5:$D$14,MATCH(H363,Lists!$A$2:$A$11,0)))))),""))</f>
        <v/>
      </c>
      <c r="R363" s="16" t="str">
        <f t="shared" si="21"/>
        <v/>
      </c>
      <c r="S363" s="17" t="str">
        <f t="shared" si="22"/>
        <v/>
      </c>
      <c r="T363" s="18" t="str">
        <f t="shared" ca="1" si="23"/>
        <v/>
      </c>
    </row>
    <row r="364" spans="1:20" x14ac:dyDescent="0.35">
      <c r="A364" s="11"/>
      <c r="B364" s="11"/>
      <c r="C364" s="11"/>
      <c r="D364" s="12"/>
      <c r="E364" s="11"/>
      <c r="F364" s="13"/>
      <c r="G364" s="13"/>
      <c r="H364" s="11"/>
      <c r="I364" s="12"/>
      <c r="J364" s="12"/>
      <c r="K364" s="13"/>
      <c r="L364" s="13"/>
      <c r="M364" s="13"/>
      <c r="N364" s="13"/>
      <c r="O364" s="13"/>
      <c r="P364" s="14" t="str">
        <f t="shared" si="20"/>
        <v/>
      </c>
      <c r="Q364" s="15" t="str">
        <f>IF(OR(J364="",H364=""),"",IFERROR(IF(ISNUMBER(N364),N364,IF(K364&lt;N(INDEX(Platforms!$G$5:$G$14,MATCH(H364,Lists!$A$2:$A$11,0))),N(INDEX(Platforms!$H$5:$H$14,MATCH(H364,Lists!$A$2:$A$11,0))),MAX(N(INDEX(Platforms!$F$5:$F$14,MATCH(H364,Lists!$A$2:$A$11,0))),N(INDEX(Platforms!$C$5:$C$14,MATCH(H364,Lists!$A$2:$A$11,0)))*(K364+IF(INDEX(Platforms!$E$5:$E$14,MATCH(H364,Lists!$A$2:$A$11,0))="Yes",N(L364),0))+N(INDEX(Platforms!$D$5:$D$14,MATCH(H364,Lists!$A$2:$A$11,0)))))),""))</f>
        <v/>
      </c>
      <c r="R364" s="16" t="str">
        <f t="shared" si="21"/>
        <v/>
      </c>
      <c r="S364" s="17" t="str">
        <f t="shared" si="22"/>
        <v/>
      </c>
      <c r="T364" s="18" t="str">
        <f t="shared" ca="1" si="23"/>
        <v/>
      </c>
    </row>
    <row r="365" spans="1:20" x14ac:dyDescent="0.35">
      <c r="A365" s="11"/>
      <c r="B365" s="11"/>
      <c r="C365" s="11"/>
      <c r="D365" s="12"/>
      <c r="E365" s="11"/>
      <c r="F365" s="13"/>
      <c r="G365" s="13"/>
      <c r="H365" s="11"/>
      <c r="I365" s="12"/>
      <c r="J365" s="12"/>
      <c r="K365" s="13"/>
      <c r="L365" s="13"/>
      <c r="M365" s="13"/>
      <c r="N365" s="13"/>
      <c r="O365" s="13"/>
      <c r="P365" s="14" t="str">
        <f t="shared" si="20"/>
        <v/>
      </c>
      <c r="Q365" s="15" t="str">
        <f>IF(OR(J365="",H365=""),"",IFERROR(IF(ISNUMBER(N365),N365,IF(K365&lt;N(INDEX(Platforms!$G$5:$G$14,MATCH(H365,Lists!$A$2:$A$11,0))),N(INDEX(Platforms!$H$5:$H$14,MATCH(H365,Lists!$A$2:$A$11,0))),MAX(N(INDEX(Platforms!$F$5:$F$14,MATCH(H365,Lists!$A$2:$A$11,0))),N(INDEX(Platforms!$C$5:$C$14,MATCH(H365,Lists!$A$2:$A$11,0)))*(K365+IF(INDEX(Platforms!$E$5:$E$14,MATCH(H365,Lists!$A$2:$A$11,0))="Yes",N(L365),0))+N(INDEX(Platforms!$D$5:$D$14,MATCH(H365,Lists!$A$2:$A$11,0)))))),""))</f>
        <v/>
      </c>
      <c r="R365" s="16" t="str">
        <f t="shared" si="21"/>
        <v/>
      </c>
      <c r="S365" s="17" t="str">
        <f t="shared" si="22"/>
        <v/>
      </c>
      <c r="T365" s="18" t="str">
        <f t="shared" ca="1" si="23"/>
        <v/>
      </c>
    </row>
    <row r="366" spans="1:20" x14ac:dyDescent="0.35">
      <c r="A366" s="11"/>
      <c r="B366" s="11"/>
      <c r="C366" s="11"/>
      <c r="D366" s="12"/>
      <c r="E366" s="11"/>
      <c r="F366" s="13"/>
      <c r="G366" s="13"/>
      <c r="H366" s="11"/>
      <c r="I366" s="12"/>
      <c r="J366" s="12"/>
      <c r="K366" s="13"/>
      <c r="L366" s="13"/>
      <c r="M366" s="13"/>
      <c r="N366" s="13"/>
      <c r="O366" s="13"/>
      <c r="P366" s="14" t="str">
        <f t="shared" si="20"/>
        <v/>
      </c>
      <c r="Q366" s="15" t="str">
        <f>IF(OR(J366="",H366=""),"",IFERROR(IF(ISNUMBER(N366),N366,IF(K366&lt;N(INDEX(Platforms!$G$5:$G$14,MATCH(H366,Lists!$A$2:$A$11,0))),N(INDEX(Platforms!$H$5:$H$14,MATCH(H366,Lists!$A$2:$A$11,0))),MAX(N(INDEX(Platforms!$F$5:$F$14,MATCH(H366,Lists!$A$2:$A$11,0))),N(INDEX(Platforms!$C$5:$C$14,MATCH(H366,Lists!$A$2:$A$11,0)))*(K366+IF(INDEX(Platforms!$E$5:$E$14,MATCH(H366,Lists!$A$2:$A$11,0))="Yes",N(L366),0))+N(INDEX(Platforms!$D$5:$D$14,MATCH(H366,Lists!$A$2:$A$11,0)))))),""))</f>
        <v/>
      </c>
      <c r="R366" s="16" t="str">
        <f t="shared" si="21"/>
        <v/>
      </c>
      <c r="S366" s="17" t="str">
        <f t="shared" si="22"/>
        <v/>
      </c>
      <c r="T366" s="18" t="str">
        <f t="shared" ca="1" si="23"/>
        <v/>
      </c>
    </row>
    <row r="367" spans="1:20" x14ac:dyDescent="0.35">
      <c r="A367" s="11"/>
      <c r="B367" s="11"/>
      <c r="C367" s="11"/>
      <c r="D367" s="12"/>
      <c r="E367" s="11"/>
      <c r="F367" s="13"/>
      <c r="G367" s="13"/>
      <c r="H367" s="11"/>
      <c r="I367" s="12"/>
      <c r="J367" s="12"/>
      <c r="K367" s="13"/>
      <c r="L367" s="13"/>
      <c r="M367" s="13"/>
      <c r="N367" s="13"/>
      <c r="O367" s="13"/>
      <c r="P367" s="14" t="str">
        <f t="shared" si="20"/>
        <v/>
      </c>
      <c r="Q367" s="15" t="str">
        <f>IF(OR(J367="",H367=""),"",IFERROR(IF(ISNUMBER(N367),N367,IF(K367&lt;N(INDEX(Platforms!$G$5:$G$14,MATCH(H367,Lists!$A$2:$A$11,0))),N(INDEX(Platforms!$H$5:$H$14,MATCH(H367,Lists!$A$2:$A$11,0))),MAX(N(INDEX(Platforms!$F$5:$F$14,MATCH(H367,Lists!$A$2:$A$11,0))),N(INDEX(Platforms!$C$5:$C$14,MATCH(H367,Lists!$A$2:$A$11,0)))*(K367+IF(INDEX(Platforms!$E$5:$E$14,MATCH(H367,Lists!$A$2:$A$11,0))="Yes",N(L367),0))+N(INDEX(Platforms!$D$5:$D$14,MATCH(H367,Lists!$A$2:$A$11,0)))))),""))</f>
        <v/>
      </c>
      <c r="R367" s="16" t="str">
        <f t="shared" si="21"/>
        <v/>
      </c>
      <c r="S367" s="17" t="str">
        <f t="shared" si="22"/>
        <v/>
      </c>
      <c r="T367" s="18" t="str">
        <f t="shared" ca="1" si="23"/>
        <v/>
      </c>
    </row>
    <row r="368" spans="1:20" x14ac:dyDescent="0.35">
      <c r="A368" s="11"/>
      <c r="B368" s="11"/>
      <c r="C368" s="11"/>
      <c r="D368" s="12"/>
      <c r="E368" s="11"/>
      <c r="F368" s="13"/>
      <c r="G368" s="13"/>
      <c r="H368" s="11"/>
      <c r="I368" s="12"/>
      <c r="J368" s="12"/>
      <c r="K368" s="13"/>
      <c r="L368" s="13"/>
      <c r="M368" s="13"/>
      <c r="N368" s="13"/>
      <c r="O368" s="13"/>
      <c r="P368" s="14" t="str">
        <f t="shared" si="20"/>
        <v/>
      </c>
      <c r="Q368" s="15" t="str">
        <f>IF(OR(J368="",H368=""),"",IFERROR(IF(ISNUMBER(N368),N368,IF(K368&lt;N(INDEX(Platforms!$G$5:$G$14,MATCH(H368,Lists!$A$2:$A$11,0))),N(INDEX(Platforms!$H$5:$H$14,MATCH(H368,Lists!$A$2:$A$11,0))),MAX(N(INDEX(Platforms!$F$5:$F$14,MATCH(H368,Lists!$A$2:$A$11,0))),N(INDEX(Platforms!$C$5:$C$14,MATCH(H368,Lists!$A$2:$A$11,0)))*(K368+IF(INDEX(Platforms!$E$5:$E$14,MATCH(H368,Lists!$A$2:$A$11,0))="Yes",N(L368),0))+N(INDEX(Platforms!$D$5:$D$14,MATCH(H368,Lists!$A$2:$A$11,0)))))),""))</f>
        <v/>
      </c>
      <c r="R368" s="16" t="str">
        <f t="shared" si="21"/>
        <v/>
      </c>
      <c r="S368" s="17" t="str">
        <f t="shared" si="22"/>
        <v/>
      </c>
      <c r="T368" s="18" t="str">
        <f t="shared" ca="1" si="23"/>
        <v/>
      </c>
    </row>
    <row r="369" spans="1:20" x14ac:dyDescent="0.35">
      <c r="A369" s="11"/>
      <c r="B369" s="11"/>
      <c r="C369" s="11"/>
      <c r="D369" s="12"/>
      <c r="E369" s="11"/>
      <c r="F369" s="13"/>
      <c r="G369" s="13"/>
      <c r="H369" s="11"/>
      <c r="I369" s="12"/>
      <c r="J369" s="12"/>
      <c r="K369" s="13"/>
      <c r="L369" s="13"/>
      <c r="M369" s="13"/>
      <c r="N369" s="13"/>
      <c r="O369" s="13"/>
      <c r="P369" s="14" t="str">
        <f t="shared" si="20"/>
        <v/>
      </c>
      <c r="Q369" s="15" t="str">
        <f>IF(OR(J369="",H369=""),"",IFERROR(IF(ISNUMBER(N369),N369,IF(K369&lt;N(INDEX(Platforms!$G$5:$G$14,MATCH(H369,Lists!$A$2:$A$11,0))),N(INDEX(Platforms!$H$5:$H$14,MATCH(H369,Lists!$A$2:$A$11,0))),MAX(N(INDEX(Platforms!$F$5:$F$14,MATCH(H369,Lists!$A$2:$A$11,0))),N(INDEX(Platforms!$C$5:$C$14,MATCH(H369,Lists!$A$2:$A$11,0)))*(K369+IF(INDEX(Platforms!$E$5:$E$14,MATCH(H369,Lists!$A$2:$A$11,0))="Yes",N(L369),0))+N(INDEX(Platforms!$D$5:$D$14,MATCH(H369,Lists!$A$2:$A$11,0)))))),""))</f>
        <v/>
      </c>
      <c r="R369" s="16" t="str">
        <f t="shared" si="21"/>
        <v/>
      </c>
      <c r="S369" s="17" t="str">
        <f t="shared" si="22"/>
        <v/>
      </c>
      <c r="T369" s="18" t="str">
        <f t="shared" ca="1" si="23"/>
        <v/>
      </c>
    </row>
    <row r="370" spans="1:20" x14ac:dyDescent="0.35">
      <c r="A370" s="11"/>
      <c r="B370" s="11"/>
      <c r="C370" s="11"/>
      <c r="D370" s="12"/>
      <c r="E370" s="11"/>
      <c r="F370" s="13"/>
      <c r="G370" s="13"/>
      <c r="H370" s="11"/>
      <c r="I370" s="12"/>
      <c r="J370" s="12"/>
      <c r="K370" s="13"/>
      <c r="L370" s="13"/>
      <c r="M370" s="13"/>
      <c r="N370" s="13"/>
      <c r="O370" s="13"/>
      <c r="P370" s="14" t="str">
        <f t="shared" si="20"/>
        <v/>
      </c>
      <c r="Q370" s="15" t="str">
        <f>IF(OR(J370="",H370=""),"",IFERROR(IF(ISNUMBER(N370),N370,IF(K370&lt;N(INDEX(Platforms!$G$5:$G$14,MATCH(H370,Lists!$A$2:$A$11,0))),N(INDEX(Platforms!$H$5:$H$14,MATCH(H370,Lists!$A$2:$A$11,0))),MAX(N(INDEX(Platforms!$F$5:$F$14,MATCH(H370,Lists!$A$2:$A$11,0))),N(INDEX(Platforms!$C$5:$C$14,MATCH(H370,Lists!$A$2:$A$11,0)))*(K370+IF(INDEX(Platforms!$E$5:$E$14,MATCH(H370,Lists!$A$2:$A$11,0))="Yes",N(L370),0))+N(INDEX(Platforms!$D$5:$D$14,MATCH(H370,Lists!$A$2:$A$11,0)))))),""))</f>
        <v/>
      </c>
      <c r="R370" s="16" t="str">
        <f t="shared" si="21"/>
        <v/>
      </c>
      <c r="S370" s="17" t="str">
        <f t="shared" si="22"/>
        <v/>
      </c>
      <c r="T370" s="18" t="str">
        <f t="shared" ca="1" si="23"/>
        <v/>
      </c>
    </row>
    <row r="371" spans="1:20" x14ac:dyDescent="0.35">
      <c r="A371" s="11"/>
      <c r="B371" s="11"/>
      <c r="C371" s="11"/>
      <c r="D371" s="12"/>
      <c r="E371" s="11"/>
      <c r="F371" s="13"/>
      <c r="G371" s="13"/>
      <c r="H371" s="11"/>
      <c r="I371" s="12"/>
      <c r="J371" s="12"/>
      <c r="K371" s="13"/>
      <c r="L371" s="13"/>
      <c r="M371" s="13"/>
      <c r="N371" s="13"/>
      <c r="O371" s="13"/>
      <c r="P371" s="14" t="str">
        <f t="shared" si="20"/>
        <v/>
      </c>
      <c r="Q371" s="15" t="str">
        <f>IF(OR(J371="",H371=""),"",IFERROR(IF(ISNUMBER(N371),N371,IF(K371&lt;N(INDEX(Platforms!$G$5:$G$14,MATCH(H371,Lists!$A$2:$A$11,0))),N(INDEX(Platforms!$H$5:$H$14,MATCH(H371,Lists!$A$2:$A$11,0))),MAX(N(INDEX(Platforms!$F$5:$F$14,MATCH(H371,Lists!$A$2:$A$11,0))),N(INDEX(Platforms!$C$5:$C$14,MATCH(H371,Lists!$A$2:$A$11,0)))*(K371+IF(INDEX(Platforms!$E$5:$E$14,MATCH(H371,Lists!$A$2:$A$11,0))="Yes",N(L371),0))+N(INDEX(Platforms!$D$5:$D$14,MATCH(H371,Lists!$A$2:$A$11,0)))))),""))</f>
        <v/>
      </c>
      <c r="R371" s="16" t="str">
        <f t="shared" si="21"/>
        <v/>
      </c>
      <c r="S371" s="17" t="str">
        <f t="shared" si="22"/>
        <v/>
      </c>
      <c r="T371" s="18" t="str">
        <f t="shared" ca="1" si="23"/>
        <v/>
      </c>
    </row>
    <row r="372" spans="1:20" x14ac:dyDescent="0.35">
      <c r="A372" s="11"/>
      <c r="B372" s="11"/>
      <c r="C372" s="11"/>
      <c r="D372" s="12"/>
      <c r="E372" s="11"/>
      <c r="F372" s="13"/>
      <c r="G372" s="13"/>
      <c r="H372" s="11"/>
      <c r="I372" s="12"/>
      <c r="J372" s="12"/>
      <c r="K372" s="13"/>
      <c r="L372" s="13"/>
      <c r="M372" s="13"/>
      <c r="N372" s="13"/>
      <c r="O372" s="13"/>
      <c r="P372" s="14" t="str">
        <f t="shared" si="20"/>
        <v/>
      </c>
      <c r="Q372" s="15" t="str">
        <f>IF(OR(J372="",H372=""),"",IFERROR(IF(ISNUMBER(N372),N372,IF(K372&lt;N(INDEX(Platforms!$G$5:$G$14,MATCH(H372,Lists!$A$2:$A$11,0))),N(INDEX(Platforms!$H$5:$H$14,MATCH(H372,Lists!$A$2:$A$11,0))),MAX(N(INDEX(Platforms!$F$5:$F$14,MATCH(H372,Lists!$A$2:$A$11,0))),N(INDEX(Platforms!$C$5:$C$14,MATCH(H372,Lists!$A$2:$A$11,0)))*(K372+IF(INDEX(Platforms!$E$5:$E$14,MATCH(H372,Lists!$A$2:$A$11,0))="Yes",N(L372),0))+N(INDEX(Platforms!$D$5:$D$14,MATCH(H372,Lists!$A$2:$A$11,0)))))),""))</f>
        <v/>
      </c>
      <c r="R372" s="16" t="str">
        <f t="shared" si="21"/>
        <v/>
      </c>
      <c r="S372" s="17" t="str">
        <f t="shared" si="22"/>
        <v/>
      </c>
      <c r="T372" s="18" t="str">
        <f t="shared" ca="1" si="23"/>
        <v/>
      </c>
    </row>
    <row r="373" spans="1:20" x14ac:dyDescent="0.35">
      <c r="A373" s="11"/>
      <c r="B373" s="11"/>
      <c r="C373" s="11"/>
      <c r="D373" s="12"/>
      <c r="E373" s="11"/>
      <c r="F373" s="13"/>
      <c r="G373" s="13"/>
      <c r="H373" s="11"/>
      <c r="I373" s="12"/>
      <c r="J373" s="12"/>
      <c r="K373" s="13"/>
      <c r="L373" s="13"/>
      <c r="M373" s="13"/>
      <c r="N373" s="13"/>
      <c r="O373" s="13"/>
      <c r="P373" s="14" t="str">
        <f t="shared" si="20"/>
        <v/>
      </c>
      <c r="Q373" s="15" t="str">
        <f>IF(OR(J373="",H373=""),"",IFERROR(IF(ISNUMBER(N373),N373,IF(K373&lt;N(INDEX(Platforms!$G$5:$G$14,MATCH(H373,Lists!$A$2:$A$11,0))),N(INDEX(Platforms!$H$5:$H$14,MATCH(H373,Lists!$A$2:$A$11,0))),MAX(N(INDEX(Platforms!$F$5:$F$14,MATCH(H373,Lists!$A$2:$A$11,0))),N(INDEX(Platforms!$C$5:$C$14,MATCH(H373,Lists!$A$2:$A$11,0)))*(K373+IF(INDEX(Platforms!$E$5:$E$14,MATCH(H373,Lists!$A$2:$A$11,0))="Yes",N(L373),0))+N(INDEX(Platforms!$D$5:$D$14,MATCH(H373,Lists!$A$2:$A$11,0)))))),""))</f>
        <v/>
      </c>
      <c r="R373" s="16" t="str">
        <f t="shared" si="21"/>
        <v/>
      </c>
      <c r="S373" s="17" t="str">
        <f t="shared" si="22"/>
        <v/>
      </c>
      <c r="T373" s="18" t="str">
        <f t="shared" ca="1" si="23"/>
        <v/>
      </c>
    </row>
    <row r="374" spans="1:20" x14ac:dyDescent="0.35">
      <c r="A374" s="11"/>
      <c r="B374" s="11"/>
      <c r="C374" s="11"/>
      <c r="D374" s="12"/>
      <c r="E374" s="11"/>
      <c r="F374" s="13"/>
      <c r="G374" s="13"/>
      <c r="H374" s="11"/>
      <c r="I374" s="12"/>
      <c r="J374" s="12"/>
      <c r="K374" s="13"/>
      <c r="L374" s="13"/>
      <c r="M374" s="13"/>
      <c r="N374" s="13"/>
      <c r="O374" s="13"/>
      <c r="P374" s="14" t="str">
        <f t="shared" si="20"/>
        <v/>
      </c>
      <c r="Q374" s="15" t="str">
        <f>IF(OR(J374="",H374=""),"",IFERROR(IF(ISNUMBER(N374),N374,IF(K374&lt;N(INDEX(Platforms!$G$5:$G$14,MATCH(H374,Lists!$A$2:$A$11,0))),N(INDEX(Platforms!$H$5:$H$14,MATCH(H374,Lists!$A$2:$A$11,0))),MAX(N(INDEX(Platforms!$F$5:$F$14,MATCH(H374,Lists!$A$2:$A$11,0))),N(INDEX(Platforms!$C$5:$C$14,MATCH(H374,Lists!$A$2:$A$11,0)))*(K374+IF(INDEX(Platforms!$E$5:$E$14,MATCH(H374,Lists!$A$2:$A$11,0))="Yes",N(L374),0))+N(INDEX(Platforms!$D$5:$D$14,MATCH(H374,Lists!$A$2:$A$11,0)))))),""))</f>
        <v/>
      </c>
      <c r="R374" s="16" t="str">
        <f t="shared" si="21"/>
        <v/>
      </c>
      <c r="S374" s="17" t="str">
        <f t="shared" si="22"/>
        <v/>
      </c>
      <c r="T374" s="18" t="str">
        <f t="shared" ca="1" si="23"/>
        <v/>
      </c>
    </row>
    <row r="375" spans="1:20" x14ac:dyDescent="0.35">
      <c r="A375" s="11"/>
      <c r="B375" s="11"/>
      <c r="C375" s="11"/>
      <c r="D375" s="12"/>
      <c r="E375" s="11"/>
      <c r="F375" s="13"/>
      <c r="G375" s="13"/>
      <c r="H375" s="11"/>
      <c r="I375" s="12"/>
      <c r="J375" s="12"/>
      <c r="K375" s="13"/>
      <c r="L375" s="13"/>
      <c r="M375" s="13"/>
      <c r="N375" s="13"/>
      <c r="O375" s="13"/>
      <c r="P375" s="14" t="str">
        <f t="shared" si="20"/>
        <v/>
      </c>
      <c r="Q375" s="15" t="str">
        <f>IF(OR(J375="",H375=""),"",IFERROR(IF(ISNUMBER(N375),N375,IF(K375&lt;N(INDEX(Platforms!$G$5:$G$14,MATCH(H375,Lists!$A$2:$A$11,0))),N(INDEX(Platforms!$H$5:$H$14,MATCH(H375,Lists!$A$2:$A$11,0))),MAX(N(INDEX(Platforms!$F$5:$F$14,MATCH(H375,Lists!$A$2:$A$11,0))),N(INDEX(Platforms!$C$5:$C$14,MATCH(H375,Lists!$A$2:$A$11,0)))*(K375+IF(INDEX(Platforms!$E$5:$E$14,MATCH(H375,Lists!$A$2:$A$11,0))="Yes",N(L375),0))+N(INDEX(Platforms!$D$5:$D$14,MATCH(H375,Lists!$A$2:$A$11,0)))))),""))</f>
        <v/>
      </c>
      <c r="R375" s="16" t="str">
        <f t="shared" si="21"/>
        <v/>
      </c>
      <c r="S375" s="17" t="str">
        <f t="shared" si="22"/>
        <v/>
      </c>
      <c r="T375" s="18" t="str">
        <f t="shared" ca="1" si="23"/>
        <v/>
      </c>
    </row>
    <row r="376" spans="1:20" x14ac:dyDescent="0.35">
      <c r="A376" s="11"/>
      <c r="B376" s="11"/>
      <c r="C376" s="11"/>
      <c r="D376" s="12"/>
      <c r="E376" s="11"/>
      <c r="F376" s="13"/>
      <c r="G376" s="13"/>
      <c r="H376" s="11"/>
      <c r="I376" s="12"/>
      <c r="J376" s="12"/>
      <c r="K376" s="13"/>
      <c r="L376" s="13"/>
      <c r="M376" s="13"/>
      <c r="N376" s="13"/>
      <c r="O376" s="13"/>
      <c r="P376" s="14" t="str">
        <f t="shared" si="20"/>
        <v/>
      </c>
      <c r="Q376" s="15" t="str">
        <f>IF(OR(J376="",H376=""),"",IFERROR(IF(ISNUMBER(N376),N376,IF(K376&lt;N(INDEX(Platforms!$G$5:$G$14,MATCH(H376,Lists!$A$2:$A$11,0))),N(INDEX(Platforms!$H$5:$H$14,MATCH(H376,Lists!$A$2:$A$11,0))),MAX(N(INDEX(Platforms!$F$5:$F$14,MATCH(H376,Lists!$A$2:$A$11,0))),N(INDEX(Platforms!$C$5:$C$14,MATCH(H376,Lists!$A$2:$A$11,0)))*(K376+IF(INDEX(Platforms!$E$5:$E$14,MATCH(H376,Lists!$A$2:$A$11,0))="Yes",N(L376),0))+N(INDEX(Platforms!$D$5:$D$14,MATCH(H376,Lists!$A$2:$A$11,0)))))),""))</f>
        <v/>
      </c>
      <c r="R376" s="16" t="str">
        <f t="shared" si="21"/>
        <v/>
      </c>
      <c r="S376" s="17" t="str">
        <f t="shared" si="22"/>
        <v/>
      </c>
      <c r="T376" s="18" t="str">
        <f t="shared" ca="1" si="23"/>
        <v/>
      </c>
    </row>
    <row r="377" spans="1:20" x14ac:dyDescent="0.35">
      <c r="A377" s="11"/>
      <c r="B377" s="11"/>
      <c r="C377" s="11"/>
      <c r="D377" s="12"/>
      <c r="E377" s="11"/>
      <c r="F377" s="13"/>
      <c r="G377" s="13"/>
      <c r="H377" s="11"/>
      <c r="I377" s="12"/>
      <c r="J377" s="12"/>
      <c r="K377" s="13"/>
      <c r="L377" s="13"/>
      <c r="M377" s="13"/>
      <c r="N377" s="13"/>
      <c r="O377" s="13"/>
      <c r="P377" s="14" t="str">
        <f t="shared" si="20"/>
        <v/>
      </c>
      <c r="Q377" s="15" t="str">
        <f>IF(OR(J377="",H377=""),"",IFERROR(IF(ISNUMBER(N377),N377,IF(K377&lt;N(INDEX(Platforms!$G$5:$G$14,MATCH(H377,Lists!$A$2:$A$11,0))),N(INDEX(Platforms!$H$5:$H$14,MATCH(H377,Lists!$A$2:$A$11,0))),MAX(N(INDEX(Platforms!$F$5:$F$14,MATCH(H377,Lists!$A$2:$A$11,0))),N(INDEX(Platforms!$C$5:$C$14,MATCH(H377,Lists!$A$2:$A$11,0)))*(K377+IF(INDEX(Platforms!$E$5:$E$14,MATCH(H377,Lists!$A$2:$A$11,0))="Yes",N(L377),0))+N(INDEX(Platforms!$D$5:$D$14,MATCH(H377,Lists!$A$2:$A$11,0)))))),""))</f>
        <v/>
      </c>
      <c r="R377" s="16" t="str">
        <f t="shared" si="21"/>
        <v/>
      </c>
      <c r="S377" s="17" t="str">
        <f t="shared" si="22"/>
        <v/>
      </c>
      <c r="T377" s="18" t="str">
        <f t="shared" ca="1" si="23"/>
        <v/>
      </c>
    </row>
    <row r="378" spans="1:20" x14ac:dyDescent="0.35">
      <c r="A378" s="11"/>
      <c r="B378" s="11"/>
      <c r="C378" s="11"/>
      <c r="D378" s="12"/>
      <c r="E378" s="11"/>
      <c r="F378" s="13"/>
      <c r="G378" s="13"/>
      <c r="H378" s="11"/>
      <c r="I378" s="12"/>
      <c r="J378" s="12"/>
      <c r="K378" s="13"/>
      <c r="L378" s="13"/>
      <c r="M378" s="13"/>
      <c r="N378" s="13"/>
      <c r="O378" s="13"/>
      <c r="P378" s="14" t="str">
        <f t="shared" si="20"/>
        <v/>
      </c>
      <c r="Q378" s="15" t="str">
        <f>IF(OR(J378="",H378=""),"",IFERROR(IF(ISNUMBER(N378),N378,IF(K378&lt;N(INDEX(Platforms!$G$5:$G$14,MATCH(H378,Lists!$A$2:$A$11,0))),N(INDEX(Platforms!$H$5:$H$14,MATCH(H378,Lists!$A$2:$A$11,0))),MAX(N(INDEX(Platforms!$F$5:$F$14,MATCH(H378,Lists!$A$2:$A$11,0))),N(INDEX(Platforms!$C$5:$C$14,MATCH(H378,Lists!$A$2:$A$11,0)))*(K378+IF(INDEX(Platforms!$E$5:$E$14,MATCH(H378,Lists!$A$2:$A$11,0))="Yes",N(L378),0))+N(INDEX(Platforms!$D$5:$D$14,MATCH(H378,Lists!$A$2:$A$11,0)))))),""))</f>
        <v/>
      </c>
      <c r="R378" s="16" t="str">
        <f t="shared" si="21"/>
        <v/>
      </c>
      <c r="S378" s="17" t="str">
        <f t="shared" si="22"/>
        <v/>
      </c>
      <c r="T378" s="18" t="str">
        <f t="shared" ca="1" si="23"/>
        <v/>
      </c>
    </row>
    <row r="379" spans="1:20" x14ac:dyDescent="0.35">
      <c r="A379" s="11"/>
      <c r="B379" s="11"/>
      <c r="C379" s="11"/>
      <c r="D379" s="12"/>
      <c r="E379" s="11"/>
      <c r="F379" s="13"/>
      <c r="G379" s="13"/>
      <c r="H379" s="11"/>
      <c r="I379" s="12"/>
      <c r="J379" s="12"/>
      <c r="K379" s="13"/>
      <c r="L379" s="13"/>
      <c r="M379" s="13"/>
      <c r="N379" s="13"/>
      <c r="O379" s="13"/>
      <c r="P379" s="14" t="str">
        <f t="shared" si="20"/>
        <v/>
      </c>
      <c r="Q379" s="15" t="str">
        <f>IF(OR(J379="",H379=""),"",IFERROR(IF(ISNUMBER(N379),N379,IF(K379&lt;N(INDEX(Platforms!$G$5:$G$14,MATCH(H379,Lists!$A$2:$A$11,0))),N(INDEX(Platforms!$H$5:$H$14,MATCH(H379,Lists!$A$2:$A$11,0))),MAX(N(INDEX(Platforms!$F$5:$F$14,MATCH(H379,Lists!$A$2:$A$11,0))),N(INDEX(Platforms!$C$5:$C$14,MATCH(H379,Lists!$A$2:$A$11,0)))*(K379+IF(INDEX(Platforms!$E$5:$E$14,MATCH(H379,Lists!$A$2:$A$11,0))="Yes",N(L379),0))+N(INDEX(Platforms!$D$5:$D$14,MATCH(H379,Lists!$A$2:$A$11,0)))))),""))</f>
        <v/>
      </c>
      <c r="R379" s="16" t="str">
        <f t="shared" si="21"/>
        <v/>
      </c>
      <c r="S379" s="17" t="str">
        <f t="shared" si="22"/>
        <v/>
      </c>
      <c r="T379" s="18" t="str">
        <f t="shared" ca="1" si="23"/>
        <v/>
      </c>
    </row>
    <row r="380" spans="1:20" x14ac:dyDescent="0.35">
      <c r="A380" s="11"/>
      <c r="B380" s="11"/>
      <c r="C380" s="11"/>
      <c r="D380" s="12"/>
      <c r="E380" s="11"/>
      <c r="F380" s="13"/>
      <c r="G380" s="13"/>
      <c r="H380" s="11"/>
      <c r="I380" s="12"/>
      <c r="J380" s="12"/>
      <c r="K380" s="13"/>
      <c r="L380" s="13"/>
      <c r="M380" s="13"/>
      <c r="N380" s="13"/>
      <c r="O380" s="13"/>
      <c r="P380" s="14" t="str">
        <f t="shared" si="20"/>
        <v/>
      </c>
      <c r="Q380" s="15" t="str">
        <f>IF(OR(J380="",H380=""),"",IFERROR(IF(ISNUMBER(N380),N380,IF(K380&lt;N(INDEX(Platforms!$G$5:$G$14,MATCH(H380,Lists!$A$2:$A$11,0))),N(INDEX(Platforms!$H$5:$H$14,MATCH(H380,Lists!$A$2:$A$11,0))),MAX(N(INDEX(Platforms!$F$5:$F$14,MATCH(H380,Lists!$A$2:$A$11,0))),N(INDEX(Platforms!$C$5:$C$14,MATCH(H380,Lists!$A$2:$A$11,0)))*(K380+IF(INDEX(Platforms!$E$5:$E$14,MATCH(H380,Lists!$A$2:$A$11,0))="Yes",N(L380),0))+N(INDEX(Platforms!$D$5:$D$14,MATCH(H380,Lists!$A$2:$A$11,0)))))),""))</f>
        <v/>
      </c>
      <c r="R380" s="16" t="str">
        <f t="shared" si="21"/>
        <v/>
      </c>
      <c r="S380" s="17" t="str">
        <f t="shared" si="22"/>
        <v/>
      </c>
      <c r="T380" s="18" t="str">
        <f t="shared" ca="1" si="23"/>
        <v/>
      </c>
    </row>
    <row r="381" spans="1:20" x14ac:dyDescent="0.35">
      <c r="A381" s="11"/>
      <c r="B381" s="11"/>
      <c r="C381" s="11"/>
      <c r="D381" s="12"/>
      <c r="E381" s="11"/>
      <c r="F381" s="13"/>
      <c r="G381" s="13"/>
      <c r="H381" s="11"/>
      <c r="I381" s="12"/>
      <c r="J381" s="12"/>
      <c r="K381" s="13"/>
      <c r="L381" s="13"/>
      <c r="M381" s="13"/>
      <c r="N381" s="13"/>
      <c r="O381" s="13"/>
      <c r="P381" s="14" t="str">
        <f t="shared" si="20"/>
        <v/>
      </c>
      <c r="Q381" s="15" t="str">
        <f>IF(OR(J381="",H381=""),"",IFERROR(IF(ISNUMBER(N381),N381,IF(K381&lt;N(INDEX(Platforms!$G$5:$G$14,MATCH(H381,Lists!$A$2:$A$11,0))),N(INDEX(Platforms!$H$5:$H$14,MATCH(H381,Lists!$A$2:$A$11,0))),MAX(N(INDEX(Platforms!$F$5:$F$14,MATCH(H381,Lists!$A$2:$A$11,0))),N(INDEX(Platforms!$C$5:$C$14,MATCH(H381,Lists!$A$2:$A$11,0)))*(K381+IF(INDEX(Platforms!$E$5:$E$14,MATCH(H381,Lists!$A$2:$A$11,0))="Yes",N(L381),0))+N(INDEX(Platforms!$D$5:$D$14,MATCH(H381,Lists!$A$2:$A$11,0)))))),""))</f>
        <v/>
      </c>
      <c r="R381" s="16" t="str">
        <f t="shared" si="21"/>
        <v/>
      </c>
      <c r="S381" s="17" t="str">
        <f t="shared" si="22"/>
        <v/>
      </c>
      <c r="T381" s="18" t="str">
        <f t="shared" ca="1" si="23"/>
        <v/>
      </c>
    </row>
    <row r="382" spans="1:20" x14ac:dyDescent="0.35">
      <c r="A382" s="11"/>
      <c r="B382" s="11"/>
      <c r="C382" s="11"/>
      <c r="D382" s="12"/>
      <c r="E382" s="11"/>
      <c r="F382" s="13"/>
      <c r="G382" s="13"/>
      <c r="H382" s="11"/>
      <c r="I382" s="12"/>
      <c r="J382" s="12"/>
      <c r="K382" s="13"/>
      <c r="L382" s="13"/>
      <c r="M382" s="13"/>
      <c r="N382" s="13"/>
      <c r="O382" s="13"/>
      <c r="P382" s="14" t="str">
        <f t="shared" si="20"/>
        <v/>
      </c>
      <c r="Q382" s="15" t="str">
        <f>IF(OR(J382="",H382=""),"",IFERROR(IF(ISNUMBER(N382),N382,IF(K382&lt;N(INDEX(Platforms!$G$5:$G$14,MATCH(H382,Lists!$A$2:$A$11,0))),N(INDEX(Platforms!$H$5:$H$14,MATCH(H382,Lists!$A$2:$A$11,0))),MAX(N(INDEX(Platforms!$F$5:$F$14,MATCH(H382,Lists!$A$2:$A$11,0))),N(INDEX(Platforms!$C$5:$C$14,MATCH(H382,Lists!$A$2:$A$11,0)))*(K382+IF(INDEX(Platforms!$E$5:$E$14,MATCH(H382,Lists!$A$2:$A$11,0))="Yes",N(L382),0))+N(INDEX(Platforms!$D$5:$D$14,MATCH(H382,Lists!$A$2:$A$11,0)))))),""))</f>
        <v/>
      </c>
      <c r="R382" s="16" t="str">
        <f t="shared" si="21"/>
        <v/>
      </c>
      <c r="S382" s="17" t="str">
        <f t="shared" si="22"/>
        <v/>
      </c>
      <c r="T382" s="18" t="str">
        <f t="shared" ca="1" si="23"/>
        <v/>
      </c>
    </row>
    <row r="383" spans="1:20" x14ac:dyDescent="0.35">
      <c r="A383" s="11"/>
      <c r="B383" s="11"/>
      <c r="C383" s="11"/>
      <c r="D383" s="12"/>
      <c r="E383" s="11"/>
      <c r="F383" s="13"/>
      <c r="G383" s="13"/>
      <c r="H383" s="11"/>
      <c r="I383" s="12"/>
      <c r="J383" s="12"/>
      <c r="K383" s="13"/>
      <c r="L383" s="13"/>
      <c r="M383" s="13"/>
      <c r="N383" s="13"/>
      <c r="O383" s="13"/>
      <c r="P383" s="14" t="str">
        <f t="shared" si="20"/>
        <v/>
      </c>
      <c r="Q383" s="15" t="str">
        <f>IF(OR(J383="",H383=""),"",IFERROR(IF(ISNUMBER(N383),N383,IF(K383&lt;N(INDEX(Platforms!$G$5:$G$14,MATCH(H383,Lists!$A$2:$A$11,0))),N(INDEX(Platforms!$H$5:$H$14,MATCH(H383,Lists!$A$2:$A$11,0))),MAX(N(INDEX(Platforms!$F$5:$F$14,MATCH(H383,Lists!$A$2:$A$11,0))),N(INDEX(Platforms!$C$5:$C$14,MATCH(H383,Lists!$A$2:$A$11,0)))*(K383+IF(INDEX(Platforms!$E$5:$E$14,MATCH(H383,Lists!$A$2:$A$11,0))="Yes",N(L383),0))+N(INDEX(Platforms!$D$5:$D$14,MATCH(H383,Lists!$A$2:$A$11,0)))))),""))</f>
        <v/>
      </c>
      <c r="R383" s="16" t="str">
        <f t="shared" si="21"/>
        <v/>
      </c>
      <c r="S383" s="17" t="str">
        <f t="shared" si="22"/>
        <v/>
      </c>
      <c r="T383" s="18" t="str">
        <f t="shared" ca="1" si="23"/>
        <v/>
      </c>
    </row>
    <row r="384" spans="1:20" x14ac:dyDescent="0.35">
      <c r="A384" s="11"/>
      <c r="B384" s="11"/>
      <c r="C384" s="11"/>
      <c r="D384" s="12"/>
      <c r="E384" s="11"/>
      <c r="F384" s="13"/>
      <c r="G384" s="13"/>
      <c r="H384" s="11"/>
      <c r="I384" s="12"/>
      <c r="J384" s="12"/>
      <c r="K384" s="13"/>
      <c r="L384" s="13"/>
      <c r="M384" s="13"/>
      <c r="N384" s="13"/>
      <c r="O384" s="13"/>
      <c r="P384" s="14" t="str">
        <f t="shared" si="20"/>
        <v/>
      </c>
      <c r="Q384" s="15" t="str">
        <f>IF(OR(J384="",H384=""),"",IFERROR(IF(ISNUMBER(N384),N384,IF(K384&lt;N(INDEX(Platforms!$G$5:$G$14,MATCH(H384,Lists!$A$2:$A$11,0))),N(INDEX(Platforms!$H$5:$H$14,MATCH(H384,Lists!$A$2:$A$11,0))),MAX(N(INDEX(Platforms!$F$5:$F$14,MATCH(H384,Lists!$A$2:$A$11,0))),N(INDEX(Platforms!$C$5:$C$14,MATCH(H384,Lists!$A$2:$A$11,0)))*(K384+IF(INDEX(Platforms!$E$5:$E$14,MATCH(H384,Lists!$A$2:$A$11,0))="Yes",N(L384),0))+N(INDEX(Platforms!$D$5:$D$14,MATCH(H384,Lists!$A$2:$A$11,0)))))),""))</f>
        <v/>
      </c>
      <c r="R384" s="16" t="str">
        <f t="shared" si="21"/>
        <v/>
      </c>
      <c r="S384" s="17" t="str">
        <f t="shared" si="22"/>
        <v/>
      </c>
      <c r="T384" s="18" t="str">
        <f t="shared" ca="1" si="23"/>
        <v/>
      </c>
    </row>
    <row r="385" spans="1:20" x14ac:dyDescent="0.35">
      <c r="A385" s="11"/>
      <c r="B385" s="11"/>
      <c r="C385" s="11"/>
      <c r="D385" s="12"/>
      <c r="E385" s="11"/>
      <c r="F385" s="13"/>
      <c r="G385" s="13"/>
      <c r="H385" s="11"/>
      <c r="I385" s="12"/>
      <c r="J385" s="12"/>
      <c r="K385" s="13"/>
      <c r="L385" s="13"/>
      <c r="M385" s="13"/>
      <c r="N385" s="13"/>
      <c r="O385" s="13"/>
      <c r="P385" s="14" t="str">
        <f t="shared" si="20"/>
        <v/>
      </c>
      <c r="Q385" s="15" t="str">
        <f>IF(OR(J385="",H385=""),"",IFERROR(IF(ISNUMBER(N385),N385,IF(K385&lt;N(INDEX(Platforms!$G$5:$G$14,MATCH(H385,Lists!$A$2:$A$11,0))),N(INDEX(Platforms!$H$5:$H$14,MATCH(H385,Lists!$A$2:$A$11,0))),MAX(N(INDEX(Platforms!$F$5:$F$14,MATCH(H385,Lists!$A$2:$A$11,0))),N(INDEX(Platforms!$C$5:$C$14,MATCH(H385,Lists!$A$2:$A$11,0)))*(K385+IF(INDEX(Platforms!$E$5:$E$14,MATCH(H385,Lists!$A$2:$A$11,0))="Yes",N(L385),0))+N(INDEX(Platforms!$D$5:$D$14,MATCH(H385,Lists!$A$2:$A$11,0)))))),""))</f>
        <v/>
      </c>
      <c r="R385" s="16" t="str">
        <f t="shared" si="21"/>
        <v/>
      </c>
      <c r="S385" s="17" t="str">
        <f t="shared" si="22"/>
        <v/>
      </c>
      <c r="T385" s="18" t="str">
        <f t="shared" ca="1" si="23"/>
        <v/>
      </c>
    </row>
    <row r="386" spans="1:20" x14ac:dyDescent="0.35">
      <c r="A386" s="11"/>
      <c r="B386" s="11"/>
      <c r="C386" s="11"/>
      <c r="D386" s="12"/>
      <c r="E386" s="11"/>
      <c r="F386" s="13"/>
      <c r="G386" s="13"/>
      <c r="H386" s="11"/>
      <c r="I386" s="12"/>
      <c r="J386" s="12"/>
      <c r="K386" s="13"/>
      <c r="L386" s="13"/>
      <c r="M386" s="13"/>
      <c r="N386" s="13"/>
      <c r="O386" s="13"/>
      <c r="P386" s="14" t="str">
        <f t="shared" si="20"/>
        <v/>
      </c>
      <c r="Q386" s="15" t="str">
        <f>IF(OR(J386="",H386=""),"",IFERROR(IF(ISNUMBER(N386),N386,IF(K386&lt;N(INDEX(Platforms!$G$5:$G$14,MATCH(H386,Lists!$A$2:$A$11,0))),N(INDEX(Platforms!$H$5:$H$14,MATCH(H386,Lists!$A$2:$A$11,0))),MAX(N(INDEX(Platforms!$F$5:$F$14,MATCH(H386,Lists!$A$2:$A$11,0))),N(INDEX(Platforms!$C$5:$C$14,MATCH(H386,Lists!$A$2:$A$11,0)))*(K386+IF(INDEX(Platforms!$E$5:$E$14,MATCH(H386,Lists!$A$2:$A$11,0))="Yes",N(L386),0))+N(INDEX(Platforms!$D$5:$D$14,MATCH(H386,Lists!$A$2:$A$11,0)))))),""))</f>
        <v/>
      </c>
      <c r="R386" s="16" t="str">
        <f t="shared" si="21"/>
        <v/>
      </c>
      <c r="S386" s="17" t="str">
        <f t="shared" si="22"/>
        <v/>
      </c>
      <c r="T386" s="18" t="str">
        <f t="shared" ca="1" si="23"/>
        <v/>
      </c>
    </row>
    <row r="387" spans="1:20" x14ac:dyDescent="0.35">
      <c r="A387" s="11"/>
      <c r="B387" s="11"/>
      <c r="C387" s="11"/>
      <c r="D387" s="12"/>
      <c r="E387" s="11"/>
      <c r="F387" s="13"/>
      <c r="G387" s="13"/>
      <c r="H387" s="11"/>
      <c r="I387" s="12"/>
      <c r="J387" s="12"/>
      <c r="K387" s="13"/>
      <c r="L387" s="13"/>
      <c r="M387" s="13"/>
      <c r="N387" s="13"/>
      <c r="O387" s="13"/>
      <c r="P387" s="14" t="str">
        <f t="shared" si="20"/>
        <v/>
      </c>
      <c r="Q387" s="15" t="str">
        <f>IF(OR(J387="",H387=""),"",IFERROR(IF(ISNUMBER(N387),N387,IF(K387&lt;N(INDEX(Platforms!$G$5:$G$14,MATCH(H387,Lists!$A$2:$A$11,0))),N(INDEX(Platforms!$H$5:$H$14,MATCH(H387,Lists!$A$2:$A$11,0))),MAX(N(INDEX(Platforms!$F$5:$F$14,MATCH(H387,Lists!$A$2:$A$11,0))),N(INDEX(Platforms!$C$5:$C$14,MATCH(H387,Lists!$A$2:$A$11,0)))*(K387+IF(INDEX(Platforms!$E$5:$E$14,MATCH(H387,Lists!$A$2:$A$11,0))="Yes",N(L387),0))+N(INDEX(Platforms!$D$5:$D$14,MATCH(H387,Lists!$A$2:$A$11,0)))))),""))</f>
        <v/>
      </c>
      <c r="R387" s="16" t="str">
        <f t="shared" si="21"/>
        <v/>
      </c>
      <c r="S387" s="17" t="str">
        <f t="shared" si="22"/>
        <v/>
      </c>
      <c r="T387" s="18" t="str">
        <f t="shared" ca="1" si="23"/>
        <v/>
      </c>
    </row>
    <row r="388" spans="1:20" x14ac:dyDescent="0.35">
      <c r="A388" s="11"/>
      <c r="B388" s="11"/>
      <c r="C388" s="11"/>
      <c r="D388" s="12"/>
      <c r="E388" s="11"/>
      <c r="F388" s="13"/>
      <c r="G388" s="13"/>
      <c r="H388" s="11"/>
      <c r="I388" s="12"/>
      <c r="J388" s="12"/>
      <c r="K388" s="13"/>
      <c r="L388" s="13"/>
      <c r="M388" s="13"/>
      <c r="N388" s="13"/>
      <c r="O388" s="13"/>
      <c r="P388" s="14" t="str">
        <f t="shared" si="20"/>
        <v/>
      </c>
      <c r="Q388" s="15" t="str">
        <f>IF(OR(J388="",H388=""),"",IFERROR(IF(ISNUMBER(N388),N388,IF(K388&lt;N(INDEX(Platforms!$G$5:$G$14,MATCH(H388,Lists!$A$2:$A$11,0))),N(INDEX(Platforms!$H$5:$H$14,MATCH(H388,Lists!$A$2:$A$11,0))),MAX(N(INDEX(Platforms!$F$5:$F$14,MATCH(H388,Lists!$A$2:$A$11,0))),N(INDEX(Platforms!$C$5:$C$14,MATCH(H388,Lists!$A$2:$A$11,0)))*(K388+IF(INDEX(Platforms!$E$5:$E$14,MATCH(H388,Lists!$A$2:$A$11,0))="Yes",N(L388),0))+N(INDEX(Platforms!$D$5:$D$14,MATCH(H388,Lists!$A$2:$A$11,0)))))),""))</f>
        <v/>
      </c>
      <c r="R388" s="16" t="str">
        <f t="shared" si="21"/>
        <v/>
      </c>
      <c r="S388" s="17" t="str">
        <f t="shared" si="22"/>
        <v/>
      </c>
      <c r="T388" s="18" t="str">
        <f t="shared" ca="1" si="23"/>
        <v/>
      </c>
    </row>
    <row r="389" spans="1:20" x14ac:dyDescent="0.35">
      <c r="A389" s="11"/>
      <c r="B389" s="11"/>
      <c r="C389" s="11"/>
      <c r="D389" s="12"/>
      <c r="E389" s="11"/>
      <c r="F389" s="13"/>
      <c r="G389" s="13"/>
      <c r="H389" s="11"/>
      <c r="I389" s="12"/>
      <c r="J389" s="12"/>
      <c r="K389" s="13"/>
      <c r="L389" s="13"/>
      <c r="M389" s="13"/>
      <c r="N389" s="13"/>
      <c r="O389" s="13"/>
      <c r="P389" s="14" t="str">
        <f t="shared" ref="P389:P452" si="24">IF(OR(B389&lt;&gt;"",F389&lt;&gt;"",H389&lt;&gt;"",J389&lt;&gt;"",K389&lt;&gt;""),IF(J389&lt;&gt;"","Sold",IF(I389&lt;&gt;"","Listed","In stock")),"")</f>
        <v/>
      </c>
      <c r="Q389" s="15" t="str">
        <f>IF(OR(J389="",H389=""),"",IFERROR(IF(ISNUMBER(N389),N389,IF(K389&lt;N(INDEX(Platforms!$G$5:$G$14,MATCH(H389,Lists!$A$2:$A$11,0))),N(INDEX(Platforms!$H$5:$H$14,MATCH(H389,Lists!$A$2:$A$11,0))),MAX(N(INDEX(Platforms!$F$5:$F$14,MATCH(H389,Lists!$A$2:$A$11,0))),N(INDEX(Platforms!$C$5:$C$14,MATCH(H389,Lists!$A$2:$A$11,0)))*(K389+IF(INDEX(Platforms!$E$5:$E$14,MATCH(H389,Lists!$A$2:$A$11,0))="Yes",N(L389),0))+N(INDEX(Platforms!$D$5:$D$14,MATCH(H389,Lists!$A$2:$A$11,0)))))),""))</f>
        <v/>
      </c>
      <c r="R389" s="16" t="str">
        <f t="shared" ref="R389:R452" si="25">IF(J389="","",IFERROR(K389+N(L389)-N(O389)-Q389-N(M389)-N(F389)-N(G389),""))</f>
        <v/>
      </c>
      <c r="S389" s="17" t="str">
        <f t="shared" ref="S389:S452" si="26">IF(OR(R389="",N(F389)+N(G389)=0),"",R389/(N(F389)+N(G389)))</f>
        <v/>
      </c>
      <c r="T389" s="18" t="str">
        <f t="shared" ref="T389:T452" ca="1" si="27">IFERROR(IF(ISNUMBER(D389),IF(ISNUMBER(J389),J389,IF(J389="",TODAY(),""))-D389,""),"")</f>
        <v/>
      </c>
    </row>
    <row r="390" spans="1:20" x14ac:dyDescent="0.35">
      <c r="A390" s="11"/>
      <c r="B390" s="11"/>
      <c r="C390" s="11"/>
      <c r="D390" s="12"/>
      <c r="E390" s="11"/>
      <c r="F390" s="13"/>
      <c r="G390" s="13"/>
      <c r="H390" s="11"/>
      <c r="I390" s="12"/>
      <c r="J390" s="12"/>
      <c r="K390" s="13"/>
      <c r="L390" s="13"/>
      <c r="M390" s="13"/>
      <c r="N390" s="13"/>
      <c r="O390" s="13"/>
      <c r="P390" s="14" t="str">
        <f t="shared" si="24"/>
        <v/>
      </c>
      <c r="Q390" s="15" t="str">
        <f>IF(OR(J390="",H390=""),"",IFERROR(IF(ISNUMBER(N390),N390,IF(K390&lt;N(INDEX(Platforms!$G$5:$G$14,MATCH(H390,Lists!$A$2:$A$11,0))),N(INDEX(Platforms!$H$5:$H$14,MATCH(H390,Lists!$A$2:$A$11,0))),MAX(N(INDEX(Platforms!$F$5:$F$14,MATCH(H390,Lists!$A$2:$A$11,0))),N(INDEX(Platforms!$C$5:$C$14,MATCH(H390,Lists!$A$2:$A$11,0)))*(K390+IF(INDEX(Platforms!$E$5:$E$14,MATCH(H390,Lists!$A$2:$A$11,0))="Yes",N(L390),0))+N(INDEX(Platforms!$D$5:$D$14,MATCH(H390,Lists!$A$2:$A$11,0)))))),""))</f>
        <v/>
      </c>
      <c r="R390" s="16" t="str">
        <f t="shared" si="25"/>
        <v/>
      </c>
      <c r="S390" s="17" t="str">
        <f t="shared" si="26"/>
        <v/>
      </c>
      <c r="T390" s="18" t="str">
        <f t="shared" ca="1" si="27"/>
        <v/>
      </c>
    </row>
    <row r="391" spans="1:20" x14ac:dyDescent="0.35">
      <c r="A391" s="11"/>
      <c r="B391" s="11"/>
      <c r="C391" s="11"/>
      <c r="D391" s="12"/>
      <c r="E391" s="11"/>
      <c r="F391" s="13"/>
      <c r="G391" s="13"/>
      <c r="H391" s="11"/>
      <c r="I391" s="12"/>
      <c r="J391" s="12"/>
      <c r="K391" s="13"/>
      <c r="L391" s="13"/>
      <c r="M391" s="13"/>
      <c r="N391" s="13"/>
      <c r="O391" s="13"/>
      <c r="P391" s="14" t="str">
        <f t="shared" si="24"/>
        <v/>
      </c>
      <c r="Q391" s="15" t="str">
        <f>IF(OR(J391="",H391=""),"",IFERROR(IF(ISNUMBER(N391),N391,IF(K391&lt;N(INDEX(Platforms!$G$5:$G$14,MATCH(H391,Lists!$A$2:$A$11,0))),N(INDEX(Platforms!$H$5:$H$14,MATCH(H391,Lists!$A$2:$A$11,0))),MAX(N(INDEX(Platforms!$F$5:$F$14,MATCH(H391,Lists!$A$2:$A$11,0))),N(INDEX(Platforms!$C$5:$C$14,MATCH(H391,Lists!$A$2:$A$11,0)))*(K391+IF(INDEX(Platforms!$E$5:$E$14,MATCH(H391,Lists!$A$2:$A$11,0))="Yes",N(L391),0))+N(INDEX(Platforms!$D$5:$D$14,MATCH(H391,Lists!$A$2:$A$11,0)))))),""))</f>
        <v/>
      </c>
      <c r="R391" s="16" t="str">
        <f t="shared" si="25"/>
        <v/>
      </c>
      <c r="S391" s="17" t="str">
        <f t="shared" si="26"/>
        <v/>
      </c>
      <c r="T391" s="18" t="str">
        <f t="shared" ca="1" si="27"/>
        <v/>
      </c>
    </row>
    <row r="392" spans="1:20" x14ac:dyDescent="0.35">
      <c r="A392" s="11"/>
      <c r="B392" s="11"/>
      <c r="C392" s="11"/>
      <c r="D392" s="12"/>
      <c r="E392" s="11"/>
      <c r="F392" s="13"/>
      <c r="G392" s="13"/>
      <c r="H392" s="11"/>
      <c r="I392" s="12"/>
      <c r="J392" s="12"/>
      <c r="K392" s="13"/>
      <c r="L392" s="13"/>
      <c r="M392" s="13"/>
      <c r="N392" s="13"/>
      <c r="O392" s="13"/>
      <c r="P392" s="14" t="str">
        <f t="shared" si="24"/>
        <v/>
      </c>
      <c r="Q392" s="15" t="str">
        <f>IF(OR(J392="",H392=""),"",IFERROR(IF(ISNUMBER(N392),N392,IF(K392&lt;N(INDEX(Platforms!$G$5:$G$14,MATCH(H392,Lists!$A$2:$A$11,0))),N(INDEX(Platforms!$H$5:$H$14,MATCH(H392,Lists!$A$2:$A$11,0))),MAX(N(INDEX(Platforms!$F$5:$F$14,MATCH(H392,Lists!$A$2:$A$11,0))),N(INDEX(Platforms!$C$5:$C$14,MATCH(H392,Lists!$A$2:$A$11,0)))*(K392+IF(INDEX(Platforms!$E$5:$E$14,MATCH(H392,Lists!$A$2:$A$11,0))="Yes",N(L392),0))+N(INDEX(Platforms!$D$5:$D$14,MATCH(H392,Lists!$A$2:$A$11,0)))))),""))</f>
        <v/>
      </c>
      <c r="R392" s="16" t="str">
        <f t="shared" si="25"/>
        <v/>
      </c>
      <c r="S392" s="17" t="str">
        <f t="shared" si="26"/>
        <v/>
      </c>
      <c r="T392" s="18" t="str">
        <f t="shared" ca="1" si="27"/>
        <v/>
      </c>
    </row>
    <row r="393" spans="1:20" x14ac:dyDescent="0.35">
      <c r="A393" s="11"/>
      <c r="B393" s="11"/>
      <c r="C393" s="11"/>
      <c r="D393" s="12"/>
      <c r="E393" s="11"/>
      <c r="F393" s="13"/>
      <c r="G393" s="13"/>
      <c r="H393" s="11"/>
      <c r="I393" s="12"/>
      <c r="J393" s="12"/>
      <c r="K393" s="13"/>
      <c r="L393" s="13"/>
      <c r="M393" s="13"/>
      <c r="N393" s="13"/>
      <c r="O393" s="13"/>
      <c r="P393" s="14" t="str">
        <f t="shared" si="24"/>
        <v/>
      </c>
      <c r="Q393" s="15" t="str">
        <f>IF(OR(J393="",H393=""),"",IFERROR(IF(ISNUMBER(N393),N393,IF(K393&lt;N(INDEX(Platforms!$G$5:$G$14,MATCH(H393,Lists!$A$2:$A$11,0))),N(INDEX(Platforms!$H$5:$H$14,MATCH(H393,Lists!$A$2:$A$11,0))),MAX(N(INDEX(Platforms!$F$5:$F$14,MATCH(H393,Lists!$A$2:$A$11,0))),N(INDEX(Platforms!$C$5:$C$14,MATCH(H393,Lists!$A$2:$A$11,0)))*(K393+IF(INDEX(Platforms!$E$5:$E$14,MATCH(H393,Lists!$A$2:$A$11,0))="Yes",N(L393),0))+N(INDEX(Platforms!$D$5:$D$14,MATCH(H393,Lists!$A$2:$A$11,0)))))),""))</f>
        <v/>
      </c>
      <c r="R393" s="16" t="str">
        <f t="shared" si="25"/>
        <v/>
      </c>
      <c r="S393" s="17" t="str">
        <f t="shared" si="26"/>
        <v/>
      </c>
      <c r="T393" s="18" t="str">
        <f t="shared" ca="1" si="27"/>
        <v/>
      </c>
    </row>
    <row r="394" spans="1:20" x14ac:dyDescent="0.35">
      <c r="A394" s="11"/>
      <c r="B394" s="11"/>
      <c r="C394" s="11"/>
      <c r="D394" s="12"/>
      <c r="E394" s="11"/>
      <c r="F394" s="13"/>
      <c r="G394" s="13"/>
      <c r="H394" s="11"/>
      <c r="I394" s="12"/>
      <c r="J394" s="12"/>
      <c r="K394" s="13"/>
      <c r="L394" s="13"/>
      <c r="M394" s="13"/>
      <c r="N394" s="13"/>
      <c r="O394" s="13"/>
      <c r="P394" s="14" t="str">
        <f t="shared" si="24"/>
        <v/>
      </c>
      <c r="Q394" s="15" t="str">
        <f>IF(OR(J394="",H394=""),"",IFERROR(IF(ISNUMBER(N394),N394,IF(K394&lt;N(INDEX(Platforms!$G$5:$G$14,MATCH(H394,Lists!$A$2:$A$11,0))),N(INDEX(Platforms!$H$5:$H$14,MATCH(H394,Lists!$A$2:$A$11,0))),MAX(N(INDEX(Platforms!$F$5:$F$14,MATCH(H394,Lists!$A$2:$A$11,0))),N(INDEX(Platforms!$C$5:$C$14,MATCH(H394,Lists!$A$2:$A$11,0)))*(K394+IF(INDEX(Platforms!$E$5:$E$14,MATCH(H394,Lists!$A$2:$A$11,0))="Yes",N(L394),0))+N(INDEX(Platforms!$D$5:$D$14,MATCH(H394,Lists!$A$2:$A$11,0)))))),""))</f>
        <v/>
      </c>
      <c r="R394" s="16" t="str">
        <f t="shared" si="25"/>
        <v/>
      </c>
      <c r="S394" s="17" t="str">
        <f t="shared" si="26"/>
        <v/>
      </c>
      <c r="T394" s="18" t="str">
        <f t="shared" ca="1" si="27"/>
        <v/>
      </c>
    </row>
    <row r="395" spans="1:20" x14ac:dyDescent="0.35">
      <c r="A395" s="11"/>
      <c r="B395" s="11"/>
      <c r="C395" s="11"/>
      <c r="D395" s="12"/>
      <c r="E395" s="11"/>
      <c r="F395" s="13"/>
      <c r="G395" s="13"/>
      <c r="H395" s="11"/>
      <c r="I395" s="12"/>
      <c r="J395" s="12"/>
      <c r="K395" s="13"/>
      <c r="L395" s="13"/>
      <c r="M395" s="13"/>
      <c r="N395" s="13"/>
      <c r="O395" s="13"/>
      <c r="P395" s="14" t="str">
        <f t="shared" si="24"/>
        <v/>
      </c>
      <c r="Q395" s="15" t="str">
        <f>IF(OR(J395="",H395=""),"",IFERROR(IF(ISNUMBER(N395),N395,IF(K395&lt;N(INDEX(Platforms!$G$5:$G$14,MATCH(H395,Lists!$A$2:$A$11,0))),N(INDEX(Platforms!$H$5:$H$14,MATCH(H395,Lists!$A$2:$A$11,0))),MAX(N(INDEX(Platforms!$F$5:$F$14,MATCH(H395,Lists!$A$2:$A$11,0))),N(INDEX(Platforms!$C$5:$C$14,MATCH(H395,Lists!$A$2:$A$11,0)))*(K395+IF(INDEX(Platforms!$E$5:$E$14,MATCH(H395,Lists!$A$2:$A$11,0))="Yes",N(L395),0))+N(INDEX(Platforms!$D$5:$D$14,MATCH(H395,Lists!$A$2:$A$11,0)))))),""))</f>
        <v/>
      </c>
      <c r="R395" s="16" t="str">
        <f t="shared" si="25"/>
        <v/>
      </c>
      <c r="S395" s="17" t="str">
        <f t="shared" si="26"/>
        <v/>
      </c>
      <c r="T395" s="18" t="str">
        <f t="shared" ca="1" si="27"/>
        <v/>
      </c>
    </row>
    <row r="396" spans="1:20" x14ac:dyDescent="0.35">
      <c r="A396" s="11"/>
      <c r="B396" s="11"/>
      <c r="C396" s="11"/>
      <c r="D396" s="12"/>
      <c r="E396" s="11"/>
      <c r="F396" s="13"/>
      <c r="G396" s="13"/>
      <c r="H396" s="11"/>
      <c r="I396" s="12"/>
      <c r="J396" s="12"/>
      <c r="K396" s="13"/>
      <c r="L396" s="13"/>
      <c r="M396" s="13"/>
      <c r="N396" s="13"/>
      <c r="O396" s="13"/>
      <c r="P396" s="14" t="str">
        <f t="shared" si="24"/>
        <v/>
      </c>
      <c r="Q396" s="15" t="str">
        <f>IF(OR(J396="",H396=""),"",IFERROR(IF(ISNUMBER(N396),N396,IF(K396&lt;N(INDEX(Platforms!$G$5:$G$14,MATCH(H396,Lists!$A$2:$A$11,0))),N(INDEX(Platforms!$H$5:$H$14,MATCH(H396,Lists!$A$2:$A$11,0))),MAX(N(INDEX(Platforms!$F$5:$F$14,MATCH(H396,Lists!$A$2:$A$11,0))),N(INDEX(Platforms!$C$5:$C$14,MATCH(H396,Lists!$A$2:$A$11,0)))*(K396+IF(INDEX(Platforms!$E$5:$E$14,MATCH(H396,Lists!$A$2:$A$11,0))="Yes",N(L396),0))+N(INDEX(Platforms!$D$5:$D$14,MATCH(H396,Lists!$A$2:$A$11,0)))))),""))</f>
        <v/>
      </c>
      <c r="R396" s="16" t="str">
        <f t="shared" si="25"/>
        <v/>
      </c>
      <c r="S396" s="17" t="str">
        <f t="shared" si="26"/>
        <v/>
      </c>
      <c r="T396" s="18" t="str">
        <f t="shared" ca="1" si="27"/>
        <v/>
      </c>
    </row>
    <row r="397" spans="1:20" x14ac:dyDescent="0.35">
      <c r="A397" s="11"/>
      <c r="B397" s="11"/>
      <c r="C397" s="11"/>
      <c r="D397" s="12"/>
      <c r="E397" s="11"/>
      <c r="F397" s="13"/>
      <c r="G397" s="13"/>
      <c r="H397" s="11"/>
      <c r="I397" s="12"/>
      <c r="J397" s="12"/>
      <c r="K397" s="13"/>
      <c r="L397" s="13"/>
      <c r="M397" s="13"/>
      <c r="N397" s="13"/>
      <c r="O397" s="13"/>
      <c r="P397" s="14" t="str">
        <f t="shared" si="24"/>
        <v/>
      </c>
      <c r="Q397" s="15" t="str">
        <f>IF(OR(J397="",H397=""),"",IFERROR(IF(ISNUMBER(N397),N397,IF(K397&lt;N(INDEX(Platforms!$G$5:$G$14,MATCH(H397,Lists!$A$2:$A$11,0))),N(INDEX(Platforms!$H$5:$H$14,MATCH(H397,Lists!$A$2:$A$11,0))),MAX(N(INDEX(Platforms!$F$5:$F$14,MATCH(H397,Lists!$A$2:$A$11,0))),N(INDEX(Platforms!$C$5:$C$14,MATCH(H397,Lists!$A$2:$A$11,0)))*(K397+IF(INDEX(Platforms!$E$5:$E$14,MATCH(H397,Lists!$A$2:$A$11,0))="Yes",N(L397),0))+N(INDEX(Platforms!$D$5:$D$14,MATCH(H397,Lists!$A$2:$A$11,0)))))),""))</f>
        <v/>
      </c>
      <c r="R397" s="16" t="str">
        <f t="shared" si="25"/>
        <v/>
      </c>
      <c r="S397" s="17" t="str">
        <f t="shared" si="26"/>
        <v/>
      </c>
      <c r="T397" s="18" t="str">
        <f t="shared" ca="1" si="27"/>
        <v/>
      </c>
    </row>
    <row r="398" spans="1:20" x14ac:dyDescent="0.35">
      <c r="A398" s="11"/>
      <c r="B398" s="11"/>
      <c r="C398" s="11"/>
      <c r="D398" s="12"/>
      <c r="E398" s="11"/>
      <c r="F398" s="13"/>
      <c r="G398" s="13"/>
      <c r="H398" s="11"/>
      <c r="I398" s="12"/>
      <c r="J398" s="12"/>
      <c r="K398" s="13"/>
      <c r="L398" s="13"/>
      <c r="M398" s="13"/>
      <c r="N398" s="13"/>
      <c r="O398" s="13"/>
      <c r="P398" s="14" t="str">
        <f t="shared" si="24"/>
        <v/>
      </c>
      <c r="Q398" s="15" t="str">
        <f>IF(OR(J398="",H398=""),"",IFERROR(IF(ISNUMBER(N398),N398,IF(K398&lt;N(INDEX(Platforms!$G$5:$G$14,MATCH(H398,Lists!$A$2:$A$11,0))),N(INDEX(Platforms!$H$5:$H$14,MATCH(H398,Lists!$A$2:$A$11,0))),MAX(N(INDEX(Platforms!$F$5:$F$14,MATCH(H398,Lists!$A$2:$A$11,0))),N(INDEX(Platforms!$C$5:$C$14,MATCH(H398,Lists!$A$2:$A$11,0)))*(K398+IF(INDEX(Platforms!$E$5:$E$14,MATCH(H398,Lists!$A$2:$A$11,0))="Yes",N(L398),0))+N(INDEX(Platforms!$D$5:$D$14,MATCH(H398,Lists!$A$2:$A$11,0)))))),""))</f>
        <v/>
      </c>
      <c r="R398" s="16" t="str">
        <f t="shared" si="25"/>
        <v/>
      </c>
      <c r="S398" s="17" t="str">
        <f t="shared" si="26"/>
        <v/>
      </c>
      <c r="T398" s="18" t="str">
        <f t="shared" ca="1" si="27"/>
        <v/>
      </c>
    </row>
    <row r="399" spans="1:20" x14ac:dyDescent="0.35">
      <c r="A399" s="11"/>
      <c r="B399" s="11"/>
      <c r="C399" s="11"/>
      <c r="D399" s="12"/>
      <c r="E399" s="11"/>
      <c r="F399" s="13"/>
      <c r="G399" s="13"/>
      <c r="H399" s="11"/>
      <c r="I399" s="12"/>
      <c r="J399" s="12"/>
      <c r="K399" s="13"/>
      <c r="L399" s="13"/>
      <c r="M399" s="13"/>
      <c r="N399" s="13"/>
      <c r="O399" s="13"/>
      <c r="P399" s="14" t="str">
        <f t="shared" si="24"/>
        <v/>
      </c>
      <c r="Q399" s="15" t="str">
        <f>IF(OR(J399="",H399=""),"",IFERROR(IF(ISNUMBER(N399),N399,IF(K399&lt;N(INDEX(Platforms!$G$5:$G$14,MATCH(H399,Lists!$A$2:$A$11,0))),N(INDEX(Platforms!$H$5:$H$14,MATCH(H399,Lists!$A$2:$A$11,0))),MAX(N(INDEX(Platforms!$F$5:$F$14,MATCH(H399,Lists!$A$2:$A$11,0))),N(INDEX(Platforms!$C$5:$C$14,MATCH(H399,Lists!$A$2:$A$11,0)))*(K399+IF(INDEX(Platforms!$E$5:$E$14,MATCH(H399,Lists!$A$2:$A$11,0))="Yes",N(L399),0))+N(INDEX(Platforms!$D$5:$D$14,MATCH(H399,Lists!$A$2:$A$11,0)))))),""))</f>
        <v/>
      </c>
      <c r="R399" s="16" t="str">
        <f t="shared" si="25"/>
        <v/>
      </c>
      <c r="S399" s="17" t="str">
        <f t="shared" si="26"/>
        <v/>
      </c>
      <c r="T399" s="18" t="str">
        <f t="shared" ca="1" si="27"/>
        <v/>
      </c>
    </row>
    <row r="400" spans="1:20" x14ac:dyDescent="0.35">
      <c r="A400" s="11"/>
      <c r="B400" s="11"/>
      <c r="C400" s="11"/>
      <c r="D400" s="12"/>
      <c r="E400" s="11"/>
      <c r="F400" s="13"/>
      <c r="G400" s="13"/>
      <c r="H400" s="11"/>
      <c r="I400" s="12"/>
      <c r="J400" s="12"/>
      <c r="K400" s="13"/>
      <c r="L400" s="13"/>
      <c r="M400" s="13"/>
      <c r="N400" s="13"/>
      <c r="O400" s="13"/>
      <c r="P400" s="14" t="str">
        <f t="shared" si="24"/>
        <v/>
      </c>
      <c r="Q400" s="15" t="str">
        <f>IF(OR(J400="",H400=""),"",IFERROR(IF(ISNUMBER(N400),N400,IF(K400&lt;N(INDEX(Platforms!$G$5:$G$14,MATCH(H400,Lists!$A$2:$A$11,0))),N(INDEX(Platforms!$H$5:$H$14,MATCH(H400,Lists!$A$2:$A$11,0))),MAX(N(INDEX(Platforms!$F$5:$F$14,MATCH(H400,Lists!$A$2:$A$11,0))),N(INDEX(Platforms!$C$5:$C$14,MATCH(H400,Lists!$A$2:$A$11,0)))*(K400+IF(INDEX(Platforms!$E$5:$E$14,MATCH(H400,Lists!$A$2:$A$11,0))="Yes",N(L400),0))+N(INDEX(Platforms!$D$5:$D$14,MATCH(H400,Lists!$A$2:$A$11,0)))))),""))</f>
        <v/>
      </c>
      <c r="R400" s="16" t="str">
        <f t="shared" si="25"/>
        <v/>
      </c>
      <c r="S400" s="17" t="str">
        <f t="shared" si="26"/>
        <v/>
      </c>
      <c r="T400" s="18" t="str">
        <f t="shared" ca="1" si="27"/>
        <v/>
      </c>
    </row>
    <row r="401" spans="1:20" x14ac:dyDescent="0.35">
      <c r="A401" s="11"/>
      <c r="B401" s="11"/>
      <c r="C401" s="11"/>
      <c r="D401" s="12"/>
      <c r="E401" s="11"/>
      <c r="F401" s="13"/>
      <c r="G401" s="13"/>
      <c r="H401" s="11"/>
      <c r="I401" s="12"/>
      <c r="J401" s="12"/>
      <c r="K401" s="13"/>
      <c r="L401" s="13"/>
      <c r="M401" s="13"/>
      <c r="N401" s="13"/>
      <c r="O401" s="13"/>
      <c r="P401" s="14" t="str">
        <f t="shared" si="24"/>
        <v/>
      </c>
      <c r="Q401" s="15" t="str">
        <f>IF(OR(J401="",H401=""),"",IFERROR(IF(ISNUMBER(N401),N401,IF(K401&lt;N(INDEX(Platforms!$G$5:$G$14,MATCH(H401,Lists!$A$2:$A$11,0))),N(INDEX(Platforms!$H$5:$H$14,MATCH(H401,Lists!$A$2:$A$11,0))),MAX(N(INDEX(Platforms!$F$5:$F$14,MATCH(H401,Lists!$A$2:$A$11,0))),N(INDEX(Platforms!$C$5:$C$14,MATCH(H401,Lists!$A$2:$A$11,0)))*(K401+IF(INDEX(Platforms!$E$5:$E$14,MATCH(H401,Lists!$A$2:$A$11,0))="Yes",N(L401),0))+N(INDEX(Platforms!$D$5:$D$14,MATCH(H401,Lists!$A$2:$A$11,0)))))),""))</f>
        <v/>
      </c>
      <c r="R401" s="16" t="str">
        <f t="shared" si="25"/>
        <v/>
      </c>
      <c r="S401" s="17" t="str">
        <f t="shared" si="26"/>
        <v/>
      </c>
      <c r="T401" s="18" t="str">
        <f t="shared" ca="1" si="27"/>
        <v/>
      </c>
    </row>
    <row r="402" spans="1:20" x14ac:dyDescent="0.35">
      <c r="A402" s="11"/>
      <c r="B402" s="11"/>
      <c r="C402" s="11"/>
      <c r="D402" s="12"/>
      <c r="E402" s="11"/>
      <c r="F402" s="13"/>
      <c r="G402" s="13"/>
      <c r="H402" s="11"/>
      <c r="I402" s="12"/>
      <c r="J402" s="12"/>
      <c r="K402" s="13"/>
      <c r="L402" s="13"/>
      <c r="M402" s="13"/>
      <c r="N402" s="13"/>
      <c r="O402" s="13"/>
      <c r="P402" s="14" t="str">
        <f t="shared" si="24"/>
        <v/>
      </c>
      <c r="Q402" s="15" t="str">
        <f>IF(OR(J402="",H402=""),"",IFERROR(IF(ISNUMBER(N402),N402,IF(K402&lt;N(INDEX(Platforms!$G$5:$G$14,MATCH(H402,Lists!$A$2:$A$11,0))),N(INDEX(Platforms!$H$5:$H$14,MATCH(H402,Lists!$A$2:$A$11,0))),MAX(N(INDEX(Platforms!$F$5:$F$14,MATCH(H402,Lists!$A$2:$A$11,0))),N(INDEX(Platforms!$C$5:$C$14,MATCH(H402,Lists!$A$2:$A$11,0)))*(K402+IF(INDEX(Platforms!$E$5:$E$14,MATCH(H402,Lists!$A$2:$A$11,0))="Yes",N(L402),0))+N(INDEX(Platforms!$D$5:$D$14,MATCH(H402,Lists!$A$2:$A$11,0)))))),""))</f>
        <v/>
      </c>
      <c r="R402" s="16" t="str">
        <f t="shared" si="25"/>
        <v/>
      </c>
      <c r="S402" s="17" t="str">
        <f t="shared" si="26"/>
        <v/>
      </c>
      <c r="T402" s="18" t="str">
        <f t="shared" ca="1" si="27"/>
        <v/>
      </c>
    </row>
    <row r="403" spans="1:20" x14ac:dyDescent="0.35">
      <c r="A403" s="11"/>
      <c r="B403" s="11"/>
      <c r="C403" s="11"/>
      <c r="D403" s="12"/>
      <c r="E403" s="11"/>
      <c r="F403" s="13"/>
      <c r="G403" s="13"/>
      <c r="H403" s="11"/>
      <c r="I403" s="12"/>
      <c r="J403" s="12"/>
      <c r="K403" s="13"/>
      <c r="L403" s="13"/>
      <c r="M403" s="13"/>
      <c r="N403" s="13"/>
      <c r="O403" s="13"/>
      <c r="P403" s="14" t="str">
        <f t="shared" si="24"/>
        <v/>
      </c>
      <c r="Q403" s="15" t="str">
        <f>IF(OR(J403="",H403=""),"",IFERROR(IF(ISNUMBER(N403),N403,IF(K403&lt;N(INDEX(Platforms!$G$5:$G$14,MATCH(H403,Lists!$A$2:$A$11,0))),N(INDEX(Platforms!$H$5:$H$14,MATCH(H403,Lists!$A$2:$A$11,0))),MAX(N(INDEX(Platforms!$F$5:$F$14,MATCH(H403,Lists!$A$2:$A$11,0))),N(INDEX(Platforms!$C$5:$C$14,MATCH(H403,Lists!$A$2:$A$11,0)))*(K403+IF(INDEX(Platforms!$E$5:$E$14,MATCH(H403,Lists!$A$2:$A$11,0))="Yes",N(L403),0))+N(INDEX(Platforms!$D$5:$D$14,MATCH(H403,Lists!$A$2:$A$11,0)))))),""))</f>
        <v/>
      </c>
      <c r="R403" s="16" t="str">
        <f t="shared" si="25"/>
        <v/>
      </c>
      <c r="S403" s="17" t="str">
        <f t="shared" si="26"/>
        <v/>
      </c>
      <c r="T403" s="18" t="str">
        <f t="shared" ca="1" si="27"/>
        <v/>
      </c>
    </row>
    <row r="404" spans="1:20" x14ac:dyDescent="0.35">
      <c r="A404" s="11"/>
      <c r="B404" s="11"/>
      <c r="C404" s="11"/>
      <c r="D404" s="12"/>
      <c r="E404" s="11"/>
      <c r="F404" s="13"/>
      <c r="G404" s="13"/>
      <c r="H404" s="11"/>
      <c r="I404" s="12"/>
      <c r="J404" s="12"/>
      <c r="K404" s="13"/>
      <c r="L404" s="13"/>
      <c r="M404" s="13"/>
      <c r="N404" s="13"/>
      <c r="O404" s="13"/>
      <c r="P404" s="14" t="str">
        <f t="shared" si="24"/>
        <v/>
      </c>
      <c r="Q404" s="15" t="str">
        <f>IF(OR(J404="",H404=""),"",IFERROR(IF(ISNUMBER(N404),N404,IF(K404&lt;N(INDEX(Platforms!$G$5:$G$14,MATCH(H404,Lists!$A$2:$A$11,0))),N(INDEX(Platforms!$H$5:$H$14,MATCH(H404,Lists!$A$2:$A$11,0))),MAX(N(INDEX(Platforms!$F$5:$F$14,MATCH(H404,Lists!$A$2:$A$11,0))),N(INDEX(Platforms!$C$5:$C$14,MATCH(H404,Lists!$A$2:$A$11,0)))*(K404+IF(INDEX(Platforms!$E$5:$E$14,MATCH(H404,Lists!$A$2:$A$11,0))="Yes",N(L404),0))+N(INDEX(Platforms!$D$5:$D$14,MATCH(H404,Lists!$A$2:$A$11,0)))))),""))</f>
        <v/>
      </c>
      <c r="R404" s="16" t="str">
        <f t="shared" si="25"/>
        <v/>
      </c>
      <c r="S404" s="17" t="str">
        <f t="shared" si="26"/>
        <v/>
      </c>
      <c r="T404" s="18" t="str">
        <f t="shared" ca="1" si="27"/>
        <v/>
      </c>
    </row>
    <row r="405" spans="1:20" x14ac:dyDescent="0.35">
      <c r="A405" s="11"/>
      <c r="B405" s="11"/>
      <c r="C405" s="11"/>
      <c r="D405" s="12"/>
      <c r="E405" s="11"/>
      <c r="F405" s="13"/>
      <c r="G405" s="13"/>
      <c r="H405" s="11"/>
      <c r="I405" s="12"/>
      <c r="J405" s="12"/>
      <c r="K405" s="13"/>
      <c r="L405" s="13"/>
      <c r="M405" s="13"/>
      <c r="N405" s="13"/>
      <c r="O405" s="13"/>
      <c r="P405" s="14" t="str">
        <f t="shared" si="24"/>
        <v/>
      </c>
      <c r="Q405" s="15" t="str">
        <f>IF(OR(J405="",H405=""),"",IFERROR(IF(ISNUMBER(N405),N405,IF(K405&lt;N(INDEX(Platforms!$G$5:$G$14,MATCH(H405,Lists!$A$2:$A$11,0))),N(INDEX(Platforms!$H$5:$H$14,MATCH(H405,Lists!$A$2:$A$11,0))),MAX(N(INDEX(Platforms!$F$5:$F$14,MATCH(H405,Lists!$A$2:$A$11,0))),N(INDEX(Platforms!$C$5:$C$14,MATCH(H405,Lists!$A$2:$A$11,0)))*(K405+IF(INDEX(Platforms!$E$5:$E$14,MATCH(H405,Lists!$A$2:$A$11,0))="Yes",N(L405),0))+N(INDEX(Platforms!$D$5:$D$14,MATCH(H405,Lists!$A$2:$A$11,0)))))),""))</f>
        <v/>
      </c>
      <c r="R405" s="16" t="str">
        <f t="shared" si="25"/>
        <v/>
      </c>
      <c r="S405" s="17" t="str">
        <f t="shared" si="26"/>
        <v/>
      </c>
      <c r="T405" s="18" t="str">
        <f t="shared" ca="1" si="27"/>
        <v/>
      </c>
    </row>
    <row r="406" spans="1:20" x14ac:dyDescent="0.35">
      <c r="A406" s="11"/>
      <c r="B406" s="11"/>
      <c r="C406" s="11"/>
      <c r="D406" s="12"/>
      <c r="E406" s="11"/>
      <c r="F406" s="13"/>
      <c r="G406" s="13"/>
      <c r="H406" s="11"/>
      <c r="I406" s="12"/>
      <c r="J406" s="12"/>
      <c r="K406" s="13"/>
      <c r="L406" s="13"/>
      <c r="M406" s="13"/>
      <c r="N406" s="13"/>
      <c r="O406" s="13"/>
      <c r="P406" s="14" t="str">
        <f t="shared" si="24"/>
        <v/>
      </c>
      <c r="Q406" s="15" t="str">
        <f>IF(OR(J406="",H406=""),"",IFERROR(IF(ISNUMBER(N406),N406,IF(K406&lt;N(INDEX(Platforms!$G$5:$G$14,MATCH(H406,Lists!$A$2:$A$11,0))),N(INDEX(Platforms!$H$5:$H$14,MATCH(H406,Lists!$A$2:$A$11,0))),MAX(N(INDEX(Platforms!$F$5:$F$14,MATCH(H406,Lists!$A$2:$A$11,0))),N(INDEX(Platforms!$C$5:$C$14,MATCH(H406,Lists!$A$2:$A$11,0)))*(K406+IF(INDEX(Platforms!$E$5:$E$14,MATCH(H406,Lists!$A$2:$A$11,0))="Yes",N(L406),0))+N(INDEX(Platforms!$D$5:$D$14,MATCH(H406,Lists!$A$2:$A$11,0)))))),""))</f>
        <v/>
      </c>
      <c r="R406" s="16" t="str">
        <f t="shared" si="25"/>
        <v/>
      </c>
      <c r="S406" s="17" t="str">
        <f t="shared" si="26"/>
        <v/>
      </c>
      <c r="T406" s="18" t="str">
        <f t="shared" ca="1" si="27"/>
        <v/>
      </c>
    </row>
    <row r="407" spans="1:20" x14ac:dyDescent="0.35">
      <c r="A407" s="11"/>
      <c r="B407" s="11"/>
      <c r="C407" s="11"/>
      <c r="D407" s="12"/>
      <c r="E407" s="11"/>
      <c r="F407" s="13"/>
      <c r="G407" s="13"/>
      <c r="H407" s="11"/>
      <c r="I407" s="12"/>
      <c r="J407" s="12"/>
      <c r="K407" s="13"/>
      <c r="L407" s="13"/>
      <c r="M407" s="13"/>
      <c r="N407" s="13"/>
      <c r="O407" s="13"/>
      <c r="P407" s="14" t="str">
        <f t="shared" si="24"/>
        <v/>
      </c>
      <c r="Q407" s="15" t="str">
        <f>IF(OR(J407="",H407=""),"",IFERROR(IF(ISNUMBER(N407),N407,IF(K407&lt;N(INDEX(Platforms!$G$5:$G$14,MATCH(H407,Lists!$A$2:$A$11,0))),N(INDEX(Platforms!$H$5:$H$14,MATCH(H407,Lists!$A$2:$A$11,0))),MAX(N(INDEX(Platforms!$F$5:$F$14,MATCH(H407,Lists!$A$2:$A$11,0))),N(INDEX(Platforms!$C$5:$C$14,MATCH(H407,Lists!$A$2:$A$11,0)))*(K407+IF(INDEX(Platforms!$E$5:$E$14,MATCH(H407,Lists!$A$2:$A$11,0))="Yes",N(L407),0))+N(INDEX(Platforms!$D$5:$D$14,MATCH(H407,Lists!$A$2:$A$11,0)))))),""))</f>
        <v/>
      </c>
      <c r="R407" s="16" t="str">
        <f t="shared" si="25"/>
        <v/>
      </c>
      <c r="S407" s="17" t="str">
        <f t="shared" si="26"/>
        <v/>
      </c>
      <c r="T407" s="18" t="str">
        <f t="shared" ca="1" si="27"/>
        <v/>
      </c>
    </row>
    <row r="408" spans="1:20" x14ac:dyDescent="0.35">
      <c r="A408" s="11"/>
      <c r="B408" s="11"/>
      <c r="C408" s="11"/>
      <c r="D408" s="12"/>
      <c r="E408" s="11"/>
      <c r="F408" s="13"/>
      <c r="G408" s="13"/>
      <c r="H408" s="11"/>
      <c r="I408" s="12"/>
      <c r="J408" s="12"/>
      <c r="K408" s="13"/>
      <c r="L408" s="13"/>
      <c r="M408" s="13"/>
      <c r="N408" s="13"/>
      <c r="O408" s="13"/>
      <c r="P408" s="14" t="str">
        <f t="shared" si="24"/>
        <v/>
      </c>
      <c r="Q408" s="15" t="str">
        <f>IF(OR(J408="",H408=""),"",IFERROR(IF(ISNUMBER(N408),N408,IF(K408&lt;N(INDEX(Platforms!$G$5:$G$14,MATCH(H408,Lists!$A$2:$A$11,0))),N(INDEX(Platforms!$H$5:$H$14,MATCH(H408,Lists!$A$2:$A$11,0))),MAX(N(INDEX(Platforms!$F$5:$F$14,MATCH(H408,Lists!$A$2:$A$11,0))),N(INDEX(Platforms!$C$5:$C$14,MATCH(H408,Lists!$A$2:$A$11,0)))*(K408+IF(INDEX(Platforms!$E$5:$E$14,MATCH(H408,Lists!$A$2:$A$11,0))="Yes",N(L408),0))+N(INDEX(Platforms!$D$5:$D$14,MATCH(H408,Lists!$A$2:$A$11,0)))))),""))</f>
        <v/>
      </c>
      <c r="R408" s="16" t="str">
        <f t="shared" si="25"/>
        <v/>
      </c>
      <c r="S408" s="17" t="str">
        <f t="shared" si="26"/>
        <v/>
      </c>
      <c r="T408" s="18" t="str">
        <f t="shared" ca="1" si="27"/>
        <v/>
      </c>
    </row>
    <row r="409" spans="1:20" x14ac:dyDescent="0.35">
      <c r="A409" s="11"/>
      <c r="B409" s="11"/>
      <c r="C409" s="11"/>
      <c r="D409" s="12"/>
      <c r="E409" s="11"/>
      <c r="F409" s="13"/>
      <c r="G409" s="13"/>
      <c r="H409" s="11"/>
      <c r="I409" s="12"/>
      <c r="J409" s="12"/>
      <c r="K409" s="13"/>
      <c r="L409" s="13"/>
      <c r="M409" s="13"/>
      <c r="N409" s="13"/>
      <c r="O409" s="13"/>
      <c r="P409" s="14" t="str">
        <f t="shared" si="24"/>
        <v/>
      </c>
      <c r="Q409" s="15" t="str">
        <f>IF(OR(J409="",H409=""),"",IFERROR(IF(ISNUMBER(N409),N409,IF(K409&lt;N(INDEX(Platforms!$G$5:$G$14,MATCH(H409,Lists!$A$2:$A$11,0))),N(INDEX(Platforms!$H$5:$H$14,MATCH(H409,Lists!$A$2:$A$11,0))),MAX(N(INDEX(Platforms!$F$5:$F$14,MATCH(H409,Lists!$A$2:$A$11,0))),N(INDEX(Platforms!$C$5:$C$14,MATCH(H409,Lists!$A$2:$A$11,0)))*(K409+IF(INDEX(Platforms!$E$5:$E$14,MATCH(H409,Lists!$A$2:$A$11,0))="Yes",N(L409),0))+N(INDEX(Platforms!$D$5:$D$14,MATCH(H409,Lists!$A$2:$A$11,0)))))),""))</f>
        <v/>
      </c>
      <c r="R409" s="16" t="str">
        <f t="shared" si="25"/>
        <v/>
      </c>
      <c r="S409" s="17" t="str">
        <f t="shared" si="26"/>
        <v/>
      </c>
      <c r="T409" s="18" t="str">
        <f t="shared" ca="1" si="27"/>
        <v/>
      </c>
    </row>
    <row r="410" spans="1:20" x14ac:dyDescent="0.35">
      <c r="A410" s="11"/>
      <c r="B410" s="11"/>
      <c r="C410" s="11"/>
      <c r="D410" s="12"/>
      <c r="E410" s="11"/>
      <c r="F410" s="13"/>
      <c r="G410" s="13"/>
      <c r="H410" s="11"/>
      <c r="I410" s="12"/>
      <c r="J410" s="12"/>
      <c r="K410" s="13"/>
      <c r="L410" s="13"/>
      <c r="M410" s="13"/>
      <c r="N410" s="13"/>
      <c r="O410" s="13"/>
      <c r="P410" s="14" t="str">
        <f t="shared" si="24"/>
        <v/>
      </c>
      <c r="Q410" s="15" t="str">
        <f>IF(OR(J410="",H410=""),"",IFERROR(IF(ISNUMBER(N410),N410,IF(K410&lt;N(INDEX(Platforms!$G$5:$G$14,MATCH(H410,Lists!$A$2:$A$11,0))),N(INDEX(Platforms!$H$5:$H$14,MATCH(H410,Lists!$A$2:$A$11,0))),MAX(N(INDEX(Platforms!$F$5:$F$14,MATCH(H410,Lists!$A$2:$A$11,0))),N(INDEX(Platforms!$C$5:$C$14,MATCH(H410,Lists!$A$2:$A$11,0)))*(K410+IF(INDEX(Platforms!$E$5:$E$14,MATCH(H410,Lists!$A$2:$A$11,0))="Yes",N(L410),0))+N(INDEX(Platforms!$D$5:$D$14,MATCH(H410,Lists!$A$2:$A$11,0)))))),""))</f>
        <v/>
      </c>
      <c r="R410" s="16" t="str">
        <f t="shared" si="25"/>
        <v/>
      </c>
      <c r="S410" s="17" t="str">
        <f t="shared" si="26"/>
        <v/>
      </c>
      <c r="T410" s="18" t="str">
        <f t="shared" ca="1" si="27"/>
        <v/>
      </c>
    </row>
    <row r="411" spans="1:20" x14ac:dyDescent="0.35">
      <c r="A411" s="11"/>
      <c r="B411" s="11"/>
      <c r="C411" s="11"/>
      <c r="D411" s="12"/>
      <c r="E411" s="11"/>
      <c r="F411" s="13"/>
      <c r="G411" s="13"/>
      <c r="H411" s="11"/>
      <c r="I411" s="12"/>
      <c r="J411" s="12"/>
      <c r="K411" s="13"/>
      <c r="L411" s="13"/>
      <c r="M411" s="13"/>
      <c r="N411" s="13"/>
      <c r="O411" s="13"/>
      <c r="P411" s="14" t="str">
        <f t="shared" si="24"/>
        <v/>
      </c>
      <c r="Q411" s="15" t="str">
        <f>IF(OR(J411="",H411=""),"",IFERROR(IF(ISNUMBER(N411),N411,IF(K411&lt;N(INDEX(Platforms!$G$5:$G$14,MATCH(H411,Lists!$A$2:$A$11,0))),N(INDEX(Platforms!$H$5:$H$14,MATCH(H411,Lists!$A$2:$A$11,0))),MAX(N(INDEX(Platforms!$F$5:$F$14,MATCH(H411,Lists!$A$2:$A$11,0))),N(INDEX(Platforms!$C$5:$C$14,MATCH(H411,Lists!$A$2:$A$11,0)))*(K411+IF(INDEX(Platforms!$E$5:$E$14,MATCH(H411,Lists!$A$2:$A$11,0))="Yes",N(L411),0))+N(INDEX(Platforms!$D$5:$D$14,MATCH(H411,Lists!$A$2:$A$11,0)))))),""))</f>
        <v/>
      </c>
      <c r="R411" s="16" t="str">
        <f t="shared" si="25"/>
        <v/>
      </c>
      <c r="S411" s="17" t="str">
        <f t="shared" si="26"/>
        <v/>
      </c>
      <c r="T411" s="18" t="str">
        <f t="shared" ca="1" si="27"/>
        <v/>
      </c>
    </row>
    <row r="412" spans="1:20" x14ac:dyDescent="0.35">
      <c r="A412" s="11"/>
      <c r="B412" s="11"/>
      <c r="C412" s="11"/>
      <c r="D412" s="12"/>
      <c r="E412" s="11"/>
      <c r="F412" s="13"/>
      <c r="G412" s="13"/>
      <c r="H412" s="11"/>
      <c r="I412" s="12"/>
      <c r="J412" s="12"/>
      <c r="K412" s="13"/>
      <c r="L412" s="13"/>
      <c r="M412" s="13"/>
      <c r="N412" s="13"/>
      <c r="O412" s="13"/>
      <c r="P412" s="14" t="str">
        <f t="shared" si="24"/>
        <v/>
      </c>
      <c r="Q412" s="15" t="str">
        <f>IF(OR(J412="",H412=""),"",IFERROR(IF(ISNUMBER(N412),N412,IF(K412&lt;N(INDEX(Platforms!$G$5:$G$14,MATCH(H412,Lists!$A$2:$A$11,0))),N(INDEX(Platforms!$H$5:$H$14,MATCH(H412,Lists!$A$2:$A$11,0))),MAX(N(INDEX(Platforms!$F$5:$F$14,MATCH(H412,Lists!$A$2:$A$11,0))),N(INDEX(Platforms!$C$5:$C$14,MATCH(H412,Lists!$A$2:$A$11,0)))*(K412+IF(INDEX(Platforms!$E$5:$E$14,MATCH(H412,Lists!$A$2:$A$11,0))="Yes",N(L412),0))+N(INDEX(Platforms!$D$5:$D$14,MATCH(H412,Lists!$A$2:$A$11,0)))))),""))</f>
        <v/>
      </c>
      <c r="R412" s="16" t="str">
        <f t="shared" si="25"/>
        <v/>
      </c>
      <c r="S412" s="17" t="str">
        <f t="shared" si="26"/>
        <v/>
      </c>
      <c r="T412" s="18" t="str">
        <f t="shared" ca="1" si="27"/>
        <v/>
      </c>
    </row>
    <row r="413" spans="1:20" x14ac:dyDescent="0.35">
      <c r="A413" s="11"/>
      <c r="B413" s="11"/>
      <c r="C413" s="11"/>
      <c r="D413" s="12"/>
      <c r="E413" s="11"/>
      <c r="F413" s="13"/>
      <c r="G413" s="13"/>
      <c r="H413" s="11"/>
      <c r="I413" s="12"/>
      <c r="J413" s="12"/>
      <c r="K413" s="13"/>
      <c r="L413" s="13"/>
      <c r="M413" s="13"/>
      <c r="N413" s="13"/>
      <c r="O413" s="13"/>
      <c r="P413" s="14" t="str">
        <f t="shared" si="24"/>
        <v/>
      </c>
      <c r="Q413" s="15" t="str">
        <f>IF(OR(J413="",H413=""),"",IFERROR(IF(ISNUMBER(N413),N413,IF(K413&lt;N(INDEX(Platforms!$G$5:$G$14,MATCH(H413,Lists!$A$2:$A$11,0))),N(INDEX(Platforms!$H$5:$H$14,MATCH(H413,Lists!$A$2:$A$11,0))),MAX(N(INDEX(Platforms!$F$5:$F$14,MATCH(H413,Lists!$A$2:$A$11,0))),N(INDEX(Platforms!$C$5:$C$14,MATCH(H413,Lists!$A$2:$A$11,0)))*(K413+IF(INDEX(Platforms!$E$5:$E$14,MATCH(H413,Lists!$A$2:$A$11,0))="Yes",N(L413),0))+N(INDEX(Platforms!$D$5:$D$14,MATCH(H413,Lists!$A$2:$A$11,0)))))),""))</f>
        <v/>
      </c>
      <c r="R413" s="16" t="str">
        <f t="shared" si="25"/>
        <v/>
      </c>
      <c r="S413" s="17" t="str">
        <f t="shared" si="26"/>
        <v/>
      </c>
      <c r="T413" s="18" t="str">
        <f t="shared" ca="1" si="27"/>
        <v/>
      </c>
    </row>
    <row r="414" spans="1:20" x14ac:dyDescent="0.35">
      <c r="A414" s="11"/>
      <c r="B414" s="11"/>
      <c r="C414" s="11"/>
      <c r="D414" s="12"/>
      <c r="E414" s="11"/>
      <c r="F414" s="13"/>
      <c r="G414" s="13"/>
      <c r="H414" s="11"/>
      <c r="I414" s="12"/>
      <c r="J414" s="12"/>
      <c r="K414" s="13"/>
      <c r="L414" s="13"/>
      <c r="M414" s="13"/>
      <c r="N414" s="13"/>
      <c r="O414" s="13"/>
      <c r="P414" s="14" t="str">
        <f t="shared" si="24"/>
        <v/>
      </c>
      <c r="Q414" s="15" t="str">
        <f>IF(OR(J414="",H414=""),"",IFERROR(IF(ISNUMBER(N414),N414,IF(K414&lt;N(INDEX(Platforms!$G$5:$G$14,MATCH(H414,Lists!$A$2:$A$11,0))),N(INDEX(Platforms!$H$5:$H$14,MATCH(H414,Lists!$A$2:$A$11,0))),MAX(N(INDEX(Platforms!$F$5:$F$14,MATCH(H414,Lists!$A$2:$A$11,0))),N(INDEX(Platforms!$C$5:$C$14,MATCH(H414,Lists!$A$2:$A$11,0)))*(K414+IF(INDEX(Platforms!$E$5:$E$14,MATCH(H414,Lists!$A$2:$A$11,0))="Yes",N(L414),0))+N(INDEX(Platforms!$D$5:$D$14,MATCH(H414,Lists!$A$2:$A$11,0)))))),""))</f>
        <v/>
      </c>
      <c r="R414" s="16" t="str">
        <f t="shared" si="25"/>
        <v/>
      </c>
      <c r="S414" s="17" t="str">
        <f t="shared" si="26"/>
        <v/>
      </c>
      <c r="T414" s="18" t="str">
        <f t="shared" ca="1" si="27"/>
        <v/>
      </c>
    </row>
    <row r="415" spans="1:20" x14ac:dyDescent="0.35">
      <c r="A415" s="11"/>
      <c r="B415" s="11"/>
      <c r="C415" s="11"/>
      <c r="D415" s="12"/>
      <c r="E415" s="11"/>
      <c r="F415" s="13"/>
      <c r="G415" s="13"/>
      <c r="H415" s="11"/>
      <c r="I415" s="12"/>
      <c r="J415" s="12"/>
      <c r="K415" s="13"/>
      <c r="L415" s="13"/>
      <c r="M415" s="13"/>
      <c r="N415" s="13"/>
      <c r="O415" s="13"/>
      <c r="P415" s="14" t="str">
        <f t="shared" si="24"/>
        <v/>
      </c>
      <c r="Q415" s="15" t="str">
        <f>IF(OR(J415="",H415=""),"",IFERROR(IF(ISNUMBER(N415),N415,IF(K415&lt;N(INDEX(Platforms!$G$5:$G$14,MATCH(H415,Lists!$A$2:$A$11,0))),N(INDEX(Platforms!$H$5:$H$14,MATCH(H415,Lists!$A$2:$A$11,0))),MAX(N(INDEX(Platforms!$F$5:$F$14,MATCH(H415,Lists!$A$2:$A$11,0))),N(INDEX(Platforms!$C$5:$C$14,MATCH(H415,Lists!$A$2:$A$11,0)))*(K415+IF(INDEX(Platforms!$E$5:$E$14,MATCH(H415,Lists!$A$2:$A$11,0))="Yes",N(L415),0))+N(INDEX(Platforms!$D$5:$D$14,MATCH(H415,Lists!$A$2:$A$11,0)))))),""))</f>
        <v/>
      </c>
      <c r="R415" s="16" t="str">
        <f t="shared" si="25"/>
        <v/>
      </c>
      <c r="S415" s="17" t="str">
        <f t="shared" si="26"/>
        <v/>
      </c>
      <c r="T415" s="18" t="str">
        <f t="shared" ca="1" si="27"/>
        <v/>
      </c>
    </row>
    <row r="416" spans="1:20" x14ac:dyDescent="0.35">
      <c r="A416" s="11"/>
      <c r="B416" s="11"/>
      <c r="C416" s="11"/>
      <c r="D416" s="12"/>
      <c r="E416" s="11"/>
      <c r="F416" s="13"/>
      <c r="G416" s="13"/>
      <c r="H416" s="11"/>
      <c r="I416" s="12"/>
      <c r="J416" s="12"/>
      <c r="K416" s="13"/>
      <c r="L416" s="13"/>
      <c r="M416" s="13"/>
      <c r="N416" s="13"/>
      <c r="O416" s="13"/>
      <c r="P416" s="14" t="str">
        <f t="shared" si="24"/>
        <v/>
      </c>
      <c r="Q416" s="15" t="str">
        <f>IF(OR(J416="",H416=""),"",IFERROR(IF(ISNUMBER(N416),N416,IF(K416&lt;N(INDEX(Platforms!$G$5:$G$14,MATCH(H416,Lists!$A$2:$A$11,0))),N(INDEX(Platforms!$H$5:$H$14,MATCH(H416,Lists!$A$2:$A$11,0))),MAX(N(INDEX(Platforms!$F$5:$F$14,MATCH(H416,Lists!$A$2:$A$11,0))),N(INDEX(Platforms!$C$5:$C$14,MATCH(H416,Lists!$A$2:$A$11,0)))*(K416+IF(INDEX(Platforms!$E$5:$E$14,MATCH(H416,Lists!$A$2:$A$11,0))="Yes",N(L416),0))+N(INDEX(Platforms!$D$5:$D$14,MATCH(H416,Lists!$A$2:$A$11,0)))))),""))</f>
        <v/>
      </c>
      <c r="R416" s="16" t="str">
        <f t="shared" si="25"/>
        <v/>
      </c>
      <c r="S416" s="17" t="str">
        <f t="shared" si="26"/>
        <v/>
      </c>
      <c r="T416" s="18" t="str">
        <f t="shared" ca="1" si="27"/>
        <v/>
      </c>
    </row>
    <row r="417" spans="1:20" x14ac:dyDescent="0.35">
      <c r="A417" s="11"/>
      <c r="B417" s="11"/>
      <c r="C417" s="11"/>
      <c r="D417" s="12"/>
      <c r="E417" s="11"/>
      <c r="F417" s="13"/>
      <c r="G417" s="13"/>
      <c r="H417" s="11"/>
      <c r="I417" s="12"/>
      <c r="J417" s="12"/>
      <c r="K417" s="13"/>
      <c r="L417" s="13"/>
      <c r="M417" s="13"/>
      <c r="N417" s="13"/>
      <c r="O417" s="13"/>
      <c r="P417" s="14" t="str">
        <f t="shared" si="24"/>
        <v/>
      </c>
      <c r="Q417" s="15" t="str">
        <f>IF(OR(J417="",H417=""),"",IFERROR(IF(ISNUMBER(N417),N417,IF(K417&lt;N(INDEX(Platforms!$G$5:$G$14,MATCH(H417,Lists!$A$2:$A$11,0))),N(INDEX(Platforms!$H$5:$H$14,MATCH(H417,Lists!$A$2:$A$11,0))),MAX(N(INDEX(Platforms!$F$5:$F$14,MATCH(H417,Lists!$A$2:$A$11,0))),N(INDEX(Platforms!$C$5:$C$14,MATCH(H417,Lists!$A$2:$A$11,0)))*(K417+IF(INDEX(Platforms!$E$5:$E$14,MATCH(H417,Lists!$A$2:$A$11,0))="Yes",N(L417),0))+N(INDEX(Platforms!$D$5:$D$14,MATCH(H417,Lists!$A$2:$A$11,0)))))),""))</f>
        <v/>
      </c>
      <c r="R417" s="16" t="str">
        <f t="shared" si="25"/>
        <v/>
      </c>
      <c r="S417" s="17" t="str">
        <f t="shared" si="26"/>
        <v/>
      </c>
      <c r="T417" s="18" t="str">
        <f t="shared" ca="1" si="27"/>
        <v/>
      </c>
    </row>
    <row r="418" spans="1:20" x14ac:dyDescent="0.35">
      <c r="A418" s="11"/>
      <c r="B418" s="11"/>
      <c r="C418" s="11"/>
      <c r="D418" s="12"/>
      <c r="E418" s="11"/>
      <c r="F418" s="13"/>
      <c r="G418" s="13"/>
      <c r="H418" s="11"/>
      <c r="I418" s="12"/>
      <c r="J418" s="12"/>
      <c r="K418" s="13"/>
      <c r="L418" s="13"/>
      <c r="M418" s="13"/>
      <c r="N418" s="13"/>
      <c r="O418" s="13"/>
      <c r="P418" s="14" t="str">
        <f t="shared" si="24"/>
        <v/>
      </c>
      <c r="Q418" s="15" t="str">
        <f>IF(OR(J418="",H418=""),"",IFERROR(IF(ISNUMBER(N418),N418,IF(K418&lt;N(INDEX(Platforms!$G$5:$G$14,MATCH(H418,Lists!$A$2:$A$11,0))),N(INDEX(Platforms!$H$5:$H$14,MATCH(H418,Lists!$A$2:$A$11,0))),MAX(N(INDEX(Platforms!$F$5:$F$14,MATCH(H418,Lists!$A$2:$A$11,0))),N(INDEX(Platforms!$C$5:$C$14,MATCH(H418,Lists!$A$2:$A$11,0)))*(K418+IF(INDEX(Platforms!$E$5:$E$14,MATCH(H418,Lists!$A$2:$A$11,0))="Yes",N(L418),0))+N(INDEX(Platforms!$D$5:$D$14,MATCH(H418,Lists!$A$2:$A$11,0)))))),""))</f>
        <v/>
      </c>
      <c r="R418" s="16" t="str">
        <f t="shared" si="25"/>
        <v/>
      </c>
      <c r="S418" s="17" t="str">
        <f t="shared" si="26"/>
        <v/>
      </c>
      <c r="T418" s="18" t="str">
        <f t="shared" ca="1" si="27"/>
        <v/>
      </c>
    </row>
    <row r="419" spans="1:20" x14ac:dyDescent="0.35">
      <c r="A419" s="11"/>
      <c r="B419" s="11"/>
      <c r="C419" s="11"/>
      <c r="D419" s="12"/>
      <c r="E419" s="11"/>
      <c r="F419" s="13"/>
      <c r="G419" s="13"/>
      <c r="H419" s="11"/>
      <c r="I419" s="12"/>
      <c r="J419" s="12"/>
      <c r="K419" s="13"/>
      <c r="L419" s="13"/>
      <c r="M419" s="13"/>
      <c r="N419" s="13"/>
      <c r="O419" s="13"/>
      <c r="P419" s="14" t="str">
        <f t="shared" si="24"/>
        <v/>
      </c>
      <c r="Q419" s="15" t="str">
        <f>IF(OR(J419="",H419=""),"",IFERROR(IF(ISNUMBER(N419),N419,IF(K419&lt;N(INDEX(Platforms!$G$5:$G$14,MATCH(H419,Lists!$A$2:$A$11,0))),N(INDEX(Platforms!$H$5:$H$14,MATCH(H419,Lists!$A$2:$A$11,0))),MAX(N(INDEX(Platforms!$F$5:$F$14,MATCH(H419,Lists!$A$2:$A$11,0))),N(INDEX(Platforms!$C$5:$C$14,MATCH(H419,Lists!$A$2:$A$11,0)))*(K419+IF(INDEX(Platforms!$E$5:$E$14,MATCH(H419,Lists!$A$2:$A$11,0))="Yes",N(L419),0))+N(INDEX(Platforms!$D$5:$D$14,MATCH(H419,Lists!$A$2:$A$11,0)))))),""))</f>
        <v/>
      </c>
      <c r="R419" s="16" t="str">
        <f t="shared" si="25"/>
        <v/>
      </c>
      <c r="S419" s="17" t="str">
        <f t="shared" si="26"/>
        <v/>
      </c>
      <c r="T419" s="18" t="str">
        <f t="shared" ca="1" si="27"/>
        <v/>
      </c>
    </row>
    <row r="420" spans="1:20" x14ac:dyDescent="0.35">
      <c r="A420" s="11"/>
      <c r="B420" s="11"/>
      <c r="C420" s="11"/>
      <c r="D420" s="12"/>
      <c r="E420" s="11"/>
      <c r="F420" s="13"/>
      <c r="G420" s="13"/>
      <c r="H420" s="11"/>
      <c r="I420" s="12"/>
      <c r="J420" s="12"/>
      <c r="K420" s="13"/>
      <c r="L420" s="13"/>
      <c r="M420" s="13"/>
      <c r="N420" s="13"/>
      <c r="O420" s="13"/>
      <c r="P420" s="14" t="str">
        <f t="shared" si="24"/>
        <v/>
      </c>
      <c r="Q420" s="15" t="str">
        <f>IF(OR(J420="",H420=""),"",IFERROR(IF(ISNUMBER(N420),N420,IF(K420&lt;N(INDEX(Platforms!$G$5:$G$14,MATCH(H420,Lists!$A$2:$A$11,0))),N(INDEX(Platforms!$H$5:$H$14,MATCH(H420,Lists!$A$2:$A$11,0))),MAX(N(INDEX(Platforms!$F$5:$F$14,MATCH(H420,Lists!$A$2:$A$11,0))),N(INDEX(Platforms!$C$5:$C$14,MATCH(H420,Lists!$A$2:$A$11,0)))*(K420+IF(INDEX(Platforms!$E$5:$E$14,MATCH(H420,Lists!$A$2:$A$11,0))="Yes",N(L420),0))+N(INDEX(Platforms!$D$5:$D$14,MATCH(H420,Lists!$A$2:$A$11,0)))))),""))</f>
        <v/>
      </c>
      <c r="R420" s="16" t="str">
        <f t="shared" si="25"/>
        <v/>
      </c>
      <c r="S420" s="17" t="str">
        <f t="shared" si="26"/>
        <v/>
      </c>
      <c r="T420" s="18" t="str">
        <f t="shared" ca="1" si="27"/>
        <v/>
      </c>
    </row>
    <row r="421" spans="1:20" x14ac:dyDescent="0.35">
      <c r="A421" s="11"/>
      <c r="B421" s="11"/>
      <c r="C421" s="11"/>
      <c r="D421" s="12"/>
      <c r="E421" s="11"/>
      <c r="F421" s="13"/>
      <c r="G421" s="13"/>
      <c r="H421" s="11"/>
      <c r="I421" s="12"/>
      <c r="J421" s="12"/>
      <c r="K421" s="13"/>
      <c r="L421" s="13"/>
      <c r="M421" s="13"/>
      <c r="N421" s="13"/>
      <c r="O421" s="13"/>
      <c r="P421" s="14" t="str">
        <f t="shared" si="24"/>
        <v/>
      </c>
      <c r="Q421" s="15" t="str">
        <f>IF(OR(J421="",H421=""),"",IFERROR(IF(ISNUMBER(N421),N421,IF(K421&lt;N(INDEX(Platforms!$G$5:$G$14,MATCH(H421,Lists!$A$2:$A$11,0))),N(INDEX(Platforms!$H$5:$H$14,MATCH(H421,Lists!$A$2:$A$11,0))),MAX(N(INDEX(Platforms!$F$5:$F$14,MATCH(H421,Lists!$A$2:$A$11,0))),N(INDEX(Platforms!$C$5:$C$14,MATCH(H421,Lists!$A$2:$A$11,0)))*(K421+IF(INDEX(Platforms!$E$5:$E$14,MATCH(H421,Lists!$A$2:$A$11,0))="Yes",N(L421),0))+N(INDEX(Platforms!$D$5:$D$14,MATCH(H421,Lists!$A$2:$A$11,0)))))),""))</f>
        <v/>
      </c>
      <c r="R421" s="16" t="str">
        <f t="shared" si="25"/>
        <v/>
      </c>
      <c r="S421" s="17" t="str">
        <f t="shared" si="26"/>
        <v/>
      </c>
      <c r="T421" s="18" t="str">
        <f t="shared" ca="1" si="27"/>
        <v/>
      </c>
    </row>
    <row r="422" spans="1:20" x14ac:dyDescent="0.35">
      <c r="A422" s="11"/>
      <c r="B422" s="11"/>
      <c r="C422" s="11"/>
      <c r="D422" s="12"/>
      <c r="E422" s="11"/>
      <c r="F422" s="13"/>
      <c r="G422" s="13"/>
      <c r="H422" s="11"/>
      <c r="I422" s="12"/>
      <c r="J422" s="12"/>
      <c r="K422" s="13"/>
      <c r="L422" s="13"/>
      <c r="M422" s="13"/>
      <c r="N422" s="13"/>
      <c r="O422" s="13"/>
      <c r="P422" s="14" t="str">
        <f t="shared" si="24"/>
        <v/>
      </c>
      <c r="Q422" s="15" t="str">
        <f>IF(OR(J422="",H422=""),"",IFERROR(IF(ISNUMBER(N422),N422,IF(K422&lt;N(INDEX(Platforms!$G$5:$G$14,MATCH(H422,Lists!$A$2:$A$11,0))),N(INDEX(Platforms!$H$5:$H$14,MATCH(H422,Lists!$A$2:$A$11,0))),MAX(N(INDEX(Platforms!$F$5:$F$14,MATCH(H422,Lists!$A$2:$A$11,0))),N(INDEX(Platforms!$C$5:$C$14,MATCH(H422,Lists!$A$2:$A$11,0)))*(K422+IF(INDEX(Platforms!$E$5:$E$14,MATCH(H422,Lists!$A$2:$A$11,0))="Yes",N(L422),0))+N(INDEX(Platforms!$D$5:$D$14,MATCH(H422,Lists!$A$2:$A$11,0)))))),""))</f>
        <v/>
      </c>
      <c r="R422" s="16" t="str">
        <f t="shared" si="25"/>
        <v/>
      </c>
      <c r="S422" s="17" t="str">
        <f t="shared" si="26"/>
        <v/>
      </c>
      <c r="T422" s="18" t="str">
        <f t="shared" ca="1" si="27"/>
        <v/>
      </c>
    </row>
    <row r="423" spans="1:20" x14ac:dyDescent="0.35">
      <c r="A423" s="11"/>
      <c r="B423" s="11"/>
      <c r="C423" s="11"/>
      <c r="D423" s="12"/>
      <c r="E423" s="11"/>
      <c r="F423" s="13"/>
      <c r="G423" s="13"/>
      <c r="H423" s="11"/>
      <c r="I423" s="12"/>
      <c r="J423" s="12"/>
      <c r="K423" s="13"/>
      <c r="L423" s="13"/>
      <c r="M423" s="13"/>
      <c r="N423" s="13"/>
      <c r="O423" s="13"/>
      <c r="P423" s="14" t="str">
        <f t="shared" si="24"/>
        <v/>
      </c>
      <c r="Q423" s="15" t="str">
        <f>IF(OR(J423="",H423=""),"",IFERROR(IF(ISNUMBER(N423),N423,IF(K423&lt;N(INDEX(Platforms!$G$5:$G$14,MATCH(H423,Lists!$A$2:$A$11,0))),N(INDEX(Platforms!$H$5:$H$14,MATCH(H423,Lists!$A$2:$A$11,0))),MAX(N(INDEX(Platforms!$F$5:$F$14,MATCH(H423,Lists!$A$2:$A$11,0))),N(INDEX(Platforms!$C$5:$C$14,MATCH(H423,Lists!$A$2:$A$11,0)))*(K423+IF(INDEX(Platforms!$E$5:$E$14,MATCH(H423,Lists!$A$2:$A$11,0))="Yes",N(L423),0))+N(INDEX(Platforms!$D$5:$D$14,MATCH(H423,Lists!$A$2:$A$11,0)))))),""))</f>
        <v/>
      </c>
      <c r="R423" s="16" t="str">
        <f t="shared" si="25"/>
        <v/>
      </c>
      <c r="S423" s="17" t="str">
        <f t="shared" si="26"/>
        <v/>
      </c>
      <c r="T423" s="18" t="str">
        <f t="shared" ca="1" si="27"/>
        <v/>
      </c>
    </row>
    <row r="424" spans="1:20" x14ac:dyDescent="0.35">
      <c r="A424" s="11"/>
      <c r="B424" s="11"/>
      <c r="C424" s="11"/>
      <c r="D424" s="12"/>
      <c r="E424" s="11"/>
      <c r="F424" s="13"/>
      <c r="G424" s="13"/>
      <c r="H424" s="11"/>
      <c r="I424" s="12"/>
      <c r="J424" s="12"/>
      <c r="K424" s="13"/>
      <c r="L424" s="13"/>
      <c r="M424" s="13"/>
      <c r="N424" s="13"/>
      <c r="O424" s="13"/>
      <c r="P424" s="14" t="str">
        <f t="shared" si="24"/>
        <v/>
      </c>
      <c r="Q424" s="15" t="str">
        <f>IF(OR(J424="",H424=""),"",IFERROR(IF(ISNUMBER(N424),N424,IF(K424&lt;N(INDEX(Platforms!$G$5:$G$14,MATCH(H424,Lists!$A$2:$A$11,0))),N(INDEX(Platforms!$H$5:$H$14,MATCH(H424,Lists!$A$2:$A$11,0))),MAX(N(INDEX(Platforms!$F$5:$F$14,MATCH(H424,Lists!$A$2:$A$11,0))),N(INDEX(Platforms!$C$5:$C$14,MATCH(H424,Lists!$A$2:$A$11,0)))*(K424+IF(INDEX(Platforms!$E$5:$E$14,MATCH(H424,Lists!$A$2:$A$11,0))="Yes",N(L424),0))+N(INDEX(Platforms!$D$5:$D$14,MATCH(H424,Lists!$A$2:$A$11,0)))))),""))</f>
        <v/>
      </c>
      <c r="R424" s="16" t="str">
        <f t="shared" si="25"/>
        <v/>
      </c>
      <c r="S424" s="17" t="str">
        <f t="shared" si="26"/>
        <v/>
      </c>
      <c r="T424" s="18" t="str">
        <f t="shared" ca="1" si="27"/>
        <v/>
      </c>
    </row>
    <row r="425" spans="1:20" x14ac:dyDescent="0.35">
      <c r="A425" s="11"/>
      <c r="B425" s="11"/>
      <c r="C425" s="11"/>
      <c r="D425" s="12"/>
      <c r="E425" s="11"/>
      <c r="F425" s="13"/>
      <c r="G425" s="13"/>
      <c r="H425" s="11"/>
      <c r="I425" s="12"/>
      <c r="J425" s="12"/>
      <c r="K425" s="13"/>
      <c r="L425" s="13"/>
      <c r="M425" s="13"/>
      <c r="N425" s="13"/>
      <c r="O425" s="13"/>
      <c r="P425" s="14" t="str">
        <f t="shared" si="24"/>
        <v/>
      </c>
      <c r="Q425" s="15" t="str">
        <f>IF(OR(J425="",H425=""),"",IFERROR(IF(ISNUMBER(N425),N425,IF(K425&lt;N(INDEX(Platforms!$G$5:$G$14,MATCH(H425,Lists!$A$2:$A$11,0))),N(INDEX(Platforms!$H$5:$H$14,MATCH(H425,Lists!$A$2:$A$11,0))),MAX(N(INDEX(Platforms!$F$5:$F$14,MATCH(H425,Lists!$A$2:$A$11,0))),N(INDEX(Platforms!$C$5:$C$14,MATCH(H425,Lists!$A$2:$A$11,0)))*(K425+IF(INDEX(Platforms!$E$5:$E$14,MATCH(H425,Lists!$A$2:$A$11,0))="Yes",N(L425),0))+N(INDEX(Platforms!$D$5:$D$14,MATCH(H425,Lists!$A$2:$A$11,0)))))),""))</f>
        <v/>
      </c>
      <c r="R425" s="16" t="str">
        <f t="shared" si="25"/>
        <v/>
      </c>
      <c r="S425" s="17" t="str">
        <f t="shared" si="26"/>
        <v/>
      </c>
      <c r="T425" s="18" t="str">
        <f t="shared" ca="1" si="27"/>
        <v/>
      </c>
    </row>
    <row r="426" spans="1:20" x14ac:dyDescent="0.35">
      <c r="A426" s="11"/>
      <c r="B426" s="11"/>
      <c r="C426" s="11"/>
      <c r="D426" s="12"/>
      <c r="E426" s="11"/>
      <c r="F426" s="13"/>
      <c r="G426" s="13"/>
      <c r="H426" s="11"/>
      <c r="I426" s="12"/>
      <c r="J426" s="12"/>
      <c r="K426" s="13"/>
      <c r="L426" s="13"/>
      <c r="M426" s="13"/>
      <c r="N426" s="13"/>
      <c r="O426" s="13"/>
      <c r="P426" s="14" t="str">
        <f t="shared" si="24"/>
        <v/>
      </c>
      <c r="Q426" s="15" t="str">
        <f>IF(OR(J426="",H426=""),"",IFERROR(IF(ISNUMBER(N426),N426,IF(K426&lt;N(INDEX(Platforms!$G$5:$G$14,MATCH(H426,Lists!$A$2:$A$11,0))),N(INDEX(Platforms!$H$5:$H$14,MATCH(H426,Lists!$A$2:$A$11,0))),MAX(N(INDEX(Platforms!$F$5:$F$14,MATCH(H426,Lists!$A$2:$A$11,0))),N(INDEX(Platforms!$C$5:$C$14,MATCH(H426,Lists!$A$2:$A$11,0)))*(K426+IF(INDEX(Platforms!$E$5:$E$14,MATCH(H426,Lists!$A$2:$A$11,0))="Yes",N(L426),0))+N(INDEX(Platforms!$D$5:$D$14,MATCH(H426,Lists!$A$2:$A$11,0)))))),""))</f>
        <v/>
      </c>
      <c r="R426" s="16" t="str">
        <f t="shared" si="25"/>
        <v/>
      </c>
      <c r="S426" s="17" t="str">
        <f t="shared" si="26"/>
        <v/>
      </c>
      <c r="T426" s="18" t="str">
        <f t="shared" ca="1" si="27"/>
        <v/>
      </c>
    </row>
    <row r="427" spans="1:20" x14ac:dyDescent="0.35">
      <c r="A427" s="11"/>
      <c r="B427" s="11"/>
      <c r="C427" s="11"/>
      <c r="D427" s="12"/>
      <c r="E427" s="11"/>
      <c r="F427" s="13"/>
      <c r="G427" s="13"/>
      <c r="H427" s="11"/>
      <c r="I427" s="12"/>
      <c r="J427" s="12"/>
      <c r="K427" s="13"/>
      <c r="L427" s="13"/>
      <c r="M427" s="13"/>
      <c r="N427" s="13"/>
      <c r="O427" s="13"/>
      <c r="P427" s="14" t="str">
        <f t="shared" si="24"/>
        <v/>
      </c>
      <c r="Q427" s="15" t="str">
        <f>IF(OR(J427="",H427=""),"",IFERROR(IF(ISNUMBER(N427),N427,IF(K427&lt;N(INDEX(Platforms!$G$5:$G$14,MATCH(H427,Lists!$A$2:$A$11,0))),N(INDEX(Platforms!$H$5:$H$14,MATCH(H427,Lists!$A$2:$A$11,0))),MAX(N(INDEX(Platforms!$F$5:$F$14,MATCH(H427,Lists!$A$2:$A$11,0))),N(INDEX(Platforms!$C$5:$C$14,MATCH(H427,Lists!$A$2:$A$11,0)))*(K427+IF(INDEX(Platforms!$E$5:$E$14,MATCH(H427,Lists!$A$2:$A$11,0))="Yes",N(L427),0))+N(INDEX(Platforms!$D$5:$D$14,MATCH(H427,Lists!$A$2:$A$11,0)))))),""))</f>
        <v/>
      </c>
      <c r="R427" s="16" t="str">
        <f t="shared" si="25"/>
        <v/>
      </c>
      <c r="S427" s="17" t="str">
        <f t="shared" si="26"/>
        <v/>
      </c>
      <c r="T427" s="18" t="str">
        <f t="shared" ca="1" si="27"/>
        <v/>
      </c>
    </row>
    <row r="428" spans="1:20" x14ac:dyDescent="0.35">
      <c r="A428" s="11"/>
      <c r="B428" s="11"/>
      <c r="C428" s="11"/>
      <c r="D428" s="12"/>
      <c r="E428" s="11"/>
      <c r="F428" s="13"/>
      <c r="G428" s="13"/>
      <c r="H428" s="11"/>
      <c r="I428" s="12"/>
      <c r="J428" s="12"/>
      <c r="K428" s="13"/>
      <c r="L428" s="13"/>
      <c r="M428" s="13"/>
      <c r="N428" s="13"/>
      <c r="O428" s="13"/>
      <c r="P428" s="14" t="str">
        <f t="shared" si="24"/>
        <v/>
      </c>
      <c r="Q428" s="15" t="str">
        <f>IF(OR(J428="",H428=""),"",IFERROR(IF(ISNUMBER(N428),N428,IF(K428&lt;N(INDEX(Platforms!$G$5:$G$14,MATCH(H428,Lists!$A$2:$A$11,0))),N(INDEX(Platforms!$H$5:$H$14,MATCH(H428,Lists!$A$2:$A$11,0))),MAX(N(INDEX(Platforms!$F$5:$F$14,MATCH(H428,Lists!$A$2:$A$11,0))),N(INDEX(Platforms!$C$5:$C$14,MATCH(H428,Lists!$A$2:$A$11,0)))*(K428+IF(INDEX(Platforms!$E$5:$E$14,MATCH(H428,Lists!$A$2:$A$11,0))="Yes",N(L428),0))+N(INDEX(Platforms!$D$5:$D$14,MATCH(H428,Lists!$A$2:$A$11,0)))))),""))</f>
        <v/>
      </c>
      <c r="R428" s="16" t="str">
        <f t="shared" si="25"/>
        <v/>
      </c>
      <c r="S428" s="17" t="str">
        <f t="shared" si="26"/>
        <v/>
      </c>
      <c r="T428" s="18" t="str">
        <f t="shared" ca="1" si="27"/>
        <v/>
      </c>
    </row>
    <row r="429" spans="1:20" x14ac:dyDescent="0.35">
      <c r="A429" s="11"/>
      <c r="B429" s="11"/>
      <c r="C429" s="11"/>
      <c r="D429" s="12"/>
      <c r="E429" s="11"/>
      <c r="F429" s="13"/>
      <c r="G429" s="13"/>
      <c r="H429" s="11"/>
      <c r="I429" s="12"/>
      <c r="J429" s="12"/>
      <c r="K429" s="13"/>
      <c r="L429" s="13"/>
      <c r="M429" s="13"/>
      <c r="N429" s="13"/>
      <c r="O429" s="13"/>
      <c r="P429" s="14" t="str">
        <f t="shared" si="24"/>
        <v/>
      </c>
      <c r="Q429" s="15" t="str">
        <f>IF(OR(J429="",H429=""),"",IFERROR(IF(ISNUMBER(N429),N429,IF(K429&lt;N(INDEX(Platforms!$G$5:$G$14,MATCH(H429,Lists!$A$2:$A$11,0))),N(INDEX(Platforms!$H$5:$H$14,MATCH(H429,Lists!$A$2:$A$11,0))),MAX(N(INDEX(Platforms!$F$5:$F$14,MATCH(H429,Lists!$A$2:$A$11,0))),N(INDEX(Platforms!$C$5:$C$14,MATCH(H429,Lists!$A$2:$A$11,0)))*(K429+IF(INDEX(Platforms!$E$5:$E$14,MATCH(H429,Lists!$A$2:$A$11,0))="Yes",N(L429),0))+N(INDEX(Platforms!$D$5:$D$14,MATCH(H429,Lists!$A$2:$A$11,0)))))),""))</f>
        <v/>
      </c>
      <c r="R429" s="16" t="str">
        <f t="shared" si="25"/>
        <v/>
      </c>
      <c r="S429" s="17" t="str">
        <f t="shared" si="26"/>
        <v/>
      </c>
      <c r="T429" s="18" t="str">
        <f t="shared" ca="1" si="27"/>
        <v/>
      </c>
    </row>
    <row r="430" spans="1:20" x14ac:dyDescent="0.35">
      <c r="A430" s="11"/>
      <c r="B430" s="11"/>
      <c r="C430" s="11"/>
      <c r="D430" s="12"/>
      <c r="E430" s="11"/>
      <c r="F430" s="13"/>
      <c r="G430" s="13"/>
      <c r="H430" s="11"/>
      <c r="I430" s="12"/>
      <c r="J430" s="12"/>
      <c r="K430" s="13"/>
      <c r="L430" s="13"/>
      <c r="M430" s="13"/>
      <c r="N430" s="13"/>
      <c r="O430" s="13"/>
      <c r="P430" s="14" t="str">
        <f t="shared" si="24"/>
        <v/>
      </c>
      <c r="Q430" s="15" t="str">
        <f>IF(OR(J430="",H430=""),"",IFERROR(IF(ISNUMBER(N430),N430,IF(K430&lt;N(INDEX(Platforms!$G$5:$G$14,MATCH(H430,Lists!$A$2:$A$11,0))),N(INDEX(Platforms!$H$5:$H$14,MATCH(H430,Lists!$A$2:$A$11,0))),MAX(N(INDEX(Platforms!$F$5:$F$14,MATCH(H430,Lists!$A$2:$A$11,0))),N(INDEX(Platforms!$C$5:$C$14,MATCH(H430,Lists!$A$2:$A$11,0)))*(K430+IF(INDEX(Platforms!$E$5:$E$14,MATCH(H430,Lists!$A$2:$A$11,0))="Yes",N(L430),0))+N(INDEX(Platforms!$D$5:$D$14,MATCH(H430,Lists!$A$2:$A$11,0)))))),""))</f>
        <v/>
      </c>
      <c r="R430" s="16" t="str">
        <f t="shared" si="25"/>
        <v/>
      </c>
      <c r="S430" s="17" t="str">
        <f t="shared" si="26"/>
        <v/>
      </c>
      <c r="T430" s="18" t="str">
        <f t="shared" ca="1" si="27"/>
        <v/>
      </c>
    </row>
    <row r="431" spans="1:20" x14ac:dyDescent="0.35">
      <c r="A431" s="11"/>
      <c r="B431" s="11"/>
      <c r="C431" s="11"/>
      <c r="D431" s="12"/>
      <c r="E431" s="11"/>
      <c r="F431" s="13"/>
      <c r="G431" s="13"/>
      <c r="H431" s="11"/>
      <c r="I431" s="12"/>
      <c r="J431" s="12"/>
      <c r="K431" s="13"/>
      <c r="L431" s="13"/>
      <c r="M431" s="13"/>
      <c r="N431" s="13"/>
      <c r="O431" s="13"/>
      <c r="P431" s="14" t="str">
        <f t="shared" si="24"/>
        <v/>
      </c>
      <c r="Q431" s="15" t="str">
        <f>IF(OR(J431="",H431=""),"",IFERROR(IF(ISNUMBER(N431),N431,IF(K431&lt;N(INDEX(Platforms!$G$5:$G$14,MATCH(H431,Lists!$A$2:$A$11,0))),N(INDEX(Platforms!$H$5:$H$14,MATCH(H431,Lists!$A$2:$A$11,0))),MAX(N(INDEX(Platforms!$F$5:$F$14,MATCH(H431,Lists!$A$2:$A$11,0))),N(INDEX(Platforms!$C$5:$C$14,MATCH(H431,Lists!$A$2:$A$11,0)))*(K431+IF(INDEX(Platforms!$E$5:$E$14,MATCH(H431,Lists!$A$2:$A$11,0))="Yes",N(L431),0))+N(INDEX(Platforms!$D$5:$D$14,MATCH(H431,Lists!$A$2:$A$11,0)))))),""))</f>
        <v/>
      </c>
      <c r="R431" s="16" t="str">
        <f t="shared" si="25"/>
        <v/>
      </c>
      <c r="S431" s="17" t="str">
        <f t="shared" si="26"/>
        <v/>
      </c>
      <c r="T431" s="18" t="str">
        <f t="shared" ca="1" si="27"/>
        <v/>
      </c>
    </row>
    <row r="432" spans="1:20" x14ac:dyDescent="0.35">
      <c r="A432" s="11"/>
      <c r="B432" s="11"/>
      <c r="C432" s="11"/>
      <c r="D432" s="12"/>
      <c r="E432" s="11"/>
      <c r="F432" s="13"/>
      <c r="G432" s="13"/>
      <c r="H432" s="11"/>
      <c r="I432" s="12"/>
      <c r="J432" s="12"/>
      <c r="K432" s="13"/>
      <c r="L432" s="13"/>
      <c r="M432" s="13"/>
      <c r="N432" s="13"/>
      <c r="O432" s="13"/>
      <c r="P432" s="14" t="str">
        <f t="shared" si="24"/>
        <v/>
      </c>
      <c r="Q432" s="15" t="str">
        <f>IF(OR(J432="",H432=""),"",IFERROR(IF(ISNUMBER(N432),N432,IF(K432&lt;N(INDEX(Platforms!$G$5:$G$14,MATCH(H432,Lists!$A$2:$A$11,0))),N(INDEX(Platforms!$H$5:$H$14,MATCH(H432,Lists!$A$2:$A$11,0))),MAX(N(INDEX(Platforms!$F$5:$F$14,MATCH(H432,Lists!$A$2:$A$11,0))),N(INDEX(Platforms!$C$5:$C$14,MATCH(H432,Lists!$A$2:$A$11,0)))*(K432+IF(INDEX(Platforms!$E$5:$E$14,MATCH(H432,Lists!$A$2:$A$11,0))="Yes",N(L432),0))+N(INDEX(Platforms!$D$5:$D$14,MATCH(H432,Lists!$A$2:$A$11,0)))))),""))</f>
        <v/>
      </c>
      <c r="R432" s="16" t="str">
        <f t="shared" si="25"/>
        <v/>
      </c>
      <c r="S432" s="17" t="str">
        <f t="shared" si="26"/>
        <v/>
      </c>
      <c r="T432" s="18" t="str">
        <f t="shared" ca="1" si="27"/>
        <v/>
      </c>
    </row>
    <row r="433" spans="1:20" x14ac:dyDescent="0.35">
      <c r="A433" s="11"/>
      <c r="B433" s="11"/>
      <c r="C433" s="11"/>
      <c r="D433" s="12"/>
      <c r="E433" s="11"/>
      <c r="F433" s="13"/>
      <c r="G433" s="13"/>
      <c r="H433" s="11"/>
      <c r="I433" s="12"/>
      <c r="J433" s="12"/>
      <c r="K433" s="13"/>
      <c r="L433" s="13"/>
      <c r="M433" s="13"/>
      <c r="N433" s="13"/>
      <c r="O433" s="13"/>
      <c r="P433" s="14" t="str">
        <f t="shared" si="24"/>
        <v/>
      </c>
      <c r="Q433" s="15" t="str">
        <f>IF(OR(J433="",H433=""),"",IFERROR(IF(ISNUMBER(N433),N433,IF(K433&lt;N(INDEX(Platforms!$G$5:$G$14,MATCH(H433,Lists!$A$2:$A$11,0))),N(INDEX(Platforms!$H$5:$H$14,MATCH(H433,Lists!$A$2:$A$11,0))),MAX(N(INDEX(Platforms!$F$5:$F$14,MATCH(H433,Lists!$A$2:$A$11,0))),N(INDEX(Platforms!$C$5:$C$14,MATCH(H433,Lists!$A$2:$A$11,0)))*(K433+IF(INDEX(Platforms!$E$5:$E$14,MATCH(H433,Lists!$A$2:$A$11,0))="Yes",N(L433),0))+N(INDEX(Platforms!$D$5:$D$14,MATCH(H433,Lists!$A$2:$A$11,0)))))),""))</f>
        <v/>
      </c>
      <c r="R433" s="16" t="str">
        <f t="shared" si="25"/>
        <v/>
      </c>
      <c r="S433" s="17" t="str">
        <f t="shared" si="26"/>
        <v/>
      </c>
      <c r="T433" s="18" t="str">
        <f t="shared" ca="1" si="27"/>
        <v/>
      </c>
    </row>
    <row r="434" spans="1:20" x14ac:dyDescent="0.35">
      <c r="A434" s="11"/>
      <c r="B434" s="11"/>
      <c r="C434" s="11"/>
      <c r="D434" s="12"/>
      <c r="E434" s="11"/>
      <c r="F434" s="13"/>
      <c r="G434" s="13"/>
      <c r="H434" s="11"/>
      <c r="I434" s="12"/>
      <c r="J434" s="12"/>
      <c r="K434" s="13"/>
      <c r="L434" s="13"/>
      <c r="M434" s="13"/>
      <c r="N434" s="13"/>
      <c r="O434" s="13"/>
      <c r="P434" s="14" t="str">
        <f t="shared" si="24"/>
        <v/>
      </c>
      <c r="Q434" s="15" t="str">
        <f>IF(OR(J434="",H434=""),"",IFERROR(IF(ISNUMBER(N434),N434,IF(K434&lt;N(INDEX(Platforms!$G$5:$G$14,MATCH(H434,Lists!$A$2:$A$11,0))),N(INDEX(Platforms!$H$5:$H$14,MATCH(H434,Lists!$A$2:$A$11,0))),MAX(N(INDEX(Platforms!$F$5:$F$14,MATCH(H434,Lists!$A$2:$A$11,0))),N(INDEX(Platforms!$C$5:$C$14,MATCH(H434,Lists!$A$2:$A$11,0)))*(K434+IF(INDEX(Platforms!$E$5:$E$14,MATCH(H434,Lists!$A$2:$A$11,0))="Yes",N(L434),0))+N(INDEX(Platforms!$D$5:$D$14,MATCH(H434,Lists!$A$2:$A$11,0)))))),""))</f>
        <v/>
      </c>
      <c r="R434" s="16" t="str">
        <f t="shared" si="25"/>
        <v/>
      </c>
      <c r="S434" s="17" t="str">
        <f t="shared" si="26"/>
        <v/>
      </c>
      <c r="T434" s="18" t="str">
        <f t="shared" ca="1" si="27"/>
        <v/>
      </c>
    </row>
    <row r="435" spans="1:20" x14ac:dyDescent="0.35">
      <c r="A435" s="11"/>
      <c r="B435" s="11"/>
      <c r="C435" s="11"/>
      <c r="D435" s="12"/>
      <c r="E435" s="11"/>
      <c r="F435" s="13"/>
      <c r="G435" s="13"/>
      <c r="H435" s="11"/>
      <c r="I435" s="12"/>
      <c r="J435" s="12"/>
      <c r="K435" s="13"/>
      <c r="L435" s="13"/>
      <c r="M435" s="13"/>
      <c r="N435" s="13"/>
      <c r="O435" s="13"/>
      <c r="P435" s="14" t="str">
        <f t="shared" si="24"/>
        <v/>
      </c>
      <c r="Q435" s="15" t="str">
        <f>IF(OR(J435="",H435=""),"",IFERROR(IF(ISNUMBER(N435),N435,IF(K435&lt;N(INDEX(Platforms!$G$5:$G$14,MATCH(H435,Lists!$A$2:$A$11,0))),N(INDEX(Platforms!$H$5:$H$14,MATCH(H435,Lists!$A$2:$A$11,0))),MAX(N(INDEX(Platforms!$F$5:$F$14,MATCH(H435,Lists!$A$2:$A$11,0))),N(INDEX(Platforms!$C$5:$C$14,MATCH(H435,Lists!$A$2:$A$11,0)))*(K435+IF(INDEX(Platforms!$E$5:$E$14,MATCH(H435,Lists!$A$2:$A$11,0))="Yes",N(L435),0))+N(INDEX(Platforms!$D$5:$D$14,MATCH(H435,Lists!$A$2:$A$11,0)))))),""))</f>
        <v/>
      </c>
      <c r="R435" s="16" t="str">
        <f t="shared" si="25"/>
        <v/>
      </c>
      <c r="S435" s="17" t="str">
        <f t="shared" si="26"/>
        <v/>
      </c>
      <c r="T435" s="18" t="str">
        <f t="shared" ca="1" si="27"/>
        <v/>
      </c>
    </row>
    <row r="436" spans="1:20" x14ac:dyDescent="0.35">
      <c r="A436" s="11"/>
      <c r="B436" s="11"/>
      <c r="C436" s="11"/>
      <c r="D436" s="12"/>
      <c r="E436" s="11"/>
      <c r="F436" s="13"/>
      <c r="G436" s="13"/>
      <c r="H436" s="11"/>
      <c r="I436" s="12"/>
      <c r="J436" s="12"/>
      <c r="K436" s="13"/>
      <c r="L436" s="13"/>
      <c r="M436" s="13"/>
      <c r="N436" s="13"/>
      <c r="O436" s="13"/>
      <c r="P436" s="14" t="str">
        <f t="shared" si="24"/>
        <v/>
      </c>
      <c r="Q436" s="15" t="str">
        <f>IF(OR(J436="",H436=""),"",IFERROR(IF(ISNUMBER(N436),N436,IF(K436&lt;N(INDEX(Platforms!$G$5:$G$14,MATCH(H436,Lists!$A$2:$A$11,0))),N(INDEX(Platforms!$H$5:$H$14,MATCH(H436,Lists!$A$2:$A$11,0))),MAX(N(INDEX(Platforms!$F$5:$F$14,MATCH(H436,Lists!$A$2:$A$11,0))),N(INDEX(Platforms!$C$5:$C$14,MATCH(H436,Lists!$A$2:$A$11,0)))*(K436+IF(INDEX(Platforms!$E$5:$E$14,MATCH(H436,Lists!$A$2:$A$11,0))="Yes",N(L436),0))+N(INDEX(Platforms!$D$5:$D$14,MATCH(H436,Lists!$A$2:$A$11,0)))))),""))</f>
        <v/>
      </c>
      <c r="R436" s="16" t="str">
        <f t="shared" si="25"/>
        <v/>
      </c>
      <c r="S436" s="17" t="str">
        <f t="shared" si="26"/>
        <v/>
      </c>
      <c r="T436" s="18" t="str">
        <f t="shared" ca="1" si="27"/>
        <v/>
      </c>
    </row>
    <row r="437" spans="1:20" x14ac:dyDescent="0.35">
      <c r="A437" s="11"/>
      <c r="B437" s="11"/>
      <c r="C437" s="11"/>
      <c r="D437" s="12"/>
      <c r="E437" s="11"/>
      <c r="F437" s="13"/>
      <c r="G437" s="13"/>
      <c r="H437" s="11"/>
      <c r="I437" s="12"/>
      <c r="J437" s="12"/>
      <c r="K437" s="13"/>
      <c r="L437" s="13"/>
      <c r="M437" s="13"/>
      <c r="N437" s="13"/>
      <c r="O437" s="13"/>
      <c r="P437" s="14" t="str">
        <f t="shared" si="24"/>
        <v/>
      </c>
      <c r="Q437" s="15" t="str">
        <f>IF(OR(J437="",H437=""),"",IFERROR(IF(ISNUMBER(N437),N437,IF(K437&lt;N(INDEX(Platforms!$G$5:$G$14,MATCH(H437,Lists!$A$2:$A$11,0))),N(INDEX(Platforms!$H$5:$H$14,MATCH(H437,Lists!$A$2:$A$11,0))),MAX(N(INDEX(Platforms!$F$5:$F$14,MATCH(H437,Lists!$A$2:$A$11,0))),N(INDEX(Platforms!$C$5:$C$14,MATCH(H437,Lists!$A$2:$A$11,0)))*(K437+IF(INDEX(Platforms!$E$5:$E$14,MATCH(H437,Lists!$A$2:$A$11,0))="Yes",N(L437),0))+N(INDEX(Platforms!$D$5:$D$14,MATCH(H437,Lists!$A$2:$A$11,0)))))),""))</f>
        <v/>
      </c>
      <c r="R437" s="16" t="str">
        <f t="shared" si="25"/>
        <v/>
      </c>
      <c r="S437" s="17" t="str">
        <f t="shared" si="26"/>
        <v/>
      </c>
      <c r="T437" s="18" t="str">
        <f t="shared" ca="1" si="27"/>
        <v/>
      </c>
    </row>
    <row r="438" spans="1:20" x14ac:dyDescent="0.35">
      <c r="A438" s="11"/>
      <c r="B438" s="11"/>
      <c r="C438" s="11"/>
      <c r="D438" s="12"/>
      <c r="E438" s="11"/>
      <c r="F438" s="13"/>
      <c r="G438" s="13"/>
      <c r="H438" s="11"/>
      <c r="I438" s="12"/>
      <c r="J438" s="12"/>
      <c r="K438" s="13"/>
      <c r="L438" s="13"/>
      <c r="M438" s="13"/>
      <c r="N438" s="13"/>
      <c r="O438" s="13"/>
      <c r="P438" s="14" t="str">
        <f t="shared" si="24"/>
        <v/>
      </c>
      <c r="Q438" s="15" t="str">
        <f>IF(OR(J438="",H438=""),"",IFERROR(IF(ISNUMBER(N438),N438,IF(K438&lt;N(INDEX(Platforms!$G$5:$G$14,MATCH(H438,Lists!$A$2:$A$11,0))),N(INDEX(Platforms!$H$5:$H$14,MATCH(H438,Lists!$A$2:$A$11,0))),MAX(N(INDEX(Platforms!$F$5:$F$14,MATCH(H438,Lists!$A$2:$A$11,0))),N(INDEX(Platforms!$C$5:$C$14,MATCH(H438,Lists!$A$2:$A$11,0)))*(K438+IF(INDEX(Platforms!$E$5:$E$14,MATCH(H438,Lists!$A$2:$A$11,0))="Yes",N(L438),0))+N(INDEX(Platforms!$D$5:$D$14,MATCH(H438,Lists!$A$2:$A$11,0)))))),""))</f>
        <v/>
      </c>
      <c r="R438" s="16" t="str">
        <f t="shared" si="25"/>
        <v/>
      </c>
      <c r="S438" s="17" t="str">
        <f t="shared" si="26"/>
        <v/>
      </c>
      <c r="T438" s="18" t="str">
        <f t="shared" ca="1" si="27"/>
        <v/>
      </c>
    </row>
    <row r="439" spans="1:20" x14ac:dyDescent="0.35">
      <c r="A439" s="11"/>
      <c r="B439" s="11"/>
      <c r="C439" s="11"/>
      <c r="D439" s="12"/>
      <c r="E439" s="11"/>
      <c r="F439" s="13"/>
      <c r="G439" s="13"/>
      <c r="H439" s="11"/>
      <c r="I439" s="12"/>
      <c r="J439" s="12"/>
      <c r="K439" s="13"/>
      <c r="L439" s="13"/>
      <c r="M439" s="13"/>
      <c r="N439" s="13"/>
      <c r="O439" s="13"/>
      <c r="P439" s="14" t="str">
        <f t="shared" si="24"/>
        <v/>
      </c>
      <c r="Q439" s="15" t="str">
        <f>IF(OR(J439="",H439=""),"",IFERROR(IF(ISNUMBER(N439),N439,IF(K439&lt;N(INDEX(Platforms!$G$5:$G$14,MATCH(H439,Lists!$A$2:$A$11,0))),N(INDEX(Platforms!$H$5:$H$14,MATCH(H439,Lists!$A$2:$A$11,0))),MAX(N(INDEX(Platforms!$F$5:$F$14,MATCH(H439,Lists!$A$2:$A$11,0))),N(INDEX(Platforms!$C$5:$C$14,MATCH(H439,Lists!$A$2:$A$11,0)))*(K439+IF(INDEX(Platforms!$E$5:$E$14,MATCH(H439,Lists!$A$2:$A$11,0))="Yes",N(L439),0))+N(INDEX(Platforms!$D$5:$D$14,MATCH(H439,Lists!$A$2:$A$11,0)))))),""))</f>
        <v/>
      </c>
      <c r="R439" s="16" t="str">
        <f t="shared" si="25"/>
        <v/>
      </c>
      <c r="S439" s="17" t="str">
        <f t="shared" si="26"/>
        <v/>
      </c>
      <c r="T439" s="18" t="str">
        <f t="shared" ca="1" si="27"/>
        <v/>
      </c>
    </row>
    <row r="440" spans="1:20" x14ac:dyDescent="0.35">
      <c r="A440" s="11"/>
      <c r="B440" s="11"/>
      <c r="C440" s="11"/>
      <c r="D440" s="12"/>
      <c r="E440" s="11"/>
      <c r="F440" s="13"/>
      <c r="G440" s="13"/>
      <c r="H440" s="11"/>
      <c r="I440" s="12"/>
      <c r="J440" s="12"/>
      <c r="K440" s="13"/>
      <c r="L440" s="13"/>
      <c r="M440" s="13"/>
      <c r="N440" s="13"/>
      <c r="O440" s="13"/>
      <c r="P440" s="14" t="str">
        <f t="shared" si="24"/>
        <v/>
      </c>
      <c r="Q440" s="15" t="str">
        <f>IF(OR(J440="",H440=""),"",IFERROR(IF(ISNUMBER(N440),N440,IF(K440&lt;N(INDEX(Platforms!$G$5:$G$14,MATCH(H440,Lists!$A$2:$A$11,0))),N(INDEX(Platforms!$H$5:$H$14,MATCH(H440,Lists!$A$2:$A$11,0))),MAX(N(INDEX(Platforms!$F$5:$F$14,MATCH(H440,Lists!$A$2:$A$11,0))),N(INDEX(Platforms!$C$5:$C$14,MATCH(H440,Lists!$A$2:$A$11,0)))*(K440+IF(INDEX(Platforms!$E$5:$E$14,MATCH(H440,Lists!$A$2:$A$11,0))="Yes",N(L440),0))+N(INDEX(Platforms!$D$5:$D$14,MATCH(H440,Lists!$A$2:$A$11,0)))))),""))</f>
        <v/>
      </c>
      <c r="R440" s="16" t="str">
        <f t="shared" si="25"/>
        <v/>
      </c>
      <c r="S440" s="17" t="str">
        <f t="shared" si="26"/>
        <v/>
      </c>
      <c r="T440" s="18" t="str">
        <f t="shared" ca="1" si="27"/>
        <v/>
      </c>
    </row>
    <row r="441" spans="1:20" x14ac:dyDescent="0.35">
      <c r="A441" s="11"/>
      <c r="B441" s="11"/>
      <c r="C441" s="11"/>
      <c r="D441" s="12"/>
      <c r="E441" s="11"/>
      <c r="F441" s="13"/>
      <c r="G441" s="13"/>
      <c r="H441" s="11"/>
      <c r="I441" s="12"/>
      <c r="J441" s="12"/>
      <c r="K441" s="13"/>
      <c r="L441" s="13"/>
      <c r="M441" s="13"/>
      <c r="N441" s="13"/>
      <c r="O441" s="13"/>
      <c r="P441" s="14" t="str">
        <f t="shared" si="24"/>
        <v/>
      </c>
      <c r="Q441" s="15" t="str">
        <f>IF(OR(J441="",H441=""),"",IFERROR(IF(ISNUMBER(N441),N441,IF(K441&lt;N(INDEX(Platforms!$G$5:$G$14,MATCH(H441,Lists!$A$2:$A$11,0))),N(INDEX(Platforms!$H$5:$H$14,MATCH(H441,Lists!$A$2:$A$11,0))),MAX(N(INDEX(Platforms!$F$5:$F$14,MATCH(H441,Lists!$A$2:$A$11,0))),N(INDEX(Platforms!$C$5:$C$14,MATCH(H441,Lists!$A$2:$A$11,0)))*(K441+IF(INDEX(Platforms!$E$5:$E$14,MATCH(H441,Lists!$A$2:$A$11,0))="Yes",N(L441),0))+N(INDEX(Platforms!$D$5:$D$14,MATCH(H441,Lists!$A$2:$A$11,0)))))),""))</f>
        <v/>
      </c>
      <c r="R441" s="16" t="str">
        <f t="shared" si="25"/>
        <v/>
      </c>
      <c r="S441" s="17" t="str">
        <f t="shared" si="26"/>
        <v/>
      </c>
      <c r="T441" s="18" t="str">
        <f t="shared" ca="1" si="27"/>
        <v/>
      </c>
    </row>
    <row r="442" spans="1:20" x14ac:dyDescent="0.35">
      <c r="A442" s="11"/>
      <c r="B442" s="11"/>
      <c r="C442" s="11"/>
      <c r="D442" s="12"/>
      <c r="E442" s="11"/>
      <c r="F442" s="13"/>
      <c r="G442" s="13"/>
      <c r="H442" s="11"/>
      <c r="I442" s="12"/>
      <c r="J442" s="12"/>
      <c r="K442" s="13"/>
      <c r="L442" s="13"/>
      <c r="M442" s="13"/>
      <c r="N442" s="13"/>
      <c r="O442" s="13"/>
      <c r="P442" s="14" t="str">
        <f t="shared" si="24"/>
        <v/>
      </c>
      <c r="Q442" s="15" t="str">
        <f>IF(OR(J442="",H442=""),"",IFERROR(IF(ISNUMBER(N442),N442,IF(K442&lt;N(INDEX(Platforms!$G$5:$G$14,MATCH(H442,Lists!$A$2:$A$11,0))),N(INDEX(Platforms!$H$5:$H$14,MATCH(H442,Lists!$A$2:$A$11,0))),MAX(N(INDEX(Platforms!$F$5:$F$14,MATCH(H442,Lists!$A$2:$A$11,0))),N(INDEX(Platforms!$C$5:$C$14,MATCH(H442,Lists!$A$2:$A$11,0)))*(K442+IF(INDEX(Platforms!$E$5:$E$14,MATCH(H442,Lists!$A$2:$A$11,0))="Yes",N(L442),0))+N(INDEX(Platforms!$D$5:$D$14,MATCH(H442,Lists!$A$2:$A$11,0)))))),""))</f>
        <v/>
      </c>
      <c r="R442" s="16" t="str">
        <f t="shared" si="25"/>
        <v/>
      </c>
      <c r="S442" s="17" t="str">
        <f t="shared" si="26"/>
        <v/>
      </c>
      <c r="T442" s="18" t="str">
        <f t="shared" ca="1" si="27"/>
        <v/>
      </c>
    </row>
    <row r="443" spans="1:20" x14ac:dyDescent="0.35">
      <c r="A443" s="11"/>
      <c r="B443" s="11"/>
      <c r="C443" s="11"/>
      <c r="D443" s="12"/>
      <c r="E443" s="11"/>
      <c r="F443" s="13"/>
      <c r="G443" s="13"/>
      <c r="H443" s="11"/>
      <c r="I443" s="12"/>
      <c r="J443" s="12"/>
      <c r="K443" s="13"/>
      <c r="L443" s="13"/>
      <c r="M443" s="13"/>
      <c r="N443" s="13"/>
      <c r="O443" s="13"/>
      <c r="P443" s="14" t="str">
        <f t="shared" si="24"/>
        <v/>
      </c>
      <c r="Q443" s="15" t="str">
        <f>IF(OR(J443="",H443=""),"",IFERROR(IF(ISNUMBER(N443),N443,IF(K443&lt;N(INDEX(Platforms!$G$5:$G$14,MATCH(H443,Lists!$A$2:$A$11,0))),N(INDEX(Platforms!$H$5:$H$14,MATCH(H443,Lists!$A$2:$A$11,0))),MAX(N(INDEX(Platforms!$F$5:$F$14,MATCH(H443,Lists!$A$2:$A$11,0))),N(INDEX(Platforms!$C$5:$C$14,MATCH(H443,Lists!$A$2:$A$11,0)))*(K443+IF(INDEX(Platforms!$E$5:$E$14,MATCH(H443,Lists!$A$2:$A$11,0))="Yes",N(L443),0))+N(INDEX(Platforms!$D$5:$D$14,MATCH(H443,Lists!$A$2:$A$11,0)))))),""))</f>
        <v/>
      </c>
      <c r="R443" s="16" t="str">
        <f t="shared" si="25"/>
        <v/>
      </c>
      <c r="S443" s="17" t="str">
        <f t="shared" si="26"/>
        <v/>
      </c>
      <c r="T443" s="18" t="str">
        <f t="shared" ca="1" si="27"/>
        <v/>
      </c>
    </row>
    <row r="444" spans="1:20" x14ac:dyDescent="0.35">
      <c r="A444" s="11"/>
      <c r="B444" s="11"/>
      <c r="C444" s="11"/>
      <c r="D444" s="12"/>
      <c r="E444" s="11"/>
      <c r="F444" s="13"/>
      <c r="G444" s="13"/>
      <c r="H444" s="11"/>
      <c r="I444" s="12"/>
      <c r="J444" s="12"/>
      <c r="K444" s="13"/>
      <c r="L444" s="13"/>
      <c r="M444" s="13"/>
      <c r="N444" s="13"/>
      <c r="O444" s="13"/>
      <c r="P444" s="14" t="str">
        <f t="shared" si="24"/>
        <v/>
      </c>
      <c r="Q444" s="15" t="str">
        <f>IF(OR(J444="",H444=""),"",IFERROR(IF(ISNUMBER(N444),N444,IF(K444&lt;N(INDEX(Platforms!$G$5:$G$14,MATCH(H444,Lists!$A$2:$A$11,0))),N(INDEX(Platforms!$H$5:$H$14,MATCH(H444,Lists!$A$2:$A$11,0))),MAX(N(INDEX(Platforms!$F$5:$F$14,MATCH(H444,Lists!$A$2:$A$11,0))),N(INDEX(Platforms!$C$5:$C$14,MATCH(H444,Lists!$A$2:$A$11,0)))*(K444+IF(INDEX(Platforms!$E$5:$E$14,MATCH(H444,Lists!$A$2:$A$11,0))="Yes",N(L444),0))+N(INDEX(Platforms!$D$5:$D$14,MATCH(H444,Lists!$A$2:$A$11,0)))))),""))</f>
        <v/>
      </c>
      <c r="R444" s="16" t="str">
        <f t="shared" si="25"/>
        <v/>
      </c>
      <c r="S444" s="17" t="str">
        <f t="shared" si="26"/>
        <v/>
      </c>
      <c r="T444" s="18" t="str">
        <f t="shared" ca="1" si="27"/>
        <v/>
      </c>
    </row>
    <row r="445" spans="1:20" x14ac:dyDescent="0.35">
      <c r="A445" s="11"/>
      <c r="B445" s="11"/>
      <c r="C445" s="11"/>
      <c r="D445" s="12"/>
      <c r="E445" s="11"/>
      <c r="F445" s="13"/>
      <c r="G445" s="13"/>
      <c r="H445" s="11"/>
      <c r="I445" s="12"/>
      <c r="J445" s="12"/>
      <c r="K445" s="13"/>
      <c r="L445" s="13"/>
      <c r="M445" s="13"/>
      <c r="N445" s="13"/>
      <c r="O445" s="13"/>
      <c r="P445" s="14" t="str">
        <f t="shared" si="24"/>
        <v/>
      </c>
      <c r="Q445" s="15" t="str">
        <f>IF(OR(J445="",H445=""),"",IFERROR(IF(ISNUMBER(N445),N445,IF(K445&lt;N(INDEX(Platforms!$G$5:$G$14,MATCH(H445,Lists!$A$2:$A$11,0))),N(INDEX(Platforms!$H$5:$H$14,MATCH(H445,Lists!$A$2:$A$11,0))),MAX(N(INDEX(Platforms!$F$5:$F$14,MATCH(H445,Lists!$A$2:$A$11,0))),N(INDEX(Platforms!$C$5:$C$14,MATCH(H445,Lists!$A$2:$A$11,0)))*(K445+IF(INDEX(Platforms!$E$5:$E$14,MATCH(H445,Lists!$A$2:$A$11,0))="Yes",N(L445),0))+N(INDEX(Platforms!$D$5:$D$14,MATCH(H445,Lists!$A$2:$A$11,0)))))),""))</f>
        <v/>
      </c>
      <c r="R445" s="16" t="str">
        <f t="shared" si="25"/>
        <v/>
      </c>
      <c r="S445" s="17" t="str">
        <f t="shared" si="26"/>
        <v/>
      </c>
      <c r="T445" s="18" t="str">
        <f t="shared" ca="1" si="27"/>
        <v/>
      </c>
    </row>
    <row r="446" spans="1:20" x14ac:dyDescent="0.35">
      <c r="A446" s="11"/>
      <c r="B446" s="11"/>
      <c r="C446" s="11"/>
      <c r="D446" s="12"/>
      <c r="E446" s="11"/>
      <c r="F446" s="13"/>
      <c r="G446" s="13"/>
      <c r="H446" s="11"/>
      <c r="I446" s="12"/>
      <c r="J446" s="12"/>
      <c r="K446" s="13"/>
      <c r="L446" s="13"/>
      <c r="M446" s="13"/>
      <c r="N446" s="13"/>
      <c r="O446" s="13"/>
      <c r="P446" s="14" t="str">
        <f t="shared" si="24"/>
        <v/>
      </c>
      <c r="Q446" s="15" t="str">
        <f>IF(OR(J446="",H446=""),"",IFERROR(IF(ISNUMBER(N446),N446,IF(K446&lt;N(INDEX(Platforms!$G$5:$G$14,MATCH(H446,Lists!$A$2:$A$11,0))),N(INDEX(Platforms!$H$5:$H$14,MATCH(H446,Lists!$A$2:$A$11,0))),MAX(N(INDEX(Platforms!$F$5:$F$14,MATCH(H446,Lists!$A$2:$A$11,0))),N(INDEX(Platforms!$C$5:$C$14,MATCH(H446,Lists!$A$2:$A$11,0)))*(K446+IF(INDEX(Platforms!$E$5:$E$14,MATCH(H446,Lists!$A$2:$A$11,0))="Yes",N(L446),0))+N(INDEX(Platforms!$D$5:$D$14,MATCH(H446,Lists!$A$2:$A$11,0)))))),""))</f>
        <v/>
      </c>
      <c r="R446" s="16" t="str">
        <f t="shared" si="25"/>
        <v/>
      </c>
      <c r="S446" s="17" t="str">
        <f t="shared" si="26"/>
        <v/>
      </c>
      <c r="T446" s="18" t="str">
        <f t="shared" ca="1" si="27"/>
        <v/>
      </c>
    </row>
    <row r="447" spans="1:20" x14ac:dyDescent="0.35">
      <c r="A447" s="11"/>
      <c r="B447" s="11"/>
      <c r="C447" s="11"/>
      <c r="D447" s="12"/>
      <c r="E447" s="11"/>
      <c r="F447" s="13"/>
      <c r="G447" s="13"/>
      <c r="H447" s="11"/>
      <c r="I447" s="12"/>
      <c r="J447" s="12"/>
      <c r="K447" s="13"/>
      <c r="L447" s="13"/>
      <c r="M447" s="13"/>
      <c r="N447" s="13"/>
      <c r="O447" s="13"/>
      <c r="P447" s="14" t="str">
        <f t="shared" si="24"/>
        <v/>
      </c>
      <c r="Q447" s="15" t="str">
        <f>IF(OR(J447="",H447=""),"",IFERROR(IF(ISNUMBER(N447),N447,IF(K447&lt;N(INDEX(Platforms!$G$5:$G$14,MATCH(H447,Lists!$A$2:$A$11,0))),N(INDEX(Platforms!$H$5:$H$14,MATCH(H447,Lists!$A$2:$A$11,0))),MAX(N(INDEX(Platforms!$F$5:$F$14,MATCH(H447,Lists!$A$2:$A$11,0))),N(INDEX(Platforms!$C$5:$C$14,MATCH(H447,Lists!$A$2:$A$11,0)))*(K447+IF(INDEX(Platforms!$E$5:$E$14,MATCH(H447,Lists!$A$2:$A$11,0))="Yes",N(L447),0))+N(INDEX(Platforms!$D$5:$D$14,MATCH(H447,Lists!$A$2:$A$11,0)))))),""))</f>
        <v/>
      </c>
      <c r="R447" s="16" t="str">
        <f t="shared" si="25"/>
        <v/>
      </c>
      <c r="S447" s="17" t="str">
        <f t="shared" si="26"/>
        <v/>
      </c>
      <c r="T447" s="18" t="str">
        <f t="shared" ca="1" si="27"/>
        <v/>
      </c>
    </row>
    <row r="448" spans="1:20" x14ac:dyDescent="0.35">
      <c r="A448" s="11"/>
      <c r="B448" s="11"/>
      <c r="C448" s="11"/>
      <c r="D448" s="12"/>
      <c r="E448" s="11"/>
      <c r="F448" s="13"/>
      <c r="G448" s="13"/>
      <c r="H448" s="11"/>
      <c r="I448" s="12"/>
      <c r="J448" s="12"/>
      <c r="K448" s="13"/>
      <c r="L448" s="13"/>
      <c r="M448" s="13"/>
      <c r="N448" s="13"/>
      <c r="O448" s="13"/>
      <c r="P448" s="14" t="str">
        <f t="shared" si="24"/>
        <v/>
      </c>
      <c r="Q448" s="15" t="str">
        <f>IF(OR(J448="",H448=""),"",IFERROR(IF(ISNUMBER(N448),N448,IF(K448&lt;N(INDEX(Platforms!$G$5:$G$14,MATCH(H448,Lists!$A$2:$A$11,0))),N(INDEX(Platforms!$H$5:$H$14,MATCH(H448,Lists!$A$2:$A$11,0))),MAX(N(INDEX(Platforms!$F$5:$F$14,MATCH(H448,Lists!$A$2:$A$11,0))),N(INDEX(Platforms!$C$5:$C$14,MATCH(H448,Lists!$A$2:$A$11,0)))*(K448+IF(INDEX(Platforms!$E$5:$E$14,MATCH(H448,Lists!$A$2:$A$11,0))="Yes",N(L448),0))+N(INDEX(Platforms!$D$5:$D$14,MATCH(H448,Lists!$A$2:$A$11,0)))))),""))</f>
        <v/>
      </c>
      <c r="R448" s="16" t="str">
        <f t="shared" si="25"/>
        <v/>
      </c>
      <c r="S448" s="17" t="str">
        <f t="shared" si="26"/>
        <v/>
      </c>
      <c r="T448" s="18" t="str">
        <f t="shared" ca="1" si="27"/>
        <v/>
      </c>
    </row>
    <row r="449" spans="1:20" x14ac:dyDescent="0.35">
      <c r="A449" s="11"/>
      <c r="B449" s="11"/>
      <c r="C449" s="11"/>
      <c r="D449" s="12"/>
      <c r="E449" s="11"/>
      <c r="F449" s="13"/>
      <c r="G449" s="13"/>
      <c r="H449" s="11"/>
      <c r="I449" s="12"/>
      <c r="J449" s="12"/>
      <c r="K449" s="13"/>
      <c r="L449" s="13"/>
      <c r="M449" s="13"/>
      <c r="N449" s="13"/>
      <c r="O449" s="13"/>
      <c r="P449" s="14" t="str">
        <f t="shared" si="24"/>
        <v/>
      </c>
      <c r="Q449" s="15" t="str">
        <f>IF(OR(J449="",H449=""),"",IFERROR(IF(ISNUMBER(N449),N449,IF(K449&lt;N(INDEX(Platforms!$G$5:$G$14,MATCH(H449,Lists!$A$2:$A$11,0))),N(INDEX(Platforms!$H$5:$H$14,MATCH(H449,Lists!$A$2:$A$11,0))),MAX(N(INDEX(Platforms!$F$5:$F$14,MATCH(H449,Lists!$A$2:$A$11,0))),N(INDEX(Platforms!$C$5:$C$14,MATCH(H449,Lists!$A$2:$A$11,0)))*(K449+IF(INDEX(Platforms!$E$5:$E$14,MATCH(H449,Lists!$A$2:$A$11,0))="Yes",N(L449),0))+N(INDEX(Platforms!$D$5:$D$14,MATCH(H449,Lists!$A$2:$A$11,0)))))),""))</f>
        <v/>
      </c>
      <c r="R449" s="16" t="str">
        <f t="shared" si="25"/>
        <v/>
      </c>
      <c r="S449" s="17" t="str">
        <f t="shared" si="26"/>
        <v/>
      </c>
      <c r="T449" s="18" t="str">
        <f t="shared" ca="1" si="27"/>
        <v/>
      </c>
    </row>
    <row r="450" spans="1:20" x14ac:dyDescent="0.35">
      <c r="A450" s="11"/>
      <c r="B450" s="11"/>
      <c r="C450" s="11"/>
      <c r="D450" s="12"/>
      <c r="E450" s="11"/>
      <c r="F450" s="13"/>
      <c r="G450" s="13"/>
      <c r="H450" s="11"/>
      <c r="I450" s="12"/>
      <c r="J450" s="12"/>
      <c r="K450" s="13"/>
      <c r="L450" s="13"/>
      <c r="M450" s="13"/>
      <c r="N450" s="13"/>
      <c r="O450" s="13"/>
      <c r="P450" s="14" t="str">
        <f t="shared" si="24"/>
        <v/>
      </c>
      <c r="Q450" s="15" t="str">
        <f>IF(OR(J450="",H450=""),"",IFERROR(IF(ISNUMBER(N450),N450,IF(K450&lt;N(INDEX(Platforms!$G$5:$G$14,MATCH(H450,Lists!$A$2:$A$11,0))),N(INDEX(Platforms!$H$5:$H$14,MATCH(H450,Lists!$A$2:$A$11,0))),MAX(N(INDEX(Platforms!$F$5:$F$14,MATCH(H450,Lists!$A$2:$A$11,0))),N(INDEX(Platforms!$C$5:$C$14,MATCH(H450,Lists!$A$2:$A$11,0)))*(K450+IF(INDEX(Platforms!$E$5:$E$14,MATCH(H450,Lists!$A$2:$A$11,0))="Yes",N(L450),0))+N(INDEX(Platforms!$D$5:$D$14,MATCH(H450,Lists!$A$2:$A$11,0)))))),""))</f>
        <v/>
      </c>
      <c r="R450" s="16" t="str">
        <f t="shared" si="25"/>
        <v/>
      </c>
      <c r="S450" s="17" t="str">
        <f t="shared" si="26"/>
        <v/>
      </c>
      <c r="T450" s="18" t="str">
        <f t="shared" ca="1" si="27"/>
        <v/>
      </c>
    </row>
    <row r="451" spans="1:20" x14ac:dyDescent="0.35">
      <c r="A451" s="11"/>
      <c r="B451" s="11"/>
      <c r="C451" s="11"/>
      <c r="D451" s="12"/>
      <c r="E451" s="11"/>
      <c r="F451" s="13"/>
      <c r="G451" s="13"/>
      <c r="H451" s="11"/>
      <c r="I451" s="12"/>
      <c r="J451" s="12"/>
      <c r="K451" s="13"/>
      <c r="L451" s="13"/>
      <c r="M451" s="13"/>
      <c r="N451" s="13"/>
      <c r="O451" s="13"/>
      <c r="P451" s="14" t="str">
        <f t="shared" si="24"/>
        <v/>
      </c>
      <c r="Q451" s="15" t="str">
        <f>IF(OR(J451="",H451=""),"",IFERROR(IF(ISNUMBER(N451),N451,IF(K451&lt;N(INDEX(Platforms!$G$5:$G$14,MATCH(H451,Lists!$A$2:$A$11,0))),N(INDEX(Platforms!$H$5:$H$14,MATCH(H451,Lists!$A$2:$A$11,0))),MAX(N(INDEX(Platforms!$F$5:$F$14,MATCH(H451,Lists!$A$2:$A$11,0))),N(INDEX(Platforms!$C$5:$C$14,MATCH(H451,Lists!$A$2:$A$11,0)))*(K451+IF(INDEX(Platforms!$E$5:$E$14,MATCH(H451,Lists!$A$2:$A$11,0))="Yes",N(L451),0))+N(INDEX(Platforms!$D$5:$D$14,MATCH(H451,Lists!$A$2:$A$11,0)))))),""))</f>
        <v/>
      </c>
      <c r="R451" s="16" t="str">
        <f t="shared" si="25"/>
        <v/>
      </c>
      <c r="S451" s="17" t="str">
        <f t="shared" si="26"/>
        <v/>
      </c>
      <c r="T451" s="18" t="str">
        <f t="shared" ca="1" si="27"/>
        <v/>
      </c>
    </row>
    <row r="452" spans="1:20" x14ac:dyDescent="0.35">
      <c r="A452" s="11"/>
      <c r="B452" s="11"/>
      <c r="C452" s="11"/>
      <c r="D452" s="12"/>
      <c r="E452" s="11"/>
      <c r="F452" s="13"/>
      <c r="G452" s="13"/>
      <c r="H452" s="11"/>
      <c r="I452" s="12"/>
      <c r="J452" s="12"/>
      <c r="K452" s="13"/>
      <c r="L452" s="13"/>
      <c r="M452" s="13"/>
      <c r="N452" s="13"/>
      <c r="O452" s="13"/>
      <c r="P452" s="14" t="str">
        <f t="shared" si="24"/>
        <v/>
      </c>
      <c r="Q452" s="15" t="str">
        <f>IF(OR(J452="",H452=""),"",IFERROR(IF(ISNUMBER(N452),N452,IF(K452&lt;N(INDEX(Platforms!$G$5:$G$14,MATCH(H452,Lists!$A$2:$A$11,0))),N(INDEX(Platforms!$H$5:$H$14,MATCH(H452,Lists!$A$2:$A$11,0))),MAX(N(INDEX(Platforms!$F$5:$F$14,MATCH(H452,Lists!$A$2:$A$11,0))),N(INDEX(Platforms!$C$5:$C$14,MATCH(H452,Lists!$A$2:$A$11,0)))*(K452+IF(INDEX(Platforms!$E$5:$E$14,MATCH(H452,Lists!$A$2:$A$11,0))="Yes",N(L452),0))+N(INDEX(Platforms!$D$5:$D$14,MATCH(H452,Lists!$A$2:$A$11,0)))))),""))</f>
        <v/>
      </c>
      <c r="R452" s="16" t="str">
        <f t="shared" si="25"/>
        <v/>
      </c>
      <c r="S452" s="17" t="str">
        <f t="shared" si="26"/>
        <v/>
      </c>
      <c r="T452" s="18" t="str">
        <f t="shared" ca="1" si="27"/>
        <v/>
      </c>
    </row>
    <row r="453" spans="1:20" x14ac:dyDescent="0.35">
      <c r="A453" s="11"/>
      <c r="B453" s="11"/>
      <c r="C453" s="11"/>
      <c r="D453" s="12"/>
      <c r="E453" s="11"/>
      <c r="F453" s="13"/>
      <c r="G453" s="13"/>
      <c r="H453" s="11"/>
      <c r="I453" s="12"/>
      <c r="J453" s="12"/>
      <c r="K453" s="13"/>
      <c r="L453" s="13"/>
      <c r="M453" s="13"/>
      <c r="N453" s="13"/>
      <c r="O453" s="13"/>
      <c r="P453" s="14" t="str">
        <f t="shared" ref="P453:P516" si="28">IF(OR(B453&lt;&gt;"",F453&lt;&gt;"",H453&lt;&gt;"",J453&lt;&gt;"",K453&lt;&gt;""),IF(J453&lt;&gt;"","Sold",IF(I453&lt;&gt;"","Listed","In stock")),"")</f>
        <v/>
      </c>
      <c r="Q453" s="15" t="str">
        <f>IF(OR(J453="",H453=""),"",IFERROR(IF(ISNUMBER(N453),N453,IF(K453&lt;N(INDEX(Platforms!$G$5:$G$14,MATCH(H453,Lists!$A$2:$A$11,0))),N(INDEX(Platforms!$H$5:$H$14,MATCH(H453,Lists!$A$2:$A$11,0))),MAX(N(INDEX(Platforms!$F$5:$F$14,MATCH(H453,Lists!$A$2:$A$11,0))),N(INDEX(Platforms!$C$5:$C$14,MATCH(H453,Lists!$A$2:$A$11,0)))*(K453+IF(INDEX(Platforms!$E$5:$E$14,MATCH(H453,Lists!$A$2:$A$11,0))="Yes",N(L453),0))+N(INDEX(Platforms!$D$5:$D$14,MATCH(H453,Lists!$A$2:$A$11,0)))))),""))</f>
        <v/>
      </c>
      <c r="R453" s="16" t="str">
        <f t="shared" ref="R453:R516" si="29">IF(J453="","",IFERROR(K453+N(L453)-N(O453)-Q453-N(M453)-N(F453)-N(G453),""))</f>
        <v/>
      </c>
      <c r="S453" s="17" t="str">
        <f t="shared" ref="S453:S516" si="30">IF(OR(R453="",N(F453)+N(G453)=0),"",R453/(N(F453)+N(G453)))</f>
        <v/>
      </c>
      <c r="T453" s="18" t="str">
        <f t="shared" ref="T453:T516" ca="1" si="31">IFERROR(IF(ISNUMBER(D453),IF(ISNUMBER(J453),J453,IF(J453="",TODAY(),""))-D453,""),"")</f>
        <v/>
      </c>
    </row>
    <row r="454" spans="1:20" x14ac:dyDescent="0.35">
      <c r="A454" s="11"/>
      <c r="B454" s="11"/>
      <c r="C454" s="11"/>
      <c r="D454" s="12"/>
      <c r="E454" s="11"/>
      <c r="F454" s="13"/>
      <c r="G454" s="13"/>
      <c r="H454" s="11"/>
      <c r="I454" s="12"/>
      <c r="J454" s="12"/>
      <c r="K454" s="13"/>
      <c r="L454" s="13"/>
      <c r="M454" s="13"/>
      <c r="N454" s="13"/>
      <c r="O454" s="13"/>
      <c r="P454" s="14" t="str">
        <f t="shared" si="28"/>
        <v/>
      </c>
      <c r="Q454" s="15" t="str">
        <f>IF(OR(J454="",H454=""),"",IFERROR(IF(ISNUMBER(N454),N454,IF(K454&lt;N(INDEX(Platforms!$G$5:$G$14,MATCH(H454,Lists!$A$2:$A$11,0))),N(INDEX(Platforms!$H$5:$H$14,MATCH(H454,Lists!$A$2:$A$11,0))),MAX(N(INDEX(Platforms!$F$5:$F$14,MATCH(H454,Lists!$A$2:$A$11,0))),N(INDEX(Platforms!$C$5:$C$14,MATCH(H454,Lists!$A$2:$A$11,0)))*(K454+IF(INDEX(Platforms!$E$5:$E$14,MATCH(H454,Lists!$A$2:$A$11,0))="Yes",N(L454),0))+N(INDEX(Platforms!$D$5:$D$14,MATCH(H454,Lists!$A$2:$A$11,0)))))),""))</f>
        <v/>
      </c>
      <c r="R454" s="16" t="str">
        <f t="shared" si="29"/>
        <v/>
      </c>
      <c r="S454" s="17" t="str">
        <f t="shared" si="30"/>
        <v/>
      </c>
      <c r="T454" s="18" t="str">
        <f t="shared" ca="1" si="31"/>
        <v/>
      </c>
    </row>
    <row r="455" spans="1:20" x14ac:dyDescent="0.35">
      <c r="A455" s="11"/>
      <c r="B455" s="11"/>
      <c r="C455" s="11"/>
      <c r="D455" s="12"/>
      <c r="E455" s="11"/>
      <c r="F455" s="13"/>
      <c r="G455" s="13"/>
      <c r="H455" s="11"/>
      <c r="I455" s="12"/>
      <c r="J455" s="12"/>
      <c r="K455" s="13"/>
      <c r="L455" s="13"/>
      <c r="M455" s="13"/>
      <c r="N455" s="13"/>
      <c r="O455" s="13"/>
      <c r="P455" s="14" t="str">
        <f t="shared" si="28"/>
        <v/>
      </c>
      <c r="Q455" s="15" t="str">
        <f>IF(OR(J455="",H455=""),"",IFERROR(IF(ISNUMBER(N455),N455,IF(K455&lt;N(INDEX(Platforms!$G$5:$G$14,MATCH(H455,Lists!$A$2:$A$11,0))),N(INDEX(Platforms!$H$5:$H$14,MATCH(H455,Lists!$A$2:$A$11,0))),MAX(N(INDEX(Platforms!$F$5:$F$14,MATCH(H455,Lists!$A$2:$A$11,0))),N(INDEX(Platforms!$C$5:$C$14,MATCH(H455,Lists!$A$2:$A$11,0)))*(K455+IF(INDEX(Platforms!$E$5:$E$14,MATCH(H455,Lists!$A$2:$A$11,0))="Yes",N(L455),0))+N(INDEX(Platforms!$D$5:$D$14,MATCH(H455,Lists!$A$2:$A$11,0)))))),""))</f>
        <v/>
      </c>
      <c r="R455" s="16" t="str">
        <f t="shared" si="29"/>
        <v/>
      </c>
      <c r="S455" s="17" t="str">
        <f t="shared" si="30"/>
        <v/>
      </c>
      <c r="T455" s="18" t="str">
        <f t="shared" ca="1" si="31"/>
        <v/>
      </c>
    </row>
    <row r="456" spans="1:20" x14ac:dyDescent="0.35">
      <c r="A456" s="11"/>
      <c r="B456" s="11"/>
      <c r="C456" s="11"/>
      <c r="D456" s="12"/>
      <c r="E456" s="11"/>
      <c r="F456" s="13"/>
      <c r="G456" s="13"/>
      <c r="H456" s="11"/>
      <c r="I456" s="12"/>
      <c r="J456" s="12"/>
      <c r="K456" s="13"/>
      <c r="L456" s="13"/>
      <c r="M456" s="13"/>
      <c r="N456" s="13"/>
      <c r="O456" s="13"/>
      <c r="P456" s="14" t="str">
        <f t="shared" si="28"/>
        <v/>
      </c>
      <c r="Q456" s="15" t="str">
        <f>IF(OR(J456="",H456=""),"",IFERROR(IF(ISNUMBER(N456),N456,IF(K456&lt;N(INDEX(Platforms!$G$5:$G$14,MATCH(H456,Lists!$A$2:$A$11,0))),N(INDEX(Platforms!$H$5:$H$14,MATCH(H456,Lists!$A$2:$A$11,0))),MAX(N(INDEX(Platforms!$F$5:$F$14,MATCH(H456,Lists!$A$2:$A$11,0))),N(INDEX(Platforms!$C$5:$C$14,MATCH(H456,Lists!$A$2:$A$11,0)))*(K456+IF(INDEX(Platforms!$E$5:$E$14,MATCH(H456,Lists!$A$2:$A$11,0))="Yes",N(L456),0))+N(INDEX(Platforms!$D$5:$D$14,MATCH(H456,Lists!$A$2:$A$11,0)))))),""))</f>
        <v/>
      </c>
      <c r="R456" s="16" t="str">
        <f t="shared" si="29"/>
        <v/>
      </c>
      <c r="S456" s="17" t="str">
        <f t="shared" si="30"/>
        <v/>
      </c>
      <c r="T456" s="18" t="str">
        <f t="shared" ca="1" si="31"/>
        <v/>
      </c>
    </row>
    <row r="457" spans="1:20" x14ac:dyDescent="0.35">
      <c r="A457" s="11"/>
      <c r="B457" s="11"/>
      <c r="C457" s="11"/>
      <c r="D457" s="12"/>
      <c r="E457" s="11"/>
      <c r="F457" s="13"/>
      <c r="G457" s="13"/>
      <c r="H457" s="11"/>
      <c r="I457" s="12"/>
      <c r="J457" s="12"/>
      <c r="K457" s="13"/>
      <c r="L457" s="13"/>
      <c r="M457" s="13"/>
      <c r="N457" s="13"/>
      <c r="O457" s="13"/>
      <c r="P457" s="14" t="str">
        <f t="shared" si="28"/>
        <v/>
      </c>
      <c r="Q457" s="15" t="str">
        <f>IF(OR(J457="",H457=""),"",IFERROR(IF(ISNUMBER(N457),N457,IF(K457&lt;N(INDEX(Platforms!$G$5:$G$14,MATCH(H457,Lists!$A$2:$A$11,0))),N(INDEX(Platforms!$H$5:$H$14,MATCH(H457,Lists!$A$2:$A$11,0))),MAX(N(INDEX(Platforms!$F$5:$F$14,MATCH(H457,Lists!$A$2:$A$11,0))),N(INDEX(Platforms!$C$5:$C$14,MATCH(H457,Lists!$A$2:$A$11,0)))*(K457+IF(INDEX(Platforms!$E$5:$E$14,MATCH(H457,Lists!$A$2:$A$11,0))="Yes",N(L457),0))+N(INDEX(Platforms!$D$5:$D$14,MATCH(H457,Lists!$A$2:$A$11,0)))))),""))</f>
        <v/>
      </c>
      <c r="R457" s="16" t="str">
        <f t="shared" si="29"/>
        <v/>
      </c>
      <c r="S457" s="17" t="str">
        <f t="shared" si="30"/>
        <v/>
      </c>
      <c r="T457" s="18" t="str">
        <f t="shared" ca="1" si="31"/>
        <v/>
      </c>
    </row>
    <row r="458" spans="1:20" x14ac:dyDescent="0.35">
      <c r="A458" s="11"/>
      <c r="B458" s="11"/>
      <c r="C458" s="11"/>
      <c r="D458" s="12"/>
      <c r="E458" s="11"/>
      <c r="F458" s="13"/>
      <c r="G458" s="13"/>
      <c r="H458" s="11"/>
      <c r="I458" s="12"/>
      <c r="J458" s="12"/>
      <c r="K458" s="13"/>
      <c r="L458" s="13"/>
      <c r="M458" s="13"/>
      <c r="N458" s="13"/>
      <c r="O458" s="13"/>
      <c r="P458" s="14" t="str">
        <f t="shared" si="28"/>
        <v/>
      </c>
      <c r="Q458" s="15" t="str">
        <f>IF(OR(J458="",H458=""),"",IFERROR(IF(ISNUMBER(N458),N458,IF(K458&lt;N(INDEX(Platforms!$G$5:$G$14,MATCH(H458,Lists!$A$2:$A$11,0))),N(INDEX(Platforms!$H$5:$H$14,MATCH(H458,Lists!$A$2:$A$11,0))),MAX(N(INDEX(Platforms!$F$5:$F$14,MATCH(H458,Lists!$A$2:$A$11,0))),N(INDEX(Platforms!$C$5:$C$14,MATCH(H458,Lists!$A$2:$A$11,0)))*(K458+IF(INDEX(Platforms!$E$5:$E$14,MATCH(H458,Lists!$A$2:$A$11,0))="Yes",N(L458),0))+N(INDEX(Platforms!$D$5:$D$14,MATCH(H458,Lists!$A$2:$A$11,0)))))),""))</f>
        <v/>
      </c>
      <c r="R458" s="16" t="str">
        <f t="shared" si="29"/>
        <v/>
      </c>
      <c r="S458" s="17" t="str">
        <f t="shared" si="30"/>
        <v/>
      </c>
      <c r="T458" s="18" t="str">
        <f t="shared" ca="1" si="31"/>
        <v/>
      </c>
    </row>
    <row r="459" spans="1:20" x14ac:dyDescent="0.35">
      <c r="A459" s="11"/>
      <c r="B459" s="11"/>
      <c r="C459" s="11"/>
      <c r="D459" s="12"/>
      <c r="E459" s="11"/>
      <c r="F459" s="13"/>
      <c r="G459" s="13"/>
      <c r="H459" s="11"/>
      <c r="I459" s="12"/>
      <c r="J459" s="12"/>
      <c r="K459" s="13"/>
      <c r="L459" s="13"/>
      <c r="M459" s="13"/>
      <c r="N459" s="13"/>
      <c r="O459" s="13"/>
      <c r="P459" s="14" t="str">
        <f t="shared" si="28"/>
        <v/>
      </c>
      <c r="Q459" s="15" t="str">
        <f>IF(OR(J459="",H459=""),"",IFERROR(IF(ISNUMBER(N459),N459,IF(K459&lt;N(INDEX(Platforms!$G$5:$G$14,MATCH(H459,Lists!$A$2:$A$11,0))),N(INDEX(Platforms!$H$5:$H$14,MATCH(H459,Lists!$A$2:$A$11,0))),MAX(N(INDEX(Platforms!$F$5:$F$14,MATCH(H459,Lists!$A$2:$A$11,0))),N(INDEX(Platforms!$C$5:$C$14,MATCH(H459,Lists!$A$2:$A$11,0)))*(K459+IF(INDEX(Platforms!$E$5:$E$14,MATCH(H459,Lists!$A$2:$A$11,0))="Yes",N(L459),0))+N(INDEX(Platforms!$D$5:$D$14,MATCH(H459,Lists!$A$2:$A$11,0)))))),""))</f>
        <v/>
      </c>
      <c r="R459" s="16" t="str">
        <f t="shared" si="29"/>
        <v/>
      </c>
      <c r="S459" s="17" t="str">
        <f t="shared" si="30"/>
        <v/>
      </c>
      <c r="T459" s="18" t="str">
        <f t="shared" ca="1" si="31"/>
        <v/>
      </c>
    </row>
    <row r="460" spans="1:20" x14ac:dyDescent="0.35">
      <c r="A460" s="11"/>
      <c r="B460" s="11"/>
      <c r="C460" s="11"/>
      <c r="D460" s="12"/>
      <c r="E460" s="11"/>
      <c r="F460" s="13"/>
      <c r="G460" s="13"/>
      <c r="H460" s="11"/>
      <c r="I460" s="12"/>
      <c r="J460" s="12"/>
      <c r="K460" s="13"/>
      <c r="L460" s="13"/>
      <c r="M460" s="13"/>
      <c r="N460" s="13"/>
      <c r="O460" s="13"/>
      <c r="P460" s="14" t="str">
        <f t="shared" si="28"/>
        <v/>
      </c>
      <c r="Q460" s="15" t="str">
        <f>IF(OR(J460="",H460=""),"",IFERROR(IF(ISNUMBER(N460),N460,IF(K460&lt;N(INDEX(Platforms!$G$5:$G$14,MATCH(H460,Lists!$A$2:$A$11,0))),N(INDEX(Platforms!$H$5:$H$14,MATCH(H460,Lists!$A$2:$A$11,0))),MAX(N(INDEX(Platforms!$F$5:$F$14,MATCH(H460,Lists!$A$2:$A$11,0))),N(INDEX(Platforms!$C$5:$C$14,MATCH(H460,Lists!$A$2:$A$11,0)))*(K460+IF(INDEX(Platforms!$E$5:$E$14,MATCH(H460,Lists!$A$2:$A$11,0))="Yes",N(L460),0))+N(INDEX(Platforms!$D$5:$D$14,MATCH(H460,Lists!$A$2:$A$11,0)))))),""))</f>
        <v/>
      </c>
      <c r="R460" s="16" t="str">
        <f t="shared" si="29"/>
        <v/>
      </c>
      <c r="S460" s="17" t="str">
        <f t="shared" si="30"/>
        <v/>
      </c>
      <c r="T460" s="18" t="str">
        <f t="shared" ca="1" si="31"/>
        <v/>
      </c>
    </row>
    <row r="461" spans="1:20" x14ac:dyDescent="0.35">
      <c r="A461" s="11"/>
      <c r="B461" s="11"/>
      <c r="C461" s="11"/>
      <c r="D461" s="12"/>
      <c r="E461" s="11"/>
      <c r="F461" s="13"/>
      <c r="G461" s="13"/>
      <c r="H461" s="11"/>
      <c r="I461" s="12"/>
      <c r="J461" s="12"/>
      <c r="K461" s="13"/>
      <c r="L461" s="13"/>
      <c r="M461" s="13"/>
      <c r="N461" s="13"/>
      <c r="O461" s="13"/>
      <c r="P461" s="14" t="str">
        <f t="shared" si="28"/>
        <v/>
      </c>
      <c r="Q461" s="15" t="str">
        <f>IF(OR(J461="",H461=""),"",IFERROR(IF(ISNUMBER(N461),N461,IF(K461&lt;N(INDEX(Platforms!$G$5:$G$14,MATCH(H461,Lists!$A$2:$A$11,0))),N(INDEX(Platforms!$H$5:$H$14,MATCH(H461,Lists!$A$2:$A$11,0))),MAX(N(INDEX(Platforms!$F$5:$F$14,MATCH(H461,Lists!$A$2:$A$11,0))),N(INDEX(Platforms!$C$5:$C$14,MATCH(H461,Lists!$A$2:$A$11,0)))*(K461+IF(INDEX(Platforms!$E$5:$E$14,MATCH(H461,Lists!$A$2:$A$11,0))="Yes",N(L461),0))+N(INDEX(Platforms!$D$5:$D$14,MATCH(H461,Lists!$A$2:$A$11,0)))))),""))</f>
        <v/>
      </c>
      <c r="R461" s="16" t="str">
        <f t="shared" si="29"/>
        <v/>
      </c>
      <c r="S461" s="17" t="str">
        <f t="shared" si="30"/>
        <v/>
      </c>
      <c r="T461" s="18" t="str">
        <f t="shared" ca="1" si="31"/>
        <v/>
      </c>
    </row>
    <row r="462" spans="1:20" x14ac:dyDescent="0.35">
      <c r="A462" s="11"/>
      <c r="B462" s="11"/>
      <c r="C462" s="11"/>
      <c r="D462" s="12"/>
      <c r="E462" s="11"/>
      <c r="F462" s="13"/>
      <c r="G462" s="13"/>
      <c r="H462" s="11"/>
      <c r="I462" s="12"/>
      <c r="J462" s="12"/>
      <c r="K462" s="13"/>
      <c r="L462" s="13"/>
      <c r="M462" s="13"/>
      <c r="N462" s="13"/>
      <c r="O462" s="13"/>
      <c r="P462" s="14" t="str">
        <f t="shared" si="28"/>
        <v/>
      </c>
      <c r="Q462" s="15" t="str">
        <f>IF(OR(J462="",H462=""),"",IFERROR(IF(ISNUMBER(N462),N462,IF(K462&lt;N(INDEX(Platforms!$G$5:$G$14,MATCH(H462,Lists!$A$2:$A$11,0))),N(INDEX(Platforms!$H$5:$H$14,MATCH(H462,Lists!$A$2:$A$11,0))),MAX(N(INDEX(Platforms!$F$5:$F$14,MATCH(H462,Lists!$A$2:$A$11,0))),N(INDEX(Platforms!$C$5:$C$14,MATCH(H462,Lists!$A$2:$A$11,0)))*(K462+IF(INDEX(Platforms!$E$5:$E$14,MATCH(H462,Lists!$A$2:$A$11,0))="Yes",N(L462),0))+N(INDEX(Platforms!$D$5:$D$14,MATCH(H462,Lists!$A$2:$A$11,0)))))),""))</f>
        <v/>
      </c>
      <c r="R462" s="16" t="str">
        <f t="shared" si="29"/>
        <v/>
      </c>
      <c r="S462" s="17" t="str">
        <f t="shared" si="30"/>
        <v/>
      </c>
      <c r="T462" s="18" t="str">
        <f t="shared" ca="1" si="31"/>
        <v/>
      </c>
    </row>
    <row r="463" spans="1:20" x14ac:dyDescent="0.35">
      <c r="A463" s="11"/>
      <c r="B463" s="11"/>
      <c r="C463" s="11"/>
      <c r="D463" s="12"/>
      <c r="E463" s="11"/>
      <c r="F463" s="13"/>
      <c r="G463" s="13"/>
      <c r="H463" s="11"/>
      <c r="I463" s="12"/>
      <c r="J463" s="12"/>
      <c r="K463" s="13"/>
      <c r="L463" s="13"/>
      <c r="M463" s="13"/>
      <c r="N463" s="13"/>
      <c r="O463" s="13"/>
      <c r="P463" s="14" t="str">
        <f t="shared" si="28"/>
        <v/>
      </c>
      <c r="Q463" s="15" t="str">
        <f>IF(OR(J463="",H463=""),"",IFERROR(IF(ISNUMBER(N463),N463,IF(K463&lt;N(INDEX(Platforms!$G$5:$G$14,MATCH(H463,Lists!$A$2:$A$11,0))),N(INDEX(Platforms!$H$5:$H$14,MATCH(H463,Lists!$A$2:$A$11,0))),MAX(N(INDEX(Platforms!$F$5:$F$14,MATCH(H463,Lists!$A$2:$A$11,0))),N(INDEX(Platforms!$C$5:$C$14,MATCH(H463,Lists!$A$2:$A$11,0)))*(K463+IF(INDEX(Platforms!$E$5:$E$14,MATCH(H463,Lists!$A$2:$A$11,0))="Yes",N(L463),0))+N(INDEX(Platforms!$D$5:$D$14,MATCH(H463,Lists!$A$2:$A$11,0)))))),""))</f>
        <v/>
      </c>
      <c r="R463" s="16" t="str">
        <f t="shared" si="29"/>
        <v/>
      </c>
      <c r="S463" s="17" t="str">
        <f t="shared" si="30"/>
        <v/>
      </c>
      <c r="T463" s="18" t="str">
        <f t="shared" ca="1" si="31"/>
        <v/>
      </c>
    </row>
    <row r="464" spans="1:20" x14ac:dyDescent="0.35">
      <c r="A464" s="11"/>
      <c r="B464" s="11"/>
      <c r="C464" s="11"/>
      <c r="D464" s="12"/>
      <c r="E464" s="11"/>
      <c r="F464" s="13"/>
      <c r="G464" s="13"/>
      <c r="H464" s="11"/>
      <c r="I464" s="12"/>
      <c r="J464" s="12"/>
      <c r="K464" s="13"/>
      <c r="L464" s="13"/>
      <c r="M464" s="13"/>
      <c r="N464" s="13"/>
      <c r="O464" s="13"/>
      <c r="P464" s="14" t="str">
        <f t="shared" si="28"/>
        <v/>
      </c>
      <c r="Q464" s="15" t="str">
        <f>IF(OR(J464="",H464=""),"",IFERROR(IF(ISNUMBER(N464),N464,IF(K464&lt;N(INDEX(Platforms!$G$5:$G$14,MATCH(H464,Lists!$A$2:$A$11,0))),N(INDEX(Platforms!$H$5:$H$14,MATCH(H464,Lists!$A$2:$A$11,0))),MAX(N(INDEX(Platforms!$F$5:$F$14,MATCH(H464,Lists!$A$2:$A$11,0))),N(INDEX(Platforms!$C$5:$C$14,MATCH(H464,Lists!$A$2:$A$11,0)))*(K464+IF(INDEX(Platforms!$E$5:$E$14,MATCH(H464,Lists!$A$2:$A$11,0))="Yes",N(L464),0))+N(INDEX(Platforms!$D$5:$D$14,MATCH(H464,Lists!$A$2:$A$11,0)))))),""))</f>
        <v/>
      </c>
      <c r="R464" s="16" t="str">
        <f t="shared" si="29"/>
        <v/>
      </c>
      <c r="S464" s="17" t="str">
        <f t="shared" si="30"/>
        <v/>
      </c>
      <c r="T464" s="18" t="str">
        <f t="shared" ca="1" si="31"/>
        <v/>
      </c>
    </row>
    <row r="465" spans="1:20" x14ac:dyDescent="0.35">
      <c r="A465" s="11"/>
      <c r="B465" s="11"/>
      <c r="C465" s="11"/>
      <c r="D465" s="12"/>
      <c r="E465" s="11"/>
      <c r="F465" s="13"/>
      <c r="G465" s="13"/>
      <c r="H465" s="11"/>
      <c r="I465" s="12"/>
      <c r="J465" s="12"/>
      <c r="K465" s="13"/>
      <c r="L465" s="13"/>
      <c r="M465" s="13"/>
      <c r="N465" s="13"/>
      <c r="O465" s="13"/>
      <c r="P465" s="14" t="str">
        <f t="shared" si="28"/>
        <v/>
      </c>
      <c r="Q465" s="15" t="str">
        <f>IF(OR(J465="",H465=""),"",IFERROR(IF(ISNUMBER(N465),N465,IF(K465&lt;N(INDEX(Platforms!$G$5:$G$14,MATCH(H465,Lists!$A$2:$A$11,0))),N(INDEX(Platforms!$H$5:$H$14,MATCH(H465,Lists!$A$2:$A$11,0))),MAX(N(INDEX(Platforms!$F$5:$F$14,MATCH(H465,Lists!$A$2:$A$11,0))),N(INDEX(Platforms!$C$5:$C$14,MATCH(H465,Lists!$A$2:$A$11,0)))*(K465+IF(INDEX(Platforms!$E$5:$E$14,MATCH(H465,Lists!$A$2:$A$11,0))="Yes",N(L465),0))+N(INDEX(Platforms!$D$5:$D$14,MATCH(H465,Lists!$A$2:$A$11,0)))))),""))</f>
        <v/>
      </c>
      <c r="R465" s="16" t="str">
        <f t="shared" si="29"/>
        <v/>
      </c>
      <c r="S465" s="17" t="str">
        <f t="shared" si="30"/>
        <v/>
      </c>
      <c r="T465" s="18" t="str">
        <f t="shared" ca="1" si="31"/>
        <v/>
      </c>
    </row>
    <row r="466" spans="1:20" x14ac:dyDescent="0.35">
      <c r="A466" s="11"/>
      <c r="B466" s="11"/>
      <c r="C466" s="11"/>
      <c r="D466" s="12"/>
      <c r="E466" s="11"/>
      <c r="F466" s="13"/>
      <c r="G466" s="13"/>
      <c r="H466" s="11"/>
      <c r="I466" s="12"/>
      <c r="J466" s="12"/>
      <c r="K466" s="13"/>
      <c r="L466" s="13"/>
      <c r="M466" s="13"/>
      <c r="N466" s="13"/>
      <c r="O466" s="13"/>
      <c r="P466" s="14" t="str">
        <f t="shared" si="28"/>
        <v/>
      </c>
      <c r="Q466" s="15" t="str">
        <f>IF(OR(J466="",H466=""),"",IFERROR(IF(ISNUMBER(N466),N466,IF(K466&lt;N(INDEX(Platforms!$G$5:$G$14,MATCH(H466,Lists!$A$2:$A$11,0))),N(INDEX(Platforms!$H$5:$H$14,MATCH(H466,Lists!$A$2:$A$11,0))),MAX(N(INDEX(Platforms!$F$5:$F$14,MATCH(H466,Lists!$A$2:$A$11,0))),N(INDEX(Platforms!$C$5:$C$14,MATCH(H466,Lists!$A$2:$A$11,0)))*(K466+IF(INDEX(Platforms!$E$5:$E$14,MATCH(H466,Lists!$A$2:$A$11,0))="Yes",N(L466),0))+N(INDEX(Platforms!$D$5:$D$14,MATCH(H466,Lists!$A$2:$A$11,0)))))),""))</f>
        <v/>
      </c>
      <c r="R466" s="16" t="str">
        <f t="shared" si="29"/>
        <v/>
      </c>
      <c r="S466" s="17" t="str">
        <f t="shared" si="30"/>
        <v/>
      </c>
      <c r="T466" s="18" t="str">
        <f t="shared" ca="1" si="31"/>
        <v/>
      </c>
    </row>
    <row r="467" spans="1:20" x14ac:dyDescent="0.35">
      <c r="A467" s="11"/>
      <c r="B467" s="11"/>
      <c r="C467" s="11"/>
      <c r="D467" s="12"/>
      <c r="E467" s="11"/>
      <c r="F467" s="13"/>
      <c r="G467" s="13"/>
      <c r="H467" s="11"/>
      <c r="I467" s="12"/>
      <c r="J467" s="12"/>
      <c r="K467" s="13"/>
      <c r="L467" s="13"/>
      <c r="M467" s="13"/>
      <c r="N467" s="13"/>
      <c r="O467" s="13"/>
      <c r="P467" s="14" t="str">
        <f t="shared" si="28"/>
        <v/>
      </c>
      <c r="Q467" s="15" t="str">
        <f>IF(OR(J467="",H467=""),"",IFERROR(IF(ISNUMBER(N467),N467,IF(K467&lt;N(INDEX(Platforms!$G$5:$G$14,MATCH(H467,Lists!$A$2:$A$11,0))),N(INDEX(Platforms!$H$5:$H$14,MATCH(H467,Lists!$A$2:$A$11,0))),MAX(N(INDEX(Platforms!$F$5:$F$14,MATCH(H467,Lists!$A$2:$A$11,0))),N(INDEX(Platforms!$C$5:$C$14,MATCH(H467,Lists!$A$2:$A$11,0)))*(K467+IF(INDEX(Platforms!$E$5:$E$14,MATCH(H467,Lists!$A$2:$A$11,0))="Yes",N(L467),0))+N(INDEX(Platforms!$D$5:$D$14,MATCH(H467,Lists!$A$2:$A$11,0)))))),""))</f>
        <v/>
      </c>
      <c r="R467" s="16" t="str">
        <f t="shared" si="29"/>
        <v/>
      </c>
      <c r="S467" s="17" t="str">
        <f t="shared" si="30"/>
        <v/>
      </c>
      <c r="T467" s="18" t="str">
        <f t="shared" ca="1" si="31"/>
        <v/>
      </c>
    </row>
    <row r="468" spans="1:20" x14ac:dyDescent="0.35">
      <c r="A468" s="11"/>
      <c r="B468" s="11"/>
      <c r="C468" s="11"/>
      <c r="D468" s="12"/>
      <c r="E468" s="11"/>
      <c r="F468" s="13"/>
      <c r="G468" s="13"/>
      <c r="H468" s="11"/>
      <c r="I468" s="12"/>
      <c r="J468" s="12"/>
      <c r="K468" s="13"/>
      <c r="L468" s="13"/>
      <c r="M468" s="13"/>
      <c r="N468" s="13"/>
      <c r="O468" s="13"/>
      <c r="P468" s="14" t="str">
        <f t="shared" si="28"/>
        <v/>
      </c>
      <c r="Q468" s="15" t="str">
        <f>IF(OR(J468="",H468=""),"",IFERROR(IF(ISNUMBER(N468),N468,IF(K468&lt;N(INDEX(Platforms!$G$5:$G$14,MATCH(H468,Lists!$A$2:$A$11,0))),N(INDEX(Platforms!$H$5:$H$14,MATCH(H468,Lists!$A$2:$A$11,0))),MAX(N(INDEX(Platforms!$F$5:$F$14,MATCH(H468,Lists!$A$2:$A$11,0))),N(INDEX(Platforms!$C$5:$C$14,MATCH(H468,Lists!$A$2:$A$11,0)))*(K468+IF(INDEX(Platforms!$E$5:$E$14,MATCH(H468,Lists!$A$2:$A$11,0))="Yes",N(L468),0))+N(INDEX(Platforms!$D$5:$D$14,MATCH(H468,Lists!$A$2:$A$11,0)))))),""))</f>
        <v/>
      </c>
      <c r="R468" s="16" t="str">
        <f t="shared" si="29"/>
        <v/>
      </c>
      <c r="S468" s="17" t="str">
        <f t="shared" si="30"/>
        <v/>
      </c>
      <c r="T468" s="18" t="str">
        <f t="shared" ca="1" si="31"/>
        <v/>
      </c>
    </row>
    <row r="469" spans="1:20" x14ac:dyDescent="0.35">
      <c r="A469" s="11"/>
      <c r="B469" s="11"/>
      <c r="C469" s="11"/>
      <c r="D469" s="12"/>
      <c r="E469" s="11"/>
      <c r="F469" s="13"/>
      <c r="G469" s="13"/>
      <c r="H469" s="11"/>
      <c r="I469" s="12"/>
      <c r="J469" s="12"/>
      <c r="K469" s="13"/>
      <c r="L469" s="13"/>
      <c r="M469" s="13"/>
      <c r="N469" s="13"/>
      <c r="O469" s="13"/>
      <c r="P469" s="14" t="str">
        <f t="shared" si="28"/>
        <v/>
      </c>
      <c r="Q469" s="15" t="str">
        <f>IF(OR(J469="",H469=""),"",IFERROR(IF(ISNUMBER(N469),N469,IF(K469&lt;N(INDEX(Platforms!$G$5:$G$14,MATCH(H469,Lists!$A$2:$A$11,0))),N(INDEX(Platforms!$H$5:$H$14,MATCH(H469,Lists!$A$2:$A$11,0))),MAX(N(INDEX(Platforms!$F$5:$F$14,MATCH(H469,Lists!$A$2:$A$11,0))),N(INDEX(Platforms!$C$5:$C$14,MATCH(H469,Lists!$A$2:$A$11,0)))*(K469+IF(INDEX(Platforms!$E$5:$E$14,MATCH(H469,Lists!$A$2:$A$11,0))="Yes",N(L469),0))+N(INDEX(Platforms!$D$5:$D$14,MATCH(H469,Lists!$A$2:$A$11,0)))))),""))</f>
        <v/>
      </c>
      <c r="R469" s="16" t="str">
        <f t="shared" si="29"/>
        <v/>
      </c>
      <c r="S469" s="17" t="str">
        <f t="shared" si="30"/>
        <v/>
      </c>
      <c r="T469" s="18" t="str">
        <f t="shared" ca="1" si="31"/>
        <v/>
      </c>
    </row>
    <row r="470" spans="1:20" x14ac:dyDescent="0.35">
      <c r="A470" s="11"/>
      <c r="B470" s="11"/>
      <c r="C470" s="11"/>
      <c r="D470" s="12"/>
      <c r="E470" s="11"/>
      <c r="F470" s="13"/>
      <c r="G470" s="13"/>
      <c r="H470" s="11"/>
      <c r="I470" s="12"/>
      <c r="J470" s="12"/>
      <c r="K470" s="13"/>
      <c r="L470" s="13"/>
      <c r="M470" s="13"/>
      <c r="N470" s="13"/>
      <c r="O470" s="13"/>
      <c r="P470" s="14" t="str">
        <f t="shared" si="28"/>
        <v/>
      </c>
      <c r="Q470" s="15" t="str">
        <f>IF(OR(J470="",H470=""),"",IFERROR(IF(ISNUMBER(N470),N470,IF(K470&lt;N(INDEX(Platforms!$G$5:$G$14,MATCH(H470,Lists!$A$2:$A$11,0))),N(INDEX(Platforms!$H$5:$H$14,MATCH(H470,Lists!$A$2:$A$11,0))),MAX(N(INDEX(Platforms!$F$5:$F$14,MATCH(H470,Lists!$A$2:$A$11,0))),N(INDEX(Platforms!$C$5:$C$14,MATCH(H470,Lists!$A$2:$A$11,0)))*(K470+IF(INDEX(Platforms!$E$5:$E$14,MATCH(H470,Lists!$A$2:$A$11,0))="Yes",N(L470),0))+N(INDEX(Platforms!$D$5:$D$14,MATCH(H470,Lists!$A$2:$A$11,0)))))),""))</f>
        <v/>
      </c>
      <c r="R470" s="16" t="str">
        <f t="shared" si="29"/>
        <v/>
      </c>
      <c r="S470" s="17" t="str">
        <f t="shared" si="30"/>
        <v/>
      </c>
      <c r="T470" s="18" t="str">
        <f t="shared" ca="1" si="31"/>
        <v/>
      </c>
    </row>
    <row r="471" spans="1:20" x14ac:dyDescent="0.35">
      <c r="A471" s="11"/>
      <c r="B471" s="11"/>
      <c r="C471" s="11"/>
      <c r="D471" s="12"/>
      <c r="E471" s="11"/>
      <c r="F471" s="13"/>
      <c r="G471" s="13"/>
      <c r="H471" s="11"/>
      <c r="I471" s="12"/>
      <c r="J471" s="12"/>
      <c r="K471" s="13"/>
      <c r="L471" s="13"/>
      <c r="M471" s="13"/>
      <c r="N471" s="13"/>
      <c r="O471" s="13"/>
      <c r="P471" s="14" t="str">
        <f t="shared" si="28"/>
        <v/>
      </c>
      <c r="Q471" s="15" t="str">
        <f>IF(OR(J471="",H471=""),"",IFERROR(IF(ISNUMBER(N471),N471,IF(K471&lt;N(INDEX(Platforms!$G$5:$G$14,MATCH(H471,Lists!$A$2:$A$11,0))),N(INDEX(Platforms!$H$5:$H$14,MATCH(H471,Lists!$A$2:$A$11,0))),MAX(N(INDEX(Platforms!$F$5:$F$14,MATCH(H471,Lists!$A$2:$A$11,0))),N(INDEX(Platforms!$C$5:$C$14,MATCH(H471,Lists!$A$2:$A$11,0)))*(K471+IF(INDEX(Platforms!$E$5:$E$14,MATCH(H471,Lists!$A$2:$A$11,0))="Yes",N(L471),0))+N(INDEX(Platforms!$D$5:$D$14,MATCH(H471,Lists!$A$2:$A$11,0)))))),""))</f>
        <v/>
      </c>
      <c r="R471" s="16" t="str">
        <f t="shared" si="29"/>
        <v/>
      </c>
      <c r="S471" s="17" t="str">
        <f t="shared" si="30"/>
        <v/>
      </c>
      <c r="T471" s="18" t="str">
        <f t="shared" ca="1" si="31"/>
        <v/>
      </c>
    </row>
    <row r="472" spans="1:20" x14ac:dyDescent="0.35">
      <c r="A472" s="11"/>
      <c r="B472" s="11"/>
      <c r="C472" s="11"/>
      <c r="D472" s="12"/>
      <c r="E472" s="11"/>
      <c r="F472" s="13"/>
      <c r="G472" s="13"/>
      <c r="H472" s="11"/>
      <c r="I472" s="12"/>
      <c r="J472" s="12"/>
      <c r="K472" s="13"/>
      <c r="L472" s="13"/>
      <c r="M472" s="13"/>
      <c r="N472" s="13"/>
      <c r="O472" s="13"/>
      <c r="P472" s="14" t="str">
        <f t="shared" si="28"/>
        <v/>
      </c>
      <c r="Q472" s="15" t="str">
        <f>IF(OR(J472="",H472=""),"",IFERROR(IF(ISNUMBER(N472),N472,IF(K472&lt;N(INDEX(Platforms!$G$5:$G$14,MATCH(H472,Lists!$A$2:$A$11,0))),N(INDEX(Platforms!$H$5:$H$14,MATCH(H472,Lists!$A$2:$A$11,0))),MAX(N(INDEX(Platforms!$F$5:$F$14,MATCH(H472,Lists!$A$2:$A$11,0))),N(INDEX(Platforms!$C$5:$C$14,MATCH(H472,Lists!$A$2:$A$11,0)))*(K472+IF(INDEX(Platforms!$E$5:$E$14,MATCH(H472,Lists!$A$2:$A$11,0))="Yes",N(L472),0))+N(INDEX(Platforms!$D$5:$D$14,MATCH(H472,Lists!$A$2:$A$11,0)))))),""))</f>
        <v/>
      </c>
      <c r="R472" s="16" t="str">
        <f t="shared" si="29"/>
        <v/>
      </c>
      <c r="S472" s="17" t="str">
        <f t="shared" si="30"/>
        <v/>
      </c>
      <c r="T472" s="18" t="str">
        <f t="shared" ca="1" si="31"/>
        <v/>
      </c>
    </row>
    <row r="473" spans="1:20" x14ac:dyDescent="0.35">
      <c r="A473" s="11"/>
      <c r="B473" s="11"/>
      <c r="C473" s="11"/>
      <c r="D473" s="12"/>
      <c r="E473" s="11"/>
      <c r="F473" s="13"/>
      <c r="G473" s="13"/>
      <c r="H473" s="11"/>
      <c r="I473" s="12"/>
      <c r="J473" s="12"/>
      <c r="K473" s="13"/>
      <c r="L473" s="13"/>
      <c r="M473" s="13"/>
      <c r="N473" s="13"/>
      <c r="O473" s="13"/>
      <c r="P473" s="14" t="str">
        <f t="shared" si="28"/>
        <v/>
      </c>
      <c r="Q473" s="15" t="str">
        <f>IF(OR(J473="",H473=""),"",IFERROR(IF(ISNUMBER(N473),N473,IF(K473&lt;N(INDEX(Platforms!$G$5:$G$14,MATCH(H473,Lists!$A$2:$A$11,0))),N(INDEX(Platforms!$H$5:$H$14,MATCH(H473,Lists!$A$2:$A$11,0))),MAX(N(INDEX(Platforms!$F$5:$F$14,MATCH(H473,Lists!$A$2:$A$11,0))),N(INDEX(Platforms!$C$5:$C$14,MATCH(H473,Lists!$A$2:$A$11,0)))*(K473+IF(INDEX(Platforms!$E$5:$E$14,MATCH(H473,Lists!$A$2:$A$11,0))="Yes",N(L473),0))+N(INDEX(Platforms!$D$5:$D$14,MATCH(H473,Lists!$A$2:$A$11,0)))))),""))</f>
        <v/>
      </c>
      <c r="R473" s="16" t="str">
        <f t="shared" si="29"/>
        <v/>
      </c>
      <c r="S473" s="17" t="str">
        <f t="shared" si="30"/>
        <v/>
      </c>
      <c r="T473" s="18" t="str">
        <f t="shared" ca="1" si="31"/>
        <v/>
      </c>
    </row>
    <row r="474" spans="1:20" x14ac:dyDescent="0.35">
      <c r="A474" s="11"/>
      <c r="B474" s="11"/>
      <c r="C474" s="11"/>
      <c r="D474" s="12"/>
      <c r="E474" s="11"/>
      <c r="F474" s="13"/>
      <c r="G474" s="13"/>
      <c r="H474" s="11"/>
      <c r="I474" s="12"/>
      <c r="J474" s="12"/>
      <c r="K474" s="13"/>
      <c r="L474" s="13"/>
      <c r="M474" s="13"/>
      <c r="N474" s="13"/>
      <c r="O474" s="13"/>
      <c r="P474" s="14" t="str">
        <f t="shared" si="28"/>
        <v/>
      </c>
      <c r="Q474" s="15" t="str">
        <f>IF(OR(J474="",H474=""),"",IFERROR(IF(ISNUMBER(N474),N474,IF(K474&lt;N(INDEX(Platforms!$G$5:$G$14,MATCH(H474,Lists!$A$2:$A$11,0))),N(INDEX(Platforms!$H$5:$H$14,MATCH(H474,Lists!$A$2:$A$11,0))),MAX(N(INDEX(Platforms!$F$5:$F$14,MATCH(H474,Lists!$A$2:$A$11,0))),N(INDEX(Platforms!$C$5:$C$14,MATCH(H474,Lists!$A$2:$A$11,0)))*(K474+IF(INDEX(Platforms!$E$5:$E$14,MATCH(H474,Lists!$A$2:$A$11,0))="Yes",N(L474),0))+N(INDEX(Platforms!$D$5:$D$14,MATCH(H474,Lists!$A$2:$A$11,0)))))),""))</f>
        <v/>
      </c>
      <c r="R474" s="16" t="str">
        <f t="shared" si="29"/>
        <v/>
      </c>
      <c r="S474" s="17" t="str">
        <f t="shared" si="30"/>
        <v/>
      </c>
      <c r="T474" s="18" t="str">
        <f t="shared" ca="1" si="31"/>
        <v/>
      </c>
    </row>
    <row r="475" spans="1:20" x14ac:dyDescent="0.35">
      <c r="A475" s="11"/>
      <c r="B475" s="11"/>
      <c r="C475" s="11"/>
      <c r="D475" s="12"/>
      <c r="E475" s="11"/>
      <c r="F475" s="13"/>
      <c r="G475" s="13"/>
      <c r="H475" s="11"/>
      <c r="I475" s="12"/>
      <c r="J475" s="12"/>
      <c r="K475" s="13"/>
      <c r="L475" s="13"/>
      <c r="M475" s="13"/>
      <c r="N475" s="13"/>
      <c r="O475" s="13"/>
      <c r="P475" s="14" t="str">
        <f t="shared" si="28"/>
        <v/>
      </c>
      <c r="Q475" s="15" t="str">
        <f>IF(OR(J475="",H475=""),"",IFERROR(IF(ISNUMBER(N475),N475,IF(K475&lt;N(INDEX(Platforms!$G$5:$G$14,MATCH(H475,Lists!$A$2:$A$11,0))),N(INDEX(Platforms!$H$5:$H$14,MATCH(H475,Lists!$A$2:$A$11,0))),MAX(N(INDEX(Platforms!$F$5:$F$14,MATCH(H475,Lists!$A$2:$A$11,0))),N(INDEX(Platforms!$C$5:$C$14,MATCH(H475,Lists!$A$2:$A$11,0)))*(K475+IF(INDEX(Platforms!$E$5:$E$14,MATCH(H475,Lists!$A$2:$A$11,0))="Yes",N(L475),0))+N(INDEX(Platforms!$D$5:$D$14,MATCH(H475,Lists!$A$2:$A$11,0)))))),""))</f>
        <v/>
      </c>
      <c r="R475" s="16" t="str">
        <f t="shared" si="29"/>
        <v/>
      </c>
      <c r="S475" s="17" t="str">
        <f t="shared" si="30"/>
        <v/>
      </c>
      <c r="T475" s="18" t="str">
        <f t="shared" ca="1" si="31"/>
        <v/>
      </c>
    </row>
    <row r="476" spans="1:20" x14ac:dyDescent="0.35">
      <c r="A476" s="11"/>
      <c r="B476" s="11"/>
      <c r="C476" s="11"/>
      <c r="D476" s="12"/>
      <c r="E476" s="11"/>
      <c r="F476" s="13"/>
      <c r="G476" s="13"/>
      <c r="H476" s="11"/>
      <c r="I476" s="12"/>
      <c r="J476" s="12"/>
      <c r="K476" s="13"/>
      <c r="L476" s="13"/>
      <c r="M476" s="13"/>
      <c r="N476" s="13"/>
      <c r="O476" s="13"/>
      <c r="P476" s="14" t="str">
        <f t="shared" si="28"/>
        <v/>
      </c>
      <c r="Q476" s="15" t="str">
        <f>IF(OR(J476="",H476=""),"",IFERROR(IF(ISNUMBER(N476),N476,IF(K476&lt;N(INDEX(Platforms!$G$5:$G$14,MATCH(H476,Lists!$A$2:$A$11,0))),N(INDEX(Platforms!$H$5:$H$14,MATCH(H476,Lists!$A$2:$A$11,0))),MAX(N(INDEX(Platforms!$F$5:$F$14,MATCH(H476,Lists!$A$2:$A$11,0))),N(INDEX(Platforms!$C$5:$C$14,MATCH(H476,Lists!$A$2:$A$11,0)))*(K476+IF(INDEX(Platforms!$E$5:$E$14,MATCH(H476,Lists!$A$2:$A$11,0))="Yes",N(L476),0))+N(INDEX(Platforms!$D$5:$D$14,MATCH(H476,Lists!$A$2:$A$11,0)))))),""))</f>
        <v/>
      </c>
      <c r="R476" s="16" t="str">
        <f t="shared" si="29"/>
        <v/>
      </c>
      <c r="S476" s="17" t="str">
        <f t="shared" si="30"/>
        <v/>
      </c>
      <c r="T476" s="18" t="str">
        <f t="shared" ca="1" si="31"/>
        <v/>
      </c>
    </row>
    <row r="477" spans="1:20" x14ac:dyDescent="0.35">
      <c r="A477" s="11"/>
      <c r="B477" s="11"/>
      <c r="C477" s="11"/>
      <c r="D477" s="12"/>
      <c r="E477" s="11"/>
      <c r="F477" s="13"/>
      <c r="G477" s="13"/>
      <c r="H477" s="11"/>
      <c r="I477" s="12"/>
      <c r="J477" s="12"/>
      <c r="K477" s="13"/>
      <c r="L477" s="13"/>
      <c r="M477" s="13"/>
      <c r="N477" s="13"/>
      <c r="O477" s="13"/>
      <c r="P477" s="14" t="str">
        <f t="shared" si="28"/>
        <v/>
      </c>
      <c r="Q477" s="15" t="str">
        <f>IF(OR(J477="",H477=""),"",IFERROR(IF(ISNUMBER(N477),N477,IF(K477&lt;N(INDEX(Platforms!$G$5:$G$14,MATCH(H477,Lists!$A$2:$A$11,0))),N(INDEX(Platforms!$H$5:$H$14,MATCH(H477,Lists!$A$2:$A$11,0))),MAX(N(INDEX(Platforms!$F$5:$F$14,MATCH(H477,Lists!$A$2:$A$11,0))),N(INDEX(Platforms!$C$5:$C$14,MATCH(H477,Lists!$A$2:$A$11,0)))*(K477+IF(INDEX(Platforms!$E$5:$E$14,MATCH(H477,Lists!$A$2:$A$11,0))="Yes",N(L477),0))+N(INDEX(Platforms!$D$5:$D$14,MATCH(H477,Lists!$A$2:$A$11,0)))))),""))</f>
        <v/>
      </c>
      <c r="R477" s="16" t="str">
        <f t="shared" si="29"/>
        <v/>
      </c>
      <c r="S477" s="17" t="str">
        <f t="shared" si="30"/>
        <v/>
      </c>
      <c r="T477" s="18" t="str">
        <f t="shared" ca="1" si="31"/>
        <v/>
      </c>
    </row>
    <row r="478" spans="1:20" x14ac:dyDescent="0.35">
      <c r="A478" s="11"/>
      <c r="B478" s="11"/>
      <c r="C478" s="11"/>
      <c r="D478" s="12"/>
      <c r="E478" s="11"/>
      <c r="F478" s="13"/>
      <c r="G478" s="13"/>
      <c r="H478" s="11"/>
      <c r="I478" s="12"/>
      <c r="J478" s="12"/>
      <c r="K478" s="13"/>
      <c r="L478" s="13"/>
      <c r="M478" s="13"/>
      <c r="N478" s="13"/>
      <c r="O478" s="13"/>
      <c r="P478" s="14" t="str">
        <f t="shared" si="28"/>
        <v/>
      </c>
      <c r="Q478" s="15" t="str">
        <f>IF(OR(J478="",H478=""),"",IFERROR(IF(ISNUMBER(N478),N478,IF(K478&lt;N(INDEX(Platforms!$G$5:$G$14,MATCH(H478,Lists!$A$2:$A$11,0))),N(INDEX(Platforms!$H$5:$H$14,MATCH(H478,Lists!$A$2:$A$11,0))),MAX(N(INDEX(Platforms!$F$5:$F$14,MATCH(H478,Lists!$A$2:$A$11,0))),N(INDEX(Platforms!$C$5:$C$14,MATCH(H478,Lists!$A$2:$A$11,0)))*(K478+IF(INDEX(Platforms!$E$5:$E$14,MATCH(H478,Lists!$A$2:$A$11,0))="Yes",N(L478),0))+N(INDEX(Platforms!$D$5:$D$14,MATCH(H478,Lists!$A$2:$A$11,0)))))),""))</f>
        <v/>
      </c>
      <c r="R478" s="16" t="str">
        <f t="shared" si="29"/>
        <v/>
      </c>
      <c r="S478" s="17" t="str">
        <f t="shared" si="30"/>
        <v/>
      </c>
      <c r="T478" s="18" t="str">
        <f t="shared" ca="1" si="31"/>
        <v/>
      </c>
    </row>
    <row r="479" spans="1:20" x14ac:dyDescent="0.35">
      <c r="A479" s="11"/>
      <c r="B479" s="11"/>
      <c r="C479" s="11"/>
      <c r="D479" s="12"/>
      <c r="E479" s="11"/>
      <c r="F479" s="13"/>
      <c r="G479" s="13"/>
      <c r="H479" s="11"/>
      <c r="I479" s="12"/>
      <c r="J479" s="12"/>
      <c r="K479" s="13"/>
      <c r="L479" s="13"/>
      <c r="M479" s="13"/>
      <c r="N479" s="13"/>
      <c r="O479" s="13"/>
      <c r="P479" s="14" t="str">
        <f t="shared" si="28"/>
        <v/>
      </c>
      <c r="Q479" s="15" t="str">
        <f>IF(OR(J479="",H479=""),"",IFERROR(IF(ISNUMBER(N479),N479,IF(K479&lt;N(INDEX(Platforms!$G$5:$G$14,MATCH(H479,Lists!$A$2:$A$11,0))),N(INDEX(Platforms!$H$5:$H$14,MATCH(H479,Lists!$A$2:$A$11,0))),MAX(N(INDEX(Platforms!$F$5:$F$14,MATCH(H479,Lists!$A$2:$A$11,0))),N(INDEX(Platforms!$C$5:$C$14,MATCH(H479,Lists!$A$2:$A$11,0)))*(K479+IF(INDEX(Platforms!$E$5:$E$14,MATCH(H479,Lists!$A$2:$A$11,0))="Yes",N(L479),0))+N(INDEX(Platforms!$D$5:$D$14,MATCH(H479,Lists!$A$2:$A$11,0)))))),""))</f>
        <v/>
      </c>
      <c r="R479" s="16" t="str">
        <f t="shared" si="29"/>
        <v/>
      </c>
      <c r="S479" s="17" t="str">
        <f t="shared" si="30"/>
        <v/>
      </c>
      <c r="T479" s="18" t="str">
        <f t="shared" ca="1" si="31"/>
        <v/>
      </c>
    </row>
    <row r="480" spans="1:20" x14ac:dyDescent="0.35">
      <c r="A480" s="11"/>
      <c r="B480" s="11"/>
      <c r="C480" s="11"/>
      <c r="D480" s="12"/>
      <c r="E480" s="11"/>
      <c r="F480" s="13"/>
      <c r="G480" s="13"/>
      <c r="H480" s="11"/>
      <c r="I480" s="12"/>
      <c r="J480" s="12"/>
      <c r="K480" s="13"/>
      <c r="L480" s="13"/>
      <c r="M480" s="13"/>
      <c r="N480" s="13"/>
      <c r="O480" s="13"/>
      <c r="P480" s="14" t="str">
        <f t="shared" si="28"/>
        <v/>
      </c>
      <c r="Q480" s="15" t="str">
        <f>IF(OR(J480="",H480=""),"",IFERROR(IF(ISNUMBER(N480),N480,IF(K480&lt;N(INDEX(Platforms!$G$5:$G$14,MATCH(H480,Lists!$A$2:$A$11,0))),N(INDEX(Platforms!$H$5:$H$14,MATCH(H480,Lists!$A$2:$A$11,0))),MAX(N(INDEX(Platforms!$F$5:$F$14,MATCH(H480,Lists!$A$2:$A$11,0))),N(INDEX(Platforms!$C$5:$C$14,MATCH(H480,Lists!$A$2:$A$11,0)))*(K480+IF(INDEX(Platforms!$E$5:$E$14,MATCH(H480,Lists!$A$2:$A$11,0))="Yes",N(L480),0))+N(INDEX(Platforms!$D$5:$D$14,MATCH(H480,Lists!$A$2:$A$11,0)))))),""))</f>
        <v/>
      </c>
      <c r="R480" s="16" t="str">
        <f t="shared" si="29"/>
        <v/>
      </c>
      <c r="S480" s="17" t="str">
        <f t="shared" si="30"/>
        <v/>
      </c>
      <c r="T480" s="18" t="str">
        <f t="shared" ca="1" si="31"/>
        <v/>
      </c>
    </row>
    <row r="481" spans="1:20" x14ac:dyDescent="0.35">
      <c r="A481" s="11"/>
      <c r="B481" s="11"/>
      <c r="C481" s="11"/>
      <c r="D481" s="12"/>
      <c r="E481" s="11"/>
      <c r="F481" s="13"/>
      <c r="G481" s="13"/>
      <c r="H481" s="11"/>
      <c r="I481" s="12"/>
      <c r="J481" s="12"/>
      <c r="K481" s="13"/>
      <c r="L481" s="13"/>
      <c r="M481" s="13"/>
      <c r="N481" s="13"/>
      <c r="O481" s="13"/>
      <c r="P481" s="14" t="str">
        <f t="shared" si="28"/>
        <v/>
      </c>
      <c r="Q481" s="15" t="str">
        <f>IF(OR(J481="",H481=""),"",IFERROR(IF(ISNUMBER(N481),N481,IF(K481&lt;N(INDEX(Platforms!$G$5:$G$14,MATCH(H481,Lists!$A$2:$A$11,0))),N(INDEX(Platforms!$H$5:$H$14,MATCH(H481,Lists!$A$2:$A$11,0))),MAX(N(INDEX(Platforms!$F$5:$F$14,MATCH(H481,Lists!$A$2:$A$11,0))),N(INDEX(Platforms!$C$5:$C$14,MATCH(H481,Lists!$A$2:$A$11,0)))*(K481+IF(INDEX(Platforms!$E$5:$E$14,MATCH(H481,Lists!$A$2:$A$11,0))="Yes",N(L481),0))+N(INDEX(Platforms!$D$5:$D$14,MATCH(H481,Lists!$A$2:$A$11,0)))))),""))</f>
        <v/>
      </c>
      <c r="R481" s="16" t="str">
        <f t="shared" si="29"/>
        <v/>
      </c>
      <c r="S481" s="17" t="str">
        <f t="shared" si="30"/>
        <v/>
      </c>
      <c r="T481" s="18" t="str">
        <f t="shared" ca="1" si="31"/>
        <v/>
      </c>
    </row>
    <row r="482" spans="1:20" x14ac:dyDescent="0.35">
      <c r="A482" s="11"/>
      <c r="B482" s="11"/>
      <c r="C482" s="11"/>
      <c r="D482" s="12"/>
      <c r="E482" s="11"/>
      <c r="F482" s="13"/>
      <c r="G482" s="13"/>
      <c r="H482" s="11"/>
      <c r="I482" s="12"/>
      <c r="J482" s="12"/>
      <c r="K482" s="13"/>
      <c r="L482" s="13"/>
      <c r="M482" s="13"/>
      <c r="N482" s="13"/>
      <c r="O482" s="13"/>
      <c r="P482" s="14" t="str">
        <f t="shared" si="28"/>
        <v/>
      </c>
      <c r="Q482" s="15" t="str">
        <f>IF(OR(J482="",H482=""),"",IFERROR(IF(ISNUMBER(N482),N482,IF(K482&lt;N(INDEX(Platforms!$G$5:$G$14,MATCH(H482,Lists!$A$2:$A$11,0))),N(INDEX(Platforms!$H$5:$H$14,MATCH(H482,Lists!$A$2:$A$11,0))),MAX(N(INDEX(Platforms!$F$5:$F$14,MATCH(H482,Lists!$A$2:$A$11,0))),N(INDEX(Platforms!$C$5:$C$14,MATCH(H482,Lists!$A$2:$A$11,0)))*(K482+IF(INDEX(Platforms!$E$5:$E$14,MATCH(H482,Lists!$A$2:$A$11,0))="Yes",N(L482),0))+N(INDEX(Platforms!$D$5:$D$14,MATCH(H482,Lists!$A$2:$A$11,0)))))),""))</f>
        <v/>
      </c>
      <c r="R482" s="16" t="str">
        <f t="shared" si="29"/>
        <v/>
      </c>
      <c r="S482" s="17" t="str">
        <f t="shared" si="30"/>
        <v/>
      </c>
      <c r="T482" s="18" t="str">
        <f t="shared" ca="1" si="31"/>
        <v/>
      </c>
    </row>
    <row r="483" spans="1:20" x14ac:dyDescent="0.35">
      <c r="A483" s="11"/>
      <c r="B483" s="11"/>
      <c r="C483" s="11"/>
      <c r="D483" s="12"/>
      <c r="E483" s="11"/>
      <c r="F483" s="13"/>
      <c r="G483" s="13"/>
      <c r="H483" s="11"/>
      <c r="I483" s="12"/>
      <c r="J483" s="12"/>
      <c r="K483" s="13"/>
      <c r="L483" s="13"/>
      <c r="M483" s="13"/>
      <c r="N483" s="13"/>
      <c r="O483" s="13"/>
      <c r="P483" s="14" t="str">
        <f t="shared" si="28"/>
        <v/>
      </c>
      <c r="Q483" s="15" t="str">
        <f>IF(OR(J483="",H483=""),"",IFERROR(IF(ISNUMBER(N483),N483,IF(K483&lt;N(INDEX(Platforms!$G$5:$G$14,MATCH(H483,Lists!$A$2:$A$11,0))),N(INDEX(Platforms!$H$5:$H$14,MATCH(H483,Lists!$A$2:$A$11,0))),MAX(N(INDEX(Platforms!$F$5:$F$14,MATCH(H483,Lists!$A$2:$A$11,0))),N(INDEX(Platforms!$C$5:$C$14,MATCH(H483,Lists!$A$2:$A$11,0)))*(K483+IF(INDEX(Platforms!$E$5:$E$14,MATCH(H483,Lists!$A$2:$A$11,0))="Yes",N(L483),0))+N(INDEX(Platforms!$D$5:$D$14,MATCH(H483,Lists!$A$2:$A$11,0)))))),""))</f>
        <v/>
      </c>
      <c r="R483" s="16" t="str">
        <f t="shared" si="29"/>
        <v/>
      </c>
      <c r="S483" s="17" t="str">
        <f t="shared" si="30"/>
        <v/>
      </c>
      <c r="T483" s="18" t="str">
        <f t="shared" ca="1" si="31"/>
        <v/>
      </c>
    </row>
    <row r="484" spans="1:20" x14ac:dyDescent="0.35">
      <c r="A484" s="11"/>
      <c r="B484" s="11"/>
      <c r="C484" s="11"/>
      <c r="D484" s="12"/>
      <c r="E484" s="11"/>
      <c r="F484" s="13"/>
      <c r="G484" s="13"/>
      <c r="H484" s="11"/>
      <c r="I484" s="12"/>
      <c r="J484" s="12"/>
      <c r="K484" s="13"/>
      <c r="L484" s="13"/>
      <c r="M484" s="13"/>
      <c r="N484" s="13"/>
      <c r="O484" s="13"/>
      <c r="P484" s="14" t="str">
        <f t="shared" si="28"/>
        <v/>
      </c>
      <c r="Q484" s="15" t="str">
        <f>IF(OR(J484="",H484=""),"",IFERROR(IF(ISNUMBER(N484),N484,IF(K484&lt;N(INDEX(Platforms!$G$5:$G$14,MATCH(H484,Lists!$A$2:$A$11,0))),N(INDEX(Platforms!$H$5:$H$14,MATCH(H484,Lists!$A$2:$A$11,0))),MAX(N(INDEX(Platforms!$F$5:$F$14,MATCH(H484,Lists!$A$2:$A$11,0))),N(INDEX(Platforms!$C$5:$C$14,MATCH(H484,Lists!$A$2:$A$11,0)))*(K484+IF(INDEX(Platforms!$E$5:$E$14,MATCH(H484,Lists!$A$2:$A$11,0))="Yes",N(L484),0))+N(INDEX(Platforms!$D$5:$D$14,MATCH(H484,Lists!$A$2:$A$11,0)))))),""))</f>
        <v/>
      </c>
      <c r="R484" s="16" t="str">
        <f t="shared" si="29"/>
        <v/>
      </c>
      <c r="S484" s="17" t="str">
        <f t="shared" si="30"/>
        <v/>
      </c>
      <c r="T484" s="18" t="str">
        <f t="shared" ca="1" si="31"/>
        <v/>
      </c>
    </row>
    <row r="485" spans="1:20" x14ac:dyDescent="0.35">
      <c r="A485" s="11"/>
      <c r="B485" s="11"/>
      <c r="C485" s="11"/>
      <c r="D485" s="12"/>
      <c r="E485" s="11"/>
      <c r="F485" s="13"/>
      <c r="G485" s="13"/>
      <c r="H485" s="11"/>
      <c r="I485" s="12"/>
      <c r="J485" s="12"/>
      <c r="K485" s="13"/>
      <c r="L485" s="13"/>
      <c r="M485" s="13"/>
      <c r="N485" s="13"/>
      <c r="O485" s="13"/>
      <c r="P485" s="14" t="str">
        <f t="shared" si="28"/>
        <v/>
      </c>
      <c r="Q485" s="15" t="str">
        <f>IF(OR(J485="",H485=""),"",IFERROR(IF(ISNUMBER(N485),N485,IF(K485&lt;N(INDEX(Platforms!$G$5:$G$14,MATCH(H485,Lists!$A$2:$A$11,0))),N(INDEX(Platforms!$H$5:$H$14,MATCH(H485,Lists!$A$2:$A$11,0))),MAX(N(INDEX(Platforms!$F$5:$F$14,MATCH(H485,Lists!$A$2:$A$11,0))),N(INDEX(Platforms!$C$5:$C$14,MATCH(H485,Lists!$A$2:$A$11,0)))*(K485+IF(INDEX(Platforms!$E$5:$E$14,MATCH(H485,Lists!$A$2:$A$11,0))="Yes",N(L485),0))+N(INDEX(Platforms!$D$5:$D$14,MATCH(H485,Lists!$A$2:$A$11,0)))))),""))</f>
        <v/>
      </c>
      <c r="R485" s="16" t="str">
        <f t="shared" si="29"/>
        <v/>
      </c>
      <c r="S485" s="17" t="str">
        <f t="shared" si="30"/>
        <v/>
      </c>
      <c r="T485" s="18" t="str">
        <f t="shared" ca="1" si="31"/>
        <v/>
      </c>
    </row>
    <row r="486" spans="1:20" x14ac:dyDescent="0.35">
      <c r="A486" s="11"/>
      <c r="B486" s="11"/>
      <c r="C486" s="11"/>
      <c r="D486" s="12"/>
      <c r="E486" s="11"/>
      <c r="F486" s="13"/>
      <c r="G486" s="13"/>
      <c r="H486" s="11"/>
      <c r="I486" s="12"/>
      <c r="J486" s="12"/>
      <c r="K486" s="13"/>
      <c r="L486" s="13"/>
      <c r="M486" s="13"/>
      <c r="N486" s="13"/>
      <c r="O486" s="13"/>
      <c r="P486" s="14" t="str">
        <f t="shared" si="28"/>
        <v/>
      </c>
      <c r="Q486" s="15" t="str">
        <f>IF(OR(J486="",H486=""),"",IFERROR(IF(ISNUMBER(N486),N486,IF(K486&lt;N(INDEX(Platforms!$G$5:$G$14,MATCH(H486,Lists!$A$2:$A$11,0))),N(INDEX(Platforms!$H$5:$H$14,MATCH(H486,Lists!$A$2:$A$11,0))),MAX(N(INDEX(Platforms!$F$5:$F$14,MATCH(H486,Lists!$A$2:$A$11,0))),N(INDEX(Platforms!$C$5:$C$14,MATCH(H486,Lists!$A$2:$A$11,0)))*(K486+IF(INDEX(Platforms!$E$5:$E$14,MATCH(H486,Lists!$A$2:$A$11,0))="Yes",N(L486),0))+N(INDEX(Platforms!$D$5:$D$14,MATCH(H486,Lists!$A$2:$A$11,0)))))),""))</f>
        <v/>
      </c>
      <c r="R486" s="16" t="str">
        <f t="shared" si="29"/>
        <v/>
      </c>
      <c r="S486" s="17" t="str">
        <f t="shared" si="30"/>
        <v/>
      </c>
      <c r="T486" s="18" t="str">
        <f t="shared" ca="1" si="31"/>
        <v/>
      </c>
    </row>
    <row r="487" spans="1:20" x14ac:dyDescent="0.35">
      <c r="A487" s="11"/>
      <c r="B487" s="11"/>
      <c r="C487" s="11"/>
      <c r="D487" s="12"/>
      <c r="E487" s="11"/>
      <c r="F487" s="13"/>
      <c r="G487" s="13"/>
      <c r="H487" s="11"/>
      <c r="I487" s="12"/>
      <c r="J487" s="12"/>
      <c r="K487" s="13"/>
      <c r="L487" s="13"/>
      <c r="M487" s="13"/>
      <c r="N487" s="13"/>
      <c r="O487" s="13"/>
      <c r="P487" s="14" t="str">
        <f t="shared" si="28"/>
        <v/>
      </c>
      <c r="Q487" s="15" t="str">
        <f>IF(OR(J487="",H487=""),"",IFERROR(IF(ISNUMBER(N487),N487,IF(K487&lt;N(INDEX(Platforms!$G$5:$G$14,MATCH(H487,Lists!$A$2:$A$11,0))),N(INDEX(Platforms!$H$5:$H$14,MATCH(H487,Lists!$A$2:$A$11,0))),MAX(N(INDEX(Platforms!$F$5:$F$14,MATCH(H487,Lists!$A$2:$A$11,0))),N(INDEX(Platforms!$C$5:$C$14,MATCH(H487,Lists!$A$2:$A$11,0)))*(K487+IF(INDEX(Platforms!$E$5:$E$14,MATCH(H487,Lists!$A$2:$A$11,0))="Yes",N(L487),0))+N(INDEX(Platforms!$D$5:$D$14,MATCH(H487,Lists!$A$2:$A$11,0)))))),""))</f>
        <v/>
      </c>
      <c r="R487" s="16" t="str">
        <f t="shared" si="29"/>
        <v/>
      </c>
      <c r="S487" s="17" t="str">
        <f t="shared" si="30"/>
        <v/>
      </c>
      <c r="T487" s="18" t="str">
        <f t="shared" ca="1" si="31"/>
        <v/>
      </c>
    </row>
    <row r="488" spans="1:20" x14ac:dyDescent="0.35">
      <c r="A488" s="11"/>
      <c r="B488" s="11"/>
      <c r="C488" s="11"/>
      <c r="D488" s="12"/>
      <c r="E488" s="11"/>
      <c r="F488" s="13"/>
      <c r="G488" s="13"/>
      <c r="H488" s="11"/>
      <c r="I488" s="12"/>
      <c r="J488" s="12"/>
      <c r="K488" s="13"/>
      <c r="L488" s="13"/>
      <c r="M488" s="13"/>
      <c r="N488" s="13"/>
      <c r="O488" s="13"/>
      <c r="P488" s="14" t="str">
        <f t="shared" si="28"/>
        <v/>
      </c>
      <c r="Q488" s="15" t="str">
        <f>IF(OR(J488="",H488=""),"",IFERROR(IF(ISNUMBER(N488),N488,IF(K488&lt;N(INDEX(Platforms!$G$5:$G$14,MATCH(H488,Lists!$A$2:$A$11,0))),N(INDEX(Platforms!$H$5:$H$14,MATCH(H488,Lists!$A$2:$A$11,0))),MAX(N(INDEX(Platforms!$F$5:$F$14,MATCH(H488,Lists!$A$2:$A$11,0))),N(INDEX(Platforms!$C$5:$C$14,MATCH(H488,Lists!$A$2:$A$11,0)))*(K488+IF(INDEX(Platforms!$E$5:$E$14,MATCH(H488,Lists!$A$2:$A$11,0))="Yes",N(L488),0))+N(INDEX(Platforms!$D$5:$D$14,MATCH(H488,Lists!$A$2:$A$11,0)))))),""))</f>
        <v/>
      </c>
      <c r="R488" s="16" t="str">
        <f t="shared" si="29"/>
        <v/>
      </c>
      <c r="S488" s="17" t="str">
        <f t="shared" si="30"/>
        <v/>
      </c>
      <c r="T488" s="18" t="str">
        <f t="shared" ca="1" si="31"/>
        <v/>
      </c>
    </row>
    <row r="489" spans="1:20" x14ac:dyDescent="0.35">
      <c r="A489" s="11"/>
      <c r="B489" s="11"/>
      <c r="C489" s="11"/>
      <c r="D489" s="12"/>
      <c r="E489" s="11"/>
      <c r="F489" s="13"/>
      <c r="G489" s="13"/>
      <c r="H489" s="11"/>
      <c r="I489" s="12"/>
      <c r="J489" s="12"/>
      <c r="K489" s="13"/>
      <c r="L489" s="13"/>
      <c r="M489" s="13"/>
      <c r="N489" s="13"/>
      <c r="O489" s="13"/>
      <c r="P489" s="14" t="str">
        <f t="shared" si="28"/>
        <v/>
      </c>
      <c r="Q489" s="15" t="str">
        <f>IF(OR(J489="",H489=""),"",IFERROR(IF(ISNUMBER(N489),N489,IF(K489&lt;N(INDEX(Platforms!$G$5:$G$14,MATCH(H489,Lists!$A$2:$A$11,0))),N(INDEX(Platforms!$H$5:$H$14,MATCH(H489,Lists!$A$2:$A$11,0))),MAX(N(INDEX(Platforms!$F$5:$F$14,MATCH(H489,Lists!$A$2:$A$11,0))),N(INDEX(Platforms!$C$5:$C$14,MATCH(H489,Lists!$A$2:$A$11,0)))*(K489+IF(INDEX(Platforms!$E$5:$E$14,MATCH(H489,Lists!$A$2:$A$11,0))="Yes",N(L489),0))+N(INDEX(Platforms!$D$5:$D$14,MATCH(H489,Lists!$A$2:$A$11,0)))))),""))</f>
        <v/>
      </c>
      <c r="R489" s="16" t="str">
        <f t="shared" si="29"/>
        <v/>
      </c>
      <c r="S489" s="17" t="str">
        <f t="shared" si="30"/>
        <v/>
      </c>
      <c r="T489" s="18" t="str">
        <f t="shared" ca="1" si="31"/>
        <v/>
      </c>
    </row>
    <row r="490" spans="1:20" x14ac:dyDescent="0.35">
      <c r="A490" s="11"/>
      <c r="B490" s="11"/>
      <c r="C490" s="11"/>
      <c r="D490" s="12"/>
      <c r="E490" s="11"/>
      <c r="F490" s="13"/>
      <c r="G490" s="13"/>
      <c r="H490" s="11"/>
      <c r="I490" s="12"/>
      <c r="J490" s="12"/>
      <c r="K490" s="13"/>
      <c r="L490" s="13"/>
      <c r="M490" s="13"/>
      <c r="N490" s="13"/>
      <c r="O490" s="13"/>
      <c r="P490" s="14" t="str">
        <f t="shared" si="28"/>
        <v/>
      </c>
      <c r="Q490" s="15" t="str">
        <f>IF(OR(J490="",H490=""),"",IFERROR(IF(ISNUMBER(N490),N490,IF(K490&lt;N(INDEX(Platforms!$G$5:$G$14,MATCH(H490,Lists!$A$2:$A$11,0))),N(INDEX(Platforms!$H$5:$H$14,MATCH(H490,Lists!$A$2:$A$11,0))),MAX(N(INDEX(Platforms!$F$5:$F$14,MATCH(H490,Lists!$A$2:$A$11,0))),N(INDEX(Platforms!$C$5:$C$14,MATCH(H490,Lists!$A$2:$A$11,0)))*(K490+IF(INDEX(Platforms!$E$5:$E$14,MATCH(H490,Lists!$A$2:$A$11,0))="Yes",N(L490),0))+N(INDEX(Platforms!$D$5:$D$14,MATCH(H490,Lists!$A$2:$A$11,0)))))),""))</f>
        <v/>
      </c>
      <c r="R490" s="16" t="str">
        <f t="shared" si="29"/>
        <v/>
      </c>
      <c r="S490" s="17" t="str">
        <f t="shared" si="30"/>
        <v/>
      </c>
      <c r="T490" s="18" t="str">
        <f t="shared" ca="1" si="31"/>
        <v/>
      </c>
    </row>
    <row r="491" spans="1:20" x14ac:dyDescent="0.35">
      <c r="A491" s="11"/>
      <c r="B491" s="11"/>
      <c r="C491" s="11"/>
      <c r="D491" s="12"/>
      <c r="E491" s="11"/>
      <c r="F491" s="13"/>
      <c r="G491" s="13"/>
      <c r="H491" s="11"/>
      <c r="I491" s="12"/>
      <c r="J491" s="12"/>
      <c r="K491" s="13"/>
      <c r="L491" s="13"/>
      <c r="M491" s="13"/>
      <c r="N491" s="13"/>
      <c r="O491" s="13"/>
      <c r="P491" s="14" t="str">
        <f t="shared" si="28"/>
        <v/>
      </c>
      <c r="Q491" s="15" t="str">
        <f>IF(OR(J491="",H491=""),"",IFERROR(IF(ISNUMBER(N491),N491,IF(K491&lt;N(INDEX(Platforms!$G$5:$G$14,MATCH(H491,Lists!$A$2:$A$11,0))),N(INDEX(Platforms!$H$5:$H$14,MATCH(H491,Lists!$A$2:$A$11,0))),MAX(N(INDEX(Platforms!$F$5:$F$14,MATCH(H491,Lists!$A$2:$A$11,0))),N(INDEX(Platforms!$C$5:$C$14,MATCH(H491,Lists!$A$2:$A$11,0)))*(K491+IF(INDEX(Platforms!$E$5:$E$14,MATCH(H491,Lists!$A$2:$A$11,0))="Yes",N(L491),0))+N(INDEX(Platforms!$D$5:$D$14,MATCH(H491,Lists!$A$2:$A$11,0)))))),""))</f>
        <v/>
      </c>
      <c r="R491" s="16" t="str">
        <f t="shared" si="29"/>
        <v/>
      </c>
      <c r="S491" s="17" t="str">
        <f t="shared" si="30"/>
        <v/>
      </c>
      <c r="T491" s="18" t="str">
        <f t="shared" ca="1" si="31"/>
        <v/>
      </c>
    </row>
    <row r="492" spans="1:20" x14ac:dyDescent="0.35">
      <c r="A492" s="11"/>
      <c r="B492" s="11"/>
      <c r="C492" s="11"/>
      <c r="D492" s="12"/>
      <c r="E492" s="11"/>
      <c r="F492" s="13"/>
      <c r="G492" s="13"/>
      <c r="H492" s="11"/>
      <c r="I492" s="12"/>
      <c r="J492" s="12"/>
      <c r="K492" s="13"/>
      <c r="L492" s="13"/>
      <c r="M492" s="13"/>
      <c r="N492" s="13"/>
      <c r="O492" s="13"/>
      <c r="P492" s="14" t="str">
        <f t="shared" si="28"/>
        <v/>
      </c>
      <c r="Q492" s="15" t="str">
        <f>IF(OR(J492="",H492=""),"",IFERROR(IF(ISNUMBER(N492),N492,IF(K492&lt;N(INDEX(Platforms!$G$5:$G$14,MATCH(H492,Lists!$A$2:$A$11,0))),N(INDEX(Platforms!$H$5:$H$14,MATCH(H492,Lists!$A$2:$A$11,0))),MAX(N(INDEX(Platforms!$F$5:$F$14,MATCH(H492,Lists!$A$2:$A$11,0))),N(INDEX(Platforms!$C$5:$C$14,MATCH(H492,Lists!$A$2:$A$11,0)))*(K492+IF(INDEX(Platforms!$E$5:$E$14,MATCH(H492,Lists!$A$2:$A$11,0))="Yes",N(L492),0))+N(INDEX(Platforms!$D$5:$D$14,MATCH(H492,Lists!$A$2:$A$11,0)))))),""))</f>
        <v/>
      </c>
      <c r="R492" s="16" t="str">
        <f t="shared" si="29"/>
        <v/>
      </c>
      <c r="S492" s="17" t="str">
        <f t="shared" si="30"/>
        <v/>
      </c>
      <c r="T492" s="18" t="str">
        <f t="shared" ca="1" si="31"/>
        <v/>
      </c>
    </row>
    <row r="493" spans="1:20" x14ac:dyDescent="0.35">
      <c r="A493" s="11"/>
      <c r="B493" s="11"/>
      <c r="C493" s="11"/>
      <c r="D493" s="12"/>
      <c r="E493" s="11"/>
      <c r="F493" s="13"/>
      <c r="G493" s="13"/>
      <c r="H493" s="11"/>
      <c r="I493" s="12"/>
      <c r="J493" s="12"/>
      <c r="K493" s="13"/>
      <c r="L493" s="13"/>
      <c r="M493" s="13"/>
      <c r="N493" s="13"/>
      <c r="O493" s="13"/>
      <c r="P493" s="14" t="str">
        <f t="shared" si="28"/>
        <v/>
      </c>
      <c r="Q493" s="15" t="str">
        <f>IF(OR(J493="",H493=""),"",IFERROR(IF(ISNUMBER(N493),N493,IF(K493&lt;N(INDEX(Platforms!$G$5:$G$14,MATCH(H493,Lists!$A$2:$A$11,0))),N(INDEX(Platforms!$H$5:$H$14,MATCH(H493,Lists!$A$2:$A$11,0))),MAX(N(INDEX(Platforms!$F$5:$F$14,MATCH(H493,Lists!$A$2:$A$11,0))),N(INDEX(Platforms!$C$5:$C$14,MATCH(H493,Lists!$A$2:$A$11,0)))*(K493+IF(INDEX(Platforms!$E$5:$E$14,MATCH(H493,Lists!$A$2:$A$11,0))="Yes",N(L493),0))+N(INDEX(Platforms!$D$5:$D$14,MATCH(H493,Lists!$A$2:$A$11,0)))))),""))</f>
        <v/>
      </c>
      <c r="R493" s="16" t="str">
        <f t="shared" si="29"/>
        <v/>
      </c>
      <c r="S493" s="17" t="str">
        <f t="shared" si="30"/>
        <v/>
      </c>
      <c r="T493" s="18" t="str">
        <f t="shared" ca="1" si="31"/>
        <v/>
      </c>
    </row>
    <row r="494" spans="1:20" x14ac:dyDescent="0.35">
      <c r="A494" s="11"/>
      <c r="B494" s="11"/>
      <c r="C494" s="11"/>
      <c r="D494" s="12"/>
      <c r="E494" s="11"/>
      <c r="F494" s="13"/>
      <c r="G494" s="13"/>
      <c r="H494" s="11"/>
      <c r="I494" s="12"/>
      <c r="J494" s="12"/>
      <c r="K494" s="13"/>
      <c r="L494" s="13"/>
      <c r="M494" s="13"/>
      <c r="N494" s="13"/>
      <c r="O494" s="13"/>
      <c r="P494" s="14" t="str">
        <f t="shared" si="28"/>
        <v/>
      </c>
      <c r="Q494" s="15" t="str">
        <f>IF(OR(J494="",H494=""),"",IFERROR(IF(ISNUMBER(N494),N494,IF(K494&lt;N(INDEX(Platforms!$G$5:$G$14,MATCH(H494,Lists!$A$2:$A$11,0))),N(INDEX(Platforms!$H$5:$H$14,MATCH(H494,Lists!$A$2:$A$11,0))),MAX(N(INDEX(Platforms!$F$5:$F$14,MATCH(H494,Lists!$A$2:$A$11,0))),N(INDEX(Platforms!$C$5:$C$14,MATCH(H494,Lists!$A$2:$A$11,0)))*(K494+IF(INDEX(Platforms!$E$5:$E$14,MATCH(H494,Lists!$A$2:$A$11,0))="Yes",N(L494),0))+N(INDEX(Platforms!$D$5:$D$14,MATCH(H494,Lists!$A$2:$A$11,0)))))),""))</f>
        <v/>
      </c>
      <c r="R494" s="16" t="str">
        <f t="shared" si="29"/>
        <v/>
      </c>
      <c r="S494" s="17" t="str">
        <f t="shared" si="30"/>
        <v/>
      </c>
      <c r="T494" s="18" t="str">
        <f t="shared" ca="1" si="31"/>
        <v/>
      </c>
    </row>
    <row r="495" spans="1:20" x14ac:dyDescent="0.35">
      <c r="A495" s="11"/>
      <c r="B495" s="11"/>
      <c r="C495" s="11"/>
      <c r="D495" s="12"/>
      <c r="E495" s="11"/>
      <c r="F495" s="13"/>
      <c r="G495" s="13"/>
      <c r="H495" s="11"/>
      <c r="I495" s="12"/>
      <c r="J495" s="12"/>
      <c r="K495" s="13"/>
      <c r="L495" s="13"/>
      <c r="M495" s="13"/>
      <c r="N495" s="13"/>
      <c r="O495" s="13"/>
      <c r="P495" s="14" t="str">
        <f t="shared" si="28"/>
        <v/>
      </c>
      <c r="Q495" s="15" t="str">
        <f>IF(OR(J495="",H495=""),"",IFERROR(IF(ISNUMBER(N495),N495,IF(K495&lt;N(INDEX(Platforms!$G$5:$G$14,MATCH(H495,Lists!$A$2:$A$11,0))),N(INDEX(Platforms!$H$5:$H$14,MATCH(H495,Lists!$A$2:$A$11,0))),MAX(N(INDEX(Platforms!$F$5:$F$14,MATCH(H495,Lists!$A$2:$A$11,0))),N(INDEX(Platforms!$C$5:$C$14,MATCH(H495,Lists!$A$2:$A$11,0)))*(K495+IF(INDEX(Platforms!$E$5:$E$14,MATCH(H495,Lists!$A$2:$A$11,0))="Yes",N(L495),0))+N(INDEX(Platforms!$D$5:$D$14,MATCH(H495,Lists!$A$2:$A$11,0)))))),""))</f>
        <v/>
      </c>
      <c r="R495" s="16" t="str">
        <f t="shared" si="29"/>
        <v/>
      </c>
      <c r="S495" s="17" t="str">
        <f t="shared" si="30"/>
        <v/>
      </c>
      <c r="T495" s="18" t="str">
        <f t="shared" ca="1" si="31"/>
        <v/>
      </c>
    </row>
    <row r="496" spans="1:20" x14ac:dyDescent="0.35">
      <c r="A496" s="11"/>
      <c r="B496" s="11"/>
      <c r="C496" s="11"/>
      <c r="D496" s="12"/>
      <c r="E496" s="11"/>
      <c r="F496" s="13"/>
      <c r="G496" s="13"/>
      <c r="H496" s="11"/>
      <c r="I496" s="12"/>
      <c r="J496" s="12"/>
      <c r="K496" s="13"/>
      <c r="L496" s="13"/>
      <c r="M496" s="13"/>
      <c r="N496" s="13"/>
      <c r="O496" s="13"/>
      <c r="P496" s="14" t="str">
        <f t="shared" si="28"/>
        <v/>
      </c>
      <c r="Q496" s="15" t="str">
        <f>IF(OR(J496="",H496=""),"",IFERROR(IF(ISNUMBER(N496),N496,IF(K496&lt;N(INDEX(Platforms!$G$5:$G$14,MATCH(H496,Lists!$A$2:$A$11,0))),N(INDEX(Platforms!$H$5:$H$14,MATCH(H496,Lists!$A$2:$A$11,0))),MAX(N(INDEX(Platforms!$F$5:$F$14,MATCH(H496,Lists!$A$2:$A$11,0))),N(INDEX(Platforms!$C$5:$C$14,MATCH(H496,Lists!$A$2:$A$11,0)))*(K496+IF(INDEX(Platforms!$E$5:$E$14,MATCH(H496,Lists!$A$2:$A$11,0))="Yes",N(L496),0))+N(INDEX(Platforms!$D$5:$D$14,MATCH(H496,Lists!$A$2:$A$11,0)))))),""))</f>
        <v/>
      </c>
      <c r="R496" s="16" t="str">
        <f t="shared" si="29"/>
        <v/>
      </c>
      <c r="S496" s="17" t="str">
        <f t="shared" si="30"/>
        <v/>
      </c>
      <c r="T496" s="18" t="str">
        <f t="shared" ca="1" si="31"/>
        <v/>
      </c>
    </row>
    <row r="497" spans="1:20" x14ac:dyDescent="0.35">
      <c r="A497" s="11"/>
      <c r="B497" s="11"/>
      <c r="C497" s="11"/>
      <c r="D497" s="12"/>
      <c r="E497" s="11"/>
      <c r="F497" s="13"/>
      <c r="G497" s="13"/>
      <c r="H497" s="11"/>
      <c r="I497" s="12"/>
      <c r="J497" s="12"/>
      <c r="K497" s="13"/>
      <c r="L497" s="13"/>
      <c r="M497" s="13"/>
      <c r="N497" s="13"/>
      <c r="O497" s="13"/>
      <c r="P497" s="14" t="str">
        <f t="shared" si="28"/>
        <v/>
      </c>
      <c r="Q497" s="15" t="str">
        <f>IF(OR(J497="",H497=""),"",IFERROR(IF(ISNUMBER(N497),N497,IF(K497&lt;N(INDEX(Platforms!$G$5:$G$14,MATCH(H497,Lists!$A$2:$A$11,0))),N(INDEX(Platforms!$H$5:$H$14,MATCH(H497,Lists!$A$2:$A$11,0))),MAX(N(INDEX(Platforms!$F$5:$F$14,MATCH(H497,Lists!$A$2:$A$11,0))),N(INDEX(Platforms!$C$5:$C$14,MATCH(H497,Lists!$A$2:$A$11,0)))*(K497+IF(INDEX(Platforms!$E$5:$E$14,MATCH(H497,Lists!$A$2:$A$11,0))="Yes",N(L497),0))+N(INDEX(Platforms!$D$5:$D$14,MATCH(H497,Lists!$A$2:$A$11,0)))))),""))</f>
        <v/>
      </c>
      <c r="R497" s="16" t="str">
        <f t="shared" si="29"/>
        <v/>
      </c>
      <c r="S497" s="17" t="str">
        <f t="shared" si="30"/>
        <v/>
      </c>
      <c r="T497" s="18" t="str">
        <f t="shared" ca="1" si="31"/>
        <v/>
      </c>
    </row>
    <row r="498" spans="1:20" x14ac:dyDescent="0.35">
      <c r="A498" s="11"/>
      <c r="B498" s="11"/>
      <c r="C498" s="11"/>
      <c r="D498" s="12"/>
      <c r="E498" s="11"/>
      <c r="F498" s="13"/>
      <c r="G498" s="13"/>
      <c r="H498" s="11"/>
      <c r="I498" s="12"/>
      <c r="J498" s="12"/>
      <c r="K498" s="13"/>
      <c r="L498" s="13"/>
      <c r="M498" s="13"/>
      <c r="N498" s="13"/>
      <c r="O498" s="13"/>
      <c r="P498" s="14" t="str">
        <f t="shared" si="28"/>
        <v/>
      </c>
      <c r="Q498" s="15" t="str">
        <f>IF(OR(J498="",H498=""),"",IFERROR(IF(ISNUMBER(N498),N498,IF(K498&lt;N(INDEX(Platforms!$G$5:$G$14,MATCH(H498,Lists!$A$2:$A$11,0))),N(INDEX(Platforms!$H$5:$H$14,MATCH(H498,Lists!$A$2:$A$11,0))),MAX(N(INDEX(Platforms!$F$5:$F$14,MATCH(H498,Lists!$A$2:$A$11,0))),N(INDEX(Platforms!$C$5:$C$14,MATCH(H498,Lists!$A$2:$A$11,0)))*(K498+IF(INDEX(Platforms!$E$5:$E$14,MATCH(H498,Lists!$A$2:$A$11,0))="Yes",N(L498),0))+N(INDEX(Platforms!$D$5:$D$14,MATCH(H498,Lists!$A$2:$A$11,0)))))),""))</f>
        <v/>
      </c>
      <c r="R498" s="16" t="str">
        <f t="shared" si="29"/>
        <v/>
      </c>
      <c r="S498" s="17" t="str">
        <f t="shared" si="30"/>
        <v/>
      </c>
      <c r="T498" s="18" t="str">
        <f t="shared" ca="1" si="31"/>
        <v/>
      </c>
    </row>
    <row r="499" spans="1:20" x14ac:dyDescent="0.35">
      <c r="A499" s="11"/>
      <c r="B499" s="11"/>
      <c r="C499" s="11"/>
      <c r="D499" s="12"/>
      <c r="E499" s="11"/>
      <c r="F499" s="13"/>
      <c r="G499" s="13"/>
      <c r="H499" s="11"/>
      <c r="I499" s="12"/>
      <c r="J499" s="12"/>
      <c r="K499" s="13"/>
      <c r="L499" s="13"/>
      <c r="M499" s="13"/>
      <c r="N499" s="13"/>
      <c r="O499" s="13"/>
      <c r="P499" s="14" t="str">
        <f t="shared" si="28"/>
        <v/>
      </c>
      <c r="Q499" s="15" t="str">
        <f>IF(OR(J499="",H499=""),"",IFERROR(IF(ISNUMBER(N499),N499,IF(K499&lt;N(INDEX(Platforms!$G$5:$G$14,MATCH(H499,Lists!$A$2:$A$11,0))),N(INDEX(Platforms!$H$5:$H$14,MATCH(H499,Lists!$A$2:$A$11,0))),MAX(N(INDEX(Platforms!$F$5:$F$14,MATCH(H499,Lists!$A$2:$A$11,0))),N(INDEX(Platforms!$C$5:$C$14,MATCH(H499,Lists!$A$2:$A$11,0)))*(K499+IF(INDEX(Platforms!$E$5:$E$14,MATCH(H499,Lists!$A$2:$A$11,0))="Yes",N(L499),0))+N(INDEX(Platforms!$D$5:$D$14,MATCH(H499,Lists!$A$2:$A$11,0)))))),""))</f>
        <v/>
      </c>
      <c r="R499" s="16" t="str">
        <f t="shared" si="29"/>
        <v/>
      </c>
      <c r="S499" s="17" t="str">
        <f t="shared" si="30"/>
        <v/>
      </c>
      <c r="T499" s="18" t="str">
        <f t="shared" ca="1" si="31"/>
        <v/>
      </c>
    </row>
    <row r="500" spans="1:20" x14ac:dyDescent="0.35">
      <c r="A500" s="11"/>
      <c r="B500" s="11"/>
      <c r="C500" s="11"/>
      <c r="D500" s="12"/>
      <c r="E500" s="11"/>
      <c r="F500" s="13"/>
      <c r="G500" s="13"/>
      <c r="H500" s="11"/>
      <c r="I500" s="12"/>
      <c r="J500" s="12"/>
      <c r="K500" s="13"/>
      <c r="L500" s="13"/>
      <c r="M500" s="13"/>
      <c r="N500" s="13"/>
      <c r="O500" s="13"/>
      <c r="P500" s="14" t="str">
        <f t="shared" si="28"/>
        <v/>
      </c>
      <c r="Q500" s="15" t="str">
        <f>IF(OR(J500="",H500=""),"",IFERROR(IF(ISNUMBER(N500),N500,IF(K500&lt;N(INDEX(Platforms!$G$5:$G$14,MATCH(H500,Lists!$A$2:$A$11,0))),N(INDEX(Platforms!$H$5:$H$14,MATCH(H500,Lists!$A$2:$A$11,0))),MAX(N(INDEX(Platforms!$F$5:$F$14,MATCH(H500,Lists!$A$2:$A$11,0))),N(INDEX(Platforms!$C$5:$C$14,MATCH(H500,Lists!$A$2:$A$11,0)))*(K500+IF(INDEX(Platforms!$E$5:$E$14,MATCH(H500,Lists!$A$2:$A$11,0))="Yes",N(L500),0))+N(INDEX(Platforms!$D$5:$D$14,MATCH(H500,Lists!$A$2:$A$11,0)))))),""))</f>
        <v/>
      </c>
      <c r="R500" s="16" t="str">
        <f t="shared" si="29"/>
        <v/>
      </c>
      <c r="S500" s="17" t="str">
        <f t="shared" si="30"/>
        <v/>
      </c>
      <c r="T500" s="18" t="str">
        <f t="shared" ca="1" si="31"/>
        <v/>
      </c>
    </row>
    <row r="501" spans="1:20" x14ac:dyDescent="0.35">
      <c r="A501" s="11"/>
      <c r="B501" s="11"/>
      <c r="C501" s="11"/>
      <c r="D501" s="12"/>
      <c r="E501" s="11"/>
      <c r="F501" s="13"/>
      <c r="G501" s="13"/>
      <c r="H501" s="11"/>
      <c r="I501" s="12"/>
      <c r="J501" s="12"/>
      <c r="K501" s="13"/>
      <c r="L501" s="13"/>
      <c r="M501" s="13"/>
      <c r="N501" s="13"/>
      <c r="O501" s="13"/>
      <c r="P501" s="14" t="str">
        <f t="shared" si="28"/>
        <v/>
      </c>
      <c r="Q501" s="15" t="str">
        <f>IF(OR(J501="",H501=""),"",IFERROR(IF(ISNUMBER(N501),N501,IF(K501&lt;N(INDEX(Platforms!$G$5:$G$14,MATCH(H501,Lists!$A$2:$A$11,0))),N(INDEX(Platforms!$H$5:$H$14,MATCH(H501,Lists!$A$2:$A$11,0))),MAX(N(INDEX(Platforms!$F$5:$F$14,MATCH(H501,Lists!$A$2:$A$11,0))),N(INDEX(Platforms!$C$5:$C$14,MATCH(H501,Lists!$A$2:$A$11,0)))*(K501+IF(INDEX(Platforms!$E$5:$E$14,MATCH(H501,Lists!$A$2:$A$11,0))="Yes",N(L501),0))+N(INDEX(Platforms!$D$5:$D$14,MATCH(H501,Lists!$A$2:$A$11,0)))))),""))</f>
        <v/>
      </c>
      <c r="R501" s="16" t="str">
        <f t="shared" si="29"/>
        <v/>
      </c>
      <c r="S501" s="17" t="str">
        <f t="shared" si="30"/>
        <v/>
      </c>
      <c r="T501" s="18" t="str">
        <f t="shared" ca="1" si="31"/>
        <v/>
      </c>
    </row>
    <row r="502" spans="1:20" x14ac:dyDescent="0.35">
      <c r="A502" s="11"/>
      <c r="B502" s="11"/>
      <c r="C502" s="11"/>
      <c r="D502" s="12"/>
      <c r="E502" s="11"/>
      <c r="F502" s="13"/>
      <c r="G502" s="13"/>
      <c r="H502" s="11"/>
      <c r="I502" s="12"/>
      <c r="J502" s="12"/>
      <c r="K502" s="13"/>
      <c r="L502" s="13"/>
      <c r="M502" s="13"/>
      <c r="N502" s="13"/>
      <c r="O502" s="13"/>
      <c r="P502" s="14" t="str">
        <f t="shared" si="28"/>
        <v/>
      </c>
      <c r="Q502" s="15" t="str">
        <f>IF(OR(J502="",H502=""),"",IFERROR(IF(ISNUMBER(N502),N502,IF(K502&lt;N(INDEX(Platforms!$G$5:$G$14,MATCH(H502,Lists!$A$2:$A$11,0))),N(INDEX(Platforms!$H$5:$H$14,MATCH(H502,Lists!$A$2:$A$11,0))),MAX(N(INDEX(Platforms!$F$5:$F$14,MATCH(H502,Lists!$A$2:$A$11,0))),N(INDEX(Platforms!$C$5:$C$14,MATCH(H502,Lists!$A$2:$A$11,0)))*(K502+IF(INDEX(Platforms!$E$5:$E$14,MATCH(H502,Lists!$A$2:$A$11,0))="Yes",N(L502),0))+N(INDEX(Platforms!$D$5:$D$14,MATCH(H502,Lists!$A$2:$A$11,0)))))),""))</f>
        <v/>
      </c>
      <c r="R502" s="16" t="str">
        <f t="shared" si="29"/>
        <v/>
      </c>
      <c r="S502" s="17" t="str">
        <f t="shared" si="30"/>
        <v/>
      </c>
      <c r="T502" s="18" t="str">
        <f t="shared" ca="1" si="31"/>
        <v/>
      </c>
    </row>
    <row r="503" spans="1:20" x14ac:dyDescent="0.35">
      <c r="A503" s="11"/>
      <c r="B503" s="11"/>
      <c r="C503" s="11"/>
      <c r="D503" s="12"/>
      <c r="E503" s="11"/>
      <c r="F503" s="13"/>
      <c r="G503" s="13"/>
      <c r="H503" s="11"/>
      <c r="I503" s="12"/>
      <c r="J503" s="12"/>
      <c r="K503" s="13"/>
      <c r="L503" s="13"/>
      <c r="M503" s="13"/>
      <c r="N503" s="13"/>
      <c r="O503" s="13"/>
      <c r="P503" s="14" t="str">
        <f t="shared" si="28"/>
        <v/>
      </c>
      <c r="Q503" s="15" t="str">
        <f>IF(OR(J503="",H503=""),"",IFERROR(IF(ISNUMBER(N503),N503,IF(K503&lt;N(INDEX(Platforms!$G$5:$G$14,MATCH(H503,Lists!$A$2:$A$11,0))),N(INDEX(Platforms!$H$5:$H$14,MATCH(H503,Lists!$A$2:$A$11,0))),MAX(N(INDEX(Platforms!$F$5:$F$14,MATCH(H503,Lists!$A$2:$A$11,0))),N(INDEX(Platforms!$C$5:$C$14,MATCH(H503,Lists!$A$2:$A$11,0)))*(K503+IF(INDEX(Platforms!$E$5:$E$14,MATCH(H503,Lists!$A$2:$A$11,0))="Yes",N(L503),0))+N(INDEX(Platforms!$D$5:$D$14,MATCH(H503,Lists!$A$2:$A$11,0)))))),""))</f>
        <v/>
      </c>
      <c r="R503" s="16" t="str">
        <f t="shared" si="29"/>
        <v/>
      </c>
      <c r="S503" s="17" t="str">
        <f t="shared" si="30"/>
        <v/>
      </c>
      <c r="T503" s="18" t="str">
        <f t="shared" ca="1" si="31"/>
        <v/>
      </c>
    </row>
    <row r="504" spans="1:20" x14ac:dyDescent="0.35">
      <c r="A504" s="11"/>
      <c r="B504" s="11"/>
      <c r="C504" s="11"/>
      <c r="D504" s="12"/>
      <c r="E504" s="11"/>
      <c r="F504" s="13"/>
      <c r="G504" s="13"/>
      <c r="H504" s="11"/>
      <c r="I504" s="12"/>
      <c r="J504" s="12"/>
      <c r="K504" s="13"/>
      <c r="L504" s="13"/>
      <c r="M504" s="13"/>
      <c r="N504" s="13"/>
      <c r="O504" s="13"/>
      <c r="P504" s="14" t="str">
        <f t="shared" si="28"/>
        <v/>
      </c>
      <c r="Q504" s="15" t="str">
        <f>IF(OR(J504="",H504=""),"",IFERROR(IF(ISNUMBER(N504),N504,IF(K504&lt;N(INDEX(Platforms!$G$5:$G$14,MATCH(H504,Lists!$A$2:$A$11,0))),N(INDEX(Platforms!$H$5:$H$14,MATCH(H504,Lists!$A$2:$A$11,0))),MAX(N(INDEX(Platforms!$F$5:$F$14,MATCH(H504,Lists!$A$2:$A$11,0))),N(INDEX(Platforms!$C$5:$C$14,MATCH(H504,Lists!$A$2:$A$11,0)))*(K504+IF(INDEX(Platforms!$E$5:$E$14,MATCH(H504,Lists!$A$2:$A$11,0))="Yes",N(L504),0))+N(INDEX(Platforms!$D$5:$D$14,MATCH(H504,Lists!$A$2:$A$11,0)))))),""))</f>
        <v/>
      </c>
      <c r="R504" s="16" t="str">
        <f t="shared" si="29"/>
        <v/>
      </c>
      <c r="S504" s="17" t="str">
        <f t="shared" si="30"/>
        <v/>
      </c>
      <c r="T504" s="18" t="str">
        <f t="shared" ca="1" si="31"/>
        <v/>
      </c>
    </row>
    <row r="505" spans="1:20" x14ac:dyDescent="0.35">
      <c r="A505" s="11"/>
      <c r="B505" s="11"/>
      <c r="C505" s="11"/>
      <c r="D505" s="12"/>
      <c r="E505" s="11"/>
      <c r="F505" s="13"/>
      <c r="G505" s="13"/>
      <c r="H505" s="11"/>
      <c r="I505" s="12"/>
      <c r="J505" s="12"/>
      <c r="K505" s="13"/>
      <c r="L505" s="13"/>
      <c r="M505" s="13"/>
      <c r="N505" s="13"/>
      <c r="O505" s="13"/>
      <c r="P505" s="14" t="str">
        <f t="shared" si="28"/>
        <v/>
      </c>
      <c r="Q505" s="15" t="str">
        <f>IF(OR(J505="",H505=""),"",IFERROR(IF(ISNUMBER(N505),N505,IF(K505&lt;N(INDEX(Platforms!$G$5:$G$14,MATCH(H505,Lists!$A$2:$A$11,0))),N(INDEX(Platforms!$H$5:$H$14,MATCH(H505,Lists!$A$2:$A$11,0))),MAX(N(INDEX(Platforms!$F$5:$F$14,MATCH(H505,Lists!$A$2:$A$11,0))),N(INDEX(Platforms!$C$5:$C$14,MATCH(H505,Lists!$A$2:$A$11,0)))*(K505+IF(INDEX(Platforms!$E$5:$E$14,MATCH(H505,Lists!$A$2:$A$11,0))="Yes",N(L505),0))+N(INDEX(Platforms!$D$5:$D$14,MATCH(H505,Lists!$A$2:$A$11,0)))))),""))</f>
        <v/>
      </c>
      <c r="R505" s="16" t="str">
        <f t="shared" si="29"/>
        <v/>
      </c>
      <c r="S505" s="17" t="str">
        <f t="shared" si="30"/>
        <v/>
      </c>
      <c r="T505" s="18" t="str">
        <f t="shared" ca="1" si="31"/>
        <v/>
      </c>
    </row>
    <row r="506" spans="1:20" x14ac:dyDescent="0.35">
      <c r="A506" s="11"/>
      <c r="B506" s="11"/>
      <c r="C506" s="11"/>
      <c r="D506" s="12"/>
      <c r="E506" s="11"/>
      <c r="F506" s="13"/>
      <c r="G506" s="13"/>
      <c r="H506" s="11"/>
      <c r="I506" s="12"/>
      <c r="J506" s="12"/>
      <c r="K506" s="13"/>
      <c r="L506" s="13"/>
      <c r="M506" s="13"/>
      <c r="N506" s="13"/>
      <c r="O506" s="13"/>
      <c r="P506" s="14" t="str">
        <f t="shared" si="28"/>
        <v/>
      </c>
      <c r="Q506" s="15" t="str">
        <f>IF(OR(J506="",H506=""),"",IFERROR(IF(ISNUMBER(N506),N506,IF(K506&lt;N(INDEX(Platforms!$G$5:$G$14,MATCH(H506,Lists!$A$2:$A$11,0))),N(INDEX(Platforms!$H$5:$H$14,MATCH(H506,Lists!$A$2:$A$11,0))),MAX(N(INDEX(Platforms!$F$5:$F$14,MATCH(H506,Lists!$A$2:$A$11,0))),N(INDEX(Platforms!$C$5:$C$14,MATCH(H506,Lists!$A$2:$A$11,0)))*(K506+IF(INDEX(Platforms!$E$5:$E$14,MATCH(H506,Lists!$A$2:$A$11,0))="Yes",N(L506),0))+N(INDEX(Platforms!$D$5:$D$14,MATCH(H506,Lists!$A$2:$A$11,0)))))),""))</f>
        <v/>
      </c>
      <c r="R506" s="16" t="str">
        <f t="shared" si="29"/>
        <v/>
      </c>
      <c r="S506" s="17" t="str">
        <f t="shared" si="30"/>
        <v/>
      </c>
      <c r="T506" s="18" t="str">
        <f t="shared" ca="1" si="31"/>
        <v/>
      </c>
    </row>
    <row r="507" spans="1:20" x14ac:dyDescent="0.35">
      <c r="A507" s="11"/>
      <c r="B507" s="11"/>
      <c r="C507" s="11"/>
      <c r="D507" s="12"/>
      <c r="E507" s="11"/>
      <c r="F507" s="13"/>
      <c r="G507" s="13"/>
      <c r="H507" s="11"/>
      <c r="I507" s="12"/>
      <c r="J507" s="12"/>
      <c r="K507" s="13"/>
      <c r="L507" s="13"/>
      <c r="M507" s="13"/>
      <c r="N507" s="13"/>
      <c r="O507" s="13"/>
      <c r="P507" s="14" t="str">
        <f t="shared" si="28"/>
        <v/>
      </c>
      <c r="Q507" s="15" t="str">
        <f>IF(OR(J507="",H507=""),"",IFERROR(IF(ISNUMBER(N507),N507,IF(K507&lt;N(INDEX(Platforms!$G$5:$G$14,MATCH(H507,Lists!$A$2:$A$11,0))),N(INDEX(Platforms!$H$5:$H$14,MATCH(H507,Lists!$A$2:$A$11,0))),MAX(N(INDEX(Platforms!$F$5:$F$14,MATCH(H507,Lists!$A$2:$A$11,0))),N(INDEX(Platforms!$C$5:$C$14,MATCH(H507,Lists!$A$2:$A$11,0)))*(K507+IF(INDEX(Platforms!$E$5:$E$14,MATCH(H507,Lists!$A$2:$A$11,0))="Yes",N(L507),0))+N(INDEX(Platforms!$D$5:$D$14,MATCH(H507,Lists!$A$2:$A$11,0)))))),""))</f>
        <v/>
      </c>
      <c r="R507" s="16" t="str">
        <f t="shared" si="29"/>
        <v/>
      </c>
      <c r="S507" s="17" t="str">
        <f t="shared" si="30"/>
        <v/>
      </c>
      <c r="T507" s="18" t="str">
        <f t="shared" ca="1" si="31"/>
        <v/>
      </c>
    </row>
    <row r="508" spans="1:20" x14ac:dyDescent="0.35">
      <c r="A508" s="11"/>
      <c r="B508" s="11"/>
      <c r="C508" s="11"/>
      <c r="D508" s="12"/>
      <c r="E508" s="11"/>
      <c r="F508" s="13"/>
      <c r="G508" s="13"/>
      <c r="H508" s="11"/>
      <c r="I508" s="12"/>
      <c r="J508" s="12"/>
      <c r="K508" s="13"/>
      <c r="L508" s="13"/>
      <c r="M508" s="13"/>
      <c r="N508" s="13"/>
      <c r="O508" s="13"/>
      <c r="P508" s="14" t="str">
        <f t="shared" si="28"/>
        <v/>
      </c>
      <c r="Q508" s="15" t="str">
        <f>IF(OR(J508="",H508=""),"",IFERROR(IF(ISNUMBER(N508),N508,IF(K508&lt;N(INDEX(Platforms!$G$5:$G$14,MATCH(H508,Lists!$A$2:$A$11,0))),N(INDEX(Platforms!$H$5:$H$14,MATCH(H508,Lists!$A$2:$A$11,0))),MAX(N(INDEX(Platforms!$F$5:$F$14,MATCH(H508,Lists!$A$2:$A$11,0))),N(INDEX(Platforms!$C$5:$C$14,MATCH(H508,Lists!$A$2:$A$11,0)))*(K508+IF(INDEX(Platforms!$E$5:$E$14,MATCH(H508,Lists!$A$2:$A$11,0))="Yes",N(L508),0))+N(INDEX(Platforms!$D$5:$D$14,MATCH(H508,Lists!$A$2:$A$11,0)))))),""))</f>
        <v/>
      </c>
      <c r="R508" s="16" t="str">
        <f t="shared" si="29"/>
        <v/>
      </c>
      <c r="S508" s="17" t="str">
        <f t="shared" si="30"/>
        <v/>
      </c>
      <c r="T508" s="18" t="str">
        <f t="shared" ca="1" si="31"/>
        <v/>
      </c>
    </row>
    <row r="509" spans="1:20" x14ac:dyDescent="0.35">
      <c r="A509" s="11"/>
      <c r="B509" s="11"/>
      <c r="C509" s="11"/>
      <c r="D509" s="12"/>
      <c r="E509" s="11"/>
      <c r="F509" s="13"/>
      <c r="G509" s="13"/>
      <c r="H509" s="11"/>
      <c r="I509" s="12"/>
      <c r="J509" s="12"/>
      <c r="K509" s="13"/>
      <c r="L509" s="13"/>
      <c r="M509" s="13"/>
      <c r="N509" s="13"/>
      <c r="O509" s="13"/>
      <c r="P509" s="14" t="str">
        <f t="shared" si="28"/>
        <v/>
      </c>
      <c r="Q509" s="15" t="str">
        <f>IF(OR(J509="",H509=""),"",IFERROR(IF(ISNUMBER(N509),N509,IF(K509&lt;N(INDEX(Platforms!$G$5:$G$14,MATCH(H509,Lists!$A$2:$A$11,0))),N(INDEX(Platforms!$H$5:$H$14,MATCH(H509,Lists!$A$2:$A$11,0))),MAX(N(INDEX(Platforms!$F$5:$F$14,MATCH(H509,Lists!$A$2:$A$11,0))),N(INDEX(Platforms!$C$5:$C$14,MATCH(H509,Lists!$A$2:$A$11,0)))*(K509+IF(INDEX(Platforms!$E$5:$E$14,MATCH(H509,Lists!$A$2:$A$11,0))="Yes",N(L509),0))+N(INDEX(Platforms!$D$5:$D$14,MATCH(H509,Lists!$A$2:$A$11,0)))))),""))</f>
        <v/>
      </c>
      <c r="R509" s="16" t="str">
        <f t="shared" si="29"/>
        <v/>
      </c>
      <c r="S509" s="17" t="str">
        <f t="shared" si="30"/>
        <v/>
      </c>
      <c r="T509" s="18" t="str">
        <f t="shared" ca="1" si="31"/>
        <v/>
      </c>
    </row>
    <row r="510" spans="1:20" x14ac:dyDescent="0.35">
      <c r="A510" s="11"/>
      <c r="B510" s="11"/>
      <c r="C510" s="11"/>
      <c r="D510" s="12"/>
      <c r="E510" s="11"/>
      <c r="F510" s="13"/>
      <c r="G510" s="13"/>
      <c r="H510" s="11"/>
      <c r="I510" s="12"/>
      <c r="J510" s="12"/>
      <c r="K510" s="13"/>
      <c r="L510" s="13"/>
      <c r="M510" s="13"/>
      <c r="N510" s="13"/>
      <c r="O510" s="13"/>
      <c r="P510" s="14" t="str">
        <f t="shared" si="28"/>
        <v/>
      </c>
      <c r="Q510" s="15" t="str">
        <f>IF(OR(J510="",H510=""),"",IFERROR(IF(ISNUMBER(N510),N510,IF(K510&lt;N(INDEX(Platforms!$G$5:$G$14,MATCH(H510,Lists!$A$2:$A$11,0))),N(INDEX(Platforms!$H$5:$H$14,MATCH(H510,Lists!$A$2:$A$11,0))),MAX(N(INDEX(Platforms!$F$5:$F$14,MATCH(H510,Lists!$A$2:$A$11,0))),N(INDEX(Platforms!$C$5:$C$14,MATCH(H510,Lists!$A$2:$A$11,0)))*(K510+IF(INDEX(Platforms!$E$5:$E$14,MATCH(H510,Lists!$A$2:$A$11,0))="Yes",N(L510),0))+N(INDEX(Platforms!$D$5:$D$14,MATCH(H510,Lists!$A$2:$A$11,0)))))),""))</f>
        <v/>
      </c>
      <c r="R510" s="16" t="str">
        <f t="shared" si="29"/>
        <v/>
      </c>
      <c r="S510" s="17" t="str">
        <f t="shared" si="30"/>
        <v/>
      </c>
      <c r="T510" s="18" t="str">
        <f t="shared" ca="1" si="31"/>
        <v/>
      </c>
    </row>
    <row r="511" spans="1:20" x14ac:dyDescent="0.35">
      <c r="A511" s="11"/>
      <c r="B511" s="11"/>
      <c r="C511" s="11"/>
      <c r="D511" s="12"/>
      <c r="E511" s="11"/>
      <c r="F511" s="13"/>
      <c r="G511" s="13"/>
      <c r="H511" s="11"/>
      <c r="I511" s="12"/>
      <c r="J511" s="12"/>
      <c r="K511" s="13"/>
      <c r="L511" s="13"/>
      <c r="M511" s="13"/>
      <c r="N511" s="13"/>
      <c r="O511" s="13"/>
      <c r="P511" s="14" t="str">
        <f t="shared" si="28"/>
        <v/>
      </c>
      <c r="Q511" s="15" t="str">
        <f>IF(OR(J511="",H511=""),"",IFERROR(IF(ISNUMBER(N511),N511,IF(K511&lt;N(INDEX(Platforms!$G$5:$G$14,MATCH(H511,Lists!$A$2:$A$11,0))),N(INDEX(Platforms!$H$5:$H$14,MATCH(H511,Lists!$A$2:$A$11,0))),MAX(N(INDEX(Platforms!$F$5:$F$14,MATCH(H511,Lists!$A$2:$A$11,0))),N(INDEX(Platforms!$C$5:$C$14,MATCH(H511,Lists!$A$2:$A$11,0)))*(K511+IF(INDEX(Platforms!$E$5:$E$14,MATCH(H511,Lists!$A$2:$A$11,0))="Yes",N(L511),0))+N(INDEX(Platforms!$D$5:$D$14,MATCH(H511,Lists!$A$2:$A$11,0)))))),""))</f>
        <v/>
      </c>
      <c r="R511" s="16" t="str">
        <f t="shared" si="29"/>
        <v/>
      </c>
      <c r="S511" s="17" t="str">
        <f t="shared" si="30"/>
        <v/>
      </c>
      <c r="T511" s="18" t="str">
        <f t="shared" ca="1" si="31"/>
        <v/>
      </c>
    </row>
    <row r="512" spans="1:20" x14ac:dyDescent="0.35">
      <c r="A512" s="11"/>
      <c r="B512" s="11"/>
      <c r="C512" s="11"/>
      <c r="D512" s="12"/>
      <c r="E512" s="11"/>
      <c r="F512" s="13"/>
      <c r="G512" s="13"/>
      <c r="H512" s="11"/>
      <c r="I512" s="12"/>
      <c r="J512" s="12"/>
      <c r="K512" s="13"/>
      <c r="L512" s="13"/>
      <c r="M512" s="13"/>
      <c r="N512" s="13"/>
      <c r="O512" s="13"/>
      <c r="P512" s="14" t="str">
        <f t="shared" si="28"/>
        <v/>
      </c>
      <c r="Q512" s="15" t="str">
        <f>IF(OR(J512="",H512=""),"",IFERROR(IF(ISNUMBER(N512),N512,IF(K512&lt;N(INDEX(Platforms!$G$5:$G$14,MATCH(H512,Lists!$A$2:$A$11,0))),N(INDEX(Platforms!$H$5:$H$14,MATCH(H512,Lists!$A$2:$A$11,0))),MAX(N(INDEX(Platforms!$F$5:$F$14,MATCH(H512,Lists!$A$2:$A$11,0))),N(INDEX(Platforms!$C$5:$C$14,MATCH(H512,Lists!$A$2:$A$11,0)))*(K512+IF(INDEX(Platforms!$E$5:$E$14,MATCH(H512,Lists!$A$2:$A$11,0))="Yes",N(L512),0))+N(INDEX(Platforms!$D$5:$D$14,MATCH(H512,Lists!$A$2:$A$11,0)))))),""))</f>
        <v/>
      </c>
      <c r="R512" s="16" t="str">
        <f t="shared" si="29"/>
        <v/>
      </c>
      <c r="S512" s="17" t="str">
        <f t="shared" si="30"/>
        <v/>
      </c>
      <c r="T512" s="18" t="str">
        <f t="shared" ca="1" si="31"/>
        <v/>
      </c>
    </row>
    <row r="513" spans="1:20" x14ac:dyDescent="0.35">
      <c r="A513" s="11"/>
      <c r="B513" s="11"/>
      <c r="C513" s="11"/>
      <c r="D513" s="12"/>
      <c r="E513" s="11"/>
      <c r="F513" s="13"/>
      <c r="G513" s="13"/>
      <c r="H513" s="11"/>
      <c r="I513" s="12"/>
      <c r="J513" s="12"/>
      <c r="K513" s="13"/>
      <c r="L513" s="13"/>
      <c r="M513" s="13"/>
      <c r="N513" s="13"/>
      <c r="O513" s="13"/>
      <c r="P513" s="14" t="str">
        <f t="shared" si="28"/>
        <v/>
      </c>
      <c r="Q513" s="15" t="str">
        <f>IF(OR(J513="",H513=""),"",IFERROR(IF(ISNUMBER(N513),N513,IF(K513&lt;N(INDEX(Platforms!$G$5:$G$14,MATCH(H513,Lists!$A$2:$A$11,0))),N(INDEX(Platforms!$H$5:$H$14,MATCH(H513,Lists!$A$2:$A$11,0))),MAX(N(INDEX(Platforms!$F$5:$F$14,MATCH(H513,Lists!$A$2:$A$11,0))),N(INDEX(Platforms!$C$5:$C$14,MATCH(H513,Lists!$A$2:$A$11,0)))*(K513+IF(INDEX(Platforms!$E$5:$E$14,MATCH(H513,Lists!$A$2:$A$11,0))="Yes",N(L513),0))+N(INDEX(Platforms!$D$5:$D$14,MATCH(H513,Lists!$A$2:$A$11,0)))))),""))</f>
        <v/>
      </c>
      <c r="R513" s="16" t="str">
        <f t="shared" si="29"/>
        <v/>
      </c>
      <c r="S513" s="17" t="str">
        <f t="shared" si="30"/>
        <v/>
      </c>
      <c r="T513" s="18" t="str">
        <f t="shared" ca="1" si="31"/>
        <v/>
      </c>
    </row>
    <row r="514" spans="1:20" x14ac:dyDescent="0.35">
      <c r="A514" s="11"/>
      <c r="B514" s="11"/>
      <c r="C514" s="11"/>
      <c r="D514" s="12"/>
      <c r="E514" s="11"/>
      <c r="F514" s="13"/>
      <c r="G514" s="13"/>
      <c r="H514" s="11"/>
      <c r="I514" s="12"/>
      <c r="J514" s="12"/>
      <c r="K514" s="13"/>
      <c r="L514" s="13"/>
      <c r="M514" s="13"/>
      <c r="N514" s="13"/>
      <c r="O514" s="13"/>
      <c r="P514" s="14" t="str">
        <f t="shared" si="28"/>
        <v/>
      </c>
      <c r="Q514" s="15" t="str">
        <f>IF(OR(J514="",H514=""),"",IFERROR(IF(ISNUMBER(N514),N514,IF(K514&lt;N(INDEX(Platforms!$G$5:$G$14,MATCH(H514,Lists!$A$2:$A$11,0))),N(INDEX(Platforms!$H$5:$H$14,MATCH(H514,Lists!$A$2:$A$11,0))),MAX(N(INDEX(Platforms!$F$5:$F$14,MATCH(H514,Lists!$A$2:$A$11,0))),N(INDEX(Platforms!$C$5:$C$14,MATCH(H514,Lists!$A$2:$A$11,0)))*(K514+IF(INDEX(Platforms!$E$5:$E$14,MATCH(H514,Lists!$A$2:$A$11,0))="Yes",N(L514),0))+N(INDEX(Platforms!$D$5:$D$14,MATCH(H514,Lists!$A$2:$A$11,0)))))),""))</f>
        <v/>
      </c>
      <c r="R514" s="16" t="str">
        <f t="shared" si="29"/>
        <v/>
      </c>
      <c r="S514" s="17" t="str">
        <f t="shared" si="30"/>
        <v/>
      </c>
      <c r="T514" s="18" t="str">
        <f t="shared" ca="1" si="31"/>
        <v/>
      </c>
    </row>
    <row r="515" spans="1:20" x14ac:dyDescent="0.35">
      <c r="A515" s="11"/>
      <c r="B515" s="11"/>
      <c r="C515" s="11"/>
      <c r="D515" s="12"/>
      <c r="E515" s="11"/>
      <c r="F515" s="13"/>
      <c r="G515" s="13"/>
      <c r="H515" s="11"/>
      <c r="I515" s="12"/>
      <c r="J515" s="12"/>
      <c r="K515" s="13"/>
      <c r="L515" s="13"/>
      <c r="M515" s="13"/>
      <c r="N515" s="13"/>
      <c r="O515" s="13"/>
      <c r="P515" s="14" t="str">
        <f t="shared" si="28"/>
        <v/>
      </c>
      <c r="Q515" s="15" t="str">
        <f>IF(OR(J515="",H515=""),"",IFERROR(IF(ISNUMBER(N515),N515,IF(K515&lt;N(INDEX(Platforms!$G$5:$G$14,MATCH(H515,Lists!$A$2:$A$11,0))),N(INDEX(Platforms!$H$5:$H$14,MATCH(H515,Lists!$A$2:$A$11,0))),MAX(N(INDEX(Platforms!$F$5:$F$14,MATCH(H515,Lists!$A$2:$A$11,0))),N(INDEX(Platforms!$C$5:$C$14,MATCH(H515,Lists!$A$2:$A$11,0)))*(K515+IF(INDEX(Platforms!$E$5:$E$14,MATCH(H515,Lists!$A$2:$A$11,0))="Yes",N(L515),0))+N(INDEX(Platforms!$D$5:$D$14,MATCH(H515,Lists!$A$2:$A$11,0)))))),""))</f>
        <v/>
      </c>
      <c r="R515" s="16" t="str">
        <f t="shared" si="29"/>
        <v/>
      </c>
      <c r="S515" s="17" t="str">
        <f t="shared" si="30"/>
        <v/>
      </c>
      <c r="T515" s="18" t="str">
        <f t="shared" ca="1" si="31"/>
        <v/>
      </c>
    </row>
    <row r="516" spans="1:20" x14ac:dyDescent="0.35">
      <c r="A516" s="11"/>
      <c r="B516" s="11"/>
      <c r="C516" s="11"/>
      <c r="D516" s="12"/>
      <c r="E516" s="11"/>
      <c r="F516" s="13"/>
      <c r="G516" s="13"/>
      <c r="H516" s="11"/>
      <c r="I516" s="12"/>
      <c r="J516" s="12"/>
      <c r="K516" s="13"/>
      <c r="L516" s="13"/>
      <c r="M516" s="13"/>
      <c r="N516" s="13"/>
      <c r="O516" s="13"/>
      <c r="P516" s="14" t="str">
        <f t="shared" si="28"/>
        <v/>
      </c>
      <c r="Q516" s="15" t="str">
        <f>IF(OR(J516="",H516=""),"",IFERROR(IF(ISNUMBER(N516),N516,IF(K516&lt;N(INDEX(Platforms!$G$5:$G$14,MATCH(H516,Lists!$A$2:$A$11,0))),N(INDEX(Platforms!$H$5:$H$14,MATCH(H516,Lists!$A$2:$A$11,0))),MAX(N(INDEX(Platforms!$F$5:$F$14,MATCH(H516,Lists!$A$2:$A$11,0))),N(INDEX(Platforms!$C$5:$C$14,MATCH(H516,Lists!$A$2:$A$11,0)))*(K516+IF(INDEX(Platforms!$E$5:$E$14,MATCH(H516,Lists!$A$2:$A$11,0))="Yes",N(L516),0))+N(INDEX(Platforms!$D$5:$D$14,MATCH(H516,Lists!$A$2:$A$11,0)))))),""))</f>
        <v/>
      </c>
      <c r="R516" s="16" t="str">
        <f t="shared" si="29"/>
        <v/>
      </c>
      <c r="S516" s="17" t="str">
        <f t="shared" si="30"/>
        <v/>
      </c>
      <c r="T516" s="18" t="str">
        <f t="shared" ca="1" si="31"/>
        <v/>
      </c>
    </row>
    <row r="517" spans="1:20" x14ac:dyDescent="0.35">
      <c r="A517" s="11"/>
      <c r="B517" s="11"/>
      <c r="C517" s="11"/>
      <c r="D517" s="12"/>
      <c r="E517" s="11"/>
      <c r="F517" s="13"/>
      <c r="G517" s="13"/>
      <c r="H517" s="11"/>
      <c r="I517" s="12"/>
      <c r="J517" s="12"/>
      <c r="K517" s="13"/>
      <c r="L517" s="13"/>
      <c r="M517" s="13"/>
      <c r="N517" s="13"/>
      <c r="O517" s="13"/>
      <c r="P517" s="14" t="str">
        <f t="shared" ref="P517:P580" si="32">IF(OR(B517&lt;&gt;"",F517&lt;&gt;"",H517&lt;&gt;"",J517&lt;&gt;"",K517&lt;&gt;""),IF(J517&lt;&gt;"","Sold",IF(I517&lt;&gt;"","Listed","In stock")),"")</f>
        <v/>
      </c>
      <c r="Q517" s="15" t="str">
        <f>IF(OR(J517="",H517=""),"",IFERROR(IF(ISNUMBER(N517),N517,IF(K517&lt;N(INDEX(Platforms!$G$5:$G$14,MATCH(H517,Lists!$A$2:$A$11,0))),N(INDEX(Platforms!$H$5:$H$14,MATCH(H517,Lists!$A$2:$A$11,0))),MAX(N(INDEX(Platforms!$F$5:$F$14,MATCH(H517,Lists!$A$2:$A$11,0))),N(INDEX(Platforms!$C$5:$C$14,MATCH(H517,Lists!$A$2:$A$11,0)))*(K517+IF(INDEX(Platforms!$E$5:$E$14,MATCH(H517,Lists!$A$2:$A$11,0))="Yes",N(L517),0))+N(INDEX(Platforms!$D$5:$D$14,MATCH(H517,Lists!$A$2:$A$11,0)))))),""))</f>
        <v/>
      </c>
      <c r="R517" s="16" t="str">
        <f t="shared" ref="R517:R580" si="33">IF(J517="","",IFERROR(K517+N(L517)-N(O517)-Q517-N(M517)-N(F517)-N(G517),""))</f>
        <v/>
      </c>
      <c r="S517" s="17" t="str">
        <f t="shared" ref="S517:S580" si="34">IF(OR(R517="",N(F517)+N(G517)=0),"",R517/(N(F517)+N(G517)))</f>
        <v/>
      </c>
      <c r="T517" s="18" t="str">
        <f t="shared" ref="T517:T580" ca="1" si="35">IFERROR(IF(ISNUMBER(D517),IF(ISNUMBER(J517),J517,IF(J517="",TODAY(),""))-D517,""),"")</f>
        <v/>
      </c>
    </row>
    <row r="518" spans="1:20" x14ac:dyDescent="0.35">
      <c r="A518" s="11"/>
      <c r="B518" s="11"/>
      <c r="C518" s="11"/>
      <c r="D518" s="12"/>
      <c r="E518" s="11"/>
      <c r="F518" s="13"/>
      <c r="G518" s="13"/>
      <c r="H518" s="11"/>
      <c r="I518" s="12"/>
      <c r="J518" s="12"/>
      <c r="K518" s="13"/>
      <c r="L518" s="13"/>
      <c r="M518" s="13"/>
      <c r="N518" s="13"/>
      <c r="O518" s="13"/>
      <c r="P518" s="14" t="str">
        <f t="shared" si="32"/>
        <v/>
      </c>
      <c r="Q518" s="15" t="str">
        <f>IF(OR(J518="",H518=""),"",IFERROR(IF(ISNUMBER(N518),N518,IF(K518&lt;N(INDEX(Platforms!$G$5:$G$14,MATCH(H518,Lists!$A$2:$A$11,0))),N(INDEX(Platforms!$H$5:$H$14,MATCH(H518,Lists!$A$2:$A$11,0))),MAX(N(INDEX(Platforms!$F$5:$F$14,MATCH(H518,Lists!$A$2:$A$11,0))),N(INDEX(Platforms!$C$5:$C$14,MATCH(H518,Lists!$A$2:$A$11,0)))*(K518+IF(INDEX(Platforms!$E$5:$E$14,MATCH(H518,Lists!$A$2:$A$11,0))="Yes",N(L518),0))+N(INDEX(Platforms!$D$5:$D$14,MATCH(H518,Lists!$A$2:$A$11,0)))))),""))</f>
        <v/>
      </c>
      <c r="R518" s="16" t="str">
        <f t="shared" si="33"/>
        <v/>
      </c>
      <c r="S518" s="17" t="str">
        <f t="shared" si="34"/>
        <v/>
      </c>
      <c r="T518" s="18" t="str">
        <f t="shared" ca="1" si="35"/>
        <v/>
      </c>
    </row>
    <row r="519" spans="1:20" x14ac:dyDescent="0.35">
      <c r="A519" s="11"/>
      <c r="B519" s="11"/>
      <c r="C519" s="11"/>
      <c r="D519" s="12"/>
      <c r="E519" s="11"/>
      <c r="F519" s="13"/>
      <c r="G519" s="13"/>
      <c r="H519" s="11"/>
      <c r="I519" s="12"/>
      <c r="J519" s="12"/>
      <c r="K519" s="13"/>
      <c r="L519" s="13"/>
      <c r="M519" s="13"/>
      <c r="N519" s="13"/>
      <c r="O519" s="13"/>
      <c r="P519" s="14" t="str">
        <f t="shared" si="32"/>
        <v/>
      </c>
      <c r="Q519" s="15" t="str">
        <f>IF(OR(J519="",H519=""),"",IFERROR(IF(ISNUMBER(N519),N519,IF(K519&lt;N(INDEX(Platforms!$G$5:$G$14,MATCH(H519,Lists!$A$2:$A$11,0))),N(INDEX(Platforms!$H$5:$H$14,MATCH(H519,Lists!$A$2:$A$11,0))),MAX(N(INDEX(Platforms!$F$5:$F$14,MATCH(H519,Lists!$A$2:$A$11,0))),N(INDEX(Platforms!$C$5:$C$14,MATCH(H519,Lists!$A$2:$A$11,0)))*(K519+IF(INDEX(Platforms!$E$5:$E$14,MATCH(H519,Lists!$A$2:$A$11,0))="Yes",N(L519),0))+N(INDEX(Platforms!$D$5:$D$14,MATCH(H519,Lists!$A$2:$A$11,0)))))),""))</f>
        <v/>
      </c>
      <c r="R519" s="16" t="str">
        <f t="shared" si="33"/>
        <v/>
      </c>
      <c r="S519" s="17" t="str">
        <f t="shared" si="34"/>
        <v/>
      </c>
      <c r="T519" s="18" t="str">
        <f t="shared" ca="1" si="35"/>
        <v/>
      </c>
    </row>
    <row r="520" spans="1:20" x14ac:dyDescent="0.35">
      <c r="A520" s="11"/>
      <c r="B520" s="11"/>
      <c r="C520" s="11"/>
      <c r="D520" s="12"/>
      <c r="E520" s="11"/>
      <c r="F520" s="13"/>
      <c r="G520" s="13"/>
      <c r="H520" s="11"/>
      <c r="I520" s="12"/>
      <c r="J520" s="12"/>
      <c r="K520" s="13"/>
      <c r="L520" s="13"/>
      <c r="M520" s="13"/>
      <c r="N520" s="13"/>
      <c r="O520" s="13"/>
      <c r="P520" s="14" t="str">
        <f t="shared" si="32"/>
        <v/>
      </c>
      <c r="Q520" s="15" t="str">
        <f>IF(OR(J520="",H520=""),"",IFERROR(IF(ISNUMBER(N520),N520,IF(K520&lt;N(INDEX(Platforms!$G$5:$G$14,MATCH(H520,Lists!$A$2:$A$11,0))),N(INDEX(Platforms!$H$5:$H$14,MATCH(H520,Lists!$A$2:$A$11,0))),MAX(N(INDEX(Platforms!$F$5:$F$14,MATCH(H520,Lists!$A$2:$A$11,0))),N(INDEX(Platforms!$C$5:$C$14,MATCH(H520,Lists!$A$2:$A$11,0)))*(K520+IF(INDEX(Platforms!$E$5:$E$14,MATCH(H520,Lists!$A$2:$A$11,0))="Yes",N(L520),0))+N(INDEX(Platforms!$D$5:$D$14,MATCH(H520,Lists!$A$2:$A$11,0)))))),""))</f>
        <v/>
      </c>
      <c r="R520" s="16" t="str">
        <f t="shared" si="33"/>
        <v/>
      </c>
      <c r="S520" s="17" t="str">
        <f t="shared" si="34"/>
        <v/>
      </c>
      <c r="T520" s="18" t="str">
        <f t="shared" ca="1" si="35"/>
        <v/>
      </c>
    </row>
    <row r="521" spans="1:20" x14ac:dyDescent="0.35">
      <c r="A521" s="11"/>
      <c r="B521" s="11"/>
      <c r="C521" s="11"/>
      <c r="D521" s="12"/>
      <c r="E521" s="11"/>
      <c r="F521" s="13"/>
      <c r="G521" s="13"/>
      <c r="H521" s="11"/>
      <c r="I521" s="12"/>
      <c r="J521" s="12"/>
      <c r="K521" s="13"/>
      <c r="L521" s="13"/>
      <c r="M521" s="13"/>
      <c r="N521" s="13"/>
      <c r="O521" s="13"/>
      <c r="P521" s="14" t="str">
        <f t="shared" si="32"/>
        <v/>
      </c>
      <c r="Q521" s="15" t="str">
        <f>IF(OR(J521="",H521=""),"",IFERROR(IF(ISNUMBER(N521),N521,IF(K521&lt;N(INDEX(Platforms!$G$5:$G$14,MATCH(H521,Lists!$A$2:$A$11,0))),N(INDEX(Platforms!$H$5:$H$14,MATCH(H521,Lists!$A$2:$A$11,0))),MAX(N(INDEX(Platforms!$F$5:$F$14,MATCH(H521,Lists!$A$2:$A$11,0))),N(INDEX(Platforms!$C$5:$C$14,MATCH(H521,Lists!$A$2:$A$11,0)))*(K521+IF(INDEX(Platforms!$E$5:$E$14,MATCH(H521,Lists!$A$2:$A$11,0))="Yes",N(L521),0))+N(INDEX(Platforms!$D$5:$D$14,MATCH(H521,Lists!$A$2:$A$11,0)))))),""))</f>
        <v/>
      </c>
      <c r="R521" s="16" t="str">
        <f t="shared" si="33"/>
        <v/>
      </c>
      <c r="S521" s="17" t="str">
        <f t="shared" si="34"/>
        <v/>
      </c>
      <c r="T521" s="18" t="str">
        <f t="shared" ca="1" si="35"/>
        <v/>
      </c>
    </row>
    <row r="522" spans="1:20" x14ac:dyDescent="0.35">
      <c r="A522" s="11"/>
      <c r="B522" s="11"/>
      <c r="C522" s="11"/>
      <c r="D522" s="12"/>
      <c r="E522" s="11"/>
      <c r="F522" s="13"/>
      <c r="G522" s="13"/>
      <c r="H522" s="11"/>
      <c r="I522" s="12"/>
      <c r="J522" s="12"/>
      <c r="K522" s="13"/>
      <c r="L522" s="13"/>
      <c r="M522" s="13"/>
      <c r="N522" s="13"/>
      <c r="O522" s="13"/>
      <c r="P522" s="14" t="str">
        <f t="shared" si="32"/>
        <v/>
      </c>
      <c r="Q522" s="15" t="str">
        <f>IF(OR(J522="",H522=""),"",IFERROR(IF(ISNUMBER(N522),N522,IF(K522&lt;N(INDEX(Platforms!$G$5:$G$14,MATCH(H522,Lists!$A$2:$A$11,0))),N(INDEX(Platforms!$H$5:$H$14,MATCH(H522,Lists!$A$2:$A$11,0))),MAX(N(INDEX(Platforms!$F$5:$F$14,MATCH(H522,Lists!$A$2:$A$11,0))),N(INDEX(Platforms!$C$5:$C$14,MATCH(H522,Lists!$A$2:$A$11,0)))*(K522+IF(INDEX(Platforms!$E$5:$E$14,MATCH(H522,Lists!$A$2:$A$11,0))="Yes",N(L522),0))+N(INDEX(Platforms!$D$5:$D$14,MATCH(H522,Lists!$A$2:$A$11,0)))))),""))</f>
        <v/>
      </c>
      <c r="R522" s="16" t="str">
        <f t="shared" si="33"/>
        <v/>
      </c>
      <c r="S522" s="17" t="str">
        <f t="shared" si="34"/>
        <v/>
      </c>
      <c r="T522" s="18" t="str">
        <f t="shared" ca="1" si="35"/>
        <v/>
      </c>
    </row>
    <row r="523" spans="1:20" x14ac:dyDescent="0.35">
      <c r="A523" s="11"/>
      <c r="B523" s="11"/>
      <c r="C523" s="11"/>
      <c r="D523" s="12"/>
      <c r="E523" s="11"/>
      <c r="F523" s="13"/>
      <c r="G523" s="13"/>
      <c r="H523" s="11"/>
      <c r="I523" s="12"/>
      <c r="J523" s="12"/>
      <c r="K523" s="13"/>
      <c r="L523" s="13"/>
      <c r="M523" s="13"/>
      <c r="N523" s="13"/>
      <c r="O523" s="13"/>
      <c r="P523" s="14" t="str">
        <f t="shared" si="32"/>
        <v/>
      </c>
      <c r="Q523" s="15" t="str">
        <f>IF(OR(J523="",H523=""),"",IFERROR(IF(ISNUMBER(N523),N523,IF(K523&lt;N(INDEX(Platforms!$G$5:$G$14,MATCH(H523,Lists!$A$2:$A$11,0))),N(INDEX(Platforms!$H$5:$H$14,MATCH(H523,Lists!$A$2:$A$11,0))),MAX(N(INDEX(Platforms!$F$5:$F$14,MATCH(H523,Lists!$A$2:$A$11,0))),N(INDEX(Platforms!$C$5:$C$14,MATCH(H523,Lists!$A$2:$A$11,0)))*(K523+IF(INDEX(Platforms!$E$5:$E$14,MATCH(H523,Lists!$A$2:$A$11,0))="Yes",N(L523),0))+N(INDEX(Platforms!$D$5:$D$14,MATCH(H523,Lists!$A$2:$A$11,0)))))),""))</f>
        <v/>
      </c>
      <c r="R523" s="16" t="str">
        <f t="shared" si="33"/>
        <v/>
      </c>
      <c r="S523" s="17" t="str">
        <f t="shared" si="34"/>
        <v/>
      </c>
      <c r="T523" s="18" t="str">
        <f t="shared" ca="1" si="35"/>
        <v/>
      </c>
    </row>
    <row r="524" spans="1:20" x14ac:dyDescent="0.35">
      <c r="A524" s="11"/>
      <c r="B524" s="11"/>
      <c r="C524" s="11"/>
      <c r="D524" s="12"/>
      <c r="E524" s="11"/>
      <c r="F524" s="13"/>
      <c r="G524" s="13"/>
      <c r="H524" s="11"/>
      <c r="I524" s="12"/>
      <c r="J524" s="12"/>
      <c r="K524" s="13"/>
      <c r="L524" s="13"/>
      <c r="M524" s="13"/>
      <c r="N524" s="13"/>
      <c r="O524" s="13"/>
      <c r="P524" s="14" t="str">
        <f t="shared" si="32"/>
        <v/>
      </c>
      <c r="Q524" s="15" t="str">
        <f>IF(OR(J524="",H524=""),"",IFERROR(IF(ISNUMBER(N524),N524,IF(K524&lt;N(INDEX(Platforms!$G$5:$G$14,MATCH(H524,Lists!$A$2:$A$11,0))),N(INDEX(Platforms!$H$5:$H$14,MATCH(H524,Lists!$A$2:$A$11,0))),MAX(N(INDEX(Platforms!$F$5:$F$14,MATCH(H524,Lists!$A$2:$A$11,0))),N(INDEX(Platforms!$C$5:$C$14,MATCH(H524,Lists!$A$2:$A$11,0)))*(K524+IF(INDEX(Platforms!$E$5:$E$14,MATCH(H524,Lists!$A$2:$A$11,0))="Yes",N(L524),0))+N(INDEX(Platforms!$D$5:$D$14,MATCH(H524,Lists!$A$2:$A$11,0)))))),""))</f>
        <v/>
      </c>
      <c r="R524" s="16" t="str">
        <f t="shared" si="33"/>
        <v/>
      </c>
      <c r="S524" s="17" t="str">
        <f t="shared" si="34"/>
        <v/>
      </c>
      <c r="T524" s="18" t="str">
        <f t="shared" ca="1" si="35"/>
        <v/>
      </c>
    </row>
    <row r="525" spans="1:20" x14ac:dyDescent="0.35">
      <c r="A525" s="11"/>
      <c r="B525" s="11"/>
      <c r="C525" s="11"/>
      <c r="D525" s="12"/>
      <c r="E525" s="11"/>
      <c r="F525" s="13"/>
      <c r="G525" s="13"/>
      <c r="H525" s="11"/>
      <c r="I525" s="12"/>
      <c r="J525" s="12"/>
      <c r="K525" s="13"/>
      <c r="L525" s="13"/>
      <c r="M525" s="13"/>
      <c r="N525" s="13"/>
      <c r="O525" s="13"/>
      <c r="P525" s="14" t="str">
        <f t="shared" si="32"/>
        <v/>
      </c>
      <c r="Q525" s="15" t="str">
        <f>IF(OR(J525="",H525=""),"",IFERROR(IF(ISNUMBER(N525),N525,IF(K525&lt;N(INDEX(Platforms!$G$5:$G$14,MATCH(H525,Lists!$A$2:$A$11,0))),N(INDEX(Platforms!$H$5:$H$14,MATCH(H525,Lists!$A$2:$A$11,0))),MAX(N(INDEX(Platforms!$F$5:$F$14,MATCH(H525,Lists!$A$2:$A$11,0))),N(INDEX(Platforms!$C$5:$C$14,MATCH(H525,Lists!$A$2:$A$11,0)))*(K525+IF(INDEX(Platforms!$E$5:$E$14,MATCH(H525,Lists!$A$2:$A$11,0))="Yes",N(L525),0))+N(INDEX(Platforms!$D$5:$D$14,MATCH(H525,Lists!$A$2:$A$11,0)))))),""))</f>
        <v/>
      </c>
      <c r="R525" s="16" t="str">
        <f t="shared" si="33"/>
        <v/>
      </c>
      <c r="S525" s="17" t="str">
        <f t="shared" si="34"/>
        <v/>
      </c>
      <c r="T525" s="18" t="str">
        <f t="shared" ca="1" si="35"/>
        <v/>
      </c>
    </row>
    <row r="526" spans="1:20" x14ac:dyDescent="0.35">
      <c r="A526" s="11"/>
      <c r="B526" s="11"/>
      <c r="C526" s="11"/>
      <c r="D526" s="12"/>
      <c r="E526" s="11"/>
      <c r="F526" s="13"/>
      <c r="G526" s="13"/>
      <c r="H526" s="11"/>
      <c r="I526" s="12"/>
      <c r="J526" s="12"/>
      <c r="K526" s="13"/>
      <c r="L526" s="13"/>
      <c r="M526" s="13"/>
      <c r="N526" s="13"/>
      <c r="O526" s="13"/>
      <c r="P526" s="14" t="str">
        <f t="shared" si="32"/>
        <v/>
      </c>
      <c r="Q526" s="15" t="str">
        <f>IF(OR(J526="",H526=""),"",IFERROR(IF(ISNUMBER(N526),N526,IF(K526&lt;N(INDEX(Platforms!$G$5:$G$14,MATCH(H526,Lists!$A$2:$A$11,0))),N(INDEX(Platforms!$H$5:$H$14,MATCH(H526,Lists!$A$2:$A$11,0))),MAX(N(INDEX(Platforms!$F$5:$F$14,MATCH(H526,Lists!$A$2:$A$11,0))),N(INDEX(Platforms!$C$5:$C$14,MATCH(H526,Lists!$A$2:$A$11,0)))*(K526+IF(INDEX(Platforms!$E$5:$E$14,MATCH(H526,Lists!$A$2:$A$11,0))="Yes",N(L526),0))+N(INDEX(Platforms!$D$5:$D$14,MATCH(H526,Lists!$A$2:$A$11,0)))))),""))</f>
        <v/>
      </c>
      <c r="R526" s="16" t="str">
        <f t="shared" si="33"/>
        <v/>
      </c>
      <c r="S526" s="17" t="str">
        <f t="shared" si="34"/>
        <v/>
      </c>
      <c r="T526" s="18" t="str">
        <f t="shared" ca="1" si="35"/>
        <v/>
      </c>
    </row>
    <row r="527" spans="1:20" x14ac:dyDescent="0.35">
      <c r="A527" s="11"/>
      <c r="B527" s="11"/>
      <c r="C527" s="11"/>
      <c r="D527" s="12"/>
      <c r="E527" s="11"/>
      <c r="F527" s="13"/>
      <c r="G527" s="13"/>
      <c r="H527" s="11"/>
      <c r="I527" s="12"/>
      <c r="J527" s="12"/>
      <c r="K527" s="13"/>
      <c r="L527" s="13"/>
      <c r="M527" s="13"/>
      <c r="N527" s="13"/>
      <c r="O527" s="13"/>
      <c r="P527" s="14" t="str">
        <f t="shared" si="32"/>
        <v/>
      </c>
      <c r="Q527" s="15" t="str">
        <f>IF(OR(J527="",H527=""),"",IFERROR(IF(ISNUMBER(N527),N527,IF(K527&lt;N(INDEX(Platforms!$G$5:$G$14,MATCH(H527,Lists!$A$2:$A$11,0))),N(INDEX(Platforms!$H$5:$H$14,MATCH(H527,Lists!$A$2:$A$11,0))),MAX(N(INDEX(Platforms!$F$5:$F$14,MATCH(H527,Lists!$A$2:$A$11,0))),N(INDEX(Platforms!$C$5:$C$14,MATCH(H527,Lists!$A$2:$A$11,0)))*(K527+IF(INDEX(Platforms!$E$5:$E$14,MATCH(H527,Lists!$A$2:$A$11,0))="Yes",N(L527),0))+N(INDEX(Platforms!$D$5:$D$14,MATCH(H527,Lists!$A$2:$A$11,0)))))),""))</f>
        <v/>
      </c>
      <c r="R527" s="16" t="str">
        <f t="shared" si="33"/>
        <v/>
      </c>
      <c r="S527" s="17" t="str">
        <f t="shared" si="34"/>
        <v/>
      </c>
      <c r="T527" s="18" t="str">
        <f t="shared" ca="1" si="35"/>
        <v/>
      </c>
    </row>
    <row r="528" spans="1:20" x14ac:dyDescent="0.35">
      <c r="A528" s="11"/>
      <c r="B528" s="11"/>
      <c r="C528" s="11"/>
      <c r="D528" s="12"/>
      <c r="E528" s="11"/>
      <c r="F528" s="13"/>
      <c r="G528" s="13"/>
      <c r="H528" s="11"/>
      <c r="I528" s="12"/>
      <c r="J528" s="12"/>
      <c r="K528" s="13"/>
      <c r="L528" s="13"/>
      <c r="M528" s="13"/>
      <c r="N528" s="13"/>
      <c r="O528" s="13"/>
      <c r="P528" s="14" t="str">
        <f t="shared" si="32"/>
        <v/>
      </c>
      <c r="Q528" s="15" t="str">
        <f>IF(OR(J528="",H528=""),"",IFERROR(IF(ISNUMBER(N528),N528,IF(K528&lt;N(INDEX(Platforms!$G$5:$G$14,MATCH(H528,Lists!$A$2:$A$11,0))),N(INDEX(Platforms!$H$5:$H$14,MATCH(H528,Lists!$A$2:$A$11,0))),MAX(N(INDEX(Platforms!$F$5:$F$14,MATCH(H528,Lists!$A$2:$A$11,0))),N(INDEX(Platforms!$C$5:$C$14,MATCH(H528,Lists!$A$2:$A$11,0)))*(K528+IF(INDEX(Platforms!$E$5:$E$14,MATCH(H528,Lists!$A$2:$A$11,0))="Yes",N(L528),0))+N(INDEX(Platforms!$D$5:$D$14,MATCH(H528,Lists!$A$2:$A$11,0)))))),""))</f>
        <v/>
      </c>
      <c r="R528" s="16" t="str">
        <f t="shared" si="33"/>
        <v/>
      </c>
      <c r="S528" s="17" t="str">
        <f t="shared" si="34"/>
        <v/>
      </c>
      <c r="T528" s="18" t="str">
        <f t="shared" ca="1" si="35"/>
        <v/>
      </c>
    </row>
    <row r="529" spans="1:20" x14ac:dyDescent="0.35">
      <c r="A529" s="11"/>
      <c r="B529" s="11"/>
      <c r="C529" s="11"/>
      <c r="D529" s="12"/>
      <c r="E529" s="11"/>
      <c r="F529" s="13"/>
      <c r="G529" s="13"/>
      <c r="H529" s="11"/>
      <c r="I529" s="12"/>
      <c r="J529" s="12"/>
      <c r="K529" s="13"/>
      <c r="L529" s="13"/>
      <c r="M529" s="13"/>
      <c r="N529" s="13"/>
      <c r="O529" s="13"/>
      <c r="P529" s="14" t="str">
        <f t="shared" si="32"/>
        <v/>
      </c>
      <c r="Q529" s="15" t="str">
        <f>IF(OR(J529="",H529=""),"",IFERROR(IF(ISNUMBER(N529),N529,IF(K529&lt;N(INDEX(Platforms!$G$5:$G$14,MATCH(H529,Lists!$A$2:$A$11,0))),N(INDEX(Platforms!$H$5:$H$14,MATCH(H529,Lists!$A$2:$A$11,0))),MAX(N(INDEX(Platforms!$F$5:$F$14,MATCH(H529,Lists!$A$2:$A$11,0))),N(INDEX(Platforms!$C$5:$C$14,MATCH(H529,Lists!$A$2:$A$11,0)))*(K529+IF(INDEX(Platforms!$E$5:$E$14,MATCH(H529,Lists!$A$2:$A$11,0))="Yes",N(L529),0))+N(INDEX(Platforms!$D$5:$D$14,MATCH(H529,Lists!$A$2:$A$11,0)))))),""))</f>
        <v/>
      </c>
      <c r="R529" s="16" t="str">
        <f t="shared" si="33"/>
        <v/>
      </c>
      <c r="S529" s="17" t="str">
        <f t="shared" si="34"/>
        <v/>
      </c>
      <c r="T529" s="18" t="str">
        <f t="shared" ca="1" si="35"/>
        <v/>
      </c>
    </row>
    <row r="530" spans="1:20" x14ac:dyDescent="0.35">
      <c r="A530" s="11"/>
      <c r="B530" s="11"/>
      <c r="C530" s="11"/>
      <c r="D530" s="12"/>
      <c r="E530" s="11"/>
      <c r="F530" s="13"/>
      <c r="G530" s="13"/>
      <c r="H530" s="11"/>
      <c r="I530" s="12"/>
      <c r="J530" s="12"/>
      <c r="K530" s="13"/>
      <c r="L530" s="13"/>
      <c r="M530" s="13"/>
      <c r="N530" s="13"/>
      <c r="O530" s="13"/>
      <c r="P530" s="14" t="str">
        <f t="shared" si="32"/>
        <v/>
      </c>
      <c r="Q530" s="15" t="str">
        <f>IF(OR(J530="",H530=""),"",IFERROR(IF(ISNUMBER(N530),N530,IF(K530&lt;N(INDEX(Platforms!$G$5:$G$14,MATCH(H530,Lists!$A$2:$A$11,0))),N(INDEX(Platforms!$H$5:$H$14,MATCH(H530,Lists!$A$2:$A$11,0))),MAX(N(INDEX(Platforms!$F$5:$F$14,MATCH(H530,Lists!$A$2:$A$11,0))),N(INDEX(Platforms!$C$5:$C$14,MATCH(H530,Lists!$A$2:$A$11,0)))*(K530+IF(INDEX(Platforms!$E$5:$E$14,MATCH(H530,Lists!$A$2:$A$11,0))="Yes",N(L530),0))+N(INDEX(Platforms!$D$5:$D$14,MATCH(H530,Lists!$A$2:$A$11,0)))))),""))</f>
        <v/>
      </c>
      <c r="R530" s="16" t="str">
        <f t="shared" si="33"/>
        <v/>
      </c>
      <c r="S530" s="17" t="str">
        <f t="shared" si="34"/>
        <v/>
      </c>
      <c r="T530" s="18" t="str">
        <f t="shared" ca="1" si="35"/>
        <v/>
      </c>
    </row>
    <row r="531" spans="1:20" x14ac:dyDescent="0.35">
      <c r="A531" s="11"/>
      <c r="B531" s="11"/>
      <c r="C531" s="11"/>
      <c r="D531" s="12"/>
      <c r="E531" s="11"/>
      <c r="F531" s="13"/>
      <c r="G531" s="13"/>
      <c r="H531" s="11"/>
      <c r="I531" s="12"/>
      <c r="J531" s="12"/>
      <c r="K531" s="13"/>
      <c r="L531" s="13"/>
      <c r="M531" s="13"/>
      <c r="N531" s="13"/>
      <c r="O531" s="13"/>
      <c r="P531" s="14" t="str">
        <f t="shared" si="32"/>
        <v/>
      </c>
      <c r="Q531" s="15" t="str">
        <f>IF(OR(J531="",H531=""),"",IFERROR(IF(ISNUMBER(N531),N531,IF(K531&lt;N(INDEX(Platforms!$G$5:$G$14,MATCH(H531,Lists!$A$2:$A$11,0))),N(INDEX(Platforms!$H$5:$H$14,MATCH(H531,Lists!$A$2:$A$11,0))),MAX(N(INDEX(Platforms!$F$5:$F$14,MATCH(H531,Lists!$A$2:$A$11,0))),N(INDEX(Platforms!$C$5:$C$14,MATCH(H531,Lists!$A$2:$A$11,0)))*(K531+IF(INDEX(Platforms!$E$5:$E$14,MATCH(H531,Lists!$A$2:$A$11,0))="Yes",N(L531),0))+N(INDEX(Platforms!$D$5:$D$14,MATCH(H531,Lists!$A$2:$A$11,0)))))),""))</f>
        <v/>
      </c>
      <c r="R531" s="16" t="str">
        <f t="shared" si="33"/>
        <v/>
      </c>
      <c r="S531" s="17" t="str">
        <f t="shared" si="34"/>
        <v/>
      </c>
      <c r="T531" s="18" t="str">
        <f t="shared" ca="1" si="35"/>
        <v/>
      </c>
    </row>
    <row r="532" spans="1:20" x14ac:dyDescent="0.35">
      <c r="A532" s="11"/>
      <c r="B532" s="11"/>
      <c r="C532" s="11"/>
      <c r="D532" s="12"/>
      <c r="E532" s="11"/>
      <c r="F532" s="13"/>
      <c r="G532" s="13"/>
      <c r="H532" s="11"/>
      <c r="I532" s="12"/>
      <c r="J532" s="12"/>
      <c r="K532" s="13"/>
      <c r="L532" s="13"/>
      <c r="M532" s="13"/>
      <c r="N532" s="13"/>
      <c r="O532" s="13"/>
      <c r="P532" s="14" t="str">
        <f t="shared" si="32"/>
        <v/>
      </c>
      <c r="Q532" s="15" t="str">
        <f>IF(OR(J532="",H532=""),"",IFERROR(IF(ISNUMBER(N532),N532,IF(K532&lt;N(INDEX(Platforms!$G$5:$G$14,MATCH(H532,Lists!$A$2:$A$11,0))),N(INDEX(Platforms!$H$5:$H$14,MATCH(H532,Lists!$A$2:$A$11,0))),MAX(N(INDEX(Platforms!$F$5:$F$14,MATCH(H532,Lists!$A$2:$A$11,0))),N(INDEX(Platforms!$C$5:$C$14,MATCH(H532,Lists!$A$2:$A$11,0)))*(K532+IF(INDEX(Platforms!$E$5:$E$14,MATCH(H532,Lists!$A$2:$A$11,0))="Yes",N(L532),0))+N(INDEX(Platforms!$D$5:$D$14,MATCH(H532,Lists!$A$2:$A$11,0)))))),""))</f>
        <v/>
      </c>
      <c r="R532" s="16" t="str">
        <f t="shared" si="33"/>
        <v/>
      </c>
      <c r="S532" s="17" t="str">
        <f t="shared" si="34"/>
        <v/>
      </c>
      <c r="T532" s="18" t="str">
        <f t="shared" ca="1" si="35"/>
        <v/>
      </c>
    </row>
    <row r="533" spans="1:20" x14ac:dyDescent="0.35">
      <c r="A533" s="11"/>
      <c r="B533" s="11"/>
      <c r="C533" s="11"/>
      <c r="D533" s="12"/>
      <c r="E533" s="11"/>
      <c r="F533" s="13"/>
      <c r="G533" s="13"/>
      <c r="H533" s="11"/>
      <c r="I533" s="12"/>
      <c r="J533" s="12"/>
      <c r="K533" s="13"/>
      <c r="L533" s="13"/>
      <c r="M533" s="13"/>
      <c r="N533" s="13"/>
      <c r="O533" s="13"/>
      <c r="P533" s="14" t="str">
        <f t="shared" si="32"/>
        <v/>
      </c>
      <c r="Q533" s="15" t="str">
        <f>IF(OR(J533="",H533=""),"",IFERROR(IF(ISNUMBER(N533),N533,IF(K533&lt;N(INDEX(Platforms!$G$5:$G$14,MATCH(H533,Lists!$A$2:$A$11,0))),N(INDEX(Platforms!$H$5:$H$14,MATCH(H533,Lists!$A$2:$A$11,0))),MAX(N(INDEX(Platforms!$F$5:$F$14,MATCH(H533,Lists!$A$2:$A$11,0))),N(INDEX(Platforms!$C$5:$C$14,MATCH(H533,Lists!$A$2:$A$11,0)))*(K533+IF(INDEX(Platforms!$E$5:$E$14,MATCH(H533,Lists!$A$2:$A$11,0))="Yes",N(L533),0))+N(INDEX(Platforms!$D$5:$D$14,MATCH(H533,Lists!$A$2:$A$11,0)))))),""))</f>
        <v/>
      </c>
      <c r="R533" s="16" t="str">
        <f t="shared" si="33"/>
        <v/>
      </c>
      <c r="S533" s="17" t="str">
        <f t="shared" si="34"/>
        <v/>
      </c>
      <c r="T533" s="18" t="str">
        <f t="shared" ca="1" si="35"/>
        <v/>
      </c>
    </row>
    <row r="534" spans="1:20" x14ac:dyDescent="0.35">
      <c r="A534" s="11"/>
      <c r="B534" s="11"/>
      <c r="C534" s="11"/>
      <c r="D534" s="12"/>
      <c r="E534" s="11"/>
      <c r="F534" s="13"/>
      <c r="G534" s="13"/>
      <c r="H534" s="11"/>
      <c r="I534" s="12"/>
      <c r="J534" s="12"/>
      <c r="K534" s="13"/>
      <c r="L534" s="13"/>
      <c r="M534" s="13"/>
      <c r="N534" s="13"/>
      <c r="O534" s="13"/>
      <c r="P534" s="14" t="str">
        <f t="shared" si="32"/>
        <v/>
      </c>
      <c r="Q534" s="15" t="str">
        <f>IF(OR(J534="",H534=""),"",IFERROR(IF(ISNUMBER(N534),N534,IF(K534&lt;N(INDEX(Platforms!$G$5:$G$14,MATCH(H534,Lists!$A$2:$A$11,0))),N(INDEX(Platforms!$H$5:$H$14,MATCH(H534,Lists!$A$2:$A$11,0))),MAX(N(INDEX(Platforms!$F$5:$F$14,MATCH(H534,Lists!$A$2:$A$11,0))),N(INDEX(Platforms!$C$5:$C$14,MATCH(H534,Lists!$A$2:$A$11,0)))*(K534+IF(INDEX(Platforms!$E$5:$E$14,MATCH(H534,Lists!$A$2:$A$11,0))="Yes",N(L534),0))+N(INDEX(Platforms!$D$5:$D$14,MATCH(H534,Lists!$A$2:$A$11,0)))))),""))</f>
        <v/>
      </c>
      <c r="R534" s="16" t="str">
        <f t="shared" si="33"/>
        <v/>
      </c>
      <c r="S534" s="17" t="str">
        <f t="shared" si="34"/>
        <v/>
      </c>
      <c r="T534" s="18" t="str">
        <f t="shared" ca="1" si="35"/>
        <v/>
      </c>
    </row>
    <row r="535" spans="1:20" x14ac:dyDescent="0.35">
      <c r="A535" s="11"/>
      <c r="B535" s="11"/>
      <c r="C535" s="11"/>
      <c r="D535" s="12"/>
      <c r="E535" s="11"/>
      <c r="F535" s="13"/>
      <c r="G535" s="13"/>
      <c r="H535" s="11"/>
      <c r="I535" s="12"/>
      <c r="J535" s="12"/>
      <c r="K535" s="13"/>
      <c r="L535" s="13"/>
      <c r="M535" s="13"/>
      <c r="N535" s="13"/>
      <c r="O535" s="13"/>
      <c r="P535" s="14" t="str">
        <f t="shared" si="32"/>
        <v/>
      </c>
      <c r="Q535" s="15" t="str">
        <f>IF(OR(J535="",H535=""),"",IFERROR(IF(ISNUMBER(N535),N535,IF(K535&lt;N(INDEX(Platforms!$G$5:$G$14,MATCH(H535,Lists!$A$2:$A$11,0))),N(INDEX(Platforms!$H$5:$H$14,MATCH(H535,Lists!$A$2:$A$11,0))),MAX(N(INDEX(Platforms!$F$5:$F$14,MATCH(H535,Lists!$A$2:$A$11,0))),N(INDEX(Platforms!$C$5:$C$14,MATCH(H535,Lists!$A$2:$A$11,0)))*(K535+IF(INDEX(Platforms!$E$5:$E$14,MATCH(H535,Lists!$A$2:$A$11,0))="Yes",N(L535),0))+N(INDEX(Platforms!$D$5:$D$14,MATCH(H535,Lists!$A$2:$A$11,0)))))),""))</f>
        <v/>
      </c>
      <c r="R535" s="16" t="str">
        <f t="shared" si="33"/>
        <v/>
      </c>
      <c r="S535" s="17" t="str">
        <f t="shared" si="34"/>
        <v/>
      </c>
      <c r="T535" s="18" t="str">
        <f t="shared" ca="1" si="35"/>
        <v/>
      </c>
    </row>
    <row r="536" spans="1:20" x14ac:dyDescent="0.35">
      <c r="A536" s="11"/>
      <c r="B536" s="11"/>
      <c r="C536" s="11"/>
      <c r="D536" s="12"/>
      <c r="E536" s="11"/>
      <c r="F536" s="13"/>
      <c r="G536" s="13"/>
      <c r="H536" s="11"/>
      <c r="I536" s="12"/>
      <c r="J536" s="12"/>
      <c r="K536" s="13"/>
      <c r="L536" s="13"/>
      <c r="M536" s="13"/>
      <c r="N536" s="13"/>
      <c r="O536" s="13"/>
      <c r="P536" s="14" t="str">
        <f t="shared" si="32"/>
        <v/>
      </c>
      <c r="Q536" s="15" t="str">
        <f>IF(OR(J536="",H536=""),"",IFERROR(IF(ISNUMBER(N536),N536,IF(K536&lt;N(INDEX(Platforms!$G$5:$G$14,MATCH(H536,Lists!$A$2:$A$11,0))),N(INDEX(Platforms!$H$5:$H$14,MATCH(H536,Lists!$A$2:$A$11,0))),MAX(N(INDEX(Platforms!$F$5:$F$14,MATCH(H536,Lists!$A$2:$A$11,0))),N(INDEX(Platforms!$C$5:$C$14,MATCH(H536,Lists!$A$2:$A$11,0)))*(K536+IF(INDEX(Platforms!$E$5:$E$14,MATCH(H536,Lists!$A$2:$A$11,0))="Yes",N(L536),0))+N(INDEX(Platforms!$D$5:$D$14,MATCH(H536,Lists!$A$2:$A$11,0)))))),""))</f>
        <v/>
      </c>
      <c r="R536" s="16" t="str">
        <f t="shared" si="33"/>
        <v/>
      </c>
      <c r="S536" s="17" t="str">
        <f t="shared" si="34"/>
        <v/>
      </c>
      <c r="T536" s="18" t="str">
        <f t="shared" ca="1" si="35"/>
        <v/>
      </c>
    </row>
    <row r="537" spans="1:20" x14ac:dyDescent="0.35">
      <c r="A537" s="11"/>
      <c r="B537" s="11"/>
      <c r="C537" s="11"/>
      <c r="D537" s="12"/>
      <c r="E537" s="11"/>
      <c r="F537" s="13"/>
      <c r="G537" s="13"/>
      <c r="H537" s="11"/>
      <c r="I537" s="12"/>
      <c r="J537" s="12"/>
      <c r="K537" s="13"/>
      <c r="L537" s="13"/>
      <c r="M537" s="13"/>
      <c r="N537" s="13"/>
      <c r="O537" s="13"/>
      <c r="P537" s="14" t="str">
        <f t="shared" si="32"/>
        <v/>
      </c>
      <c r="Q537" s="15" t="str">
        <f>IF(OR(J537="",H537=""),"",IFERROR(IF(ISNUMBER(N537),N537,IF(K537&lt;N(INDEX(Platforms!$G$5:$G$14,MATCH(H537,Lists!$A$2:$A$11,0))),N(INDEX(Platforms!$H$5:$H$14,MATCH(H537,Lists!$A$2:$A$11,0))),MAX(N(INDEX(Platforms!$F$5:$F$14,MATCH(H537,Lists!$A$2:$A$11,0))),N(INDEX(Platforms!$C$5:$C$14,MATCH(H537,Lists!$A$2:$A$11,0)))*(K537+IF(INDEX(Platforms!$E$5:$E$14,MATCH(H537,Lists!$A$2:$A$11,0))="Yes",N(L537),0))+N(INDEX(Platforms!$D$5:$D$14,MATCH(H537,Lists!$A$2:$A$11,0)))))),""))</f>
        <v/>
      </c>
      <c r="R537" s="16" t="str">
        <f t="shared" si="33"/>
        <v/>
      </c>
      <c r="S537" s="17" t="str">
        <f t="shared" si="34"/>
        <v/>
      </c>
      <c r="T537" s="18" t="str">
        <f t="shared" ca="1" si="35"/>
        <v/>
      </c>
    </row>
    <row r="538" spans="1:20" x14ac:dyDescent="0.35">
      <c r="A538" s="11"/>
      <c r="B538" s="11"/>
      <c r="C538" s="11"/>
      <c r="D538" s="12"/>
      <c r="E538" s="11"/>
      <c r="F538" s="13"/>
      <c r="G538" s="13"/>
      <c r="H538" s="11"/>
      <c r="I538" s="12"/>
      <c r="J538" s="12"/>
      <c r="K538" s="13"/>
      <c r="L538" s="13"/>
      <c r="M538" s="13"/>
      <c r="N538" s="13"/>
      <c r="O538" s="13"/>
      <c r="P538" s="14" t="str">
        <f t="shared" si="32"/>
        <v/>
      </c>
      <c r="Q538" s="15" t="str">
        <f>IF(OR(J538="",H538=""),"",IFERROR(IF(ISNUMBER(N538),N538,IF(K538&lt;N(INDEX(Platforms!$G$5:$G$14,MATCH(H538,Lists!$A$2:$A$11,0))),N(INDEX(Platforms!$H$5:$H$14,MATCH(H538,Lists!$A$2:$A$11,0))),MAX(N(INDEX(Platforms!$F$5:$F$14,MATCH(H538,Lists!$A$2:$A$11,0))),N(INDEX(Platforms!$C$5:$C$14,MATCH(H538,Lists!$A$2:$A$11,0)))*(K538+IF(INDEX(Platforms!$E$5:$E$14,MATCH(H538,Lists!$A$2:$A$11,0))="Yes",N(L538),0))+N(INDEX(Platforms!$D$5:$D$14,MATCH(H538,Lists!$A$2:$A$11,0)))))),""))</f>
        <v/>
      </c>
      <c r="R538" s="16" t="str">
        <f t="shared" si="33"/>
        <v/>
      </c>
      <c r="S538" s="17" t="str">
        <f t="shared" si="34"/>
        <v/>
      </c>
      <c r="T538" s="18" t="str">
        <f t="shared" ca="1" si="35"/>
        <v/>
      </c>
    </row>
    <row r="539" spans="1:20" x14ac:dyDescent="0.35">
      <c r="A539" s="11"/>
      <c r="B539" s="11"/>
      <c r="C539" s="11"/>
      <c r="D539" s="12"/>
      <c r="E539" s="11"/>
      <c r="F539" s="13"/>
      <c r="G539" s="13"/>
      <c r="H539" s="11"/>
      <c r="I539" s="12"/>
      <c r="J539" s="12"/>
      <c r="K539" s="13"/>
      <c r="L539" s="13"/>
      <c r="M539" s="13"/>
      <c r="N539" s="13"/>
      <c r="O539" s="13"/>
      <c r="P539" s="14" t="str">
        <f t="shared" si="32"/>
        <v/>
      </c>
      <c r="Q539" s="15" t="str">
        <f>IF(OR(J539="",H539=""),"",IFERROR(IF(ISNUMBER(N539),N539,IF(K539&lt;N(INDEX(Platforms!$G$5:$G$14,MATCH(H539,Lists!$A$2:$A$11,0))),N(INDEX(Platforms!$H$5:$H$14,MATCH(H539,Lists!$A$2:$A$11,0))),MAX(N(INDEX(Platforms!$F$5:$F$14,MATCH(H539,Lists!$A$2:$A$11,0))),N(INDEX(Platforms!$C$5:$C$14,MATCH(H539,Lists!$A$2:$A$11,0)))*(K539+IF(INDEX(Platforms!$E$5:$E$14,MATCH(H539,Lists!$A$2:$A$11,0))="Yes",N(L539),0))+N(INDEX(Platforms!$D$5:$D$14,MATCH(H539,Lists!$A$2:$A$11,0)))))),""))</f>
        <v/>
      </c>
      <c r="R539" s="16" t="str">
        <f t="shared" si="33"/>
        <v/>
      </c>
      <c r="S539" s="17" t="str">
        <f t="shared" si="34"/>
        <v/>
      </c>
      <c r="T539" s="18" t="str">
        <f t="shared" ca="1" si="35"/>
        <v/>
      </c>
    </row>
    <row r="540" spans="1:20" x14ac:dyDescent="0.35">
      <c r="A540" s="11"/>
      <c r="B540" s="11"/>
      <c r="C540" s="11"/>
      <c r="D540" s="12"/>
      <c r="E540" s="11"/>
      <c r="F540" s="13"/>
      <c r="G540" s="13"/>
      <c r="H540" s="11"/>
      <c r="I540" s="12"/>
      <c r="J540" s="12"/>
      <c r="K540" s="13"/>
      <c r="L540" s="13"/>
      <c r="M540" s="13"/>
      <c r="N540" s="13"/>
      <c r="O540" s="13"/>
      <c r="P540" s="14" t="str">
        <f t="shared" si="32"/>
        <v/>
      </c>
      <c r="Q540" s="15" t="str">
        <f>IF(OR(J540="",H540=""),"",IFERROR(IF(ISNUMBER(N540),N540,IF(K540&lt;N(INDEX(Platforms!$G$5:$G$14,MATCH(H540,Lists!$A$2:$A$11,0))),N(INDEX(Platforms!$H$5:$H$14,MATCH(H540,Lists!$A$2:$A$11,0))),MAX(N(INDEX(Platforms!$F$5:$F$14,MATCH(H540,Lists!$A$2:$A$11,0))),N(INDEX(Platforms!$C$5:$C$14,MATCH(H540,Lists!$A$2:$A$11,0)))*(K540+IF(INDEX(Platforms!$E$5:$E$14,MATCH(H540,Lists!$A$2:$A$11,0))="Yes",N(L540),0))+N(INDEX(Platforms!$D$5:$D$14,MATCH(H540,Lists!$A$2:$A$11,0)))))),""))</f>
        <v/>
      </c>
      <c r="R540" s="16" t="str">
        <f t="shared" si="33"/>
        <v/>
      </c>
      <c r="S540" s="17" t="str">
        <f t="shared" si="34"/>
        <v/>
      </c>
      <c r="T540" s="18" t="str">
        <f t="shared" ca="1" si="35"/>
        <v/>
      </c>
    </row>
    <row r="541" spans="1:20" x14ac:dyDescent="0.35">
      <c r="A541" s="11"/>
      <c r="B541" s="11"/>
      <c r="C541" s="11"/>
      <c r="D541" s="12"/>
      <c r="E541" s="11"/>
      <c r="F541" s="13"/>
      <c r="G541" s="13"/>
      <c r="H541" s="11"/>
      <c r="I541" s="12"/>
      <c r="J541" s="12"/>
      <c r="K541" s="13"/>
      <c r="L541" s="13"/>
      <c r="M541" s="13"/>
      <c r="N541" s="13"/>
      <c r="O541" s="13"/>
      <c r="P541" s="14" t="str">
        <f t="shared" si="32"/>
        <v/>
      </c>
      <c r="Q541" s="15" t="str">
        <f>IF(OR(J541="",H541=""),"",IFERROR(IF(ISNUMBER(N541),N541,IF(K541&lt;N(INDEX(Platforms!$G$5:$G$14,MATCH(H541,Lists!$A$2:$A$11,0))),N(INDEX(Platforms!$H$5:$H$14,MATCH(H541,Lists!$A$2:$A$11,0))),MAX(N(INDEX(Platforms!$F$5:$F$14,MATCH(H541,Lists!$A$2:$A$11,0))),N(INDEX(Platforms!$C$5:$C$14,MATCH(H541,Lists!$A$2:$A$11,0)))*(K541+IF(INDEX(Platforms!$E$5:$E$14,MATCH(H541,Lists!$A$2:$A$11,0))="Yes",N(L541),0))+N(INDEX(Platforms!$D$5:$D$14,MATCH(H541,Lists!$A$2:$A$11,0)))))),""))</f>
        <v/>
      </c>
      <c r="R541" s="16" t="str">
        <f t="shared" si="33"/>
        <v/>
      </c>
      <c r="S541" s="17" t="str">
        <f t="shared" si="34"/>
        <v/>
      </c>
      <c r="T541" s="18" t="str">
        <f t="shared" ca="1" si="35"/>
        <v/>
      </c>
    </row>
    <row r="542" spans="1:20" x14ac:dyDescent="0.35">
      <c r="A542" s="11"/>
      <c r="B542" s="11"/>
      <c r="C542" s="11"/>
      <c r="D542" s="12"/>
      <c r="E542" s="11"/>
      <c r="F542" s="13"/>
      <c r="G542" s="13"/>
      <c r="H542" s="11"/>
      <c r="I542" s="12"/>
      <c r="J542" s="12"/>
      <c r="K542" s="13"/>
      <c r="L542" s="13"/>
      <c r="M542" s="13"/>
      <c r="N542" s="13"/>
      <c r="O542" s="13"/>
      <c r="P542" s="14" t="str">
        <f t="shared" si="32"/>
        <v/>
      </c>
      <c r="Q542" s="15" t="str">
        <f>IF(OR(J542="",H542=""),"",IFERROR(IF(ISNUMBER(N542),N542,IF(K542&lt;N(INDEX(Platforms!$G$5:$G$14,MATCH(H542,Lists!$A$2:$A$11,0))),N(INDEX(Platforms!$H$5:$H$14,MATCH(H542,Lists!$A$2:$A$11,0))),MAX(N(INDEX(Platforms!$F$5:$F$14,MATCH(H542,Lists!$A$2:$A$11,0))),N(INDEX(Platforms!$C$5:$C$14,MATCH(H542,Lists!$A$2:$A$11,0)))*(K542+IF(INDEX(Platforms!$E$5:$E$14,MATCH(H542,Lists!$A$2:$A$11,0))="Yes",N(L542),0))+N(INDEX(Platforms!$D$5:$D$14,MATCH(H542,Lists!$A$2:$A$11,0)))))),""))</f>
        <v/>
      </c>
      <c r="R542" s="16" t="str">
        <f t="shared" si="33"/>
        <v/>
      </c>
      <c r="S542" s="17" t="str">
        <f t="shared" si="34"/>
        <v/>
      </c>
      <c r="T542" s="18" t="str">
        <f t="shared" ca="1" si="35"/>
        <v/>
      </c>
    </row>
    <row r="543" spans="1:20" x14ac:dyDescent="0.35">
      <c r="A543" s="11"/>
      <c r="B543" s="11"/>
      <c r="C543" s="11"/>
      <c r="D543" s="12"/>
      <c r="E543" s="11"/>
      <c r="F543" s="13"/>
      <c r="G543" s="13"/>
      <c r="H543" s="11"/>
      <c r="I543" s="12"/>
      <c r="J543" s="12"/>
      <c r="K543" s="13"/>
      <c r="L543" s="13"/>
      <c r="M543" s="13"/>
      <c r="N543" s="13"/>
      <c r="O543" s="13"/>
      <c r="P543" s="14" t="str">
        <f t="shared" si="32"/>
        <v/>
      </c>
      <c r="Q543" s="15" t="str">
        <f>IF(OR(J543="",H543=""),"",IFERROR(IF(ISNUMBER(N543),N543,IF(K543&lt;N(INDEX(Platforms!$G$5:$G$14,MATCH(H543,Lists!$A$2:$A$11,0))),N(INDEX(Platforms!$H$5:$H$14,MATCH(H543,Lists!$A$2:$A$11,0))),MAX(N(INDEX(Platforms!$F$5:$F$14,MATCH(H543,Lists!$A$2:$A$11,0))),N(INDEX(Platforms!$C$5:$C$14,MATCH(H543,Lists!$A$2:$A$11,0)))*(K543+IF(INDEX(Platforms!$E$5:$E$14,MATCH(H543,Lists!$A$2:$A$11,0))="Yes",N(L543),0))+N(INDEX(Platforms!$D$5:$D$14,MATCH(H543,Lists!$A$2:$A$11,0)))))),""))</f>
        <v/>
      </c>
      <c r="R543" s="16" t="str">
        <f t="shared" si="33"/>
        <v/>
      </c>
      <c r="S543" s="17" t="str">
        <f t="shared" si="34"/>
        <v/>
      </c>
      <c r="T543" s="18" t="str">
        <f t="shared" ca="1" si="35"/>
        <v/>
      </c>
    </row>
    <row r="544" spans="1:20" x14ac:dyDescent="0.35">
      <c r="A544" s="11"/>
      <c r="B544" s="11"/>
      <c r="C544" s="11"/>
      <c r="D544" s="12"/>
      <c r="E544" s="11"/>
      <c r="F544" s="13"/>
      <c r="G544" s="13"/>
      <c r="H544" s="11"/>
      <c r="I544" s="12"/>
      <c r="J544" s="12"/>
      <c r="K544" s="13"/>
      <c r="L544" s="13"/>
      <c r="M544" s="13"/>
      <c r="N544" s="13"/>
      <c r="O544" s="13"/>
      <c r="P544" s="14" t="str">
        <f t="shared" si="32"/>
        <v/>
      </c>
      <c r="Q544" s="15" t="str">
        <f>IF(OR(J544="",H544=""),"",IFERROR(IF(ISNUMBER(N544),N544,IF(K544&lt;N(INDEX(Platforms!$G$5:$G$14,MATCH(H544,Lists!$A$2:$A$11,0))),N(INDEX(Platforms!$H$5:$H$14,MATCH(H544,Lists!$A$2:$A$11,0))),MAX(N(INDEX(Platforms!$F$5:$F$14,MATCH(H544,Lists!$A$2:$A$11,0))),N(INDEX(Platforms!$C$5:$C$14,MATCH(H544,Lists!$A$2:$A$11,0)))*(K544+IF(INDEX(Platforms!$E$5:$E$14,MATCH(H544,Lists!$A$2:$A$11,0))="Yes",N(L544),0))+N(INDEX(Platforms!$D$5:$D$14,MATCH(H544,Lists!$A$2:$A$11,0)))))),""))</f>
        <v/>
      </c>
      <c r="R544" s="16" t="str">
        <f t="shared" si="33"/>
        <v/>
      </c>
      <c r="S544" s="17" t="str">
        <f t="shared" si="34"/>
        <v/>
      </c>
      <c r="T544" s="18" t="str">
        <f t="shared" ca="1" si="35"/>
        <v/>
      </c>
    </row>
    <row r="545" spans="1:20" x14ac:dyDescent="0.35">
      <c r="A545" s="11"/>
      <c r="B545" s="11"/>
      <c r="C545" s="11"/>
      <c r="D545" s="12"/>
      <c r="E545" s="11"/>
      <c r="F545" s="13"/>
      <c r="G545" s="13"/>
      <c r="H545" s="11"/>
      <c r="I545" s="12"/>
      <c r="J545" s="12"/>
      <c r="K545" s="13"/>
      <c r="L545" s="13"/>
      <c r="M545" s="13"/>
      <c r="N545" s="13"/>
      <c r="O545" s="13"/>
      <c r="P545" s="14" t="str">
        <f t="shared" si="32"/>
        <v/>
      </c>
      <c r="Q545" s="15" t="str">
        <f>IF(OR(J545="",H545=""),"",IFERROR(IF(ISNUMBER(N545),N545,IF(K545&lt;N(INDEX(Platforms!$G$5:$G$14,MATCH(H545,Lists!$A$2:$A$11,0))),N(INDEX(Platforms!$H$5:$H$14,MATCH(H545,Lists!$A$2:$A$11,0))),MAX(N(INDEX(Platforms!$F$5:$F$14,MATCH(H545,Lists!$A$2:$A$11,0))),N(INDEX(Platforms!$C$5:$C$14,MATCH(H545,Lists!$A$2:$A$11,0)))*(K545+IF(INDEX(Platforms!$E$5:$E$14,MATCH(H545,Lists!$A$2:$A$11,0))="Yes",N(L545),0))+N(INDEX(Platforms!$D$5:$D$14,MATCH(H545,Lists!$A$2:$A$11,0)))))),""))</f>
        <v/>
      </c>
      <c r="R545" s="16" t="str">
        <f t="shared" si="33"/>
        <v/>
      </c>
      <c r="S545" s="17" t="str">
        <f t="shared" si="34"/>
        <v/>
      </c>
      <c r="T545" s="18" t="str">
        <f t="shared" ca="1" si="35"/>
        <v/>
      </c>
    </row>
    <row r="546" spans="1:20" x14ac:dyDescent="0.35">
      <c r="A546" s="11"/>
      <c r="B546" s="11"/>
      <c r="C546" s="11"/>
      <c r="D546" s="12"/>
      <c r="E546" s="11"/>
      <c r="F546" s="13"/>
      <c r="G546" s="13"/>
      <c r="H546" s="11"/>
      <c r="I546" s="12"/>
      <c r="J546" s="12"/>
      <c r="K546" s="13"/>
      <c r="L546" s="13"/>
      <c r="M546" s="13"/>
      <c r="N546" s="13"/>
      <c r="O546" s="13"/>
      <c r="P546" s="14" t="str">
        <f t="shared" si="32"/>
        <v/>
      </c>
      <c r="Q546" s="15" t="str">
        <f>IF(OR(J546="",H546=""),"",IFERROR(IF(ISNUMBER(N546),N546,IF(K546&lt;N(INDEX(Platforms!$G$5:$G$14,MATCH(H546,Lists!$A$2:$A$11,0))),N(INDEX(Platforms!$H$5:$H$14,MATCH(H546,Lists!$A$2:$A$11,0))),MAX(N(INDEX(Platforms!$F$5:$F$14,MATCH(H546,Lists!$A$2:$A$11,0))),N(INDEX(Platforms!$C$5:$C$14,MATCH(H546,Lists!$A$2:$A$11,0)))*(K546+IF(INDEX(Platforms!$E$5:$E$14,MATCH(H546,Lists!$A$2:$A$11,0))="Yes",N(L546),0))+N(INDEX(Platforms!$D$5:$D$14,MATCH(H546,Lists!$A$2:$A$11,0)))))),""))</f>
        <v/>
      </c>
      <c r="R546" s="16" t="str">
        <f t="shared" si="33"/>
        <v/>
      </c>
      <c r="S546" s="17" t="str">
        <f t="shared" si="34"/>
        <v/>
      </c>
      <c r="T546" s="18" t="str">
        <f t="shared" ca="1" si="35"/>
        <v/>
      </c>
    </row>
    <row r="547" spans="1:20" x14ac:dyDescent="0.35">
      <c r="A547" s="11"/>
      <c r="B547" s="11"/>
      <c r="C547" s="11"/>
      <c r="D547" s="12"/>
      <c r="E547" s="11"/>
      <c r="F547" s="13"/>
      <c r="G547" s="13"/>
      <c r="H547" s="11"/>
      <c r="I547" s="12"/>
      <c r="J547" s="12"/>
      <c r="K547" s="13"/>
      <c r="L547" s="13"/>
      <c r="M547" s="13"/>
      <c r="N547" s="13"/>
      <c r="O547" s="13"/>
      <c r="P547" s="14" t="str">
        <f t="shared" si="32"/>
        <v/>
      </c>
      <c r="Q547" s="15" t="str">
        <f>IF(OR(J547="",H547=""),"",IFERROR(IF(ISNUMBER(N547),N547,IF(K547&lt;N(INDEX(Platforms!$G$5:$G$14,MATCH(H547,Lists!$A$2:$A$11,0))),N(INDEX(Platforms!$H$5:$H$14,MATCH(H547,Lists!$A$2:$A$11,0))),MAX(N(INDEX(Platforms!$F$5:$F$14,MATCH(H547,Lists!$A$2:$A$11,0))),N(INDEX(Platforms!$C$5:$C$14,MATCH(H547,Lists!$A$2:$A$11,0)))*(K547+IF(INDEX(Platforms!$E$5:$E$14,MATCH(H547,Lists!$A$2:$A$11,0))="Yes",N(L547),0))+N(INDEX(Platforms!$D$5:$D$14,MATCH(H547,Lists!$A$2:$A$11,0)))))),""))</f>
        <v/>
      </c>
      <c r="R547" s="16" t="str">
        <f t="shared" si="33"/>
        <v/>
      </c>
      <c r="S547" s="17" t="str">
        <f t="shared" si="34"/>
        <v/>
      </c>
      <c r="T547" s="18" t="str">
        <f t="shared" ca="1" si="35"/>
        <v/>
      </c>
    </row>
    <row r="548" spans="1:20" x14ac:dyDescent="0.35">
      <c r="A548" s="11"/>
      <c r="B548" s="11"/>
      <c r="C548" s="11"/>
      <c r="D548" s="12"/>
      <c r="E548" s="11"/>
      <c r="F548" s="13"/>
      <c r="G548" s="13"/>
      <c r="H548" s="11"/>
      <c r="I548" s="12"/>
      <c r="J548" s="12"/>
      <c r="K548" s="13"/>
      <c r="L548" s="13"/>
      <c r="M548" s="13"/>
      <c r="N548" s="13"/>
      <c r="O548" s="13"/>
      <c r="P548" s="14" t="str">
        <f t="shared" si="32"/>
        <v/>
      </c>
      <c r="Q548" s="15" t="str">
        <f>IF(OR(J548="",H548=""),"",IFERROR(IF(ISNUMBER(N548),N548,IF(K548&lt;N(INDEX(Platforms!$G$5:$G$14,MATCH(H548,Lists!$A$2:$A$11,0))),N(INDEX(Platforms!$H$5:$H$14,MATCH(H548,Lists!$A$2:$A$11,0))),MAX(N(INDEX(Platforms!$F$5:$F$14,MATCH(H548,Lists!$A$2:$A$11,0))),N(INDEX(Platforms!$C$5:$C$14,MATCH(H548,Lists!$A$2:$A$11,0)))*(K548+IF(INDEX(Platforms!$E$5:$E$14,MATCH(H548,Lists!$A$2:$A$11,0))="Yes",N(L548),0))+N(INDEX(Platforms!$D$5:$D$14,MATCH(H548,Lists!$A$2:$A$11,0)))))),""))</f>
        <v/>
      </c>
      <c r="R548" s="16" t="str">
        <f t="shared" si="33"/>
        <v/>
      </c>
      <c r="S548" s="17" t="str">
        <f t="shared" si="34"/>
        <v/>
      </c>
      <c r="T548" s="18" t="str">
        <f t="shared" ca="1" si="35"/>
        <v/>
      </c>
    </row>
    <row r="549" spans="1:20" x14ac:dyDescent="0.35">
      <c r="A549" s="11"/>
      <c r="B549" s="11"/>
      <c r="C549" s="11"/>
      <c r="D549" s="12"/>
      <c r="E549" s="11"/>
      <c r="F549" s="13"/>
      <c r="G549" s="13"/>
      <c r="H549" s="11"/>
      <c r="I549" s="12"/>
      <c r="J549" s="12"/>
      <c r="K549" s="13"/>
      <c r="L549" s="13"/>
      <c r="M549" s="13"/>
      <c r="N549" s="13"/>
      <c r="O549" s="13"/>
      <c r="P549" s="14" t="str">
        <f t="shared" si="32"/>
        <v/>
      </c>
      <c r="Q549" s="15" t="str">
        <f>IF(OR(J549="",H549=""),"",IFERROR(IF(ISNUMBER(N549),N549,IF(K549&lt;N(INDEX(Platforms!$G$5:$G$14,MATCH(H549,Lists!$A$2:$A$11,0))),N(INDEX(Platforms!$H$5:$H$14,MATCH(H549,Lists!$A$2:$A$11,0))),MAX(N(INDEX(Platforms!$F$5:$F$14,MATCH(H549,Lists!$A$2:$A$11,0))),N(INDEX(Platforms!$C$5:$C$14,MATCH(H549,Lists!$A$2:$A$11,0)))*(K549+IF(INDEX(Platforms!$E$5:$E$14,MATCH(H549,Lists!$A$2:$A$11,0))="Yes",N(L549),0))+N(INDEX(Platforms!$D$5:$D$14,MATCH(H549,Lists!$A$2:$A$11,0)))))),""))</f>
        <v/>
      </c>
      <c r="R549" s="16" t="str">
        <f t="shared" si="33"/>
        <v/>
      </c>
      <c r="S549" s="17" t="str">
        <f t="shared" si="34"/>
        <v/>
      </c>
      <c r="T549" s="18" t="str">
        <f t="shared" ca="1" si="35"/>
        <v/>
      </c>
    </row>
    <row r="550" spans="1:20" x14ac:dyDescent="0.35">
      <c r="A550" s="11"/>
      <c r="B550" s="11"/>
      <c r="C550" s="11"/>
      <c r="D550" s="12"/>
      <c r="E550" s="11"/>
      <c r="F550" s="13"/>
      <c r="G550" s="13"/>
      <c r="H550" s="11"/>
      <c r="I550" s="12"/>
      <c r="J550" s="12"/>
      <c r="K550" s="13"/>
      <c r="L550" s="13"/>
      <c r="M550" s="13"/>
      <c r="N550" s="13"/>
      <c r="O550" s="13"/>
      <c r="P550" s="14" t="str">
        <f t="shared" si="32"/>
        <v/>
      </c>
      <c r="Q550" s="15" t="str">
        <f>IF(OR(J550="",H550=""),"",IFERROR(IF(ISNUMBER(N550),N550,IF(K550&lt;N(INDEX(Platforms!$G$5:$G$14,MATCH(H550,Lists!$A$2:$A$11,0))),N(INDEX(Platforms!$H$5:$H$14,MATCH(H550,Lists!$A$2:$A$11,0))),MAX(N(INDEX(Platforms!$F$5:$F$14,MATCH(H550,Lists!$A$2:$A$11,0))),N(INDEX(Platforms!$C$5:$C$14,MATCH(H550,Lists!$A$2:$A$11,0)))*(K550+IF(INDEX(Platforms!$E$5:$E$14,MATCH(H550,Lists!$A$2:$A$11,0))="Yes",N(L550),0))+N(INDEX(Platforms!$D$5:$D$14,MATCH(H550,Lists!$A$2:$A$11,0)))))),""))</f>
        <v/>
      </c>
      <c r="R550" s="16" t="str">
        <f t="shared" si="33"/>
        <v/>
      </c>
      <c r="S550" s="17" t="str">
        <f t="shared" si="34"/>
        <v/>
      </c>
      <c r="T550" s="18" t="str">
        <f t="shared" ca="1" si="35"/>
        <v/>
      </c>
    </row>
    <row r="551" spans="1:20" x14ac:dyDescent="0.35">
      <c r="A551" s="11"/>
      <c r="B551" s="11"/>
      <c r="C551" s="11"/>
      <c r="D551" s="12"/>
      <c r="E551" s="11"/>
      <c r="F551" s="13"/>
      <c r="G551" s="13"/>
      <c r="H551" s="11"/>
      <c r="I551" s="12"/>
      <c r="J551" s="12"/>
      <c r="K551" s="13"/>
      <c r="L551" s="13"/>
      <c r="M551" s="13"/>
      <c r="N551" s="13"/>
      <c r="O551" s="13"/>
      <c r="P551" s="14" t="str">
        <f t="shared" si="32"/>
        <v/>
      </c>
      <c r="Q551" s="15" t="str">
        <f>IF(OR(J551="",H551=""),"",IFERROR(IF(ISNUMBER(N551),N551,IF(K551&lt;N(INDEX(Platforms!$G$5:$G$14,MATCH(H551,Lists!$A$2:$A$11,0))),N(INDEX(Platforms!$H$5:$H$14,MATCH(H551,Lists!$A$2:$A$11,0))),MAX(N(INDEX(Platforms!$F$5:$F$14,MATCH(H551,Lists!$A$2:$A$11,0))),N(INDEX(Platforms!$C$5:$C$14,MATCH(H551,Lists!$A$2:$A$11,0)))*(K551+IF(INDEX(Platforms!$E$5:$E$14,MATCH(H551,Lists!$A$2:$A$11,0))="Yes",N(L551),0))+N(INDEX(Platforms!$D$5:$D$14,MATCH(H551,Lists!$A$2:$A$11,0)))))),""))</f>
        <v/>
      </c>
      <c r="R551" s="16" t="str">
        <f t="shared" si="33"/>
        <v/>
      </c>
      <c r="S551" s="17" t="str">
        <f t="shared" si="34"/>
        <v/>
      </c>
      <c r="T551" s="18" t="str">
        <f t="shared" ca="1" si="35"/>
        <v/>
      </c>
    </row>
    <row r="552" spans="1:20" x14ac:dyDescent="0.35">
      <c r="A552" s="11"/>
      <c r="B552" s="11"/>
      <c r="C552" s="11"/>
      <c r="D552" s="12"/>
      <c r="E552" s="11"/>
      <c r="F552" s="13"/>
      <c r="G552" s="13"/>
      <c r="H552" s="11"/>
      <c r="I552" s="12"/>
      <c r="J552" s="12"/>
      <c r="K552" s="13"/>
      <c r="L552" s="13"/>
      <c r="M552" s="13"/>
      <c r="N552" s="13"/>
      <c r="O552" s="13"/>
      <c r="P552" s="14" t="str">
        <f t="shared" si="32"/>
        <v/>
      </c>
      <c r="Q552" s="15" t="str">
        <f>IF(OR(J552="",H552=""),"",IFERROR(IF(ISNUMBER(N552),N552,IF(K552&lt;N(INDEX(Platforms!$G$5:$G$14,MATCH(H552,Lists!$A$2:$A$11,0))),N(INDEX(Platforms!$H$5:$H$14,MATCH(H552,Lists!$A$2:$A$11,0))),MAX(N(INDEX(Platforms!$F$5:$F$14,MATCH(H552,Lists!$A$2:$A$11,0))),N(INDEX(Platforms!$C$5:$C$14,MATCH(H552,Lists!$A$2:$A$11,0)))*(K552+IF(INDEX(Platforms!$E$5:$E$14,MATCH(H552,Lists!$A$2:$A$11,0))="Yes",N(L552),0))+N(INDEX(Platforms!$D$5:$D$14,MATCH(H552,Lists!$A$2:$A$11,0)))))),""))</f>
        <v/>
      </c>
      <c r="R552" s="16" t="str">
        <f t="shared" si="33"/>
        <v/>
      </c>
      <c r="S552" s="17" t="str">
        <f t="shared" si="34"/>
        <v/>
      </c>
      <c r="T552" s="18" t="str">
        <f t="shared" ca="1" si="35"/>
        <v/>
      </c>
    </row>
    <row r="553" spans="1:20" x14ac:dyDescent="0.35">
      <c r="A553" s="11"/>
      <c r="B553" s="11"/>
      <c r="C553" s="11"/>
      <c r="D553" s="12"/>
      <c r="E553" s="11"/>
      <c r="F553" s="13"/>
      <c r="G553" s="13"/>
      <c r="H553" s="11"/>
      <c r="I553" s="12"/>
      <c r="J553" s="12"/>
      <c r="K553" s="13"/>
      <c r="L553" s="13"/>
      <c r="M553" s="13"/>
      <c r="N553" s="13"/>
      <c r="O553" s="13"/>
      <c r="P553" s="14" t="str">
        <f t="shared" si="32"/>
        <v/>
      </c>
      <c r="Q553" s="15" t="str">
        <f>IF(OR(J553="",H553=""),"",IFERROR(IF(ISNUMBER(N553),N553,IF(K553&lt;N(INDEX(Platforms!$G$5:$G$14,MATCH(H553,Lists!$A$2:$A$11,0))),N(INDEX(Platforms!$H$5:$H$14,MATCH(H553,Lists!$A$2:$A$11,0))),MAX(N(INDEX(Platforms!$F$5:$F$14,MATCH(H553,Lists!$A$2:$A$11,0))),N(INDEX(Platforms!$C$5:$C$14,MATCH(H553,Lists!$A$2:$A$11,0)))*(K553+IF(INDEX(Platforms!$E$5:$E$14,MATCH(H553,Lists!$A$2:$A$11,0))="Yes",N(L553),0))+N(INDEX(Platforms!$D$5:$D$14,MATCH(H553,Lists!$A$2:$A$11,0)))))),""))</f>
        <v/>
      </c>
      <c r="R553" s="16" t="str">
        <f t="shared" si="33"/>
        <v/>
      </c>
      <c r="S553" s="17" t="str">
        <f t="shared" si="34"/>
        <v/>
      </c>
      <c r="T553" s="18" t="str">
        <f t="shared" ca="1" si="35"/>
        <v/>
      </c>
    </row>
    <row r="554" spans="1:20" x14ac:dyDescent="0.35">
      <c r="A554" s="11"/>
      <c r="B554" s="11"/>
      <c r="C554" s="11"/>
      <c r="D554" s="12"/>
      <c r="E554" s="11"/>
      <c r="F554" s="13"/>
      <c r="G554" s="13"/>
      <c r="H554" s="11"/>
      <c r="I554" s="12"/>
      <c r="J554" s="12"/>
      <c r="K554" s="13"/>
      <c r="L554" s="13"/>
      <c r="M554" s="13"/>
      <c r="N554" s="13"/>
      <c r="O554" s="13"/>
      <c r="P554" s="14" t="str">
        <f t="shared" si="32"/>
        <v/>
      </c>
      <c r="Q554" s="15" t="str">
        <f>IF(OR(J554="",H554=""),"",IFERROR(IF(ISNUMBER(N554),N554,IF(K554&lt;N(INDEX(Platforms!$G$5:$G$14,MATCH(H554,Lists!$A$2:$A$11,0))),N(INDEX(Platforms!$H$5:$H$14,MATCH(H554,Lists!$A$2:$A$11,0))),MAX(N(INDEX(Platforms!$F$5:$F$14,MATCH(H554,Lists!$A$2:$A$11,0))),N(INDEX(Platforms!$C$5:$C$14,MATCH(H554,Lists!$A$2:$A$11,0)))*(K554+IF(INDEX(Platforms!$E$5:$E$14,MATCH(H554,Lists!$A$2:$A$11,0))="Yes",N(L554),0))+N(INDEX(Platforms!$D$5:$D$14,MATCH(H554,Lists!$A$2:$A$11,0)))))),""))</f>
        <v/>
      </c>
      <c r="R554" s="16" t="str">
        <f t="shared" si="33"/>
        <v/>
      </c>
      <c r="S554" s="17" t="str">
        <f t="shared" si="34"/>
        <v/>
      </c>
      <c r="T554" s="18" t="str">
        <f t="shared" ca="1" si="35"/>
        <v/>
      </c>
    </row>
    <row r="555" spans="1:20" x14ac:dyDescent="0.35">
      <c r="A555" s="11"/>
      <c r="B555" s="11"/>
      <c r="C555" s="11"/>
      <c r="D555" s="12"/>
      <c r="E555" s="11"/>
      <c r="F555" s="13"/>
      <c r="G555" s="13"/>
      <c r="H555" s="11"/>
      <c r="I555" s="12"/>
      <c r="J555" s="12"/>
      <c r="K555" s="13"/>
      <c r="L555" s="13"/>
      <c r="M555" s="13"/>
      <c r="N555" s="13"/>
      <c r="O555" s="13"/>
      <c r="P555" s="14" t="str">
        <f t="shared" si="32"/>
        <v/>
      </c>
      <c r="Q555" s="15" t="str">
        <f>IF(OR(J555="",H555=""),"",IFERROR(IF(ISNUMBER(N555),N555,IF(K555&lt;N(INDEX(Platforms!$G$5:$G$14,MATCH(H555,Lists!$A$2:$A$11,0))),N(INDEX(Platforms!$H$5:$H$14,MATCH(H555,Lists!$A$2:$A$11,0))),MAX(N(INDEX(Platforms!$F$5:$F$14,MATCH(H555,Lists!$A$2:$A$11,0))),N(INDEX(Platforms!$C$5:$C$14,MATCH(H555,Lists!$A$2:$A$11,0)))*(K555+IF(INDEX(Platforms!$E$5:$E$14,MATCH(H555,Lists!$A$2:$A$11,0))="Yes",N(L555),0))+N(INDEX(Platforms!$D$5:$D$14,MATCH(H555,Lists!$A$2:$A$11,0)))))),""))</f>
        <v/>
      </c>
      <c r="R555" s="16" t="str">
        <f t="shared" si="33"/>
        <v/>
      </c>
      <c r="S555" s="17" t="str">
        <f t="shared" si="34"/>
        <v/>
      </c>
      <c r="T555" s="18" t="str">
        <f t="shared" ca="1" si="35"/>
        <v/>
      </c>
    </row>
    <row r="556" spans="1:20" x14ac:dyDescent="0.35">
      <c r="A556" s="11"/>
      <c r="B556" s="11"/>
      <c r="C556" s="11"/>
      <c r="D556" s="12"/>
      <c r="E556" s="11"/>
      <c r="F556" s="13"/>
      <c r="G556" s="13"/>
      <c r="H556" s="11"/>
      <c r="I556" s="12"/>
      <c r="J556" s="12"/>
      <c r="K556" s="13"/>
      <c r="L556" s="13"/>
      <c r="M556" s="13"/>
      <c r="N556" s="13"/>
      <c r="O556" s="13"/>
      <c r="P556" s="14" t="str">
        <f t="shared" si="32"/>
        <v/>
      </c>
      <c r="Q556" s="15" t="str">
        <f>IF(OR(J556="",H556=""),"",IFERROR(IF(ISNUMBER(N556),N556,IF(K556&lt;N(INDEX(Platforms!$G$5:$G$14,MATCH(H556,Lists!$A$2:$A$11,0))),N(INDEX(Platforms!$H$5:$H$14,MATCH(H556,Lists!$A$2:$A$11,0))),MAX(N(INDEX(Platforms!$F$5:$F$14,MATCH(H556,Lists!$A$2:$A$11,0))),N(INDEX(Platforms!$C$5:$C$14,MATCH(H556,Lists!$A$2:$A$11,0)))*(K556+IF(INDEX(Platforms!$E$5:$E$14,MATCH(H556,Lists!$A$2:$A$11,0))="Yes",N(L556),0))+N(INDEX(Platforms!$D$5:$D$14,MATCH(H556,Lists!$A$2:$A$11,0)))))),""))</f>
        <v/>
      </c>
      <c r="R556" s="16" t="str">
        <f t="shared" si="33"/>
        <v/>
      </c>
      <c r="S556" s="17" t="str">
        <f t="shared" si="34"/>
        <v/>
      </c>
      <c r="T556" s="18" t="str">
        <f t="shared" ca="1" si="35"/>
        <v/>
      </c>
    </row>
    <row r="557" spans="1:20" x14ac:dyDescent="0.35">
      <c r="A557" s="11"/>
      <c r="B557" s="11"/>
      <c r="C557" s="11"/>
      <c r="D557" s="12"/>
      <c r="E557" s="11"/>
      <c r="F557" s="13"/>
      <c r="G557" s="13"/>
      <c r="H557" s="11"/>
      <c r="I557" s="12"/>
      <c r="J557" s="12"/>
      <c r="K557" s="13"/>
      <c r="L557" s="13"/>
      <c r="M557" s="13"/>
      <c r="N557" s="13"/>
      <c r="O557" s="13"/>
      <c r="P557" s="14" t="str">
        <f t="shared" si="32"/>
        <v/>
      </c>
      <c r="Q557" s="15" t="str">
        <f>IF(OR(J557="",H557=""),"",IFERROR(IF(ISNUMBER(N557),N557,IF(K557&lt;N(INDEX(Platforms!$G$5:$G$14,MATCH(H557,Lists!$A$2:$A$11,0))),N(INDEX(Platforms!$H$5:$H$14,MATCH(H557,Lists!$A$2:$A$11,0))),MAX(N(INDEX(Platforms!$F$5:$F$14,MATCH(H557,Lists!$A$2:$A$11,0))),N(INDEX(Platforms!$C$5:$C$14,MATCH(H557,Lists!$A$2:$A$11,0)))*(K557+IF(INDEX(Platforms!$E$5:$E$14,MATCH(H557,Lists!$A$2:$A$11,0))="Yes",N(L557),0))+N(INDEX(Platforms!$D$5:$D$14,MATCH(H557,Lists!$A$2:$A$11,0)))))),""))</f>
        <v/>
      </c>
      <c r="R557" s="16" t="str">
        <f t="shared" si="33"/>
        <v/>
      </c>
      <c r="S557" s="17" t="str">
        <f t="shared" si="34"/>
        <v/>
      </c>
      <c r="T557" s="18" t="str">
        <f t="shared" ca="1" si="35"/>
        <v/>
      </c>
    </row>
    <row r="558" spans="1:20" x14ac:dyDescent="0.35">
      <c r="A558" s="11"/>
      <c r="B558" s="11"/>
      <c r="C558" s="11"/>
      <c r="D558" s="12"/>
      <c r="E558" s="11"/>
      <c r="F558" s="13"/>
      <c r="G558" s="13"/>
      <c r="H558" s="11"/>
      <c r="I558" s="12"/>
      <c r="J558" s="12"/>
      <c r="K558" s="13"/>
      <c r="L558" s="13"/>
      <c r="M558" s="13"/>
      <c r="N558" s="13"/>
      <c r="O558" s="13"/>
      <c r="P558" s="14" t="str">
        <f t="shared" si="32"/>
        <v/>
      </c>
      <c r="Q558" s="15" t="str">
        <f>IF(OR(J558="",H558=""),"",IFERROR(IF(ISNUMBER(N558),N558,IF(K558&lt;N(INDEX(Platforms!$G$5:$G$14,MATCH(H558,Lists!$A$2:$A$11,0))),N(INDEX(Platforms!$H$5:$H$14,MATCH(H558,Lists!$A$2:$A$11,0))),MAX(N(INDEX(Platforms!$F$5:$F$14,MATCH(H558,Lists!$A$2:$A$11,0))),N(INDEX(Platforms!$C$5:$C$14,MATCH(H558,Lists!$A$2:$A$11,0)))*(K558+IF(INDEX(Platforms!$E$5:$E$14,MATCH(H558,Lists!$A$2:$A$11,0))="Yes",N(L558),0))+N(INDEX(Platforms!$D$5:$D$14,MATCH(H558,Lists!$A$2:$A$11,0)))))),""))</f>
        <v/>
      </c>
      <c r="R558" s="16" t="str">
        <f t="shared" si="33"/>
        <v/>
      </c>
      <c r="S558" s="17" t="str">
        <f t="shared" si="34"/>
        <v/>
      </c>
      <c r="T558" s="18" t="str">
        <f t="shared" ca="1" si="35"/>
        <v/>
      </c>
    </row>
    <row r="559" spans="1:20" x14ac:dyDescent="0.35">
      <c r="A559" s="11"/>
      <c r="B559" s="11"/>
      <c r="C559" s="11"/>
      <c r="D559" s="12"/>
      <c r="E559" s="11"/>
      <c r="F559" s="13"/>
      <c r="G559" s="13"/>
      <c r="H559" s="11"/>
      <c r="I559" s="12"/>
      <c r="J559" s="12"/>
      <c r="K559" s="13"/>
      <c r="L559" s="13"/>
      <c r="M559" s="13"/>
      <c r="N559" s="13"/>
      <c r="O559" s="13"/>
      <c r="P559" s="14" t="str">
        <f t="shared" si="32"/>
        <v/>
      </c>
      <c r="Q559" s="15" t="str">
        <f>IF(OR(J559="",H559=""),"",IFERROR(IF(ISNUMBER(N559),N559,IF(K559&lt;N(INDEX(Platforms!$G$5:$G$14,MATCH(H559,Lists!$A$2:$A$11,0))),N(INDEX(Platforms!$H$5:$H$14,MATCH(H559,Lists!$A$2:$A$11,0))),MAX(N(INDEX(Platforms!$F$5:$F$14,MATCH(H559,Lists!$A$2:$A$11,0))),N(INDEX(Platforms!$C$5:$C$14,MATCH(H559,Lists!$A$2:$A$11,0)))*(K559+IF(INDEX(Platforms!$E$5:$E$14,MATCH(H559,Lists!$A$2:$A$11,0))="Yes",N(L559),0))+N(INDEX(Platforms!$D$5:$D$14,MATCH(H559,Lists!$A$2:$A$11,0)))))),""))</f>
        <v/>
      </c>
      <c r="R559" s="16" t="str">
        <f t="shared" si="33"/>
        <v/>
      </c>
      <c r="S559" s="17" t="str">
        <f t="shared" si="34"/>
        <v/>
      </c>
      <c r="T559" s="18" t="str">
        <f t="shared" ca="1" si="35"/>
        <v/>
      </c>
    </row>
    <row r="560" spans="1:20" x14ac:dyDescent="0.35">
      <c r="A560" s="11"/>
      <c r="B560" s="11"/>
      <c r="C560" s="11"/>
      <c r="D560" s="12"/>
      <c r="E560" s="11"/>
      <c r="F560" s="13"/>
      <c r="G560" s="13"/>
      <c r="H560" s="11"/>
      <c r="I560" s="12"/>
      <c r="J560" s="12"/>
      <c r="K560" s="13"/>
      <c r="L560" s="13"/>
      <c r="M560" s="13"/>
      <c r="N560" s="13"/>
      <c r="O560" s="13"/>
      <c r="P560" s="14" t="str">
        <f t="shared" si="32"/>
        <v/>
      </c>
      <c r="Q560" s="15" t="str">
        <f>IF(OR(J560="",H560=""),"",IFERROR(IF(ISNUMBER(N560),N560,IF(K560&lt;N(INDEX(Platforms!$G$5:$G$14,MATCH(H560,Lists!$A$2:$A$11,0))),N(INDEX(Platforms!$H$5:$H$14,MATCH(H560,Lists!$A$2:$A$11,0))),MAX(N(INDEX(Platforms!$F$5:$F$14,MATCH(H560,Lists!$A$2:$A$11,0))),N(INDEX(Platforms!$C$5:$C$14,MATCH(H560,Lists!$A$2:$A$11,0)))*(K560+IF(INDEX(Platforms!$E$5:$E$14,MATCH(H560,Lists!$A$2:$A$11,0))="Yes",N(L560),0))+N(INDEX(Platforms!$D$5:$D$14,MATCH(H560,Lists!$A$2:$A$11,0)))))),""))</f>
        <v/>
      </c>
      <c r="R560" s="16" t="str">
        <f t="shared" si="33"/>
        <v/>
      </c>
      <c r="S560" s="17" t="str">
        <f t="shared" si="34"/>
        <v/>
      </c>
      <c r="T560" s="18" t="str">
        <f t="shared" ca="1" si="35"/>
        <v/>
      </c>
    </row>
    <row r="561" spans="1:20" x14ac:dyDescent="0.35">
      <c r="A561" s="11"/>
      <c r="B561" s="11"/>
      <c r="C561" s="11"/>
      <c r="D561" s="12"/>
      <c r="E561" s="11"/>
      <c r="F561" s="13"/>
      <c r="G561" s="13"/>
      <c r="H561" s="11"/>
      <c r="I561" s="12"/>
      <c r="J561" s="12"/>
      <c r="K561" s="13"/>
      <c r="L561" s="13"/>
      <c r="M561" s="13"/>
      <c r="N561" s="13"/>
      <c r="O561" s="13"/>
      <c r="P561" s="14" t="str">
        <f t="shared" si="32"/>
        <v/>
      </c>
      <c r="Q561" s="15" t="str">
        <f>IF(OR(J561="",H561=""),"",IFERROR(IF(ISNUMBER(N561),N561,IF(K561&lt;N(INDEX(Platforms!$G$5:$G$14,MATCH(H561,Lists!$A$2:$A$11,0))),N(INDEX(Platforms!$H$5:$H$14,MATCH(H561,Lists!$A$2:$A$11,0))),MAX(N(INDEX(Platforms!$F$5:$F$14,MATCH(H561,Lists!$A$2:$A$11,0))),N(INDEX(Platforms!$C$5:$C$14,MATCH(H561,Lists!$A$2:$A$11,0)))*(K561+IF(INDEX(Platforms!$E$5:$E$14,MATCH(H561,Lists!$A$2:$A$11,0))="Yes",N(L561),0))+N(INDEX(Platforms!$D$5:$D$14,MATCH(H561,Lists!$A$2:$A$11,0)))))),""))</f>
        <v/>
      </c>
      <c r="R561" s="16" t="str">
        <f t="shared" si="33"/>
        <v/>
      </c>
      <c r="S561" s="17" t="str">
        <f t="shared" si="34"/>
        <v/>
      </c>
      <c r="T561" s="18" t="str">
        <f t="shared" ca="1" si="35"/>
        <v/>
      </c>
    </row>
    <row r="562" spans="1:20" x14ac:dyDescent="0.35">
      <c r="A562" s="11"/>
      <c r="B562" s="11"/>
      <c r="C562" s="11"/>
      <c r="D562" s="12"/>
      <c r="E562" s="11"/>
      <c r="F562" s="13"/>
      <c r="G562" s="13"/>
      <c r="H562" s="11"/>
      <c r="I562" s="12"/>
      <c r="J562" s="12"/>
      <c r="K562" s="13"/>
      <c r="L562" s="13"/>
      <c r="M562" s="13"/>
      <c r="N562" s="13"/>
      <c r="O562" s="13"/>
      <c r="P562" s="14" t="str">
        <f t="shared" si="32"/>
        <v/>
      </c>
      <c r="Q562" s="15" t="str">
        <f>IF(OR(J562="",H562=""),"",IFERROR(IF(ISNUMBER(N562),N562,IF(K562&lt;N(INDEX(Platforms!$G$5:$G$14,MATCH(H562,Lists!$A$2:$A$11,0))),N(INDEX(Platforms!$H$5:$H$14,MATCH(H562,Lists!$A$2:$A$11,0))),MAX(N(INDEX(Platforms!$F$5:$F$14,MATCH(H562,Lists!$A$2:$A$11,0))),N(INDEX(Platforms!$C$5:$C$14,MATCH(H562,Lists!$A$2:$A$11,0)))*(K562+IF(INDEX(Platforms!$E$5:$E$14,MATCH(H562,Lists!$A$2:$A$11,0))="Yes",N(L562),0))+N(INDEX(Platforms!$D$5:$D$14,MATCH(H562,Lists!$A$2:$A$11,0)))))),""))</f>
        <v/>
      </c>
      <c r="R562" s="16" t="str">
        <f t="shared" si="33"/>
        <v/>
      </c>
      <c r="S562" s="17" t="str">
        <f t="shared" si="34"/>
        <v/>
      </c>
      <c r="T562" s="18" t="str">
        <f t="shared" ca="1" si="35"/>
        <v/>
      </c>
    </row>
    <row r="563" spans="1:20" x14ac:dyDescent="0.35">
      <c r="A563" s="11"/>
      <c r="B563" s="11"/>
      <c r="C563" s="11"/>
      <c r="D563" s="12"/>
      <c r="E563" s="11"/>
      <c r="F563" s="13"/>
      <c r="G563" s="13"/>
      <c r="H563" s="11"/>
      <c r="I563" s="12"/>
      <c r="J563" s="12"/>
      <c r="K563" s="13"/>
      <c r="L563" s="13"/>
      <c r="M563" s="13"/>
      <c r="N563" s="13"/>
      <c r="O563" s="13"/>
      <c r="P563" s="14" t="str">
        <f t="shared" si="32"/>
        <v/>
      </c>
      <c r="Q563" s="15" t="str">
        <f>IF(OR(J563="",H563=""),"",IFERROR(IF(ISNUMBER(N563),N563,IF(K563&lt;N(INDEX(Platforms!$G$5:$G$14,MATCH(H563,Lists!$A$2:$A$11,0))),N(INDEX(Platforms!$H$5:$H$14,MATCH(H563,Lists!$A$2:$A$11,0))),MAX(N(INDEX(Platforms!$F$5:$F$14,MATCH(H563,Lists!$A$2:$A$11,0))),N(INDEX(Platforms!$C$5:$C$14,MATCH(H563,Lists!$A$2:$A$11,0)))*(K563+IF(INDEX(Platforms!$E$5:$E$14,MATCH(H563,Lists!$A$2:$A$11,0))="Yes",N(L563),0))+N(INDEX(Platforms!$D$5:$D$14,MATCH(H563,Lists!$A$2:$A$11,0)))))),""))</f>
        <v/>
      </c>
      <c r="R563" s="16" t="str">
        <f t="shared" si="33"/>
        <v/>
      </c>
      <c r="S563" s="17" t="str">
        <f t="shared" si="34"/>
        <v/>
      </c>
      <c r="T563" s="18" t="str">
        <f t="shared" ca="1" si="35"/>
        <v/>
      </c>
    </row>
    <row r="564" spans="1:20" x14ac:dyDescent="0.35">
      <c r="A564" s="11"/>
      <c r="B564" s="11"/>
      <c r="C564" s="11"/>
      <c r="D564" s="12"/>
      <c r="E564" s="11"/>
      <c r="F564" s="13"/>
      <c r="G564" s="13"/>
      <c r="H564" s="11"/>
      <c r="I564" s="12"/>
      <c r="J564" s="12"/>
      <c r="K564" s="13"/>
      <c r="L564" s="13"/>
      <c r="M564" s="13"/>
      <c r="N564" s="13"/>
      <c r="O564" s="13"/>
      <c r="P564" s="14" t="str">
        <f t="shared" si="32"/>
        <v/>
      </c>
      <c r="Q564" s="15" t="str">
        <f>IF(OR(J564="",H564=""),"",IFERROR(IF(ISNUMBER(N564),N564,IF(K564&lt;N(INDEX(Platforms!$G$5:$G$14,MATCH(H564,Lists!$A$2:$A$11,0))),N(INDEX(Platforms!$H$5:$H$14,MATCH(H564,Lists!$A$2:$A$11,0))),MAX(N(INDEX(Platforms!$F$5:$F$14,MATCH(H564,Lists!$A$2:$A$11,0))),N(INDEX(Platforms!$C$5:$C$14,MATCH(H564,Lists!$A$2:$A$11,0)))*(K564+IF(INDEX(Platforms!$E$5:$E$14,MATCH(H564,Lists!$A$2:$A$11,0))="Yes",N(L564),0))+N(INDEX(Platforms!$D$5:$D$14,MATCH(H564,Lists!$A$2:$A$11,0)))))),""))</f>
        <v/>
      </c>
      <c r="R564" s="16" t="str">
        <f t="shared" si="33"/>
        <v/>
      </c>
      <c r="S564" s="17" t="str">
        <f t="shared" si="34"/>
        <v/>
      </c>
      <c r="T564" s="18" t="str">
        <f t="shared" ca="1" si="35"/>
        <v/>
      </c>
    </row>
    <row r="565" spans="1:20" x14ac:dyDescent="0.35">
      <c r="A565" s="11"/>
      <c r="B565" s="11"/>
      <c r="C565" s="11"/>
      <c r="D565" s="12"/>
      <c r="E565" s="11"/>
      <c r="F565" s="13"/>
      <c r="G565" s="13"/>
      <c r="H565" s="11"/>
      <c r="I565" s="12"/>
      <c r="J565" s="12"/>
      <c r="K565" s="13"/>
      <c r="L565" s="13"/>
      <c r="M565" s="13"/>
      <c r="N565" s="13"/>
      <c r="O565" s="13"/>
      <c r="P565" s="14" t="str">
        <f t="shared" si="32"/>
        <v/>
      </c>
      <c r="Q565" s="15" t="str">
        <f>IF(OR(J565="",H565=""),"",IFERROR(IF(ISNUMBER(N565),N565,IF(K565&lt;N(INDEX(Platforms!$G$5:$G$14,MATCH(H565,Lists!$A$2:$A$11,0))),N(INDEX(Platforms!$H$5:$H$14,MATCH(H565,Lists!$A$2:$A$11,0))),MAX(N(INDEX(Platforms!$F$5:$F$14,MATCH(H565,Lists!$A$2:$A$11,0))),N(INDEX(Platforms!$C$5:$C$14,MATCH(H565,Lists!$A$2:$A$11,0)))*(K565+IF(INDEX(Platforms!$E$5:$E$14,MATCH(H565,Lists!$A$2:$A$11,0))="Yes",N(L565),0))+N(INDEX(Platforms!$D$5:$D$14,MATCH(H565,Lists!$A$2:$A$11,0)))))),""))</f>
        <v/>
      </c>
      <c r="R565" s="16" t="str">
        <f t="shared" si="33"/>
        <v/>
      </c>
      <c r="S565" s="17" t="str">
        <f t="shared" si="34"/>
        <v/>
      </c>
      <c r="T565" s="18" t="str">
        <f t="shared" ca="1" si="35"/>
        <v/>
      </c>
    </row>
    <row r="566" spans="1:20" x14ac:dyDescent="0.35">
      <c r="A566" s="11"/>
      <c r="B566" s="11"/>
      <c r="C566" s="11"/>
      <c r="D566" s="12"/>
      <c r="E566" s="11"/>
      <c r="F566" s="13"/>
      <c r="G566" s="13"/>
      <c r="H566" s="11"/>
      <c r="I566" s="12"/>
      <c r="J566" s="12"/>
      <c r="K566" s="13"/>
      <c r="L566" s="13"/>
      <c r="M566" s="13"/>
      <c r="N566" s="13"/>
      <c r="O566" s="13"/>
      <c r="P566" s="14" t="str">
        <f t="shared" si="32"/>
        <v/>
      </c>
      <c r="Q566" s="15" t="str">
        <f>IF(OR(J566="",H566=""),"",IFERROR(IF(ISNUMBER(N566),N566,IF(K566&lt;N(INDEX(Platforms!$G$5:$G$14,MATCH(H566,Lists!$A$2:$A$11,0))),N(INDEX(Platforms!$H$5:$H$14,MATCH(H566,Lists!$A$2:$A$11,0))),MAX(N(INDEX(Platforms!$F$5:$F$14,MATCH(H566,Lists!$A$2:$A$11,0))),N(INDEX(Platforms!$C$5:$C$14,MATCH(H566,Lists!$A$2:$A$11,0)))*(K566+IF(INDEX(Platforms!$E$5:$E$14,MATCH(H566,Lists!$A$2:$A$11,0))="Yes",N(L566),0))+N(INDEX(Platforms!$D$5:$D$14,MATCH(H566,Lists!$A$2:$A$11,0)))))),""))</f>
        <v/>
      </c>
      <c r="R566" s="16" t="str">
        <f t="shared" si="33"/>
        <v/>
      </c>
      <c r="S566" s="17" t="str">
        <f t="shared" si="34"/>
        <v/>
      </c>
      <c r="T566" s="18" t="str">
        <f t="shared" ca="1" si="35"/>
        <v/>
      </c>
    </row>
    <row r="567" spans="1:20" x14ac:dyDescent="0.35">
      <c r="A567" s="11"/>
      <c r="B567" s="11"/>
      <c r="C567" s="11"/>
      <c r="D567" s="12"/>
      <c r="E567" s="11"/>
      <c r="F567" s="13"/>
      <c r="G567" s="13"/>
      <c r="H567" s="11"/>
      <c r="I567" s="12"/>
      <c r="J567" s="12"/>
      <c r="K567" s="13"/>
      <c r="L567" s="13"/>
      <c r="M567" s="13"/>
      <c r="N567" s="13"/>
      <c r="O567" s="13"/>
      <c r="P567" s="14" t="str">
        <f t="shared" si="32"/>
        <v/>
      </c>
      <c r="Q567" s="15" t="str">
        <f>IF(OR(J567="",H567=""),"",IFERROR(IF(ISNUMBER(N567),N567,IF(K567&lt;N(INDEX(Platforms!$G$5:$G$14,MATCH(H567,Lists!$A$2:$A$11,0))),N(INDEX(Platforms!$H$5:$H$14,MATCH(H567,Lists!$A$2:$A$11,0))),MAX(N(INDEX(Platforms!$F$5:$F$14,MATCH(H567,Lists!$A$2:$A$11,0))),N(INDEX(Platforms!$C$5:$C$14,MATCH(H567,Lists!$A$2:$A$11,0)))*(K567+IF(INDEX(Platforms!$E$5:$E$14,MATCH(H567,Lists!$A$2:$A$11,0))="Yes",N(L567),0))+N(INDEX(Platforms!$D$5:$D$14,MATCH(H567,Lists!$A$2:$A$11,0)))))),""))</f>
        <v/>
      </c>
      <c r="R567" s="16" t="str">
        <f t="shared" si="33"/>
        <v/>
      </c>
      <c r="S567" s="17" t="str">
        <f t="shared" si="34"/>
        <v/>
      </c>
      <c r="T567" s="18" t="str">
        <f t="shared" ca="1" si="35"/>
        <v/>
      </c>
    </row>
    <row r="568" spans="1:20" x14ac:dyDescent="0.35">
      <c r="A568" s="11"/>
      <c r="B568" s="11"/>
      <c r="C568" s="11"/>
      <c r="D568" s="12"/>
      <c r="E568" s="11"/>
      <c r="F568" s="13"/>
      <c r="G568" s="13"/>
      <c r="H568" s="11"/>
      <c r="I568" s="12"/>
      <c r="J568" s="12"/>
      <c r="K568" s="13"/>
      <c r="L568" s="13"/>
      <c r="M568" s="13"/>
      <c r="N568" s="13"/>
      <c r="O568" s="13"/>
      <c r="P568" s="14" t="str">
        <f t="shared" si="32"/>
        <v/>
      </c>
      <c r="Q568" s="15" t="str">
        <f>IF(OR(J568="",H568=""),"",IFERROR(IF(ISNUMBER(N568),N568,IF(K568&lt;N(INDEX(Platforms!$G$5:$G$14,MATCH(H568,Lists!$A$2:$A$11,0))),N(INDEX(Platforms!$H$5:$H$14,MATCH(H568,Lists!$A$2:$A$11,0))),MAX(N(INDEX(Platforms!$F$5:$F$14,MATCH(H568,Lists!$A$2:$A$11,0))),N(INDEX(Platforms!$C$5:$C$14,MATCH(H568,Lists!$A$2:$A$11,0)))*(K568+IF(INDEX(Platforms!$E$5:$E$14,MATCH(H568,Lists!$A$2:$A$11,0))="Yes",N(L568),0))+N(INDEX(Platforms!$D$5:$D$14,MATCH(H568,Lists!$A$2:$A$11,0)))))),""))</f>
        <v/>
      </c>
      <c r="R568" s="16" t="str">
        <f t="shared" si="33"/>
        <v/>
      </c>
      <c r="S568" s="17" t="str">
        <f t="shared" si="34"/>
        <v/>
      </c>
      <c r="T568" s="18" t="str">
        <f t="shared" ca="1" si="35"/>
        <v/>
      </c>
    </row>
    <row r="569" spans="1:20" x14ac:dyDescent="0.35">
      <c r="A569" s="11"/>
      <c r="B569" s="11"/>
      <c r="C569" s="11"/>
      <c r="D569" s="12"/>
      <c r="E569" s="11"/>
      <c r="F569" s="13"/>
      <c r="G569" s="13"/>
      <c r="H569" s="11"/>
      <c r="I569" s="12"/>
      <c r="J569" s="12"/>
      <c r="K569" s="13"/>
      <c r="L569" s="13"/>
      <c r="M569" s="13"/>
      <c r="N569" s="13"/>
      <c r="O569" s="13"/>
      <c r="P569" s="14" t="str">
        <f t="shared" si="32"/>
        <v/>
      </c>
      <c r="Q569" s="15" t="str">
        <f>IF(OR(J569="",H569=""),"",IFERROR(IF(ISNUMBER(N569),N569,IF(K569&lt;N(INDEX(Platforms!$G$5:$G$14,MATCH(H569,Lists!$A$2:$A$11,0))),N(INDEX(Platforms!$H$5:$H$14,MATCH(H569,Lists!$A$2:$A$11,0))),MAX(N(INDEX(Platforms!$F$5:$F$14,MATCH(H569,Lists!$A$2:$A$11,0))),N(INDEX(Platforms!$C$5:$C$14,MATCH(H569,Lists!$A$2:$A$11,0)))*(K569+IF(INDEX(Platforms!$E$5:$E$14,MATCH(H569,Lists!$A$2:$A$11,0))="Yes",N(L569),0))+N(INDEX(Platforms!$D$5:$D$14,MATCH(H569,Lists!$A$2:$A$11,0)))))),""))</f>
        <v/>
      </c>
      <c r="R569" s="16" t="str">
        <f t="shared" si="33"/>
        <v/>
      </c>
      <c r="S569" s="17" t="str">
        <f t="shared" si="34"/>
        <v/>
      </c>
      <c r="T569" s="18" t="str">
        <f t="shared" ca="1" si="35"/>
        <v/>
      </c>
    </row>
    <row r="570" spans="1:20" x14ac:dyDescent="0.35">
      <c r="A570" s="11"/>
      <c r="B570" s="11"/>
      <c r="C570" s="11"/>
      <c r="D570" s="12"/>
      <c r="E570" s="11"/>
      <c r="F570" s="13"/>
      <c r="G570" s="13"/>
      <c r="H570" s="11"/>
      <c r="I570" s="12"/>
      <c r="J570" s="12"/>
      <c r="K570" s="13"/>
      <c r="L570" s="13"/>
      <c r="M570" s="13"/>
      <c r="N570" s="13"/>
      <c r="O570" s="13"/>
      <c r="P570" s="14" t="str">
        <f t="shared" si="32"/>
        <v/>
      </c>
      <c r="Q570" s="15" t="str">
        <f>IF(OR(J570="",H570=""),"",IFERROR(IF(ISNUMBER(N570),N570,IF(K570&lt;N(INDEX(Platforms!$G$5:$G$14,MATCH(H570,Lists!$A$2:$A$11,0))),N(INDEX(Platforms!$H$5:$H$14,MATCH(H570,Lists!$A$2:$A$11,0))),MAX(N(INDEX(Platforms!$F$5:$F$14,MATCH(H570,Lists!$A$2:$A$11,0))),N(INDEX(Platforms!$C$5:$C$14,MATCH(H570,Lists!$A$2:$A$11,0)))*(K570+IF(INDEX(Platforms!$E$5:$E$14,MATCH(H570,Lists!$A$2:$A$11,0))="Yes",N(L570),0))+N(INDEX(Platforms!$D$5:$D$14,MATCH(H570,Lists!$A$2:$A$11,0)))))),""))</f>
        <v/>
      </c>
      <c r="R570" s="16" t="str">
        <f t="shared" si="33"/>
        <v/>
      </c>
      <c r="S570" s="17" t="str">
        <f t="shared" si="34"/>
        <v/>
      </c>
      <c r="T570" s="18" t="str">
        <f t="shared" ca="1" si="35"/>
        <v/>
      </c>
    </row>
    <row r="571" spans="1:20" x14ac:dyDescent="0.35">
      <c r="A571" s="11"/>
      <c r="B571" s="11"/>
      <c r="C571" s="11"/>
      <c r="D571" s="12"/>
      <c r="E571" s="11"/>
      <c r="F571" s="13"/>
      <c r="G571" s="13"/>
      <c r="H571" s="11"/>
      <c r="I571" s="12"/>
      <c r="J571" s="12"/>
      <c r="K571" s="13"/>
      <c r="L571" s="13"/>
      <c r="M571" s="13"/>
      <c r="N571" s="13"/>
      <c r="O571" s="13"/>
      <c r="P571" s="14" t="str">
        <f t="shared" si="32"/>
        <v/>
      </c>
      <c r="Q571" s="15" t="str">
        <f>IF(OR(J571="",H571=""),"",IFERROR(IF(ISNUMBER(N571),N571,IF(K571&lt;N(INDEX(Platforms!$G$5:$G$14,MATCH(H571,Lists!$A$2:$A$11,0))),N(INDEX(Platforms!$H$5:$H$14,MATCH(H571,Lists!$A$2:$A$11,0))),MAX(N(INDEX(Platforms!$F$5:$F$14,MATCH(H571,Lists!$A$2:$A$11,0))),N(INDEX(Platforms!$C$5:$C$14,MATCH(H571,Lists!$A$2:$A$11,0)))*(K571+IF(INDEX(Platforms!$E$5:$E$14,MATCH(H571,Lists!$A$2:$A$11,0))="Yes",N(L571),0))+N(INDEX(Platforms!$D$5:$D$14,MATCH(H571,Lists!$A$2:$A$11,0)))))),""))</f>
        <v/>
      </c>
      <c r="R571" s="16" t="str">
        <f t="shared" si="33"/>
        <v/>
      </c>
      <c r="S571" s="17" t="str">
        <f t="shared" si="34"/>
        <v/>
      </c>
      <c r="T571" s="18" t="str">
        <f t="shared" ca="1" si="35"/>
        <v/>
      </c>
    </row>
    <row r="572" spans="1:20" x14ac:dyDescent="0.35">
      <c r="A572" s="11"/>
      <c r="B572" s="11"/>
      <c r="C572" s="11"/>
      <c r="D572" s="12"/>
      <c r="E572" s="11"/>
      <c r="F572" s="13"/>
      <c r="G572" s="13"/>
      <c r="H572" s="11"/>
      <c r="I572" s="12"/>
      <c r="J572" s="12"/>
      <c r="K572" s="13"/>
      <c r="L572" s="13"/>
      <c r="M572" s="13"/>
      <c r="N572" s="13"/>
      <c r="O572" s="13"/>
      <c r="P572" s="14" t="str">
        <f t="shared" si="32"/>
        <v/>
      </c>
      <c r="Q572" s="15" t="str">
        <f>IF(OR(J572="",H572=""),"",IFERROR(IF(ISNUMBER(N572),N572,IF(K572&lt;N(INDEX(Platforms!$G$5:$G$14,MATCH(H572,Lists!$A$2:$A$11,0))),N(INDEX(Platforms!$H$5:$H$14,MATCH(H572,Lists!$A$2:$A$11,0))),MAX(N(INDEX(Platforms!$F$5:$F$14,MATCH(H572,Lists!$A$2:$A$11,0))),N(INDEX(Platforms!$C$5:$C$14,MATCH(H572,Lists!$A$2:$A$11,0)))*(K572+IF(INDEX(Platforms!$E$5:$E$14,MATCH(H572,Lists!$A$2:$A$11,0))="Yes",N(L572),0))+N(INDEX(Platforms!$D$5:$D$14,MATCH(H572,Lists!$A$2:$A$11,0)))))),""))</f>
        <v/>
      </c>
      <c r="R572" s="16" t="str">
        <f t="shared" si="33"/>
        <v/>
      </c>
      <c r="S572" s="17" t="str">
        <f t="shared" si="34"/>
        <v/>
      </c>
      <c r="T572" s="18" t="str">
        <f t="shared" ca="1" si="35"/>
        <v/>
      </c>
    </row>
    <row r="573" spans="1:20" x14ac:dyDescent="0.35">
      <c r="A573" s="11"/>
      <c r="B573" s="11"/>
      <c r="C573" s="11"/>
      <c r="D573" s="12"/>
      <c r="E573" s="11"/>
      <c r="F573" s="13"/>
      <c r="G573" s="13"/>
      <c r="H573" s="11"/>
      <c r="I573" s="12"/>
      <c r="J573" s="12"/>
      <c r="K573" s="13"/>
      <c r="L573" s="13"/>
      <c r="M573" s="13"/>
      <c r="N573" s="13"/>
      <c r="O573" s="13"/>
      <c r="P573" s="14" t="str">
        <f t="shared" si="32"/>
        <v/>
      </c>
      <c r="Q573" s="15" t="str">
        <f>IF(OR(J573="",H573=""),"",IFERROR(IF(ISNUMBER(N573),N573,IF(K573&lt;N(INDEX(Platforms!$G$5:$G$14,MATCH(H573,Lists!$A$2:$A$11,0))),N(INDEX(Platforms!$H$5:$H$14,MATCH(H573,Lists!$A$2:$A$11,0))),MAX(N(INDEX(Platforms!$F$5:$F$14,MATCH(H573,Lists!$A$2:$A$11,0))),N(INDEX(Platforms!$C$5:$C$14,MATCH(H573,Lists!$A$2:$A$11,0)))*(K573+IF(INDEX(Platforms!$E$5:$E$14,MATCH(H573,Lists!$A$2:$A$11,0))="Yes",N(L573),0))+N(INDEX(Platforms!$D$5:$D$14,MATCH(H573,Lists!$A$2:$A$11,0)))))),""))</f>
        <v/>
      </c>
      <c r="R573" s="16" t="str">
        <f t="shared" si="33"/>
        <v/>
      </c>
      <c r="S573" s="17" t="str">
        <f t="shared" si="34"/>
        <v/>
      </c>
      <c r="T573" s="18" t="str">
        <f t="shared" ca="1" si="35"/>
        <v/>
      </c>
    </row>
    <row r="574" spans="1:20" x14ac:dyDescent="0.35">
      <c r="A574" s="11"/>
      <c r="B574" s="11"/>
      <c r="C574" s="11"/>
      <c r="D574" s="12"/>
      <c r="E574" s="11"/>
      <c r="F574" s="13"/>
      <c r="G574" s="13"/>
      <c r="H574" s="11"/>
      <c r="I574" s="12"/>
      <c r="J574" s="12"/>
      <c r="K574" s="13"/>
      <c r="L574" s="13"/>
      <c r="M574" s="13"/>
      <c r="N574" s="13"/>
      <c r="O574" s="13"/>
      <c r="P574" s="14" t="str">
        <f t="shared" si="32"/>
        <v/>
      </c>
      <c r="Q574" s="15" t="str">
        <f>IF(OR(J574="",H574=""),"",IFERROR(IF(ISNUMBER(N574),N574,IF(K574&lt;N(INDEX(Platforms!$G$5:$G$14,MATCH(H574,Lists!$A$2:$A$11,0))),N(INDEX(Platforms!$H$5:$H$14,MATCH(H574,Lists!$A$2:$A$11,0))),MAX(N(INDEX(Platforms!$F$5:$F$14,MATCH(H574,Lists!$A$2:$A$11,0))),N(INDEX(Platforms!$C$5:$C$14,MATCH(H574,Lists!$A$2:$A$11,0)))*(K574+IF(INDEX(Platforms!$E$5:$E$14,MATCH(H574,Lists!$A$2:$A$11,0))="Yes",N(L574),0))+N(INDEX(Platforms!$D$5:$D$14,MATCH(H574,Lists!$A$2:$A$11,0)))))),""))</f>
        <v/>
      </c>
      <c r="R574" s="16" t="str">
        <f t="shared" si="33"/>
        <v/>
      </c>
      <c r="S574" s="17" t="str">
        <f t="shared" si="34"/>
        <v/>
      </c>
      <c r="T574" s="18" t="str">
        <f t="shared" ca="1" si="35"/>
        <v/>
      </c>
    </row>
    <row r="575" spans="1:20" x14ac:dyDescent="0.35">
      <c r="A575" s="11"/>
      <c r="B575" s="11"/>
      <c r="C575" s="11"/>
      <c r="D575" s="12"/>
      <c r="E575" s="11"/>
      <c r="F575" s="13"/>
      <c r="G575" s="13"/>
      <c r="H575" s="11"/>
      <c r="I575" s="12"/>
      <c r="J575" s="12"/>
      <c r="K575" s="13"/>
      <c r="L575" s="13"/>
      <c r="M575" s="13"/>
      <c r="N575" s="13"/>
      <c r="O575" s="13"/>
      <c r="P575" s="14" t="str">
        <f t="shared" si="32"/>
        <v/>
      </c>
      <c r="Q575" s="15" t="str">
        <f>IF(OR(J575="",H575=""),"",IFERROR(IF(ISNUMBER(N575),N575,IF(K575&lt;N(INDEX(Platforms!$G$5:$G$14,MATCH(H575,Lists!$A$2:$A$11,0))),N(INDEX(Platforms!$H$5:$H$14,MATCH(H575,Lists!$A$2:$A$11,0))),MAX(N(INDEX(Platforms!$F$5:$F$14,MATCH(H575,Lists!$A$2:$A$11,0))),N(INDEX(Platforms!$C$5:$C$14,MATCH(H575,Lists!$A$2:$A$11,0)))*(K575+IF(INDEX(Platforms!$E$5:$E$14,MATCH(H575,Lists!$A$2:$A$11,0))="Yes",N(L575),0))+N(INDEX(Platforms!$D$5:$D$14,MATCH(H575,Lists!$A$2:$A$11,0)))))),""))</f>
        <v/>
      </c>
      <c r="R575" s="16" t="str">
        <f t="shared" si="33"/>
        <v/>
      </c>
      <c r="S575" s="17" t="str">
        <f t="shared" si="34"/>
        <v/>
      </c>
      <c r="T575" s="18" t="str">
        <f t="shared" ca="1" si="35"/>
        <v/>
      </c>
    </row>
    <row r="576" spans="1:20" x14ac:dyDescent="0.35">
      <c r="A576" s="11"/>
      <c r="B576" s="11"/>
      <c r="C576" s="11"/>
      <c r="D576" s="12"/>
      <c r="E576" s="11"/>
      <c r="F576" s="13"/>
      <c r="G576" s="13"/>
      <c r="H576" s="11"/>
      <c r="I576" s="12"/>
      <c r="J576" s="12"/>
      <c r="K576" s="13"/>
      <c r="L576" s="13"/>
      <c r="M576" s="13"/>
      <c r="N576" s="13"/>
      <c r="O576" s="13"/>
      <c r="P576" s="14" t="str">
        <f t="shared" si="32"/>
        <v/>
      </c>
      <c r="Q576" s="15" t="str">
        <f>IF(OR(J576="",H576=""),"",IFERROR(IF(ISNUMBER(N576),N576,IF(K576&lt;N(INDEX(Platforms!$G$5:$G$14,MATCH(H576,Lists!$A$2:$A$11,0))),N(INDEX(Platforms!$H$5:$H$14,MATCH(H576,Lists!$A$2:$A$11,0))),MAX(N(INDEX(Platforms!$F$5:$F$14,MATCH(H576,Lists!$A$2:$A$11,0))),N(INDEX(Platforms!$C$5:$C$14,MATCH(H576,Lists!$A$2:$A$11,0)))*(K576+IF(INDEX(Platforms!$E$5:$E$14,MATCH(H576,Lists!$A$2:$A$11,0))="Yes",N(L576),0))+N(INDEX(Platforms!$D$5:$D$14,MATCH(H576,Lists!$A$2:$A$11,0)))))),""))</f>
        <v/>
      </c>
      <c r="R576" s="16" t="str">
        <f t="shared" si="33"/>
        <v/>
      </c>
      <c r="S576" s="17" t="str">
        <f t="shared" si="34"/>
        <v/>
      </c>
      <c r="T576" s="18" t="str">
        <f t="shared" ca="1" si="35"/>
        <v/>
      </c>
    </row>
    <row r="577" spans="1:20" x14ac:dyDescent="0.35">
      <c r="A577" s="11"/>
      <c r="B577" s="11"/>
      <c r="C577" s="11"/>
      <c r="D577" s="12"/>
      <c r="E577" s="11"/>
      <c r="F577" s="13"/>
      <c r="G577" s="13"/>
      <c r="H577" s="11"/>
      <c r="I577" s="12"/>
      <c r="J577" s="12"/>
      <c r="K577" s="13"/>
      <c r="L577" s="13"/>
      <c r="M577" s="13"/>
      <c r="N577" s="13"/>
      <c r="O577" s="13"/>
      <c r="P577" s="14" t="str">
        <f t="shared" si="32"/>
        <v/>
      </c>
      <c r="Q577" s="15" t="str">
        <f>IF(OR(J577="",H577=""),"",IFERROR(IF(ISNUMBER(N577),N577,IF(K577&lt;N(INDEX(Platforms!$G$5:$G$14,MATCH(H577,Lists!$A$2:$A$11,0))),N(INDEX(Platforms!$H$5:$H$14,MATCH(H577,Lists!$A$2:$A$11,0))),MAX(N(INDEX(Platforms!$F$5:$F$14,MATCH(H577,Lists!$A$2:$A$11,0))),N(INDEX(Platforms!$C$5:$C$14,MATCH(H577,Lists!$A$2:$A$11,0)))*(K577+IF(INDEX(Platforms!$E$5:$E$14,MATCH(H577,Lists!$A$2:$A$11,0))="Yes",N(L577),0))+N(INDEX(Platforms!$D$5:$D$14,MATCH(H577,Lists!$A$2:$A$11,0)))))),""))</f>
        <v/>
      </c>
      <c r="R577" s="16" t="str">
        <f t="shared" si="33"/>
        <v/>
      </c>
      <c r="S577" s="17" t="str">
        <f t="shared" si="34"/>
        <v/>
      </c>
      <c r="T577" s="18" t="str">
        <f t="shared" ca="1" si="35"/>
        <v/>
      </c>
    </row>
    <row r="578" spans="1:20" x14ac:dyDescent="0.35">
      <c r="A578" s="11"/>
      <c r="B578" s="11"/>
      <c r="C578" s="11"/>
      <c r="D578" s="12"/>
      <c r="E578" s="11"/>
      <c r="F578" s="13"/>
      <c r="G578" s="13"/>
      <c r="H578" s="11"/>
      <c r="I578" s="12"/>
      <c r="J578" s="12"/>
      <c r="K578" s="13"/>
      <c r="L578" s="13"/>
      <c r="M578" s="13"/>
      <c r="N578" s="13"/>
      <c r="O578" s="13"/>
      <c r="P578" s="14" t="str">
        <f t="shared" si="32"/>
        <v/>
      </c>
      <c r="Q578" s="15" t="str">
        <f>IF(OR(J578="",H578=""),"",IFERROR(IF(ISNUMBER(N578),N578,IF(K578&lt;N(INDEX(Platforms!$G$5:$G$14,MATCH(H578,Lists!$A$2:$A$11,0))),N(INDEX(Platforms!$H$5:$H$14,MATCH(H578,Lists!$A$2:$A$11,0))),MAX(N(INDEX(Platforms!$F$5:$F$14,MATCH(H578,Lists!$A$2:$A$11,0))),N(INDEX(Platforms!$C$5:$C$14,MATCH(H578,Lists!$A$2:$A$11,0)))*(K578+IF(INDEX(Platforms!$E$5:$E$14,MATCH(H578,Lists!$A$2:$A$11,0))="Yes",N(L578),0))+N(INDEX(Platforms!$D$5:$D$14,MATCH(H578,Lists!$A$2:$A$11,0)))))),""))</f>
        <v/>
      </c>
      <c r="R578" s="16" t="str">
        <f t="shared" si="33"/>
        <v/>
      </c>
      <c r="S578" s="17" t="str">
        <f t="shared" si="34"/>
        <v/>
      </c>
      <c r="T578" s="18" t="str">
        <f t="shared" ca="1" si="35"/>
        <v/>
      </c>
    </row>
    <row r="579" spans="1:20" x14ac:dyDescent="0.35">
      <c r="A579" s="11"/>
      <c r="B579" s="11"/>
      <c r="C579" s="11"/>
      <c r="D579" s="12"/>
      <c r="E579" s="11"/>
      <c r="F579" s="13"/>
      <c r="G579" s="13"/>
      <c r="H579" s="11"/>
      <c r="I579" s="12"/>
      <c r="J579" s="12"/>
      <c r="K579" s="13"/>
      <c r="L579" s="13"/>
      <c r="M579" s="13"/>
      <c r="N579" s="13"/>
      <c r="O579" s="13"/>
      <c r="P579" s="14" t="str">
        <f t="shared" si="32"/>
        <v/>
      </c>
      <c r="Q579" s="15" t="str">
        <f>IF(OR(J579="",H579=""),"",IFERROR(IF(ISNUMBER(N579),N579,IF(K579&lt;N(INDEX(Platforms!$G$5:$G$14,MATCH(H579,Lists!$A$2:$A$11,0))),N(INDEX(Platforms!$H$5:$H$14,MATCH(H579,Lists!$A$2:$A$11,0))),MAX(N(INDEX(Platforms!$F$5:$F$14,MATCH(H579,Lists!$A$2:$A$11,0))),N(INDEX(Platforms!$C$5:$C$14,MATCH(H579,Lists!$A$2:$A$11,0)))*(K579+IF(INDEX(Platforms!$E$5:$E$14,MATCH(H579,Lists!$A$2:$A$11,0))="Yes",N(L579),0))+N(INDEX(Platforms!$D$5:$D$14,MATCH(H579,Lists!$A$2:$A$11,0)))))),""))</f>
        <v/>
      </c>
      <c r="R579" s="16" t="str">
        <f t="shared" si="33"/>
        <v/>
      </c>
      <c r="S579" s="17" t="str">
        <f t="shared" si="34"/>
        <v/>
      </c>
      <c r="T579" s="18" t="str">
        <f t="shared" ca="1" si="35"/>
        <v/>
      </c>
    </row>
    <row r="580" spans="1:20" x14ac:dyDescent="0.35">
      <c r="A580" s="11"/>
      <c r="B580" s="11"/>
      <c r="C580" s="11"/>
      <c r="D580" s="12"/>
      <c r="E580" s="11"/>
      <c r="F580" s="13"/>
      <c r="G580" s="13"/>
      <c r="H580" s="11"/>
      <c r="I580" s="12"/>
      <c r="J580" s="12"/>
      <c r="K580" s="13"/>
      <c r="L580" s="13"/>
      <c r="M580" s="13"/>
      <c r="N580" s="13"/>
      <c r="O580" s="13"/>
      <c r="P580" s="14" t="str">
        <f t="shared" si="32"/>
        <v/>
      </c>
      <c r="Q580" s="15" t="str">
        <f>IF(OR(J580="",H580=""),"",IFERROR(IF(ISNUMBER(N580),N580,IF(K580&lt;N(INDEX(Platforms!$G$5:$G$14,MATCH(H580,Lists!$A$2:$A$11,0))),N(INDEX(Platforms!$H$5:$H$14,MATCH(H580,Lists!$A$2:$A$11,0))),MAX(N(INDEX(Platforms!$F$5:$F$14,MATCH(H580,Lists!$A$2:$A$11,0))),N(INDEX(Platforms!$C$5:$C$14,MATCH(H580,Lists!$A$2:$A$11,0)))*(K580+IF(INDEX(Platforms!$E$5:$E$14,MATCH(H580,Lists!$A$2:$A$11,0))="Yes",N(L580),0))+N(INDEX(Platforms!$D$5:$D$14,MATCH(H580,Lists!$A$2:$A$11,0)))))),""))</f>
        <v/>
      </c>
      <c r="R580" s="16" t="str">
        <f t="shared" si="33"/>
        <v/>
      </c>
      <c r="S580" s="17" t="str">
        <f t="shared" si="34"/>
        <v/>
      </c>
      <c r="T580" s="18" t="str">
        <f t="shared" ca="1" si="35"/>
        <v/>
      </c>
    </row>
    <row r="581" spans="1:20" x14ac:dyDescent="0.35">
      <c r="A581" s="11"/>
      <c r="B581" s="11"/>
      <c r="C581" s="11"/>
      <c r="D581" s="12"/>
      <c r="E581" s="11"/>
      <c r="F581" s="13"/>
      <c r="G581" s="13"/>
      <c r="H581" s="11"/>
      <c r="I581" s="12"/>
      <c r="J581" s="12"/>
      <c r="K581" s="13"/>
      <c r="L581" s="13"/>
      <c r="M581" s="13"/>
      <c r="N581" s="13"/>
      <c r="O581" s="13"/>
      <c r="P581" s="14" t="str">
        <f t="shared" ref="P581:P644" si="36">IF(OR(B581&lt;&gt;"",F581&lt;&gt;"",H581&lt;&gt;"",J581&lt;&gt;"",K581&lt;&gt;""),IF(J581&lt;&gt;"","Sold",IF(I581&lt;&gt;"","Listed","In stock")),"")</f>
        <v/>
      </c>
      <c r="Q581" s="15" t="str">
        <f>IF(OR(J581="",H581=""),"",IFERROR(IF(ISNUMBER(N581),N581,IF(K581&lt;N(INDEX(Platforms!$G$5:$G$14,MATCH(H581,Lists!$A$2:$A$11,0))),N(INDEX(Platforms!$H$5:$H$14,MATCH(H581,Lists!$A$2:$A$11,0))),MAX(N(INDEX(Platforms!$F$5:$F$14,MATCH(H581,Lists!$A$2:$A$11,0))),N(INDEX(Platforms!$C$5:$C$14,MATCH(H581,Lists!$A$2:$A$11,0)))*(K581+IF(INDEX(Platforms!$E$5:$E$14,MATCH(H581,Lists!$A$2:$A$11,0))="Yes",N(L581),0))+N(INDEX(Platforms!$D$5:$D$14,MATCH(H581,Lists!$A$2:$A$11,0)))))),""))</f>
        <v/>
      </c>
      <c r="R581" s="16" t="str">
        <f t="shared" ref="R581:R644" si="37">IF(J581="","",IFERROR(K581+N(L581)-N(O581)-Q581-N(M581)-N(F581)-N(G581),""))</f>
        <v/>
      </c>
      <c r="S581" s="17" t="str">
        <f t="shared" ref="S581:S644" si="38">IF(OR(R581="",N(F581)+N(G581)=0),"",R581/(N(F581)+N(G581)))</f>
        <v/>
      </c>
      <c r="T581" s="18" t="str">
        <f t="shared" ref="T581:T644" ca="1" si="39">IFERROR(IF(ISNUMBER(D581),IF(ISNUMBER(J581),J581,IF(J581="",TODAY(),""))-D581,""),"")</f>
        <v/>
      </c>
    </row>
    <row r="582" spans="1:20" x14ac:dyDescent="0.35">
      <c r="A582" s="11"/>
      <c r="B582" s="11"/>
      <c r="C582" s="11"/>
      <c r="D582" s="12"/>
      <c r="E582" s="11"/>
      <c r="F582" s="13"/>
      <c r="G582" s="13"/>
      <c r="H582" s="11"/>
      <c r="I582" s="12"/>
      <c r="J582" s="12"/>
      <c r="K582" s="13"/>
      <c r="L582" s="13"/>
      <c r="M582" s="13"/>
      <c r="N582" s="13"/>
      <c r="O582" s="13"/>
      <c r="P582" s="14" t="str">
        <f t="shared" si="36"/>
        <v/>
      </c>
      <c r="Q582" s="15" t="str">
        <f>IF(OR(J582="",H582=""),"",IFERROR(IF(ISNUMBER(N582),N582,IF(K582&lt;N(INDEX(Platforms!$G$5:$G$14,MATCH(H582,Lists!$A$2:$A$11,0))),N(INDEX(Platforms!$H$5:$H$14,MATCH(H582,Lists!$A$2:$A$11,0))),MAX(N(INDEX(Platforms!$F$5:$F$14,MATCH(H582,Lists!$A$2:$A$11,0))),N(INDEX(Platforms!$C$5:$C$14,MATCH(H582,Lists!$A$2:$A$11,0)))*(K582+IF(INDEX(Platforms!$E$5:$E$14,MATCH(H582,Lists!$A$2:$A$11,0))="Yes",N(L582),0))+N(INDEX(Platforms!$D$5:$D$14,MATCH(H582,Lists!$A$2:$A$11,0)))))),""))</f>
        <v/>
      </c>
      <c r="R582" s="16" t="str">
        <f t="shared" si="37"/>
        <v/>
      </c>
      <c r="S582" s="17" t="str">
        <f t="shared" si="38"/>
        <v/>
      </c>
      <c r="T582" s="18" t="str">
        <f t="shared" ca="1" si="39"/>
        <v/>
      </c>
    </row>
    <row r="583" spans="1:20" x14ac:dyDescent="0.35">
      <c r="A583" s="11"/>
      <c r="B583" s="11"/>
      <c r="C583" s="11"/>
      <c r="D583" s="12"/>
      <c r="E583" s="11"/>
      <c r="F583" s="13"/>
      <c r="G583" s="13"/>
      <c r="H583" s="11"/>
      <c r="I583" s="12"/>
      <c r="J583" s="12"/>
      <c r="K583" s="13"/>
      <c r="L583" s="13"/>
      <c r="M583" s="13"/>
      <c r="N583" s="13"/>
      <c r="O583" s="13"/>
      <c r="P583" s="14" t="str">
        <f t="shared" si="36"/>
        <v/>
      </c>
      <c r="Q583" s="15" t="str">
        <f>IF(OR(J583="",H583=""),"",IFERROR(IF(ISNUMBER(N583),N583,IF(K583&lt;N(INDEX(Platforms!$G$5:$G$14,MATCH(H583,Lists!$A$2:$A$11,0))),N(INDEX(Platforms!$H$5:$H$14,MATCH(H583,Lists!$A$2:$A$11,0))),MAX(N(INDEX(Platforms!$F$5:$F$14,MATCH(H583,Lists!$A$2:$A$11,0))),N(INDEX(Platforms!$C$5:$C$14,MATCH(H583,Lists!$A$2:$A$11,0)))*(K583+IF(INDEX(Platforms!$E$5:$E$14,MATCH(H583,Lists!$A$2:$A$11,0))="Yes",N(L583),0))+N(INDEX(Platforms!$D$5:$D$14,MATCH(H583,Lists!$A$2:$A$11,0)))))),""))</f>
        <v/>
      </c>
      <c r="R583" s="16" t="str">
        <f t="shared" si="37"/>
        <v/>
      </c>
      <c r="S583" s="17" t="str">
        <f t="shared" si="38"/>
        <v/>
      </c>
      <c r="T583" s="18" t="str">
        <f t="shared" ca="1" si="39"/>
        <v/>
      </c>
    </row>
    <row r="584" spans="1:20" x14ac:dyDescent="0.35">
      <c r="A584" s="11"/>
      <c r="B584" s="11"/>
      <c r="C584" s="11"/>
      <c r="D584" s="12"/>
      <c r="E584" s="11"/>
      <c r="F584" s="13"/>
      <c r="G584" s="13"/>
      <c r="H584" s="11"/>
      <c r="I584" s="12"/>
      <c r="J584" s="12"/>
      <c r="K584" s="13"/>
      <c r="L584" s="13"/>
      <c r="M584" s="13"/>
      <c r="N584" s="13"/>
      <c r="O584" s="13"/>
      <c r="P584" s="14" t="str">
        <f t="shared" si="36"/>
        <v/>
      </c>
      <c r="Q584" s="15" t="str">
        <f>IF(OR(J584="",H584=""),"",IFERROR(IF(ISNUMBER(N584),N584,IF(K584&lt;N(INDEX(Platforms!$G$5:$G$14,MATCH(H584,Lists!$A$2:$A$11,0))),N(INDEX(Platforms!$H$5:$H$14,MATCH(H584,Lists!$A$2:$A$11,0))),MAX(N(INDEX(Platforms!$F$5:$F$14,MATCH(H584,Lists!$A$2:$A$11,0))),N(INDEX(Platforms!$C$5:$C$14,MATCH(H584,Lists!$A$2:$A$11,0)))*(K584+IF(INDEX(Platforms!$E$5:$E$14,MATCH(H584,Lists!$A$2:$A$11,0))="Yes",N(L584),0))+N(INDEX(Platforms!$D$5:$D$14,MATCH(H584,Lists!$A$2:$A$11,0)))))),""))</f>
        <v/>
      </c>
      <c r="R584" s="16" t="str">
        <f t="shared" si="37"/>
        <v/>
      </c>
      <c r="S584" s="17" t="str">
        <f t="shared" si="38"/>
        <v/>
      </c>
      <c r="T584" s="18" t="str">
        <f t="shared" ca="1" si="39"/>
        <v/>
      </c>
    </row>
    <row r="585" spans="1:20" x14ac:dyDescent="0.35">
      <c r="A585" s="11"/>
      <c r="B585" s="11"/>
      <c r="C585" s="11"/>
      <c r="D585" s="12"/>
      <c r="E585" s="11"/>
      <c r="F585" s="13"/>
      <c r="G585" s="13"/>
      <c r="H585" s="11"/>
      <c r="I585" s="12"/>
      <c r="J585" s="12"/>
      <c r="K585" s="13"/>
      <c r="L585" s="13"/>
      <c r="M585" s="13"/>
      <c r="N585" s="13"/>
      <c r="O585" s="13"/>
      <c r="P585" s="14" t="str">
        <f t="shared" si="36"/>
        <v/>
      </c>
      <c r="Q585" s="15" t="str">
        <f>IF(OR(J585="",H585=""),"",IFERROR(IF(ISNUMBER(N585),N585,IF(K585&lt;N(INDEX(Platforms!$G$5:$G$14,MATCH(H585,Lists!$A$2:$A$11,0))),N(INDEX(Platforms!$H$5:$H$14,MATCH(H585,Lists!$A$2:$A$11,0))),MAX(N(INDEX(Platforms!$F$5:$F$14,MATCH(H585,Lists!$A$2:$A$11,0))),N(INDEX(Platforms!$C$5:$C$14,MATCH(H585,Lists!$A$2:$A$11,0)))*(K585+IF(INDEX(Platforms!$E$5:$E$14,MATCH(H585,Lists!$A$2:$A$11,0))="Yes",N(L585),0))+N(INDEX(Platforms!$D$5:$D$14,MATCH(H585,Lists!$A$2:$A$11,0)))))),""))</f>
        <v/>
      </c>
      <c r="R585" s="16" t="str">
        <f t="shared" si="37"/>
        <v/>
      </c>
      <c r="S585" s="17" t="str">
        <f t="shared" si="38"/>
        <v/>
      </c>
      <c r="T585" s="18" t="str">
        <f t="shared" ca="1" si="39"/>
        <v/>
      </c>
    </row>
    <row r="586" spans="1:20" x14ac:dyDescent="0.35">
      <c r="A586" s="11"/>
      <c r="B586" s="11"/>
      <c r="C586" s="11"/>
      <c r="D586" s="12"/>
      <c r="E586" s="11"/>
      <c r="F586" s="13"/>
      <c r="G586" s="13"/>
      <c r="H586" s="11"/>
      <c r="I586" s="12"/>
      <c r="J586" s="12"/>
      <c r="K586" s="13"/>
      <c r="L586" s="13"/>
      <c r="M586" s="13"/>
      <c r="N586" s="13"/>
      <c r="O586" s="13"/>
      <c r="P586" s="14" t="str">
        <f t="shared" si="36"/>
        <v/>
      </c>
      <c r="Q586" s="15" t="str">
        <f>IF(OR(J586="",H586=""),"",IFERROR(IF(ISNUMBER(N586),N586,IF(K586&lt;N(INDEX(Platforms!$G$5:$G$14,MATCH(H586,Lists!$A$2:$A$11,0))),N(INDEX(Platforms!$H$5:$H$14,MATCH(H586,Lists!$A$2:$A$11,0))),MAX(N(INDEX(Platforms!$F$5:$F$14,MATCH(H586,Lists!$A$2:$A$11,0))),N(INDEX(Platforms!$C$5:$C$14,MATCH(H586,Lists!$A$2:$A$11,0)))*(K586+IF(INDEX(Platforms!$E$5:$E$14,MATCH(H586,Lists!$A$2:$A$11,0))="Yes",N(L586),0))+N(INDEX(Platforms!$D$5:$D$14,MATCH(H586,Lists!$A$2:$A$11,0)))))),""))</f>
        <v/>
      </c>
      <c r="R586" s="16" t="str">
        <f t="shared" si="37"/>
        <v/>
      </c>
      <c r="S586" s="17" t="str">
        <f t="shared" si="38"/>
        <v/>
      </c>
      <c r="T586" s="18" t="str">
        <f t="shared" ca="1" si="39"/>
        <v/>
      </c>
    </row>
    <row r="587" spans="1:20" x14ac:dyDescent="0.35">
      <c r="A587" s="11"/>
      <c r="B587" s="11"/>
      <c r="C587" s="11"/>
      <c r="D587" s="12"/>
      <c r="E587" s="11"/>
      <c r="F587" s="13"/>
      <c r="G587" s="13"/>
      <c r="H587" s="11"/>
      <c r="I587" s="12"/>
      <c r="J587" s="12"/>
      <c r="K587" s="13"/>
      <c r="L587" s="13"/>
      <c r="M587" s="13"/>
      <c r="N587" s="13"/>
      <c r="O587" s="13"/>
      <c r="P587" s="14" t="str">
        <f t="shared" si="36"/>
        <v/>
      </c>
      <c r="Q587" s="15" t="str">
        <f>IF(OR(J587="",H587=""),"",IFERROR(IF(ISNUMBER(N587),N587,IF(K587&lt;N(INDEX(Platforms!$G$5:$G$14,MATCH(H587,Lists!$A$2:$A$11,0))),N(INDEX(Platforms!$H$5:$H$14,MATCH(H587,Lists!$A$2:$A$11,0))),MAX(N(INDEX(Platforms!$F$5:$F$14,MATCH(H587,Lists!$A$2:$A$11,0))),N(INDEX(Platforms!$C$5:$C$14,MATCH(H587,Lists!$A$2:$A$11,0)))*(K587+IF(INDEX(Platforms!$E$5:$E$14,MATCH(H587,Lists!$A$2:$A$11,0))="Yes",N(L587),0))+N(INDEX(Platforms!$D$5:$D$14,MATCH(H587,Lists!$A$2:$A$11,0)))))),""))</f>
        <v/>
      </c>
      <c r="R587" s="16" t="str">
        <f t="shared" si="37"/>
        <v/>
      </c>
      <c r="S587" s="17" t="str">
        <f t="shared" si="38"/>
        <v/>
      </c>
      <c r="T587" s="18" t="str">
        <f t="shared" ca="1" si="39"/>
        <v/>
      </c>
    </row>
    <row r="588" spans="1:20" x14ac:dyDescent="0.35">
      <c r="A588" s="11"/>
      <c r="B588" s="11"/>
      <c r="C588" s="11"/>
      <c r="D588" s="12"/>
      <c r="E588" s="11"/>
      <c r="F588" s="13"/>
      <c r="G588" s="13"/>
      <c r="H588" s="11"/>
      <c r="I588" s="12"/>
      <c r="J588" s="12"/>
      <c r="K588" s="13"/>
      <c r="L588" s="13"/>
      <c r="M588" s="13"/>
      <c r="N588" s="13"/>
      <c r="O588" s="13"/>
      <c r="P588" s="14" t="str">
        <f t="shared" si="36"/>
        <v/>
      </c>
      <c r="Q588" s="15" t="str">
        <f>IF(OR(J588="",H588=""),"",IFERROR(IF(ISNUMBER(N588),N588,IF(K588&lt;N(INDEX(Platforms!$G$5:$G$14,MATCH(H588,Lists!$A$2:$A$11,0))),N(INDEX(Platforms!$H$5:$H$14,MATCH(H588,Lists!$A$2:$A$11,0))),MAX(N(INDEX(Platforms!$F$5:$F$14,MATCH(H588,Lists!$A$2:$A$11,0))),N(INDEX(Platforms!$C$5:$C$14,MATCH(H588,Lists!$A$2:$A$11,0)))*(K588+IF(INDEX(Platforms!$E$5:$E$14,MATCH(H588,Lists!$A$2:$A$11,0))="Yes",N(L588),0))+N(INDEX(Platforms!$D$5:$D$14,MATCH(H588,Lists!$A$2:$A$11,0)))))),""))</f>
        <v/>
      </c>
      <c r="R588" s="16" t="str">
        <f t="shared" si="37"/>
        <v/>
      </c>
      <c r="S588" s="17" t="str">
        <f t="shared" si="38"/>
        <v/>
      </c>
      <c r="T588" s="18" t="str">
        <f t="shared" ca="1" si="39"/>
        <v/>
      </c>
    </row>
    <row r="589" spans="1:20" x14ac:dyDescent="0.35">
      <c r="A589" s="11"/>
      <c r="B589" s="11"/>
      <c r="C589" s="11"/>
      <c r="D589" s="12"/>
      <c r="E589" s="11"/>
      <c r="F589" s="13"/>
      <c r="G589" s="13"/>
      <c r="H589" s="11"/>
      <c r="I589" s="12"/>
      <c r="J589" s="12"/>
      <c r="K589" s="13"/>
      <c r="L589" s="13"/>
      <c r="M589" s="13"/>
      <c r="N589" s="13"/>
      <c r="O589" s="13"/>
      <c r="P589" s="14" t="str">
        <f t="shared" si="36"/>
        <v/>
      </c>
      <c r="Q589" s="15" t="str">
        <f>IF(OR(J589="",H589=""),"",IFERROR(IF(ISNUMBER(N589),N589,IF(K589&lt;N(INDEX(Platforms!$G$5:$G$14,MATCH(H589,Lists!$A$2:$A$11,0))),N(INDEX(Platforms!$H$5:$H$14,MATCH(H589,Lists!$A$2:$A$11,0))),MAX(N(INDEX(Platforms!$F$5:$F$14,MATCH(H589,Lists!$A$2:$A$11,0))),N(INDEX(Platforms!$C$5:$C$14,MATCH(H589,Lists!$A$2:$A$11,0)))*(K589+IF(INDEX(Platforms!$E$5:$E$14,MATCH(H589,Lists!$A$2:$A$11,0))="Yes",N(L589),0))+N(INDEX(Platforms!$D$5:$D$14,MATCH(H589,Lists!$A$2:$A$11,0)))))),""))</f>
        <v/>
      </c>
      <c r="R589" s="16" t="str">
        <f t="shared" si="37"/>
        <v/>
      </c>
      <c r="S589" s="17" t="str">
        <f t="shared" si="38"/>
        <v/>
      </c>
      <c r="T589" s="18" t="str">
        <f t="shared" ca="1" si="39"/>
        <v/>
      </c>
    </row>
    <row r="590" spans="1:20" x14ac:dyDescent="0.35">
      <c r="A590" s="11"/>
      <c r="B590" s="11"/>
      <c r="C590" s="11"/>
      <c r="D590" s="12"/>
      <c r="E590" s="11"/>
      <c r="F590" s="13"/>
      <c r="G590" s="13"/>
      <c r="H590" s="11"/>
      <c r="I590" s="12"/>
      <c r="J590" s="12"/>
      <c r="K590" s="13"/>
      <c r="L590" s="13"/>
      <c r="M590" s="13"/>
      <c r="N590" s="13"/>
      <c r="O590" s="13"/>
      <c r="P590" s="14" t="str">
        <f t="shared" si="36"/>
        <v/>
      </c>
      <c r="Q590" s="15" t="str">
        <f>IF(OR(J590="",H590=""),"",IFERROR(IF(ISNUMBER(N590),N590,IF(K590&lt;N(INDEX(Platforms!$G$5:$G$14,MATCH(H590,Lists!$A$2:$A$11,0))),N(INDEX(Platforms!$H$5:$H$14,MATCH(H590,Lists!$A$2:$A$11,0))),MAX(N(INDEX(Platforms!$F$5:$F$14,MATCH(H590,Lists!$A$2:$A$11,0))),N(INDEX(Platforms!$C$5:$C$14,MATCH(H590,Lists!$A$2:$A$11,0)))*(K590+IF(INDEX(Platforms!$E$5:$E$14,MATCH(H590,Lists!$A$2:$A$11,0))="Yes",N(L590),0))+N(INDEX(Platforms!$D$5:$D$14,MATCH(H590,Lists!$A$2:$A$11,0)))))),""))</f>
        <v/>
      </c>
      <c r="R590" s="16" t="str">
        <f t="shared" si="37"/>
        <v/>
      </c>
      <c r="S590" s="17" t="str">
        <f t="shared" si="38"/>
        <v/>
      </c>
      <c r="T590" s="18" t="str">
        <f t="shared" ca="1" si="39"/>
        <v/>
      </c>
    </row>
    <row r="591" spans="1:20" x14ac:dyDescent="0.35">
      <c r="A591" s="11"/>
      <c r="B591" s="11"/>
      <c r="C591" s="11"/>
      <c r="D591" s="12"/>
      <c r="E591" s="11"/>
      <c r="F591" s="13"/>
      <c r="G591" s="13"/>
      <c r="H591" s="11"/>
      <c r="I591" s="12"/>
      <c r="J591" s="12"/>
      <c r="K591" s="13"/>
      <c r="L591" s="13"/>
      <c r="M591" s="13"/>
      <c r="N591" s="13"/>
      <c r="O591" s="13"/>
      <c r="P591" s="14" t="str">
        <f t="shared" si="36"/>
        <v/>
      </c>
      <c r="Q591" s="15" t="str">
        <f>IF(OR(J591="",H591=""),"",IFERROR(IF(ISNUMBER(N591),N591,IF(K591&lt;N(INDEX(Platforms!$G$5:$G$14,MATCH(H591,Lists!$A$2:$A$11,0))),N(INDEX(Platforms!$H$5:$H$14,MATCH(H591,Lists!$A$2:$A$11,0))),MAX(N(INDEX(Platforms!$F$5:$F$14,MATCH(H591,Lists!$A$2:$A$11,0))),N(INDEX(Platforms!$C$5:$C$14,MATCH(H591,Lists!$A$2:$A$11,0)))*(K591+IF(INDEX(Platforms!$E$5:$E$14,MATCH(H591,Lists!$A$2:$A$11,0))="Yes",N(L591),0))+N(INDEX(Platforms!$D$5:$D$14,MATCH(H591,Lists!$A$2:$A$11,0)))))),""))</f>
        <v/>
      </c>
      <c r="R591" s="16" t="str">
        <f t="shared" si="37"/>
        <v/>
      </c>
      <c r="S591" s="17" t="str">
        <f t="shared" si="38"/>
        <v/>
      </c>
      <c r="T591" s="18" t="str">
        <f t="shared" ca="1" si="39"/>
        <v/>
      </c>
    </row>
    <row r="592" spans="1:20" x14ac:dyDescent="0.35">
      <c r="A592" s="11"/>
      <c r="B592" s="11"/>
      <c r="C592" s="11"/>
      <c r="D592" s="12"/>
      <c r="E592" s="11"/>
      <c r="F592" s="13"/>
      <c r="G592" s="13"/>
      <c r="H592" s="11"/>
      <c r="I592" s="12"/>
      <c r="J592" s="12"/>
      <c r="K592" s="13"/>
      <c r="L592" s="13"/>
      <c r="M592" s="13"/>
      <c r="N592" s="13"/>
      <c r="O592" s="13"/>
      <c r="P592" s="14" t="str">
        <f t="shared" si="36"/>
        <v/>
      </c>
      <c r="Q592" s="15" t="str">
        <f>IF(OR(J592="",H592=""),"",IFERROR(IF(ISNUMBER(N592),N592,IF(K592&lt;N(INDEX(Platforms!$G$5:$G$14,MATCH(H592,Lists!$A$2:$A$11,0))),N(INDEX(Platforms!$H$5:$H$14,MATCH(H592,Lists!$A$2:$A$11,0))),MAX(N(INDEX(Platforms!$F$5:$F$14,MATCH(H592,Lists!$A$2:$A$11,0))),N(INDEX(Platforms!$C$5:$C$14,MATCH(H592,Lists!$A$2:$A$11,0)))*(K592+IF(INDEX(Platforms!$E$5:$E$14,MATCH(H592,Lists!$A$2:$A$11,0))="Yes",N(L592),0))+N(INDEX(Platforms!$D$5:$D$14,MATCH(H592,Lists!$A$2:$A$11,0)))))),""))</f>
        <v/>
      </c>
      <c r="R592" s="16" t="str">
        <f t="shared" si="37"/>
        <v/>
      </c>
      <c r="S592" s="17" t="str">
        <f t="shared" si="38"/>
        <v/>
      </c>
      <c r="T592" s="18" t="str">
        <f t="shared" ca="1" si="39"/>
        <v/>
      </c>
    </row>
    <row r="593" spans="1:20" x14ac:dyDescent="0.35">
      <c r="A593" s="11"/>
      <c r="B593" s="11"/>
      <c r="C593" s="11"/>
      <c r="D593" s="12"/>
      <c r="E593" s="11"/>
      <c r="F593" s="13"/>
      <c r="G593" s="13"/>
      <c r="H593" s="11"/>
      <c r="I593" s="12"/>
      <c r="J593" s="12"/>
      <c r="K593" s="13"/>
      <c r="L593" s="13"/>
      <c r="M593" s="13"/>
      <c r="N593" s="13"/>
      <c r="O593" s="13"/>
      <c r="P593" s="14" t="str">
        <f t="shared" si="36"/>
        <v/>
      </c>
      <c r="Q593" s="15" t="str">
        <f>IF(OR(J593="",H593=""),"",IFERROR(IF(ISNUMBER(N593),N593,IF(K593&lt;N(INDEX(Platforms!$G$5:$G$14,MATCH(H593,Lists!$A$2:$A$11,0))),N(INDEX(Platforms!$H$5:$H$14,MATCH(H593,Lists!$A$2:$A$11,0))),MAX(N(INDEX(Platforms!$F$5:$F$14,MATCH(H593,Lists!$A$2:$A$11,0))),N(INDEX(Platforms!$C$5:$C$14,MATCH(H593,Lists!$A$2:$A$11,0)))*(K593+IF(INDEX(Platforms!$E$5:$E$14,MATCH(H593,Lists!$A$2:$A$11,0))="Yes",N(L593),0))+N(INDEX(Platforms!$D$5:$D$14,MATCH(H593,Lists!$A$2:$A$11,0)))))),""))</f>
        <v/>
      </c>
      <c r="R593" s="16" t="str">
        <f t="shared" si="37"/>
        <v/>
      </c>
      <c r="S593" s="17" t="str">
        <f t="shared" si="38"/>
        <v/>
      </c>
      <c r="T593" s="18" t="str">
        <f t="shared" ca="1" si="39"/>
        <v/>
      </c>
    </row>
    <row r="594" spans="1:20" x14ac:dyDescent="0.35">
      <c r="A594" s="11"/>
      <c r="B594" s="11"/>
      <c r="C594" s="11"/>
      <c r="D594" s="12"/>
      <c r="E594" s="11"/>
      <c r="F594" s="13"/>
      <c r="G594" s="13"/>
      <c r="H594" s="11"/>
      <c r="I594" s="12"/>
      <c r="J594" s="12"/>
      <c r="K594" s="13"/>
      <c r="L594" s="13"/>
      <c r="M594" s="13"/>
      <c r="N594" s="13"/>
      <c r="O594" s="13"/>
      <c r="P594" s="14" t="str">
        <f t="shared" si="36"/>
        <v/>
      </c>
      <c r="Q594" s="15" t="str">
        <f>IF(OR(J594="",H594=""),"",IFERROR(IF(ISNUMBER(N594),N594,IF(K594&lt;N(INDEX(Platforms!$G$5:$G$14,MATCH(H594,Lists!$A$2:$A$11,0))),N(INDEX(Platforms!$H$5:$H$14,MATCH(H594,Lists!$A$2:$A$11,0))),MAX(N(INDEX(Platforms!$F$5:$F$14,MATCH(H594,Lists!$A$2:$A$11,0))),N(INDEX(Platforms!$C$5:$C$14,MATCH(H594,Lists!$A$2:$A$11,0)))*(K594+IF(INDEX(Platforms!$E$5:$E$14,MATCH(H594,Lists!$A$2:$A$11,0))="Yes",N(L594),0))+N(INDEX(Platforms!$D$5:$D$14,MATCH(H594,Lists!$A$2:$A$11,0)))))),""))</f>
        <v/>
      </c>
      <c r="R594" s="16" t="str">
        <f t="shared" si="37"/>
        <v/>
      </c>
      <c r="S594" s="17" t="str">
        <f t="shared" si="38"/>
        <v/>
      </c>
      <c r="T594" s="18" t="str">
        <f t="shared" ca="1" si="39"/>
        <v/>
      </c>
    </row>
    <row r="595" spans="1:20" x14ac:dyDescent="0.35">
      <c r="A595" s="11"/>
      <c r="B595" s="11"/>
      <c r="C595" s="11"/>
      <c r="D595" s="12"/>
      <c r="E595" s="11"/>
      <c r="F595" s="13"/>
      <c r="G595" s="13"/>
      <c r="H595" s="11"/>
      <c r="I595" s="12"/>
      <c r="J595" s="12"/>
      <c r="K595" s="13"/>
      <c r="L595" s="13"/>
      <c r="M595" s="13"/>
      <c r="N595" s="13"/>
      <c r="O595" s="13"/>
      <c r="P595" s="14" t="str">
        <f t="shared" si="36"/>
        <v/>
      </c>
      <c r="Q595" s="15" t="str">
        <f>IF(OR(J595="",H595=""),"",IFERROR(IF(ISNUMBER(N595),N595,IF(K595&lt;N(INDEX(Platforms!$G$5:$G$14,MATCH(H595,Lists!$A$2:$A$11,0))),N(INDEX(Platforms!$H$5:$H$14,MATCH(H595,Lists!$A$2:$A$11,0))),MAX(N(INDEX(Platforms!$F$5:$F$14,MATCH(H595,Lists!$A$2:$A$11,0))),N(INDEX(Platforms!$C$5:$C$14,MATCH(H595,Lists!$A$2:$A$11,0)))*(K595+IF(INDEX(Platforms!$E$5:$E$14,MATCH(H595,Lists!$A$2:$A$11,0))="Yes",N(L595),0))+N(INDEX(Platforms!$D$5:$D$14,MATCH(H595,Lists!$A$2:$A$11,0)))))),""))</f>
        <v/>
      </c>
      <c r="R595" s="16" t="str">
        <f t="shared" si="37"/>
        <v/>
      </c>
      <c r="S595" s="17" t="str">
        <f t="shared" si="38"/>
        <v/>
      </c>
      <c r="T595" s="18" t="str">
        <f t="shared" ca="1" si="39"/>
        <v/>
      </c>
    </row>
    <row r="596" spans="1:20" x14ac:dyDescent="0.35">
      <c r="A596" s="11"/>
      <c r="B596" s="11"/>
      <c r="C596" s="11"/>
      <c r="D596" s="12"/>
      <c r="E596" s="11"/>
      <c r="F596" s="13"/>
      <c r="G596" s="13"/>
      <c r="H596" s="11"/>
      <c r="I596" s="12"/>
      <c r="J596" s="12"/>
      <c r="K596" s="13"/>
      <c r="L596" s="13"/>
      <c r="M596" s="13"/>
      <c r="N596" s="13"/>
      <c r="O596" s="13"/>
      <c r="P596" s="14" t="str">
        <f t="shared" si="36"/>
        <v/>
      </c>
      <c r="Q596" s="15" t="str">
        <f>IF(OR(J596="",H596=""),"",IFERROR(IF(ISNUMBER(N596),N596,IF(K596&lt;N(INDEX(Platforms!$G$5:$G$14,MATCH(H596,Lists!$A$2:$A$11,0))),N(INDEX(Platforms!$H$5:$H$14,MATCH(H596,Lists!$A$2:$A$11,0))),MAX(N(INDEX(Platforms!$F$5:$F$14,MATCH(H596,Lists!$A$2:$A$11,0))),N(INDEX(Platforms!$C$5:$C$14,MATCH(H596,Lists!$A$2:$A$11,0)))*(K596+IF(INDEX(Platforms!$E$5:$E$14,MATCH(H596,Lists!$A$2:$A$11,0))="Yes",N(L596),0))+N(INDEX(Platforms!$D$5:$D$14,MATCH(H596,Lists!$A$2:$A$11,0)))))),""))</f>
        <v/>
      </c>
      <c r="R596" s="16" t="str">
        <f t="shared" si="37"/>
        <v/>
      </c>
      <c r="S596" s="17" t="str">
        <f t="shared" si="38"/>
        <v/>
      </c>
      <c r="T596" s="18" t="str">
        <f t="shared" ca="1" si="39"/>
        <v/>
      </c>
    </row>
    <row r="597" spans="1:20" x14ac:dyDescent="0.35">
      <c r="A597" s="11"/>
      <c r="B597" s="11"/>
      <c r="C597" s="11"/>
      <c r="D597" s="12"/>
      <c r="E597" s="11"/>
      <c r="F597" s="13"/>
      <c r="G597" s="13"/>
      <c r="H597" s="11"/>
      <c r="I597" s="12"/>
      <c r="J597" s="12"/>
      <c r="K597" s="13"/>
      <c r="L597" s="13"/>
      <c r="M597" s="13"/>
      <c r="N597" s="13"/>
      <c r="O597" s="13"/>
      <c r="P597" s="14" t="str">
        <f t="shared" si="36"/>
        <v/>
      </c>
      <c r="Q597" s="15" t="str">
        <f>IF(OR(J597="",H597=""),"",IFERROR(IF(ISNUMBER(N597),N597,IF(K597&lt;N(INDEX(Platforms!$G$5:$G$14,MATCH(H597,Lists!$A$2:$A$11,0))),N(INDEX(Platforms!$H$5:$H$14,MATCH(H597,Lists!$A$2:$A$11,0))),MAX(N(INDEX(Platforms!$F$5:$F$14,MATCH(H597,Lists!$A$2:$A$11,0))),N(INDEX(Platforms!$C$5:$C$14,MATCH(H597,Lists!$A$2:$A$11,0)))*(K597+IF(INDEX(Platforms!$E$5:$E$14,MATCH(H597,Lists!$A$2:$A$11,0))="Yes",N(L597),0))+N(INDEX(Platforms!$D$5:$D$14,MATCH(H597,Lists!$A$2:$A$11,0)))))),""))</f>
        <v/>
      </c>
      <c r="R597" s="16" t="str">
        <f t="shared" si="37"/>
        <v/>
      </c>
      <c r="S597" s="17" t="str">
        <f t="shared" si="38"/>
        <v/>
      </c>
      <c r="T597" s="18" t="str">
        <f t="shared" ca="1" si="39"/>
        <v/>
      </c>
    </row>
    <row r="598" spans="1:20" x14ac:dyDescent="0.35">
      <c r="A598" s="11"/>
      <c r="B598" s="11"/>
      <c r="C598" s="11"/>
      <c r="D598" s="12"/>
      <c r="E598" s="11"/>
      <c r="F598" s="13"/>
      <c r="G598" s="13"/>
      <c r="H598" s="11"/>
      <c r="I598" s="12"/>
      <c r="J598" s="12"/>
      <c r="K598" s="13"/>
      <c r="L598" s="13"/>
      <c r="M598" s="13"/>
      <c r="N598" s="13"/>
      <c r="O598" s="13"/>
      <c r="P598" s="14" t="str">
        <f t="shared" si="36"/>
        <v/>
      </c>
      <c r="Q598" s="15" t="str">
        <f>IF(OR(J598="",H598=""),"",IFERROR(IF(ISNUMBER(N598),N598,IF(K598&lt;N(INDEX(Platforms!$G$5:$G$14,MATCH(H598,Lists!$A$2:$A$11,0))),N(INDEX(Platforms!$H$5:$H$14,MATCH(H598,Lists!$A$2:$A$11,0))),MAX(N(INDEX(Platforms!$F$5:$F$14,MATCH(H598,Lists!$A$2:$A$11,0))),N(INDEX(Platforms!$C$5:$C$14,MATCH(H598,Lists!$A$2:$A$11,0)))*(K598+IF(INDEX(Platforms!$E$5:$E$14,MATCH(H598,Lists!$A$2:$A$11,0))="Yes",N(L598),0))+N(INDEX(Platforms!$D$5:$D$14,MATCH(H598,Lists!$A$2:$A$11,0)))))),""))</f>
        <v/>
      </c>
      <c r="R598" s="16" t="str">
        <f t="shared" si="37"/>
        <v/>
      </c>
      <c r="S598" s="17" t="str">
        <f t="shared" si="38"/>
        <v/>
      </c>
      <c r="T598" s="18" t="str">
        <f t="shared" ca="1" si="39"/>
        <v/>
      </c>
    </row>
    <row r="599" spans="1:20" x14ac:dyDescent="0.35">
      <c r="A599" s="11"/>
      <c r="B599" s="11"/>
      <c r="C599" s="11"/>
      <c r="D599" s="12"/>
      <c r="E599" s="11"/>
      <c r="F599" s="13"/>
      <c r="G599" s="13"/>
      <c r="H599" s="11"/>
      <c r="I599" s="12"/>
      <c r="J599" s="12"/>
      <c r="K599" s="13"/>
      <c r="L599" s="13"/>
      <c r="M599" s="13"/>
      <c r="N599" s="13"/>
      <c r="O599" s="13"/>
      <c r="P599" s="14" t="str">
        <f t="shared" si="36"/>
        <v/>
      </c>
      <c r="Q599" s="15" t="str">
        <f>IF(OR(J599="",H599=""),"",IFERROR(IF(ISNUMBER(N599),N599,IF(K599&lt;N(INDEX(Platforms!$G$5:$G$14,MATCH(H599,Lists!$A$2:$A$11,0))),N(INDEX(Platforms!$H$5:$H$14,MATCH(H599,Lists!$A$2:$A$11,0))),MAX(N(INDEX(Platforms!$F$5:$F$14,MATCH(H599,Lists!$A$2:$A$11,0))),N(INDEX(Platforms!$C$5:$C$14,MATCH(H599,Lists!$A$2:$A$11,0)))*(K599+IF(INDEX(Platforms!$E$5:$E$14,MATCH(H599,Lists!$A$2:$A$11,0))="Yes",N(L599),0))+N(INDEX(Platforms!$D$5:$D$14,MATCH(H599,Lists!$A$2:$A$11,0)))))),""))</f>
        <v/>
      </c>
      <c r="R599" s="16" t="str">
        <f t="shared" si="37"/>
        <v/>
      </c>
      <c r="S599" s="17" t="str">
        <f t="shared" si="38"/>
        <v/>
      </c>
      <c r="T599" s="18" t="str">
        <f t="shared" ca="1" si="39"/>
        <v/>
      </c>
    </row>
    <row r="600" spans="1:20" x14ac:dyDescent="0.35">
      <c r="A600" s="11"/>
      <c r="B600" s="11"/>
      <c r="C600" s="11"/>
      <c r="D600" s="12"/>
      <c r="E600" s="11"/>
      <c r="F600" s="13"/>
      <c r="G600" s="13"/>
      <c r="H600" s="11"/>
      <c r="I600" s="12"/>
      <c r="J600" s="12"/>
      <c r="K600" s="13"/>
      <c r="L600" s="13"/>
      <c r="M600" s="13"/>
      <c r="N600" s="13"/>
      <c r="O600" s="13"/>
      <c r="P600" s="14" t="str">
        <f t="shared" si="36"/>
        <v/>
      </c>
      <c r="Q600" s="15" t="str">
        <f>IF(OR(J600="",H600=""),"",IFERROR(IF(ISNUMBER(N600),N600,IF(K600&lt;N(INDEX(Platforms!$G$5:$G$14,MATCH(H600,Lists!$A$2:$A$11,0))),N(INDEX(Platforms!$H$5:$H$14,MATCH(H600,Lists!$A$2:$A$11,0))),MAX(N(INDEX(Platforms!$F$5:$F$14,MATCH(H600,Lists!$A$2:$A$11,0))),N(INDEX(Platforms!$C$5:$C$14,MATCH(H600,Lists!$A$2:$A$11,0)))*(K600+IF(INDEX(Platforms!$E$5:$E$14,MATCH(H600,Lists!$A$2:$A$11,0))="Yes",N(L600),0))+N(INDEX(Platforms!$D$5:$D$14,MATCH(H600,Lists!$A$2:$A$11,0)))))),""))</f>
        <v/>
      </c>
      <c r="R600" s="16" t="str">
        <f t="shared" si="37"/>
        <v/>
      </c>
      <c r="S600" s="17" t="str">
        <f t="shared" si="38"/>
        <v/>
      </c>
      <c r="T600" s="18" t="str">
        <f t="shared" ca="1" si="39"/>
        <v/>
      </c>
    </row>
    <row r="601" spans="1:20" x14ac:dyDescent="0.35">
      <c r="A601" s="11"/>
      <c r="B601" s="11"/>
      <c r="C601" s="11"/>
      <c r="D601" s="12"/>
      <c r="E601" s="11"/>
      <c r="F601" s="13"/>
      <c r="G601" s="13"/>
      <c r="H601" s="11"/>
      <c r="I601" s="12"/>
      <c r="J601" s="12"/>
      <c r="K601" s="13"/>
      <c r="L601" s="13"/>
      <c r="M601" s="13"/>
      <c r="N601" s="13"/>
      <c r="O601" s="13"/>
      <c r="P601" s="14" t="str">
        <f t="shared" si="36"/>
        <v/>
      </c>
      <c r="Q601" s="15" t="str">
        <f>IF(OR(J601="",H601=""),"",IFERROR(IF(ISNUMBER(N601),N601,IF(K601&lt;N(INDEX(Platforms!$G$5:$G$14,MATCH(H601,Lists!$A$2:$A$11,0))),N(INDEX(Platforms!$H$5:$H$14,MATCH(H601,Lists!$A$2:$A$11,0))),MAX(N(INDEX(Platforms!$F$5:$F$14,MATCH(H601,Lists!$A$2:$A$11,0))),N(INDEX(Platforms!$C$5:$C$14,MATCH(H601,Lists!$A$2:$A$11,0)))*(K601+IF(INDEX(Platforms!$E$5:$E$14,MATCH(H601,Lists!$A$2:$A$11,0))="Yes",N(L601),0))+N(INDEX(Platforms!$D$5:$D$14,MATCH(H601,Lists!$A$2:$A$11,0)))))),""))</f>
        <v/>
      </c>
      <c r="R601" s="16" t="str">
        <f t="shared" si="37"/>
        <v/>
      </c>
      <c r="S601" s="17" t="str">
        <f t="shared" si="38"/>
        <v/>
      </c>
      <c r="T601" s="18" t="str">
        <f t="shared" ca="1" si="39"/>
        <v/>
      </c>
    </row>
    <row r="602" spans="1:20" x14ac:dyDescent="0.35">
      <c r="A602" s="11"/>
      <c r="B602" s="11"/>
      <c r="C602" s="11"/>
      <c r="D602" s="12"/>
      <c r="E602" s="11"/>
      <c r="F602" s="13"/>
      <c r="G602" s="13"/>
      <c r="H602" s="11"/>
      <c r="I602" s="12"/>
      <c r="J602" s="12"/>
      <c r="K602" s="13"/>
      <c r="L602" s="13"/>
      <c r="M602" s="13"/>
      <c r="N602" s="13"/>
      <c r="O602" s="13"/>
      <c r="P602" s="14" t="str">
        <f t="shared" si="36"/>
        <v/>
      </c>
      <c r="Q602" s="15" t="str">
        <f>IF(OR(J602="",H602=""),"",IFERROR(IF(ISNUMBER(N602),N602,IF(K602&lt;N(INDEX(Platforms!$G$5:$G$14,MATCH(H602,Lists!$A$2:$A$11,0))),N(INDEX(Platforms!$H$5:$H$14,MATCH(H602,Lists!$A$2:$A$11,0))),MAX(N(INDEX(Platforms!$F$5:$F$14,MATCH(H602,Lists!$A$2:$A$11,0))),N(INDEX(Platforms!$C$5:$C$14,MATCH(H602,Lists!$A$2:$A$11,0)))*(K602+IF(INDEX(Platforms!$E$5:$E$14,MATCH(H602,Lists!$A$2:$A$11,0))="Yes",N(L602),0))+N(INDEX(Platforms!$D$5:$D$14,MATCH(H602,Lists!$A$2:$A$11,0)))))),""))</f>
        <v/>
      </c>
      <c r="R602" s="16" t="str">
        <f t="shared" si="37"/>
        <v/>
      </c>
      <c r="S602" s="17" t="str">
        <f t="shared" si="38"/>
        <v/>
      </c>
      <c r="T602" s="18" t="str">
        <f t="shared" ca="1" si="39"/>
        <v/>
      </c>
    </row>
    <row r="603" spans="1:20" x14ac:dyDescent="0.35">
      <c r="A603" s="11"/>
      <c r="B603" s="11"/>
      <c r="C603" s="11"/>
      <c r="D603" s="12"/>
      <c r="E603" s="11"/>
      <c r="F603" s="13"/>
      <c r="G603" s="13"/>
      <c r="H603" s="11"/>
      <c r="I603" s="12"/>
      <c r="J603" s="12"/>
      <c r="K603" s="13"/>
      <c r="L603" s="13"/>
      <c r="M603" s="13"/>
      <c r="N603" s="13"/>
      <c r="O603" s="13"/>
      <c r="P603" s="14" t="str">
        <f t="shared" si="36"/>
        <v/>
      </c>
      <c r="Q603" s="15" t="str">
        <f>IF(OR(J603="",H603=""),"",IFERROR(IF(ISNUMBER(N603),N603,IF(K603&lt;N(INDEX(Platforms!$G$5:$G$14,MATCH(H603,Lists!$A$2:$A$11,0))),N(INDEX(Platforms!$H$5:$H$14,MATCH(H603,Lists!$A$2:$A$11,0))),MAX(N(INDEX(Platforms!$F$5:$F$14,MATCH(H603,Lists!$A$2:$A$11,0))),N(INDEX(Platforms!$C$5:$C$14,MATCH(H603,Lists!$A$2:$A$11,0)))*(K603+IF(INDEX(Platforms!$E$5:$E$14,MATCH(H603,Lists!$A$2:$A$11,0))="Yes",N(L603),0))+N(INDEX(Platforms!$D$5:$D$14,MATCH(H603,Lists!$A$2:$A$11,0)))))),""))</f>
        <v/>
      </c>
      <c r="R603" s="16" t="str">
        <f t="shared" si="37"/>
        <v/>
      </c>
      <c r="S603" s="17" t="str">
        <f t="shared" si="38"/>
        <v/>
      </c>
      <c r="T603" s="18" t="str">
        <f t="shared" ca="1" si="39"/>
        <v/>
      </c>
    </row>
    <row r="604" spans="1:20" x14ac:dyDescent="0.35">
      <c r="A604" s="11"/>
      <c r="B604" s="11"/>
      <c r="C604" s="11"/>
      <c r="D604" s="12"/>
      <c r="E604" s="11"/>
      <c r="F604" s="13"/>
      <c r="G604" s="13"/>
      <c r="H604" s="11"/>
      <c r="I604" s="12"/>
      <c r="J604" s="12"/>
      <c r="K604" s="13"/>
      <c r="L604" s="13"/>
      <c r="M604" s="13"/>
      <c r="N604" s="13"/>
      <c r="O604" s="13"/>
      <c r="P604" s="14" t="str">
        <f t="shared" si="36"/>
        <v/>
      </c>
      <c r="Q604" s="15" t="str">
        <f>IF(OR(J604="",H604=""),"",IFERROR(IF(ISNUMBER(N604),N604,IF(K604&lt;N(INDEX(Platforms!$G$5:$G$14,MATCH(H604,Lists!$A$2:$A$11,0))),N(INDEX(Platforms!$H$5:$H$14,MATCH(H604,Lists!$A$2:$A$11,0))),MAX(N(INDEX(Platforms!$F$5:$F$14,MATCH(H604,Lists!$A$2:$A$11,0))),N(INDEX(Platforms!$C$5:$C$14,MATCH(H604,Lists!$A$2:$A$11,0)))*(K604+IF(INDEX(Platforms!$E$5:$E$14,MATCH(H604,Lists!$A$2:$A$11,0))="Yes",N(L604),0))+N(INDEX(Platforms!$D$5:$D$14,MATCH(H604,Lists!$A$2:$A$11,0)))))),""))</f>
        <v/>
      </c>
      <c r="R604" s="16" t="str">
        <f t="shared" si="37"/>
        <v/>
      </c>
      <c r="S604" s="17" t="str">
        <f t="shared" si="38"/>
        <v/>
      </c>
      <c r="T604" s="18" t="str">
        <f t="shared" ca="1" si="39"/>
        <v/>
      </c>
    </row>
    <row r="605" spans="1:20" x14ac:dyDescent="0.35">
      <c r="A605" s="11"/>
      <c r="B605" s="11"/>
      <c r="C605" s="11"/>
      <c r="D605" s="12"/>
      <c r="E605" s="11"/>
      <c r="F605" s="13"/>
      <c r="G605" s="13"/>
      <c r="H605" s="11"/>
      <c r="I605" s="12"/>
      <c r="J605" s="12"/>
      <c r="K605" s="13"/>
      <c r="L605" s="13"/>
      <c r="M605" s="13"/>
      <c r="N605" s="13"/>
      <c r="O605" s="13"/>
      <c r="P605" s="14" t="str">
        <f t="shared" si="36"/>
        <v/>
      </c>
      <c r="Q605" s="15" t="str">
        <f>IF(OR(J605="",H605=""),"",IFERROR(IF(ISNUMBER(N605),N605,IF(K605&lt;N(INDEX(Platforms!$G$5:$G$14,MATCH(H605,Lists!$A$2:$A$11,0))),N(INDEX(Platforms!$H$5:$H$14,MATCH(H605,Lists!$A$2:$A$11,0))),MAX(N(INDEX(Platforms!$F$5:$F$14,MATCH(H605,Lists!$A$2:$A$11,0))),N(INDEX(Platforms!$C$5:$C$14,MATCH(H605,Lists!$A$2:$A$11,0)))*(K605+IF(INDEX(Platforms!$E$5:$E$14,MATCH(H605,Lists!$A$2:$A$11,0))="Yes",N(L605),0))+N(INDEX(Platforms!$D$5:$D$14,MATCH(H605,Lists!$A$2:$A$11,0)))))),""))</f>
        <v/>
      </c>
      <c r="R605" s="16" t="str">
        <f t="shared" si="37"/>
        <v/>
      </c>
      <c r="S605" s="17" t="str">
        <f t="shared" si="38"/>
        <v/>
      </c>
      <c r="T605" s="18" t="str">
        <f t="shared" ca="1" si="39"/>
        <v/>
      </c>
    </row>
    <row r="606" spans="1:20" x14ac:dyDescent="0.35">
      <c r="A606" s="11"/>
      <c r="B606" s="11"/>
      <c r="C606" s="11"/>
      <c r="D606" s="12"/>
      <c r="E606" s="11"/>
      <c r="F606" s="13"/>
      <c r="G606" s="13"/>
      <c r="H606" s="11"/>
      <c r="I606" s="12"/>
      <c r="J606" s="12"/>
      <c r="K606" s="13"/>
      <c r="L606" s="13"/>
      <c r="M606" s="13"/>
      <c r="N606" s="13"/>
      <c r="O606" s="13"/>
      <c r="P606" s="14" t="str">
        <f t="shared" si="36"/>
        <v/>
      </c>
      <c r="Q606" s="15" t="str">
        <f>IF(OR(J606="",H606=""),"",IFERROR(IF(ISNUMBER(N606),N606,IF(K606&lt;N(INDEX(Platforms!$G$5:$G$14,MATCH(H606,Lists!$A$2:$A$11,0))),N(INDEX(Platforms!$H$5:$H$14,MATCH(H606,Lists!$A$2:$A$11,0))),MAX(N(INDEX(Platforms!$F$5:$F$14,MATCH(H606,Lists!$A$2:$A$11,0))),N(INDEX(Platforms!$C$5:$C$14,MATCH(H606,Lists!$A$2:$A$11,0)))*(K606+IF(INDEX(Platforms!$E$5:$E$14,MATCH(H606,Lists!$A$2:$A$11,0))="Yes",N(L606),0))+N(INDEX(Platforms!$D$5:$D$14,MATCH(H606,Lists!$A$2:$A$11,0)))))),""))</f>
        <v/>
      </c>
      <c r="R606" s="16" t="str">
        <f t="shared" si="37"/>
        <v/>
      </c>
      <c r="S606" s="17" t="str">
        <f t="shared" si="38"/>
        <v/>
      </c>
      <c r="T606" s="18" t="str">
        <f t="shared" ca="1" si="39"/>
        <v/>
      </c>
    </row>
    <row r="607" spans="1:20" x14ac:dyDescent="0.35">
      <c r="A607" s="11"/>
      <c r="B607" s="11"/>
      <c r="C607" s="11"/>
      <c r="D607" s="12"/>
      <c r="E607" s="11"/>
      <c r="F607" s="13"/>
      <c r="G607" s="13"/>
      <c r="H607" s="11"/>
      <c r="I607" s="12"/>
      <c r="J607" s="12"/>
      <c r="K607" s="13"/>
      <c r="L607" s="13"/>
      <c r="M607" s="13"/>
      <c r="N607" s="13"/>
      <c r="O607" s="13"/>
      <c r="P607" s="14" t="str">
        <f t="shared" si="36"/>
        <v/>
      </c>
      <c r="Q607" s="15" t="str">
        <f>IF(OR(J607="",H607=""),"",IFERROR(IF(ISNUMBER(N607),N607,IF(K607&lt;N(INDEX(Platforms!$G$5:$G$14,MATCH(H607,Lists!$A$2:$A$11,0))),N(INDEX(Platforms!$H$5:$H$14,MATCH(H607,Lists!$A$2:$A$11,0))),MAX(N(INDEX(Platforms!$F$5:$F$14,MATCH(H607,Lists!$A$2:$A$11,0))),N(INDEX(Platforms!$C$5:$C$14,MATCH(H607,Lists!$A$2:$A$11,0)))*(K607+IF(INDEX(Platforms!$E$5:$E$14,MATCH(H607,Lists!$A$2:$A$11,0))="Yes",N(L607),0))+N(INDEX(Platforms!$D$5:$D$14,MATCH(H607,Lists!$A$2:$A$11,0)))))),""))</f>
        <v/>
      </c>
      <c r="R607" s="16" t="str">
        <f t="shared" si="37"/>
        <v/>
      </c>
      <c r="S607" s="17" t="str">
        <f t="shared" si="38"/>
        <v/>
      </c>
      <c r="T607" s="18" t="str">
        <f t="shared" ca="1" si="39"/>
        <v/>
      </c>
    </row>
    <row r="608" spans="1:20" x14ac:dyDescent="0.35">
      <c r="A608" s="11"/>
      <c r="B608" s="11"/>
      <c r="C608" s="11"/>
      <c r="D608" s="12"/>
      <c r="E608" s="11"/>
      <c r="F608" s="13"/>
      <c r="G608" s="13"/>
      <c r="H608" s="11"/>
      <c r="I608" s="12"/>
      <c r="J608" s="12"/>
      <c r="K608" s="13"/>
      <c r="L608" s="13"/>
      <c r="M608" s="13"/>
      <c r="N608" s="13"/>
      <c r="O608" s="13"/>
      <c r="P608" s="14" t="str">
        <f t="shared" si="36"/>
        <v/>
      </c>
      <c r="Q608" s="15" t="str">
        <f>IF(OR(J608="",H608=""),"",IFERROR(IF(ISNUMBER(N608),N608,IF(K608&lt;N(INDEX(Platforms!$G$5:$G$14,MATCH(H608,Lists!$A$2:$A$11,0))),N(INDEX(Platforms!$H$5:$H$14,MATCH(H608,Lists!$A$2:$A$11,0))),MAX(N(INDEX(Platforms!$F$5:$F$14,MATCH(H608,Lists!$A$2:$A$11,0))),N(INDEX(Platforms!$C$5:$C$14,MATCH(H608,Lists!$A$2:$A$11,0)))*(K608+IF(INDEX(Platforms!$E$5:$E$14,MATCH(H608,Lists!$A$2:$A$11,0))="Yes",N(L608),0))+N(INDEX(Platforms!$D$5:$D$14,MATCH(H608,Lists!$A$2:$A$11,0)))))),""))</f>
        <v/>
      </c>
      <c r="R608" s="16" t="str">
        <f t="shared" si="37"/>
        <v/>
      </c>
      <c r="S608" s="17" t="str">
        <f t="shared" si="38"/>
        <v/>
      </c>
      <c r="T608" s="18" t="str">
        <f t="shared" ca="1" si="39"/>
        <v/>
      </c>
    </row>
    <row r="609" spans="1:20" x14ac:dyDescent="0.35">
      <c r="A609" s="11"/>
      <c r="B609" s="11"/>
      <c r="C609" s="11"/>
      <c r="D609" s="12"/>
      <c r="E609" s="11"/>
      <c r="F609" s="13"/>
      <c r="G609" s="13"/>
      <c r="H609" s="11"/>
      <c r="I609" s="12"/>
      <c r="J609" s="12"/>
      <c r="K609" s="13"/>
      <c r="L609" s="13"/>
      <c r="M609" s="13"/>
      <c r="N609" s="13"/>
      <c r="O609" s="13"/>
      <c r="P609" s="14" t="str">
        <f t="shared" si="36"/>
        <v/>
      </c>
      <c r="Q609" s="15" t="str">
        <f>IF(OR(J609="",H609=""),"",IFERROR(IF(ISNUMBER(N609),N609,IF(K609&lt;N(INDEX(Platforms!$G$5:$G$14,MATCH(H609,Lists!$A$2:$A$11,0))),N(INDEX(Platforms!$H$5:$H$14,MATCH(H609,Lists!$A$2:$A$11,0))),MAX(N(INDEX(Platforms!$F$5:$F$14,MATCH(H609,Lists!$A$2:$A$11,0))),N(INDEX(Platforms!$C$5:$C$14,MATCH(H609,Lists!$A$2:$A$11,0)))*(K609+IF(INDEX(Platforms!$E$5:$E$14,MATCH(H609,Lists!$A$2:$A$11,0))="Yes",N(L609),0))+N(INDEX(Platforms!$D$5:$D$14,MATCH(H609,Lists!$A$2:$A$11,0)))))),""))</f>
        <v/>
      </c>
      <c r="R609" s="16" t="str">
        <f t="shared" si="37"/>
        <v/>
      </c>
      <c r="S609" s="17" t="str">
        <f t="shared" si="38"/>
        <v/>
      </c>
      <c r="T609" s="18" t="str">
        <f t="shared" ca="1" si="39"/>
        <v/>
      </c>
    </row>
    <row r="610" spans="1:20" x14ac:dyDescent="0.35">
      <c r="A610" s="11"/>
      <c r="B610" s="11"/>
      <c r="C610" s="11"/>
      <c r="D610" s="12"/>
      <c r="E610" s="11"/>
      <c r="F610" s="13"/>
      <c r="G610" s="13"/>
      <c r="H610" s="11"/>
      <c r="I610" s="12"/>
      <c r="J610" s="12"/>
      <c r="K610" s="13"/>
      <c r="L610" s="13"/>
      <c r="M610" s="13"/>
      <c r="N610" s="13"/>
      <c r="O610" s="13"/>
      <c r="P610" s="14" t="str">
        <f t="shared" si="36"/>
        <v/>
      </c>
      <c r="Q610" s="15" t="str">
        <f>IF(OR(J610="",H610=""),"",IFERROR(IF(ISNUMBER(N610),N610,IF(K610&lt;N(INDEX(Platforms!$G$5:$G$14,MATCH(H610,Lists!$A$2:$A$11,0))),N(INDEX(Platforms!$H$5:$H$14,MATCH(H610,Lists!$A$2:$A$11,0))),MAX(N(INDEX(Platforms!$F$5:$F$14,MATCH(H610,Lists!$A$2:$A$11,0))),N(INDEX(Platforms!$C$5:$C$14,MATCH(H610,Lists!$A$2:$A$11,0)))*(K610+IF(INDEX(Platforms!$E$5:$E$14,MATCH(H610,Lists!$A$2:$A$11,0))="Yes",N(L610),0))+N(INDEX(Platforms!$D$5:$D$14,MATCH(H610,Lists!$A$2:$A$11,0)))))),""))</f>
        <v/>
      </c>
      <c r="R610" s="16" t="str">
        <f t="shared" si="37"/>
        <v/>
      </c>
      <c r="S610" s="17" t="str">
        <f t="shared" si="38"/>
        <v/>
      </c>
      <c r="T610" s="18" t="str">
        <f t="shared" ca="1" si="39"/>
        <v/>
      </c>
    </row>
    <row r="611" spans="1:20" x14ac:dyDescent="0.35">
      <c r="A611" s="11"/>
      <c r="B611" s="11"/>
      <c r="C611" s="11"/>
      <c r="D611" s="12"/>
      <c r="E611" s="11"/>
      <c r="F611" s="13"/>
      <c r="G611" s="13"/>
      <c r="H611" s="11"/>
      <c r="I611" s="12"/>
      <c r="J611" s="12"/>
      <c r="K611" s="13"/>
      <c r="L611" s="13"/>
      <c r="M611" s="13"/>
      <c r="N611" s="13"/>
      <c r="O611" s="13"/>
      <c r="P611" s="14" t="str">
        <f t="shared" si="36"/>
        <v/>
      </c>
      <c r="Q611" s="15" t="str">
        <f>IF(OR(J611="",H611=""),"",IFERROR(IF(ISNUMBER(N611),N611,IF(K611&lt;N(INDEX(Platforms!$G$5:$G$14,MATCH(H611,Lists!$A$2:$A$11,0))),N(INDEX(Platforms!$H$5:$H$14,MATCH(H611,Lists!$A$2:$A$11,0))),MAX(N(INDEX(Platforms!$F$5:$F$14,MATCH(H611,Lists!$A$2:$A$11,0))),N(INDEX(Platforms!$C$5:$C$14,MATCH(H611,Lists!$A$2:$A$11,0)))*(K611+IF(INDEX(Platforms!$E$5:$E$14,MATCH(H611,Lists!$A$2:$A$11,0))="Yes",N(L611),0))+N(INDEX(Platforms!$D$5:$D$14,MATCH(H611,Lists!$A$2:$A$11,0)))))),""))</f>
        <v/>
      </c>
      <c r="R611" s="16" t="str">
        <f t="shared" si="37"/>
        <v/>
      </c>
      <c r="S611" s="17" t="str">
        <f t="shared" si="38"/>
        <v/>
      </c>
      <c r="T611" s="18" t="str">
        <f t="shared" ca="1" si="39"/>
        <v/>
      </c>
    </row>
    <row r="612" spans="1:20" x14ac:dyDescent="0.35">
      <c r="A612" s="11"/>
      <c r="B612" s="11"/>
      <c r="C612" s="11"/>
      <c r="D612" s="12"/>
      <c r="E612" s="11"/>
      <c r="F612" s="13"/>
      <c r="G612" s="13"/>
      <c r="H612" s="11"/>
      <c r="I612" s="12"/>
      <c r="J612" s="12"/>
      <c r="K612" s="13"/>
      <c r="L612" s="13"/>
      <c r="M612" s="13"/>
      <c r="N612" s="13"/>
      <c r="O612" s="13"/>
      <c r="P612" s="14" t="str">
        <f t="shared" si="36"/>
        <v/>
      </c>
      <c r="Q612" s="15" t="str">
        <f>IF(OR(J612="",H612=""),"",IFERROR(IF(ISNUMBER(N612),N612,IF(K612&lt;N(INDEX(Platforms!$G$5:$G$14,MATCH(H612,Lists!$A$2:$A$11,0))),N(INDEX(Platforms!$H$5:$H$14,MATCH(H612,Lists!$A$2:$A$11,0))),MAX(N(INDEX(Platforms!$F$5:$F$14,MATCH(H612,Lists!$A$2:$A$11,0))),N(INDEX(Platforms!$C$5:$C$14,MATCH(H612,Lists!$A$2:$A$11,0)))*(K612+IF(INDEX(Platforms!$E$5:$E$14,MATCH(H612,Lists!$A$2:$A$11,0))="Yes",N(L612),0))+N(INDEX(Platforms!$D$5:$D$14,MATCH(H612,Lists!$A$2:$A$11,0)))))),""))</f>
        <v/>
      </c>
      <c r="R612" s="16" t="str">
        <f t="shared" si="37"/>
        <v/>
      </c>
      <c r="S612" s="17" t="str">
        <f t="shared" si="38"/>
        <v/>
      </c>
      <c r="T612" s="18" t="str">
        <f t="shared" ca="1" si="39"/>
        <v/>
      </c>
    </row>
    <row r="613" spans="1:20" x14ac:dyDescent="0.35">
      <c r="A613" s="11"/>
      <c r="B613" s="11"/>
      <c r="C613" s="11"/>
      <c r="D613" s="12"/>
      <c r="E613" s="11"/>
      <c r="F613" s="13"/>
      <c r="G613" s="13"/>
      <c r="H613" s="11"/>
      <c r="I613" s="12"/>
      <c r="J613" s="12"/>
      <c r="K613" s="13"/>
      <c r="L613" s="13"/>
      <c r="M613" s="13"/>
      <c r="N613" s="13"/>
      <c r="O613" s="13"/>
      <c r="P613" s="14" t="str">
        <f t="shared" si="36"/>
        <v/>
      </c>
      <c r="Q613" s="15" t="str">
        <f>IF(OR(J613="",H613=""),"",IFERROR(IF(ISNUMBER(N613),N613,IF(K613&lt;N(INDEX(Platforms!$G$5:$G$14,MATCH(H613,Lists!$A$2:$A$11,0))),N(INDEX(Platforms!$H$5:$H$14,MATCH(H613,Lists!$A$2:$A$11,0))),MAX(N(INDEX(Platforms!$F$5:$F$14,MATCH(H613,Lists!$A$2:$A$11,0))),N(INDEX(Platforms!$C$5:$C$14,MATCH(H613,Lists!$A$2:$A$11,0)))*(K613+IF(INDEX(Platforms!$E$5:$E$14,MATCH(H613,Lists!$A$2:$A$11,0))="Yes",N(L613),0))+N(INDEX(Platforms!$D$5:$D$14,MATCH(H613,Lists!$A$2:$A$11,0)))))),""))</f>
        <v/>
      </c>
      <c r="R613" s="16" t="str">
        <f t="shared" si="37"/>
        <v/>
      </c>
      <c r="S613" s="17" t="str">
        <f t="shared" si="38"/>
        <v/>
      </c>
      <c r="T613" s="18" t="str">
        <f t="shared" ca="1" si="39"/>
        <v/>
      </c>
    </row>
    <row r="614" spans="1:20" x14ac:dyDescent="0.35">
      <c r="A614" s="11"/>
      <c r="B614" s="11"/>
      <c r="C614" s="11"/>
      <c r="D614" s="12"/>
      <c r="E614" s="11"/>
      <c r="F614" s="13"/>
      <c r="G614" s="13"/>
      <c r="H614" s="11"/>
      <c r="I614" s="12"/>
      <c r="J614" s="12"/>
      <c r="K614" s="13"/>
      <c r="L614" s="13"/>
      <c r="M614" s="13"/>
      <c r="N614" s="13"/>
      <c r="O614" s="13"/>
      <c r="P614" s="14" t="str">
        <f t="shared" si="36"/>
        <v/>
      </c>
      <c r="Q614" s="15" t="str">
        <f>IF(OR(J614="",H614=""),"",IFERROR(IF(ISNUMBER(N614),N614,IF(K614&lt;N(INDEX(Platforms!$G$5:$G$14,MATCH(H614,Lists!$A$2:$A$11,0))),N(INDEX(Platforms!$H$5:$H$14,MATCH(H614,Lists!$A$2:$A$11,0))),MAX(N(INDEX(Platforms!$F$5:$F$14,MATCH(H614,Lists!$A$2:$A$11,0))),N(INDEX(Platforms!$C$5:$C$14,MATCH(H614,Lists!$A$2:$A$11,0)))*(K614+IF(INDEX(Platforms!$E$5:$E$14,MATCH(H614,Lists!$A$2:$A$11,0))="Yes",N(L614),0))+N(INDEX(Platforms!$D$5:$D$14,MATCH(H614,Lists!$A$2:$A$11,0)))))),""))</f>
        <v/>
      </c>
      <c r="R614" s="16" t="str">
        <f t="shared" si="37"/>
        <v/>
      </c>
      <c r="S614" s="17" t="str">
        <f t="shared" si="38"/>
        <v/>
      </c>
      <c r="T614" s="18" t="str">
        <f t="shared" ca="1" si="39"/>
        <v/>
      </c>
    </row>
    <row r="615" spans="1:20" x14ac:dyDescent="0.35">
      <c r="A615" s="11"/>
      <c r="B615" s="11"/>
      <c r="C615" s="11"/>
      <c r="D615" s="12"/>
      <c r="E615" s="11"/>
      <c r="F615" s="13"/>
      <c r="G615" s="13"/>
      <c r="H615" s="11"/>
      <c r="I615" s="12"/>
      <c r="J615" s="12"/>
      <c r="K615" s="13"/>
      <c r="L615" s="13"/>
      <c r="M615" s="13"/>
      <c r="N615" s="13"/>
      <c r="O615" s="13"/>
      <c r="P615" s="14" t="str">
        <f t="shared" si="36"/>
        <v/>
      </c>
      <c r="Q615" s="15" t="str">
        <f>IF(OR(J615="",H615=""),"",IFERROR(IF(ISNUMBER(N615),N615,IF(K615&lt;N(INDEX(Platforms!$G$5:$G$14,MATCH(H615,Lists!$A$2:$A$11,0))),N(INDEX(Platforms!$H$5:$H$14,MATCH(H615,Lists!$A$2:$A$11,0))),MAX(N(INDEX(Platforms!$F$5:$F$14,MATCH(H615,Lists!$A$2:$A$11,0))),N(INDEX(Platforms!$C$5:$C$14,MATCH(H615,Lists!$A$2:$A$11,0)))*(K615+IF(INDEX(Platforms!$E$5:$E$14,MATCH(H615,Lists!$A$2:$A$11,0))="Yes",N(L615),0))+N(INDEX(Platforms!$D$5:$D$14,MATCH(H615,Lists!$A$2:$A$11,0)))))),""))</f>
        <v/>
      </c>
      <c r="R615" s="16" t="str">
        <f t="shared" si="37"/>
        <v/>
      </c>
      <c r="S615" s="17" t="str">
        <f t="shared" si="38"/>
        <v/>
      </c>
      <c r="T615" s="18" t="str">
        <f t="shared" ca="1" si="39"/>
        <v/>
      </c>
    </row>
    <row r="616" spans="1:20" x14ac:dyDescent="0.35">
      <c r="A616" s="11"/>
      <c r="B616" s="11"/>
      <c r="C616" s="11"/>
      <c r="D616" s="12"/>
      <c r="E616" s="11"/>
      <c r="F616" s="13"/>
      <c r="G616" s="13"/>
      <c r="H616" s="11"/>
      <c r="I616" s="12"/>
      <c r="J616" s="12"/>
      <c r="K616" s="13"/>
      <c r="L616" s="13"/>
      <c r="M616" s="13"/>
      <c r="N616" s="13"/>
      <c r="O616" s="13"/>
      <c r="P616" s="14" t="str">
        <f t="shared" si="36"/>
        <v/>
      </c>
      <c r="Q616" s="15" t="str">
        <f>IF(OR(J616="",H616=""),"",IFERROR(IF(ISNUMBER(N616),N616,IF(K616&lt;N(INDEX(Platforms!$G$5:$G$14,MATCH(H616,Lists!$A$2:$A$11,0))),N(INDEX(Platforms!$H$5:$H$14,MATCH(H616,Lists!$A$2:$A$11,0))),MAX(N(INDEX(Platforms!$F$5:$F$14,MATCH(H616,Lists!$A$2:$A$11,0))),N(INDEX(Platforms!$C$5:$C$14,MATCH(H616,Lists!$A$2:$A$11,0)))*(K616+IF(INDEX(Platforms!$E$5:$E$14,MATCH(H616,Lists!$A$2:$A$11,0))="Yes",N(L616),0))+N(INDEX(Platforms!$D$5:$D$14,MATCH(H616,Lists!$A$2:$A$11,0)))))),""))</f>
        <v/>
      </c>
      <c r="R616" s="16" t="str">
        <f t="shared" si="37"/>
        <v/>
      </c>
      <c r="S616" s="17" t="str">
        <f t="shared" si="38"/>
        <v/>
      </c>
      <c r="T616" s="18" t="str">
        <f t="shared" ca="1" si="39"/>
        <v/>
      </c>
    </row>
    <row r="617" spans="1:20" x14ac:dyDescent="0.35">
      <c r="A617" s="11"/>
      <c r="B617" s="11"/>
      <c r="C617" s="11"/>
      <c r="D617" s="12"/>
      <c r="E617" s="11"/>
      <c r="F617" s="13"/>
      <c r="G617" s="13"/>
      <c r="H617" s="11"/>
      <c r="I617" s="12"/>
      <c r="J617" s="12"/>
      <c r="K617" s="13"/>
      <c r="L617" s="13"/>
      <c r="M617" s="13"/>
      <c r="N617" s="13"/>
      <c r="O617" s="13"/>
      <c r="P617" s="14" t="str">
        <f t="shared" si="36"/>
        <v/>
      </c>
      <c r="Q617" s="15" t="str">
        <f>IF(OR(J617="",H617=""),"",IFERROR(IF(ISNUMBER(N617),N617,IF(K617&lt;N(INDEX(Platforms!$G$5:$G$14,MATCH(H617,Lists!$A$2:$A$11,0))),N(INDEX(Platforms!$H$5:$H$14,MATCH(H617,Lists!$A$2:$A$11,0))),MAX(N(INDEX(Platforms!$F$5:$F$14,MATCH(H617,Lists!$A$2:$A$11,0))),N(INDEX(Platforms!$C$5:$C$14,MATCH(H617,Lists!$A$2:$A$11,0)))*(K617+IF(INDEX(Platforms!$E$5:$E$14,MATCH(H617,Lists!$A$2:$A$11,0))="Yes",N(L617),0))+N(INDEX(Platforms!$D$5:$D$14,MATCH(H617,Lists!$A$2:$A$11,0)))))),""))</f>
        <v/>
      </c>
      <c r="R617" s="16" t="str">
        <f t="shared" si="37"/>
        <v/>
      </c>
      <c r="S617" s="17" t="str">
        <f t="shared" si="38"/>
        <v/>
      </c>
      <c r="T617" s="18" t="str">
        <f t="shared" ca="1" si="39"/>
        <v/>
      </c>
    </row>
    <row r="618" spans="1:20" x14ac:dyDescent="0.35">
      <c r="A618" s="11"/>
      <c r="B618" s="11"/>
      <c r="C618" s="11"/>
      <c r="D618" s="12"/>
      <c r="E618" s="11"/>
      <c r="F618" s="13"/>
      <c r="G618" s="13"/>
      <c r="H618" s="11"/>
      <c r="I618" s="12"/>
      <c r="J618" s="12"/>
      <c r="K618" s="13"/>
      <c r="L618" s="13"/>
      <c r="M618" s="13"/>
      <c r="N618" s="13"/>
      <c r="O618" s="13"/>
      <c r="P618" s="14" t="str">
        <f t="shared" si="36"/>
        <v/>
      </c>
      <c r="Q618" s="15" t="str">
        <f>IF(OR(J618="",H618=""),"",IFERROR(IF(ISNUMBER(N618),N618,IF(K618&lt;N(INDEX(Platforms!$G$5:$G$14,MATCH(H618,Lists!$A$2:$A$11,0))),N(INDEX(Platforms!$H$5:$H$14,MATCH(H618,Lists!$A$2:$A$11,0))),MAX(N(INDEX(Platforms!$F$5:$F$14,MATCH(H618,Lists!$A$2:$A$11,0))),N(INDEX(Platforms!$C$5:$C$14,MATCH(H618,Lists!$A$2:$A$11,0)))*(K618+IF(INDEX(Platforms!$E$5:$E$14,MATCH(H618,Lists!$A$2:$A$11,0))="Yes",N(L618),0))+N(INDEX(Platforms!$D$5:$D$14,MATCH(H618,Lists!$A$2:$A$11,0)))))),""))</f>
        <v/>
      </c>
      <c r="R618" s="16" t="str">
        <f t="shared" si="37"/>
        <v/>
      </c>
      <c r="S618" s="17" t="str">
        <f t="shared" si="38"/>
        <v/>
      </c>
      <c r="T618" s="18" t="str">
        <f t="shared" ca="1" si="39"/>
        <v/>
      </c>
    </row>
    <row r="619" spans="1:20" x14ac:dyDescent="0.35">
      <c r="A619" s="11"/>
      <c r="B619" s="11"/>
      <c r="C619" s="11"/>
      <c r="D619" s="12"/>
      <c r="E619" s="11"/>
      <c r="F619" s="13"/>
      <c r="G619" s="13"/>
      <c r="H619" s="11"/>
      <c r="I619" s="12"/>
      <c r="J619" s="12"/>
      <c r="K619" s="13"/>
      <c r="L619" s="13"/>
      <c r="M619" s="13"/>
      <c r="N619" s="13"/>
      <c r="O619" s="13"/>
      <c r="P619" s="14" t="str">
        <f t="shared" si="36"/>
        <v/>
      </c>
      <c r="Q619" s="15" t="str">
        <f>IF(OR(J619="",H619=""),"",IFERROR(IF(ISNUMBER(N619),N619,IF(K619&lt;N(INDEX(Platforms!$G$5:$G$14,MATCH(H619,Lists!$A$2:$A$11,0))),N(INDEX(Platforms!$H$5:$H$14,MATCH(H619,Lists!$A$2:$A$11,0))),MAX(N(INDEX(Platforms!$F$5:$F$14,MATCH(H619,Lists!$A$2:$A$11,0))),N(INDEX(Platforms!$C$5:$C$14,MATCH(H619,Lists!$A$2:$A$11,0)))*(K619+IF(INDEX(Platforms!$E$5:$E$14,MATCH(H619,Lists!$A$2:$A$11,0))="Yes",N(L619),0))+N(INDEX(Platforms!$D$5:$D$14,MATCH(H619,Lists!$A$2:$A$11,0)))))),""))</f>
        <v/>
      </c>
      <c r="R619" s="16" t="str">
        <f t="shared" si="37"/>
        <v/>
      </c>
      <c r="S619" s="17" t="str">
        <f t="shared" si="38"/>
        <v/>
      </c>
      <c r="T619" s="18" t="str">
        <f t="shared" ca="1" si="39"/>
        <v/>
      </c>
    </row>
    <row r="620" spans="1:20" x14ac:dyDescent="0.35">
      <c r="A620" s="11"/>
      <c r="B620" s="11"/>
      <c r="C620" s="11"/>
      <c r="D620" s="12"/>
      <c r="E620" s="11"/>
      <c r="F620" s="13"/>
      <c r="G620" s="13"/>
      <c r="H620" s="11"/>
      <c r="I620" s="12"/>
      <c r="J620" s="12"/>
      <c r="K620" s="13"/>
      <c r="L620" s="13"/>
      <c r="M620" s="13"/>
      <c r="N620" s="13"/>
      <c r="O620" s="13"/>
      <c r="P620" s="14" t="str">
        <f t="shared" si="36"/>
        <v/>
      </c>
      <c r="Q620" s="15" t="str">
        <f>IF(OR(J620="",H620=""),"",IFERROR(IF(ISNUMBER(N620),N620,IF(K620&lt;N(INDEX(Platforms!$G$5:$G$14,MATCH(H620,Lists!$A$2:$A$11,0))),N(INDEX(Platforms!$H$5:$H$14,MATCH(H620,Lists!$A$2:$A$11,0))),MAX(N(INDEX(Platforms!$F$5:$F$14,MATCH(H620,Lists!$A$2:$A$11,0))),N(INDEX(Platforms!$C$5:$C$14,MATCH(H620,Lists!$A$2:$A$11,0)))*(K620+IF(INDEX(Platforms!$E$5:$E$14,MATCH(H620,Lists!$A$2:$A$11,0))="Yes",N(L620),0))+N(INDEX(Platforms!$D$5:$D$14,MATCH(H620,Lists!$A$2:$A$11,0)))))),""))</f>
        <v/>
      </c>
      <c r="R620" s="16" t="str">
        <f t="shared" si="37"/>
        <v/>
      </c>
      <c r="S620" s="17" t="str">
        <f t="shared" si="38"/>
        <v/>
      </c>
      <c r="T620" s="18" t="str">
        <f t="shared" ca="1" si="39"/>
        <v/>
      </c>
    </row>
    <row r="621" spans="1:20" x14ac:dyDescent="0.35">
      <c r="A621" s="11"/>
      <c r="B621" s="11"/>
      <c r="C621" s="11"/>
      <c r="D621" s="12"/>
      <c r="E621" s="11"/>
      <c r="F621" s="13"/>
      <c r="G621" s="13"/>
      <c r="H621" s="11"/>
      <c r="I621" s="12"/>
      <c r="J621" s="12"/>
      <c r="K621" s="13"/>
      <c r="L621" s="13"/>
      <c r="M621" s="13"/>
      <c r="N621" s="13"/>
      <c r="O621" s="13"/>
      <c r="P621" s="14" t="str">
        <f t="shared" si="36"/>
        <v/>
      </c>
      <c r="Q621" s="15" t="str">
        <f>IF(OR(J621="",H621=""),"",IFERROR(IF(ISNUMBER(N621),N621,IF(K621&lt;N(INDEX(Platforms!$G$5:$G$14,MATCH(H621,Lists!$A$2:$A$11,0))),N(INDEX(Platforms!$H$5:$H$14,MATCH(H621,Lists!$A$2:$A$11,0))),MAX(N(INDEX(Platforms!$F$5:$F$14,MATCH(H621,Lists!$A$2:$A$11,0))),N(INDEX(Platforms!$C$5:$C$14,MATCH(H621,Lists!$A$2:$A$11,0)))*(K621+IF(INDEX(Platforms!$E$5:$E$14,MATCH(H621,Lists!$A$2:$A$11,0))="Yes",N(L621),0))+N(INDEX(Platforms!$D$5:$D$14,MATCH(H621,Lists!$A$2:$A$11,0)))))),""))</f>
        <v/>
      </c>
      <c r="R621" s="16" t="str">
        <f t="shared" si="37"/>
        <v/>
      </c>
      <c r="S621" s="17" t="str">
        <f t="shared" si="38"/>
        <v/>
      </c>
      <c r="T621" s="18" t="str">
        <f t="shared" ca="1" si="39"/>
        <v/>
      </c>
    </row>
    <row r="622" spans="1:20" x14ac:dyDescent="0.35">
      <c r="A622" s="11"/>
      <c r="B622" s="11"/>
      <c r="C622" s="11"/>
      <c r="D622" s="12"/>
      <c r="E622" s="11"/>
      <c r="F622" s="13"/>
      <c r="G622" s="13"/>
      <c r="H622" s="11"/>
      <c r="I622" s="12"/>
      <c r="J622" s="12"/>
      <c r="K622" s="13"/>
      <c r="L622" s="13"/>
      <c r="M622" s="13"/>
      <c r="N622" s="13"/>
      <c r="O622" s="13"/>
      <c r="P622" s="14" t="str">
        <f t="shared" si="36"/>
        <v/>
      </c>
      <c r="Q622" s="15" t="str">
        <f>IF(OR(J622="",H622=""),"",IFERROR(IF(ISNUMBER(N622),N622,IF(K622&lt;N(INDEX(Platforms!$G$5:$G$14,MATCH(H622,Lists!$A$2:$A$11,0))),N(INDEX(Platforms!$H$5:$H$14,MATCH(H622,Lists!$A$2:$A$11,0))),MAX(N(INDEX(Platforms!$F$5:$F$14,MATCH(H622,Lists!$A$2:$A$11,0))),N(INDEX(Platforms!$C$5:$C$14,MATCH(H622,Lists!$A$2:$A$11,0)))*(K622+IF(INDEX(Platforms!$E$5:$E$14,MATCH(H622,Lists!$A$2:$A$11,0))="Yes",N(L622),0))+N(INDEX(Platforms!$D$5:$D$14,MATCH(H622,Lists!$A$2:$A$11,0)))))),""))</f>
        <v/>
      </c>
      <c r="R622" s="16" t="str">
        <f t="shared" si="37"/>
        <v/>
      </c>
      <c r="S622" s="17" t="str">
        <f t="shared" si="38"/>
        <v/>
      </c>
      <c r="T622" s="18" t="str">
        <f t="shared" ca="1" si="39"/>
        <v/>
      </c>
    </row>
    <row r="623" spans="1:20" x14ac:dyDescent="0.35">
      <c r="A623" s="11"/>
      <c r="B623" s="11"/>
      <c r="C623" s="11"/>
      <c r="D623" s="12"/>
      <c r="E623" s="11"/>
      <c r="F623" s="13"/>
      <c r="G623" s="13"/>
      <c r="H623" s="11"/>
      <c r="I623" s="12"/>
      <c r="J623" s="12"/>
      <c r="K623" s="13"/>
      <c r="L623" s="13"/>
      <c r="M623" s="13"/>
      <c r="N623" s="13"/>
      <c r="O623" s="13"/>
      <c r="P623" s="14" t="str">
        <f t="shared" si="36"/>
        <v/>
      </c>
      <c r="Q623" s="15" t="str">
        <f>IF(OR(J623="",H623=""),"",IFERROR(IF(ISNUMBER(N623),N623,IF(K623&lt;N(INDEX(Platforms!$G$5:$G$14,MATCH(H623,Lists!$A$2:$A$11,0))),N(INDEX(Platforms!$H$5:$H$14,MATCH(H623,Lists!$A$2:$A$11,0))),MAX(N(INDEX(Platforms!$F$5:$F$14,MATCH(H623,Lists!$A$2:$A$11,0))),N(INDEX(Platforms!$C$5:$C$14,MATCH(H623,Lists!$A$2:$A$11,0)))*(K623+IF(INDEX(Platforms!$E$5:$E$14,MATCH(H623,Lists!$A$2:$A$11,0))="Yes",N(L623),0))+N(INDEX(Platforms!$D$5:$D$14,MATCH(H623,Lists!$A$2:$A$11,0)))))),""))</f>
        <v/>
      </c>
      <c r="R623" s="16" t="str">
        <f t="shared" si="37"/>
        <v/>
      </c>
      <c r="S623" s="17" t="str">
        <f t="shared" si="38"/>
        <v/>
      </c>
      <c r="T623" s="18" t="str">
        <f t="shared" ca="1" si="39"/>
        <v/>
      </c>
    </row>
    <row r="624" spans="1:20" x14ac:dyDescent="0.35">
      <c r="A624" s="11"/>
      <c r="B624" s="11"/>
      <c r="C624" s="11"/>
      <c r="D624" s="12"/>
      <c r="E624" s="11"/>
      <c r="F624" s="13"/>
      <c r="G624" s="13"/>
      <c r="H624" s="11"/>
      <c r="I624" s="12"/>
      <c r="J624" s="12"/>
      <c r="K624" s="13"/>
      <c r="L624" s="13"/>
      <c r="M624" s="13"/>
      <c r="N624" s="13"/>
      <c r="O624" s="13"/>
      <c r="P624" s="14" t="str">
        <f t="shared" si="36"/>
        <v/>
      </c>
      <c r="Q624" s="15" t="str">
        <f>IF(OR(J624="",H624=""),"",IFERROR(IF(ISNUMBER(N624),N624,IF(K624&lt;N(INDEX(Platforms!$G$5:$G$14,MATCH(H624,Lists!$A$2:$A$11,0))),N(INDEX(Platforms!$H$5:$H$14,MATCH(H624,Lists!$A$2:$A$11,0))),MAX(N(INDEX(Platforms!$F$5:$F$14,MATCH(H624,Lists!$A$2:$A$11,0))),N(INDEX(Platforms!$C$5:$C$14,MATCH(H624,Lists!$A$2:$A$11,0)))*(K624+IF(INDEX(Platforms!$E$5:$E$14,MATCH(H624,Lists!$A$2:$A$11,0))="Yes",N(L624),0))+N(INDEX(Platforms!$D$5:$D$14,MATCH(H624,Lists!$A$2:$A$11,0)))))),""))</f>
        <v/>
      </c>
      <c r="R624" s="16" t="str">
        <f t="shared" si="37"/>
        <v/>
      </c>
      <c r="S624" s="17" t="str">
        <f t="shared" si="38"/>
        <v/>
      </c>
      <c r="T624" s="18" t="str">
        <f t="shared" ca="1" si="39"/>
        <v/>
      </c>
    </row>
    <row r="625" spans="1:20" x14ac:dyDescent="0.35">
      <c r="A625" s="11"/>
      <c r="B625" s="11"/>
      <c r="C625" s="11"/>
      <c r="D625" s="12"/>
      <c r="E625" s="11"/>
      <c r="F625" s="13"/>
      <c r="G625" s="13"/>
      <c r="H625" s="11"/>
      <c r="I625" s="12"/>
      <c r="J625" s="12"/>
      <c r="K625" s="13"/>
      <c r="L625" s="13"/>
      <c r="M625" s="13"/>
      <c r="N625" s="13"/>
      <c r="O625" s="13"/>
      <c r="P625" s="14" t="str">
        <f t="shared" si="36"/>
        <v/>
      </c>
      <c r="Q625" s="15" t="str">
        <f>IF(OR(J625="",H625=""),"",IFERROR(IF(ISNUMBER(N625),N625,IF(K625&lt;N(INDEX(Platforms!$G$5:$G$14,MATCH(H625,Lists!$A$2:$A$11,0))),N(INDEX(Platforms!$H$5:$H$14,MATCH(H625,Lists!$A$2:$A$11,0))),MAX(N(INDEX(Platforms!$F$5:$F$14,MATCH(H625,Lists!$A$2:$A$11,0))),N(INDEX(Platforms!$C$5:$C$14,MATCH(H625,Lists!$A$2:$A$11,0)))*(K625+IF(INDEX(Platforms!$E$5:$E$14,MATCH(H625,Lists!$A$2:$A$11,0))="Yes",N(L625),0))+N(INDEX(Platforms!$D$5:$D$14,MATCH(H625,Lists!$A$2:$A$11,0)))))),""))</f>
        <v/>
      </c>
      <c r="R625" s="16" t="str">
        <f t="shared" si="37"/>
        <v/>
      </c>
      <c r="S625" s="17" t="str">
        <f t="shared" si="38"/>
        <v/>
      </c>
      <c r="T625" s="18" t="str">
        <f t="shared" ca="1" si="39"/>
        <v/>
      </c>
    </row>
    <row r="626" spans="1:20" x14ac:dyDescent="0.35">
      <c r="A626" s="11"/>
      <c r="B626" s="11"/>
      <c r="C626" s="11"/>
      <c r="D626" s="12"/>
      <c r="E626" s="11"/>
      <c r="F626" s="13"/>
      <c r="G626" s="13"/>
      <c r="H626" s="11"/>
      <c r="I626" s="12"/>
      <c r="J626" s="12"/>
      <c r="K626" s="13"/>
      <c r="L626" s="13"/>
      <c r="M626" s="13"/>
      <c r="N626" s="13"/>
      <c r="O626" s="13"/>
      <c r="P626" s="14" t="str">
        <f t="shared" si="36"/>
        <v/>
      </c>
      <c r="Q626" s="15" t="str">
        <f>IF(OR(J626="",H626=""),"",IFERROR(IF(ISNUMBER(N626),N626,IF(K626&lt;N(INDEX(Platforms!$G$5:$G$14,MATCH(H626,Lists!$A$2:$A$11,0))),N(INDEX(Platforms!$H$5:$H$14,MATCH(H626,Lists!$A$2:$A$11,0))),MAX(N(INDEX(Platforms!$F$5:$F$14,MATCH(H626,Lists!$A$2:$A$11,0))),N(INDEX(Platforms!$C$5:$C$14,MATCH(H626,Lists!$A$2:$A$11,0)))*(K626+IF(INDEX(Platforms!$E$5:$E$14,MATCH(H626,Lists!$A$2:$A$11,0))="Yes",N(L626),0))+N(INDEX(Platforms!$D$5:$D$14,MATCH(H626,Lists!$A$2:$A$11,0)))))),""))</f>
        <v/>
      </c>
      <c r="R626" s="16" t="str">
        <f t="shared" si="37"/>
        <v/>
      </c>
      <c r="S626" s="17" t="str">
        <f t="shared" si="38"/>
        <v/>
      </c>
      <c r="T626" s="18" t="str">
        <f t="shared" ca="1" si="39"/>
        <v/>
      </c>
    </row>
    <row r="627" spans="1:20" x14ac:dyDescent="0.35">
      <c r="A627" s="11"/>
      <c r="B627" s="11"/>
      <c r="C627" s="11"/>
      <c r="D627" s="12"/>
      <c r="E627" s="11"/>
      <c r="F627" s="13"/>
      <c r="G627" s="13"/>
      <c r="H627" s="11"/>
      <c r="I627" s="12"/>
      <c r="J627" s="12"/>
      <c r="K627" s="13"/>
      <c r="L627" s="13"/>
      <c r="M627" s="13"/>
      <c r="N627" s="13"/>
      <c r="O627" s="13"/>
      <c r="P627" s="14" t="str">
        <f t="shared" si="36"/>
        <v/>
      </c>
      <c r="Q627" s="15" t="str">
        <f>IF(OR(J627="",H627=""),"",IFERROR(IF(ISNUMBER(N627),N627,IF(K627&lt;N(INDEX(Platforms!$G$5:$G$14,MATCH(H627,Lists!$A$2:$A$11,0))),N(INDEX(Platforms!$H$5:$H$14,MATCH(H627,Lists!$A$2:$A$11,0))),MAX(N(INDEX(Platforms!$F$5:$F$14,MATCH(H627,Lists!$A$2:$A$11,0))),N(INDEX(Platforms!$C$5:$C$14,MATCH(H627,Lists!$A$2:$A$11,0)))*(K627+IF(INDEX(Platforms!$E$5:$E$14,MATCH(H627,Lists!$A$2:$A$11,0))="Yes",N(L627),0))+N(INDEX(Platforms!$D$5:$D$14,MATCH(H627,Lists!$A$2:$A$11,0)))))),""))</f>
        <v/>
      </c>
      <c r="R627" s="16" t="str">
        <f t="shared" si="37"/>
        <v/>
      </c>
      <c r="S627" s="17" t="str">
        <f t="shared" si="38"/>
        <v/>
      </c>
      <c r="T627" s="18" t="str">
        <f t="shared" ca="1" si="39"/>
        <v/>
      </c>
    </row>
    <row r="628" spans="1:20" x14ac:dyDescent="0.35">
      <c r="A628" s="11"/>
      <c r="B628" s="11"/>
      <c r="C628" s="11"/>
      <c r="D628" s="12"/>
      <c r="E628" s="11"/>
      <c r="F628" s="13"/>
      <c r="G628" s="13"/>
      <c r="H628" s="11"/>
      <c r="I628" s="12"/>
      <c r="J628" s="12"/>
      <c r="K628" s="13"/>
      <c r="L628" s="13"/>
      <c r="M628" s="13"/>
      <c r="N628" s="13"/>
      <c r="O628" s="13"/>
      <c r="P628" s="14" t="str">
        <f t="shared" si="36"/>
        <v/>
      </c>
      <c r="Q628" s="15" t="str">
        <f>IF(OR(J628="",H628=""),"",IFERROR(IF(ISNUMBER(N628),N628,IF(K628&lt;N(INDEX(Platforms!$G$5:$G$14,MATCH(H628,Lists!$A$2:$A$11,0))),N(INDEX(Platforms!$H$5:$H$14,MATCH(H628,Lists!$A$2:$A$11,0))),MAX(N(INDEX(Platforms!$F$5:$F$14,MATCH(H628,Lists!$A$2:$A$11,0))),N(INDEX(Platforms!$C$5:$C$14,MATCH(H628,Lists!$A$2:$A$11,0)))*(K628+IF(INDEX(Platforms!$E$5:$E$14,MATCH(H628,Lists!$A$2:$A$11,0))="Yes",N(L628),0))+N(INDEX(Platforms!$D$5:$D$14,MATCH(H628,Lists!$A$2:$A$11,0)))))),""))</f>
        <v/>
      </c>
      <c r="R628" s="16" t="str">
        <f t="shared" si="37"/>
        <v/>
      </c>
      <c r="S628" s="17" t="str">
        <f t="shared" si="38"/>
        <v/>
      </c>
      <c r="T628" s="18" t="str">
        <f t="shared" ca="1" si="39"/>
        <v/>
      </c>
    </row>
    <row r="629" spans="1:20" x14ac:dyDescent="0.35">
      <c r="A629" s="11"/>
      <c r="B629" s="11"/>
      <c r="C629" s="11"/>
      <c r="D629" s="12"/>
      <c r="E629" s="11"/>
      <c r="F629" s="13"/>
      <c r="G629" s="13"/>
      <c r="H629" s="11"/>
      <c r="I629" s="12"/>
      <c r="J629" s="12"/>
      <c r="K629" s="13"/>
      <c r="L629" s="13"/>
      <c r="M629" s="13"/>
      <c r="N629" s="13"/>
      <c r="O629" s="13"/>
      <c r="P629" s="14" t="str">
        <f t="shared" si="36"/>
        <v/>
      </c>
      <c r="Q629" s="15" t="str">
        <f>IF(OR(J629="",H629=""),"",IFERROR(IF(ISNUMBER(N629),N629,IF(K629&lt;N(INDEX(Platforms!$G$5:$G$14,MATCH(H629,Lists!$A$2:$A$11,0))),N(INDEX(Platforms!$H$5:$H$14,MATCH(H629,Lists!$A$2:$A$11,0))),MAX(N(INDEX(Platforms!$F$5:$F$14,MATCH(H629,Lists!$A$2:$A$11,0))),N(INDEX(Platforms!$C$5:$C$14,MATCH(H629,Lists!$A$2:$A$11,0)))*(K629+IF(INDEX(Platforms!$E$5:$E$14,MATCH(H629,Lists!$A$2:$A$11,0))="Yes",N(L629),0))+N(INDEX(Platforms!$D$5:$D$14,MATCH(H629,Lists!$A$2:$A$11,0)))))),""))</f>
        <v/>
      </c>
      <c r="R629" s="16" t="str">
        <f t="shared" si="37"/>
        <v/>
      </c>
      <c r="S629" s="17" t="str">
        <f t="shared" si="38"/>
        <v/>
      </c>
      <c r="T629" s="18" t="str">
        <f t="shared" ca="1" si="39"/>
        <v/>
      </c>
    </row>
    <row r="630" spans="1:20" x14ac:dyDescent="0.35">
      <c r="A630" s="11"/>
      <c r="B630" s="11"/>
      <c r="C630" s="11"/>
      <c r="D630" s="12"/>
      <c r="E630" s="11"/>
      <c r="F630" s="13"/>
      <c r="G630" s="13"/>
      <c r="H630" s="11"/>
      <c r="I630" s="12"/>
      <c r="J630" s="12"/>
      <c r="K630" s="13"/>
      <c r="L630" s="13"/>
      <c r="M630" s="13"/>
      <c r="N630" s="13"/>
      <c r="O630" s="13"/>
      <c r="P630" s="14" t="str">
        <f t="shared" si="36"/>
        <v/>
      </c>
      <c r="Q630" s="15" t="str">
        <f>IF(OR(J630="",H630=""),"",IFERROR(IF(ISNUMBER(N630),N630,IF(K630&lt;N(INDEX(Platforms!$G$5:$G$14,MATCH(H630,Lists!$A$2:$A$11,0))),N(INDEX(Platforms!$H$5:$H$14,MATCH(H630,Lists!$A$2:$A$11,0))),MAX(N(INDEX(Platforms!$F$5:$F$14,MATCH(H630,Lists!$A$2:$A$11,0))),N(INDEX(Platforms!$C$5:$C$14,MATCH(H630,Lists!$A$2:$A$11,0)))*(K630+IF(INDEX(Platforms!$E$5:$E$14,MATCH(H630,Lists!$A$2:$A$11,0))="Yes",N(L630),0))+N(INDEX(Platforms!$D$5:$D$14,MATCH(H630,Lists!$A$2:$A$11,0)))))),""))</f>
        <v/>
      </c>
      <c r="R630" s="16" t="str">
        <f t="shared" si="37"/>
        <v/>
      </c>
      <c r="S630" s="17" t="str">
        <f t="shared" si="38"/>
        <v/>
      </c>
      <c r="T630" s="18" t="str">
        <f t="shared" ca="1" si="39"/>
        <v/>
      </c>
    </row>
    <row r="631" spans="1:20" x14ac:dyDescent="0.35">
      <c r="A631" s="11"/>
      <c r="B631" s="11"/>
      <c r="C631" s="11"/>
      <c r="D631" s="12"/>
      <c r="E631" s="11"/>
      <c r="F631" s="13"/>
      <c r="G631" s="13"/>
      <c r="H631" s="11"/>
      <c r="I631" s="12"/>
      <c r="J631" s="12"/>
      <c r="K631" s="13"/>
      <c r="L631" s="13"/>
      <c r="M631" s="13"/>
      <c r="N631" s="13"/>
      <c r="O631" s="13"/>
      <c r="P631" s="14" t="str">
        <f t="shared" si="36"/>
        <v/>
      </c>
      <c r="Q631" s="15" t="str">
        <f>IF(OR(J631="",H631=""),"",IFERROR(IF(ISNUMBER(N631),N631,IF(K631&lt;N(INDEX(Platforms!$G$5:$G$14,MATCH(H631,Lists!$A$2:$A$11,0))),N(INDEX(Platforms!$H$5:$H$14,MATCH(H631,Lists!$A$2:$A$11,0))),MAX(N(INDEX(Platforms!$F$5:$F$14,MATCH(H631,Lists!$A$2:$A$11,0))),N(INDEX(Platforms!$C$5:$C$14,MATCH(H631,Lists!$A$2:$A$11,0)))*(K631+IF(INDEX(Platforms!$E$5:$E$14,MATCH(H631,Lists!$A$2:$A$11,0))="Yes",N(L631),0))+N(INDEX(Platforms!$D$5:$D$14,MATCH(H631,Lists!$A$2:$A$11,0)))))),""))</f>
        <v/>
      </c>
      <c r="R631" s="16" t="str">
        <f t="shared" si="37"/>
        <v/>
      </c>
      <c r="S631" s="17" t="str">
        <f t="shared" si="38"/>
        <v/>
      </c>
      <c r="T631" s="18" t="str">
        <f t="shared" ca="1" si="39"/>
        <v/>
      </c>
    </row>
    <row r="632" spans="1:20" x14ac:dyDescent="0.35">
      <c r="A632" s="11"/>
      <c r="B632" s="11"/>
      <c r="C632" s="11"/>
      <c r="D632" s="12"/>
      <c r="E632" s="11"/>
      <c r="F632" s="13"/>
      <c r="G632" s="13"/>
      <c r="H632" s="11"/>
      <c r="I632" s="12"/>
      <c r="J632" s="12"/>
      <c r="K632" s="13"/>
      <c r="L632" s="13"/>
      <c r="M632" s="13"/>
      <c r="N632" s="13"/>
      <c r="O632" s="13"/>
      <c r="P632" s="14" t="str">
        <f t="shared" si="36"/>
        <v/>
      </c>
      <c r="Q632" s="15" t="str">
        <f>IF(OR(J632="",H632=""),"",IFERROR(IF(ISNUMBER(N632),N632,IF(K632&lt;N(INDEX(Platforms!$G$5:$G$14,MATCH(H632,Lists!$A$2:$A$11,0))),N(INDEX(Platforms!$H$5:$H$14,MATCH(H632,Lists!$A$2:$A$11,0))),MAX(N(INDEX(Platforms!$F$5:$F$14,MATCH(H632,Lists!$A$2:$A$11,0))),N(INDEX(Platforms!$C$5:$C$14,MATCH(H632,Lists!$A$2:$A$11,0)))*(K632+IF(INDEX(Platforms!$E$5:$E$14,MATCH(H632,Lists!$A$2:$A$11,0))="Yes",N(L632),0))+N(INDEX(Platforms!$D$5:$D$14,MATCH(H632,Lists!$A$2:$A$11,0)))))),""))</f>
        <v/>
      </c>
      <c r="R632" s="16" t="str">
        <f t="shared" si="37"/>
        <v/>
      </c>
      <c r="S632" s="17" t="str">
        <f t="shared" si="38"/>
        <v/>
      </c>
      <c r="T632" s="18" t="str">
        <f t="shared" ca="1" si="39"/>
        <v/>
      </c>
    </row>
    <row r="633" spans="1:20" x14ac:dyDescent="0.35">
      <c r="A633" s="11"/>
      <c r="B633" s="11"/>
      <c r="C633" s="11"/>
      <c r="D633" s="12"/>
      <c r="E633" s="11"/>
      <c r="F633" s="13"/>
      <c r="G633" s="13"/>
      <c r="H633" s="11"/>
      <c r="I633" s="12"/>
      <c r="J633" s="12"/>
      <c r="K633" s="13"/>
      <c r="L633" s="13"/>
      <c r="M633" s="13"/>
      <c r="N633" s="13"/>
      <c r="O633" s="13"/>
      <c r="P633" s="14" t="str">
        <f t="shared" si="36"/>
        <v/>
      </c>
      <c r="Q633" s="15" t="str">
        <f>IF(OR(J633="",H633=""),"",IFERROR(IF(ISNUMBER(N633),N633,IF(K633&lt;N(INDEX(Platforms!$G$5:$G$14,MATCH(H633,Lists!$A$2:$A$11,0))),N(INDEX(Platforms!$H$5:$H$14,MATCH(H633,Lists!$A$2:$A$11,0))),MAX(N(INDEX(Platforms!$F$5:$F$14,MATCH(H633,Lists!$A$2:$A$11,0))),N(INDEX(Platforms!$C$5:$C$14,MATCH(H633,Lists!$A$2:$A$11,0)))*(K633+IF(INDEX(Platforms!$E$5:$E$14,MATCH(H633,Lists!$A$2:$A$11,0))="Yes",N(L633),0))+N(INDEX(Platforms!$D$5:$D$14,MATCH(H633,Lists!$A$2:$A$11,0)))))),""))</f>
        <v/>
      </c>
      <c r="R633" s="16" t="str">
        <f t="shared" si="37"/>
        <v/>
      </c>
      <c r="S633" s="17" t="str">
        <f t="shared" si="38"/>
        <v/>
      </c>
      <c r="T633" s="18" t="str">
        <f t="shared" ca="1" si="39"/>
        <v/>
      </c>
    </row>
    <row r="634" spans="1:20" x14ac:dyDescent="0.35">
      <c r="A634" s="11"/>
      <c r="B634" s="11"/>
      <c r="C634" s="11"/>
      <c r="D634" s="12"/>
      <c r="E634" s="11"/>
      <c r="F634" s="13"/>
      <c r="G634" s="13"/>
      <c r="H634" s="11"/>
      <c r="I634" s="12"/>
      <c r="J634" s="12"/>
      <c r="K634" s="13"/>
      <c r="L634" s="13"/>
      <c r="M634" s="13"/>
      <c r="N634" s="13"/>
      <c r="O634" s="13"/>
      <c r="P634" s="14" t="str">
        <f t="shared" si="36"/>
        <v/>
      </c>
      <c r="Q634" s="15" t="str">
        <f>IF(OR(J634="",H634=""),"",IFERROR(IF(ISNUMBER(N634),N634,IF(K634&lt;N(INDEX(Platforms!$G$5:$G$14,MATCH(H634,Lists!$A$2:$A$11,0))),N(INDEX(Platforms!$H$5:$H$14,MATCH(H634,Lists!$A$2:$A$11,0))),MAX(N(INDEX(Platforms!$F$5:$F$14,MATCH(H634,Lists!$A$2:$A$11,0))),N(INDEX(Platforms!$C$5:$C$14,MATCH(H634,Lists!$A$2:$A$11,0)))*(K634+IF(INDEX(Platforms!$E$5:$E$14,MATCH(H634,Lists!$A$2:$A$11,0))="Yes",N(L634),0))+N(INDEX(Platforms!$D$5:$D$14,MATCH(H634,Lists!$A$2:$A$11,0)))))),""))</f>
        <v/>
      </c>
      <c r="R634" s="16" t="str">
        <f t="shared" si="37"/>
        <v/>
      </c>
      <c r="S634" s="17" t="str">
        <f t="shared" si="38"/>
        <v/>
      </c>
      <c r="T634" s="18" t="str">
        <f t="shared" ca="1" si="39"/>
        <v/>
      </c>
    </row>
    <row r="635" spans="1:20" x14ac:dyDescent="0.35">
      <c r="A635" s="11"/>
      <c r="B635" s="11"/>
      <c r="C635" s="11"/>
      <c r="D635" s="12"/>
      <c r="E635" s="11"/>
      <c r="F635" s="13"/>
      <c r="G635" s="13"/>
      <c r="H635" s="11"/>
      <c r="I635" s="12"/>
      <c r="J635" s="12"/>
      <c r="K635" s="13"/>
      <c r="L635" s="13"/>
      <c r="M635" s="13"/>
      <c r="N635" s="13"/>
      <c r="O635" s="13"/>
      <c r="P635" s="14" t="str">
        <f t="shared" si="36"/>
        <v/>
      </c>
      <c r="Q635" s="15" t="str">
        <f>IF(OR(J635="",H635=""),"",IFERROR(IF(ISNUMBER(N635),N635,IF(K635&lt;N(INDEX(Platforms!$G$5:$G$14,MATCH(H635,Lists!$A$2:$A$11,0))),N(INDEX(Platforms!$H$5:$H$14,MATCH(H635,Lists!$A$2:$A$11,0))),MAX(N(INDEX(Platforms!$F$5:$F$14,MATCH(H635,Lists!$A$2:$A$11,0))),N(INDEX(Platforms!$C$5:$C$14,MATCH(H635,Lists!$A$2:$A$11,0)))*(K635+IF(INDEX(Platforms!$E$5:$E$14,MATCH(H635,Lists!$A$2:$A$11,0))="Yes",N(L635),0))+N(INDEX(Platforms!$D$5:$D$14,MATCH(H635,Lists!$A$2:$A$11,0)))))),""))</f>
        <v/>
      </c>
      <c r="R635" s="16" t="str">
        <f t="shared" si="37"/>
        <v/>
      </c>
      <c r="S635" s="17" t="str">
        <f t="shared" si="38"/>
        <v/>
      </c>
      <c r="T635" s="18" t="str">
        <f t="shared" ca="1" si="39"/>
        <v/>
      </c>
    </row>
    <row r="636" spans="1:20" x14ac:dyDescent="0.35">
      <c r="A636" s="11"/>
      <c r="B636" s="11"/>
      <c r="C636" s="11"/>
      <c r="D636" s="12"/>
      <c r="E636" s="11"/>
      <c r="F636" s="13"/>
      <c r="G636" s="13"/>
      <c r="H636" s="11"/>
      <c r="I636" s="12"/>
      <c r="J636" s="12"/>
      <c r="K636" s="13"/>
      <c r="L636" s="13"/>
      <c r="M636" s="13"/>
      <c r="N636" s="13"/>
      <c r="O636" s="13"/>
      <c r="P636" s="14" t="str">
        <f t="shared" si="36"/>
        <v/>
      </c>
      <c r="Q636" s="15" t="str">
        <f>IF(OR(J636="",H636=""),"",IFERROR(IF(ISNUMBER(N636),N636,IF(K636&lt;N(INDEX(Platforms!$G$5:$G$14,MATCH(H636,Lists!$A$2:$A$11,0))),N(INDEX(Platforms!$H$5:$H$14,MATCH(H636,Lists!$A$2:$A$11,0))),MAX(N(INDEX(Platforms!$F$5:$F$14,MATCH(H636,Lists!$A$2:$A$11,0))),N(INDEX(Platforms!$C$5:$C$14,MATCH(H636,Lists!$A$2:$A$11,0)))*(K636+IF(INDEX(Platforms!$E$5:$E$14,MATCH(H636,Lists!$A$2:$A$11,0))="Yes",N(L636),0))+N(INDEX(Platforms!$D$5:$D$14,MATCH(H636,Lists!$A$2:$A$11,0)))))),""))</f>
        <v/>
      </c>
      <c r="R636" s="16" t="str">
        <f t="shared" si="37"/>
        <v/>
      </c>
      <c r="S636" s="17" t="str">
        <f t="shared" si="38"/>
        <v/>
      </c>
      <c r="T636" s="18" t="str">
        <f t="shared" ca="1" si="39"/>
        <v/>
      </c>
    </row>
    <row r="637" spans="1:20" x14ac:dyDescent="0.35">
      <c r="A637" s="11"/>
      <c r="B637" s="11"/>
      <c r="C637" s="11"/>
      <c r="D637" s="12"/>
      <c r="E637" s="11"/>
      <c r="F637" s="13"/>
      <c r="G637" s="13"/>
      <c r="H637" s="11"/>
      <c r="I637" s="12"/>
      <c r="J637" s="12"/>
      <c r="K637" s="13"/>
      <c r="L637" s="13"/>
      <c r="M637" s="13"/>
      <c r="N637" s="13"/>
      <c r="O637" s="13"/>
      <c r="P637" s="14" t="str">
        <f t="shared" si="36"/>
        <v/>
      </c>
      <c r="Q637" s="15" t="str">
        <f>IF(OR(J637="",H637=""),"",IFERROR(IF(ISNUMBER(N637),N637,IF(K637&lt;N(INDEX(Platforms!$G$5:$G$14,MATCH(H637,Lists!$A$2:$A$11,0))),N(INDEX(Platforms!$H$5:$H$14,MATCH(H637,Lists!$A$2:$A$11,0))),MAX(N(INDEX(Platforms!$F$5:$F$14,MATCH(H637,Lists!$A$2:$A$11,0))),N(INDEX(Platforms!$C$5:$C$14,MATCH(H637,Lists!$A$2:$A$11,0)))*(K637+IF(INDEX(Platforms!$E$5:$E$14,MATCH(H637,Lists!$A$2:$A$11,0))="Yes",N(L637),0))+N(INDEX(Platforms!$D$5:$D$14,MATCH(H637,Lists!$A$2:$A$11,0)))))),""))</f>
        <v/>
      </c>
      <c r="R637" s="16" t="str">
        <f t="shared" si="37"/>
        <v/>
      </c>
      <c r="S637" s="17" t="str">
        <f t="shared" si="38"/>
        <v/>
      </c>
      <c r="T637" s="18" t="str">
        <f t="shared" ca="1" si="39"/>
        <v/>
      </c>
    </row>
    <row r="638" spans="1:20" x14ac:dyDescent="0.35">
      <c r="A638" s="11"/>
      <c r="B638" s="11"/>
      <c r="C638" s="11"/>
      <c r="D638" s="12"/>
      <c r="E638" s="11"/>
      <c r="F638" s="13"/>
      <c r="G638" s="13"/>
      <c r="H638" s="11"/>
      <c r="I638" s="12"/>
      <c r="J638" s="12"/>
      <c r="K638" s="13"/>
      <c r="L638" s="13"/>
      <c r="M638" s="13"/>
      <c r="N638" s="13"/>
      <c r="O638" s="13"/>
      <c r="P638" s="14" t="str">
        <f t="shared" si="36"/>
        <v/>
      </c>
      <c r="Q638" s="15" t="str">
        <f>IF(OR(J638="",H638=""),"",IFERROR(IF(ISNUMBER(N638),N638,IF(K638&lt;N(INDEX(Platforms!$G$5:$G$14,MATCH(H638,Lists!$A$2:$A$11,0))),N(INDEX(Platforms!$H$5:$H$14,MATCH(H638,Lists!$A$2:$A$11,0))),MAX(N(INDEX(Platforms!$F$5:$F$14,MATCH(H638,Lists!$A$2:$A$11,0))),N(INDEX(Platforms!$C$5:$C$14,MATCH(H638,Lists!$A$2:$A$11,0)))*(K638+IF(INDEX(Platforms!$E$5:$E$14,MATCH(H638,Lists!$A$2:$A$11,0))="Yes",N(L638),0))+N(INDEX(Platforms!$D$5:$D$14,MATCH(H638,Lists!$A$2:$A$11,0)))))),""))</f>
        <v/>
      </c>
      <c r="R638" s="16" t="str">
        <f t="shared" si="37"/>
        <v/>
      </c>
      <c r="S638" s="17" t="str">
        <f t="shared" si="38"/>
        <v/>
      </c>
      <c r="T638" s="18" t="str">
        <f t="shared" ca="1" si="39"/>
        <v/>
      </c>
    </row>
    <row r="639" spans="1:20" x14ac:dyDescent="0.35">
      <c r="A639" s="11"/>
      <c r="B639" s="11"/>
      <c r="C639" s="11"/>
      <c r="D639" s="12"/>
      <c r="E639" s="11"/>
      <c r="F639" s="13"/>
      <c r="G639" s="13"/>
      <c r="H639" s="11"/>
      <c r="I639" s="12"/>
      <c r="J639" s="12"/>
      <c r="K639" s="13"/>
      <c r="L639" s="13"/>
      <c r="M639" s="13"/>
      <c r="N639" s="13"/>
      <c r="O639" s="13"/>
      <c r="P639" s="14" t="str">
        <f t="shared" si="36"/>
        <v/>
      </c>
      <c r="Q639" s="15" t="str">
        <f>IF(OR(J639="",H639=""),"",IFERROR(IF(ISNUMBER(N639),N639,IF(K639&lt;N(INDEX(Platforms!$G$5:$G$14,MATCH(H639,Lists!$A$2:$A$11,0))),N(INDEX(Platforms!$H$5:$H$14,MATCH(H639,Lists!$A$2:$A$11,0))),MAX(N(INDEX(Platforms!$F$5:$F$14,MATCH(H639,Lists!$A$2:$A$11,0))),N(INDEX(Platforms!$C$5:$C$14,MATCH(H639,Lists!$A$2:$A$11,0)))*(K639+IF(INDEX(Platforms!$E$5:$E$14,MATCH(H639,Lists!$A$2:$A$11,0))="Yes",N(L639),0))+N(INDEX(Platforms!$D$5:$D$14,MATCH(H639,Lists!$A$2:$A$11,0)))))),""))</f>
        <v/>
      </c>
      <c r="R639" s="16" t="str">
        <f t="shared" si="37"/>
        <v/>
      </c>
      <c r="S639" s="17" t="str">
        <f t="shared" si="38"/>
        <v/>
      </c>
      <c r="T639" s="18" t="str">
        <f t="shared" ca="1" si="39"/>
        <v/>
      </c>
    </row>
    <row r="640" spans="1:20" x14ac:dyDescent="0.35">
      <c r="A640" s="11"/>
      <c r="B640" s="11"/>
      <c r="C640" s="11"/>
      <c r="D640" s="12"/>
      <c r="E640" s="11"/>
      <c r="F640" s="13"/>
      <c r="G640" s="13"/>
      <c r="H640" s="11"/>
      <c r="I640" s="12"/>
      <c r="J640" s="12"/>
      <c r="K640" s="13"/>
      <c r="L640" s="13"/>
      <c r="M640" s="13"/>
      <c r="N640" s="13"/>
      <c r="O640" s="13"/>
      <c r="P640" s="14" t="str">
        <f t="shared" si="36"/>
        <v/>
      </c>
      <c r="Q640" s="15" t="str">
        <f>IF(OR(J640="",H640=""),"",IFERROR(IF(ISNUMBER(N640),N640,IF(K640&lt;N(INDEX(Platforms!$G$5:$G$14,MATCH(H640,Lists!$A$2:$A$11,0))),N(INDEX(Platforms!$H$5:$H$14,MATCH(H640,Lists!$A$2:$A$11,0))),MAX(N(INDEX(Platforms!$F$5:$F$14,MATCH(H640,Lists!$A$2:$A$11,0))),N(INDEX(Platforms!$C$5:$C$14,MATCH(H640,Lists!$A$2:$A$11,0)))*(K640+IF(INDEX(Platforms!$E$5:$E$14,MATCH(H640,Lists!$A$2:$A$11,0))="Yes",N(L640),0))+N(INDEX(Platforms!$D$5:$D$14,MATCH(H640,Lists!$A$2:$A$11,0)))))),""))</f>
        <v/>
      </c>
      <c r="R640" s="16" t="str">
        <f t="shared" si="37"/>
        <v/>
      </c>
      <c r="S640" s="17" t="str">
        <f t="shared" si="38"/>
        <v/>
      </c>
      <c r="T640" s="18" t="str">
        <f t="shared" ca="1" si="39"/>
        <v/>
      </c>
    </row>
    <row r="641" spans="1:20" x14ac:dyDescent="0.35">
      <c r="A641" s="11"/>
      <c r="B641" s="11"/>
      <c r="C641" s="11"/>
      <c r="D641" s="12"/>
      <c r="E641" s="11"/>
      <c r="F641" s="13"/>
      <c r="G641" s="13"/>
      <c r="H641" s="11"/>
      <c r="I641" s="12"/>
      <c r="J641" s="12"/>
      <c r="K641" s="13"/>
      <c r="L641" s="13"/>
      <c r="M641" s="13"/>
      <c r="N641" s="13"/>
      <c r="O641" s="13"/>
      <c r="P641" s="14" t="str">
        <f t="shared" si="36"/>
        <v/>
      </c>
      <c r="Q641" s="15" t="str">
        <f>IF(OR(J641="",H641=""),"",IFERROR(IF(ISNUMBER(N641),N641,IF(K641&lt;N(INDEX(Platforms!$G$5:$G$14,MATCH(H641,Lists!$A$2:$A$11,0))),N(INDEX(Platforms!$H$5:$H$14,MATCH(H641,Lists!$A$2:$A$11,0))),MAX(N(INDEX(Platforms!$F$5:$F$14,MATCH(H641,Lists!$A$2:$A$11,0))),N(INDEX(Platforms!$C$5:$C$14,MATCH(H641,Lists!$A$2:$A$11,0)))*(K641+IF(INDEX(Platforms!$E$5:$E$14,MATCH(H641,Lists!$A$2:$A$11,0))="Yes",N(L641),0))+N(INDEX(Platforms!$D$5:$D$14,MATCH(H641,Lists!$A$2:$A$11,0)))))),""))</f>
        <v/>
      </c>
      <c r="R641" s="16" t="str">
        <f t="shared" si="37"/>
        <v/>
      </c>
      <c r="S641" s="17" t="str">
        <f t="shared" si="38"/>
        <v/>
      </c>
      <c r="T641" s="18" t="str">
        <f t="shared" ca="1" si="39"/>
        <v/>
      </c>
    </row>
    <row r="642" spans="1:20" x14ac:dyDescent="0.35">
      <c r="A642" s="11"/>
      <c r="B642" s="11"/>
      <c r="C642" s="11"/>
      <c r="D642" s="12"/>
      <c r="E642" s="11"/>
      <c r="F642" s="13"/>
      <c r="G642" s="13"/>
      <c r="H642" s="11"/>
      <c r="I642" s="12"/>
      <c r="J642" s="12"/>
      <c r="K642" s="13"/>
      <c r="L642" s="13"/>
      <c r="M642" s="13"/>
      <c r="N642" s="13"/>
      <c r="O642" s="13"/>
      <c r="P642" s="14" t="str">
        <f t="shared" si="36"/>
        <v/>
      </c>
      <c r="Q642" s="15" t="str">
        <f>IF(OR(J642="",H642=""),"",IFERROR(IF(ISNUMBER(N642),N642,IF(K642&lt;N(INDEX(Platforms!$G$5:$G$14,MATCH(H642,Lists!$A$2:$A$11,0))),N(INDEX(Platforms!$H$5:$H$14,MATCH(H642,Lists!$A$2:$A$11,0))),MAX(N(INDEX(Platforms!$F$5:$F$14,MATCH(H642,Lists!$A$2:$A$11,0))),N(INDEX(Platforms!$C$5:$C$14,MATCH(H642,Lists!$A$2:$A$11,0)))*(K642+IF(INDEX(Platforms!$E$5:$E$14,MATCH(H642,Lists!$A$2:$A$11,0))="Yes",N(L642),0))+N(INDEX(Platforms!$D$5:$D$14,MATCH(H642,Lists!$A$2:$A$11,0)))))),""))</f>
        <v/>
      </c>
      <c r="R642" s="16" t="str">
        <f t="shared" si="37"/>
        <v/>
      </c>
      <c r="S642" s="17" t="str">
        <f t="shared" si="38"/>
        <v/>
      </c>
      <c r="T642" s="18" t="str">
        <f t="shared" ca="1" si="39"/>
        <v/>
      </c>
    </row>
    <row r="643" spans="1:20" x14ac:dyDescent="0.35">
      <c r="A643" s="11"/>
      <c r="B643" s="11"/>
      <c r="C643" s="11"/>
      <c r="D643" s="12"/>
      <c r="E643" s="11"/>
      <c r="F643" s="13"/>
      <c r="G643" s="13"/>
      <c r="H643" s="11"/>
      <c r="I643" s="12"/>
      <c r="J643" s="12"/>
      <c r="K643" s="13"/>
      <c r="L643" s="13"/>
      <c r="M643" s="13"/>
      <c r="N643" s="13"/>
      <c r="O643" s="13"/>
      <c r="P643" s="14" t="str">
        <f t="shared" si="36"/>
        <v/>
      </c>
      <c r="Q643" s="15" t="str">
        <f>IF(OR(J643="",H643=""),"",IFERROR(IF(ISNUMBER(N643),N643,IF(K643&lt;N(INDEX(Platforms!$G$5:$G$14,MATCH(H643,Lists!$A$2:$A$11,0))),N(INDEX(Platforms!$H$5:$H$14,MATCH(H643,Lists!$A$2:$A$11,0))),MAX(N(INDEX(Platforms!$F$5:$F$14,MATCH(H643,Lists!$A$2:$A$11,0))),N(INDEX(Platforms!$C$5:$C$14,MATCH(H643,Lists!$A$2:$A$11,0)))*(K643+IF(INDEX(Platforms!$E$5:$E$14,MATCH(H643,Lists!$A$2:$A$11,0))="Yes",N(L643),0))+N(INDEX(Platforms!$D$5:$D$14,MATCH(H643,Lists!$A$2:$A$11,0)))))),""))</f>
        <v/>
      </c>
      <c r="R643" s="16" t="str">
        <f t="shared" si="37"/>
        <v/>
      </c>
      <c r="S643" s="17" t="str">
        <f t="shared" si="38"/>
        <v/>
      </c>
      <c r="T643" s="18" t="str">
        <f t="shared" ca="1" si="39"/>
        <v/>
      </c>
    </row>
    <row r="644" spans="1:20" x14ac:dyDescent="0.35">
      <c r="A644" s="11"/>
      <c r="B644" s="11"/>
      <c r="C644" s="11"/>
      <c r="D644" s="12"/>
      <c r="E644" s="11"/>
      <c r="F644" s="13"/>
      <c r="G644" s="13"/>
      <c r="H644" s="11"/>
      <c r="I644" s="12"/>
      <c r="J644" s="12"/>
      <c r="K644" s="13"/>
      <c r="L644" s="13"/>
      <c r="M644" s="13"/>
      <c r="N644" s="13"/>
      <c r="O644" s="13"/>
      <c r="P644" s="14" t="str">
        <f t="shared" si="36"/>
        <v/>
      </c>
      <c r="Q644" s="15" t="str">
        <f>IF(OR(J644="",H644=""),"",IFERROR(IF(ISNUMBER(N644),N644,IF(K644&lt;N(INDEX(Platforms!$G$5:$G$14,MATCH(H644,Lists!$A$2:$A$11,0))),N(INDEX(Platforms!$H$5:$H$14,MATCH(H644,Lists!$A$2:$A$11,0))),MAX(N(INDEX(Platforms!$F$5:$F$14,MATCH(H644,Lists!$A$2:$A$11,0))),N(INDEX(Platforms!$C$5:$C$14,MATCH(H644,Lists!$A$2:$A$11,0)))*(K644+IF(INDEX(Platforms!$E$5:$E$14,MATCH(H644,Lists!$A$2:$A$11,0))="Yes",N(L644),0))+N(INDEX(Platforms!$D$5:$D$14,MATCH(H644,Lists!$A$2:$A$11,0)))))),""))</f>
        <v/>
      </c>
      <c r="R644" s="16" t="str">
        <f t="shared" si="37"/>
        <v/>
      </c>
      <c r="S644" s="17" t="str">
        <f t="shared" si="38"/>
        <v/>
      </c>
      <c r="T644" s="18" t="str">
        <f t="shared" ca="1" si="39"/>
        <v/>
      </c>
    </row>
    <row r="645" spans="1:20" x14ac:dyDescent="0.35">
      <c r="A645" s="11"/>
      <c r="B645" s="11"/>
      <c r="C645" s="11"/>
      <c r="D645" s="12"/>
      <c r="E645" s="11"/>
      <c r="F645" s="13"/>
      <c r="G645" s="13"/>
      <c r="H645" s="11"/>
      <c r="I645" s="12"/>
      <c r="J645" s="12"/>
      <c r="K645" s="13"/>
      <c r="L645" s="13"/>
      <c r="M645" s="13"/>
      <c r="N645" s="13"/>
      <c r="O645" s="13"/>
      <c r="P645" s="14" t="str">
        <f t="shared" ref="P645:P708" si="40">IF(OR(B645&lt;&gt;"",F645&lt;&gt;"",H645&lt;&gt;"",J645&lt;&gt;"",K645&lt;&gt;""),IF(J645&lt;&gt;"","Sold",IF(I645&lt;&gt;"","Listed","In stock")),"")</f>
        <v/>
      </c>
      <c r="Q645" s="15" t="str">
        <f>IF(OR(J645="",H645=""),"",IFERROR(IF(ISNUMBER(N645),N645,IF(K645&lt;N(INDEX(Platforms!$G$5:$G$14,MATCH(H645,Lists!$A$2:$A$11,0))),N(INDEX(Platforms!$H$5:$H$14,MATCH(H645,Lists!$A$2:$A$11,0))),MAX(N(INDEX(Platforms!$F$5:$F$14,MATCH(H645,Lists!$A$2:$A$11,0))),N(INDEX(Platforms!$C$5:$C$14,MATCH(H645,Lists!$A$2:$A$11,0)))*(K645+IF(INDEX(Platforms!$E$5:$E$14,MATCH(H645,Lists!$A$2:$A$11,0))="Yes",N(L645),0))+N(INDEX(Platforms!$D$5:$D$14,MATCH(H645,Lists!$A$2:$A$11,0)))))),""))</f>
        <v/>
      </c>
      <c r="R645" s="16" t="str">
        <f t="shared" ref="R645:R708" si="41">IF(J645="","",IFERROR(K645+N(L645)-N(O645)-Q645-N(M645)-N(F645)-N(G645),""))</f>
        <v/>
      </c>
      <c r="S645" s="17" t="str">
        <f t="shared" ref="S645:S708" si="42">IF(OR(R645="",N(F645)+N(G645)=0),"",R645/(N(F645)+N(G645)))</f>
        <v/>
      </c>
      <c r="T645" s="18" t="str">
        <f t="shared" ref="T645:T708" ca="1" si="43">IFERROR(IF(ISNUMBER(D645),IF(ISNUMBER(J645),J645,IF(J645="",TODAY(),""))-D645,""),"")</f>
        <v/>
      </c>
    </row>
    <row r="646" spans="1:20" x14ac:dyDescent="0.35">
      <c r="A646" s="11"/>
      <c r="B646" s="11"/>
      <c r="C646" s="11"/>
      <c r="D646" s="12"/>
      <c r="E646" s="11"/>
      <c r="F646" s="13"/>
      <c r="G646" s="13"/>
      <c r="H646" s="11"/>
      <c r="I646" s="12"/>
      <c r="J646" s="12"/>
      <c r="K646" s="13"/>
      <c r="L646" s="13"/>
      <c r="M646" s="13"/>
      <c r="N646" s="13"/>
      <c r="O646" s="13"/>
      <c r="P646" s="14" t="str">
        <f t="shared" si="40"/>
        <v/>
      </c>
      <c r="Q646" s="15" t="str">
        <f>IF(OR(J646="",H646=""),"",IFERROR(IF(ISNUMBER(N646),N646,IF(K646&lt;N(INDEX(Platforms!$G$5:$G$14,MATCH(H646,Lists!$A$2:$A$11,0))),N(INDEX(Platforms!$H$5:$H$14,MATCH(H646,Lists!$A$2:$A$11,0))),MAX(N(INDEX(Platforms!$F$5:$F$14,MATCH(H646,Lists!$A$2:$A$11,0))),N(INDEX(Platforms!$C$5:$C$14,MATCH(H646,Lists!$A$2:$A$11,0)))*(K646+IF(INDEX(Platforms!$E$5:$E$14,MATCH(H646,Lists!$A$2:$A$11,0))="Yes",N(L646),0))+N(INDEX(Platforms!$D$5:$D$14,MATCH(H646,Lists!$A$2:$A$11,0)))))),""))</f>
        <v/>
      </c>
      <c r="R646" s="16" t="str">
        <f t="shared" si="41"/>
        <v/>
      </c>
      <c r="S646" s="17" t="str">
        <f t="shared" si="42"/>
        <v/>
      </c>
      <c r="T646" s="18" t="str">
        <f t="shared" ca="1" si="43"/>
        <v/>
      </c>
    </row>
    <row r="647" spans="1:20" x14ac:dyDescent="0.35">
      <c r="A647" s="11"/>
      <c r="B647" s="11"/>
      <c r="C647" s="11"/>
      <c r="D647" s="12"/>
      <c r="E647" s="11"/>
      <c r="F647" s="13"/>
      <c r="G647" s="13"/>
      <c r="H647" s="11"/>
      <c r="I647" s="12"/>
      <c r="J647" s="12"/>
      <c r="K647" s="13"/>
      <c r="L647" s="13"/>
      <c r="M647" s="13"/>
      <c r="N647" s="13"/>
      <c r="O647" s="13"/>
      <c r="P647" s="14" t="str">
        <f t="shared" si="40"/>
        <v/>
      </c>
      <c r="Q647" s="15" t="str">
        <f>IF(OR(J647="",H647=""),"",IFERROR(IF(ISNUMBER(N647),N647,IF(K647&lt;N(INDEX(Platforms!$G$5:$G$14,MATCH(H647,Lists!$A$2:$A$11,0))),N(INDEX(Platforms!$H$5:$H$14,MATCH(H647,Lists!$A$2:$A$11,0))),MAX(N(INDEX(Platforms!$F$5:$F$14,MATCH(H647,Lists!$A$2:$A$11,0))),N(INDEX(Platforms!$C$5:$C$14,MATCH(H647,Lists!$A$2:$A$11,0)))*(K647+IF(INDEX(Platforms!$E$5:$E$14,MATCH(H647,Lists!$A$2:$A$11,0))="Yes",N(L647),0))+N(INDEX(Platforms!$D$5:$D$14,MATCH(H647,Lists!$A$2:$A$11,0)))))),""))</f>
        <v/>
      </c>
      <c r="R647" s="16" t="str">
        <f t="shared" si="41"/>
        <v/>
      </c>
      <c r="S647" s="17" t="str">
        <f t="shared" si="42"/>
        <v/>
      </c>
      <c r="T647" s="18" t="str">
        <f t="shared" ca="1" si="43"/>
        <v/>
      </c>
    </row>
    <row r="648" spans="1:20" x14ac:dyDescent="0.35">
      <c r="A648" s="11"/>
      <c r="B648" s="11"/>
      <c r="C648" s="11"/>
      <c r="D648" s="12"/>
      <c r="E648" s="11"/>
      <c r="F648" s="13"/>
      <c r="G648" s="13"/>
      <c r="H648" s="11"/>
      <c r="I648" s="12"/>
      <c r="J648" s="12"/>
      <c r="K648" s="13"/>
      <c r="L648" s="13"/>
      <c r="M648" s="13"/>
      <c r="N648" s="13"/>
      <c r="O648" s="13"/>
      <c r="P648" s="14" t="str">
        <f t="shared" si="40"/>
        <v/>
      </c>
      <c r="Q648" s="15" t="str">
        <f>IF(OR(J648="",H648=""),"",IFERROR(IF(ISNUMBER(N648),N648,IF(K648&lt;N(INDEX(Platforms!$G$5:$G$14,MATCH(H648,Lists!$A$2:$A$11,0))),N(INDEX(Platforms!$H$5:$H$14,MATCH(H648,Lists!$A$2:$A$11,0))),MAX(N(INDEX(Platforms!$F$5:$F$14,MATCH(H648,Lists!$A$2:$A$11,0))),N(INDEX(Platforms!$C$5:$C$14,MATCH(H648,Lists!$A$2:$A$11,0)))*(K648+IF(INDEX(Platforms!$E$5:$E$14,MATCH(H648,Lists!$A$2:$A$11,0))="Yes",N(L648),0))+N(INDEX(Platforms!$D$5:$D$14,MATCH(H648,Lists!$A$2:$A$11,0)))))),""))</f>
        <v/>
      </c>
      <c r="R648" s="16" t="str">
        <f t="shared" si="41"/>
        <v/>
      </c>
      <c r="S648" s="17" t="str">
        <f t="shared" si="42"/>
        <v/>
      </c>
      <c r="T648" s="18" t="str">
        <f t="shared" ca="1" si="43"/>
        <v/>
      </c>
    </row>
    <row r="649" spans="1:20" x14ac:dyDescent="0.35">
      <c r="A649" s="11"/>
      <c r="B649" s="11"/>
      <c r="C649" s="11"/>
      <c r="D649" s="12"/>
      <c r="E649" s="11"/>
      <c r="F649" s="13"/>
      <c r="G649" s="13"/>
      <c r="H649" s="11"/>
      <c r="I649" s="12"/>
      <c r="J649" s="12"/>
      <c r="K649" s="13"/>
      <c r="L649" s="13"/>
      <c r="M649" s="13"/>
      <c r="N649" s="13"/>
      <c r="O649" s="13"/>
      <c r="P649" s="14" t="str">
        <f t="shared" si="40"/>
        <v/>
      </c>
      <c r="Q649" s="15" t="str">
        <f>IF(OR(J649="",H649=""),"",IFERROR(IF(ISNUMBER(N649),N649,IF(K649&lt;N(INDEX(Platforms!$G$5:$G$14,MATCH(H649,Lists!$A$2:$A$11,0))),N(INDEX(Platforms!$H$5:$H$14,MATCH(H649,Lists!$A$2:$A$11,0))),MAX(N(INDEX(Platforms!$F$5:$F$14,MATCH(H649,Lists!$A$2:$A$11,0))),N(INDEX(Platforms!$C$5:$C$14,MATCH(H649,Lists!$A$2:$A$11,0)))*(K649+IF(INDEX(Platforms!$E$5:$E$14,MATCH(H649,Lists!$A$2:$A$11,0))="Yes",N(L649),0))+N(INDEX(Platforms!$D$5:$D$14,MATCH(H649,Lists!$A$2:$A$11,0)))))),""))</f>
        <v/>
      </c>
      <c r="R649" s="16" t="str">
        <f t="shared" si="41"/>
        <v/>
      </c>
      <c r="S649" s="17" t="str">
        <f t="shared" si="42"/>
        <v/>
      </c>
      <c r="T649" s="18" t="str">
        <f t="shared" ca="1" si="43"/>
        <v/>
      </c>
    </row>
    <row r="650" spans="1:20" x14ac:dyDescent="0.35">
      <c r="A650" s="11"/>
      <c r="B650" s="11"/>
      <c r="C650" s="11"/>
      <c r="D650" s="12"/>
      <c r="E650" s="11"/>
      <c r="F650" s="13"/>
      <c r="G650" s="13"/>
      <c r="H650" s="11"/>
      <c r="I650" s="12"/>
      <c r="J650" s="12"/>
      <c r="K650" s="13"/>
      <c r="L650" s="13"/>
      <c r="M650" s="13"/>
      <c r="N650" s="13"/>
      <c r="O650" s="13"/>
      <c r="P650" s="14" t="str">
        <f t="shared" si="40"/>
        <v/>
      </c>
      <c r="Q650" s="15" t="str">
        <f>IF(OR(J650="",H650=""),"",IFERROR(IF(ISNUMBER(N650),N650,IF(K650&lt;N(INDEX(Platforms!$G$5:$G$14,MATCH(H650,Lists!$A$2:$A$11,0))),N(INDEX(Platforms!$H$5:$H$14,MATCH(H650,Lists!$A$2:$A$11,0))),MAX(N(INDEX(Platforms!$F$5:$F$14,MATCH(H650,Lists!$A$2:$A$11,0))),N(INDEX(Platforms!$C$5:$C$14,MATCH(H650,Lists!$A$2:$A$11,0)))*(K650+IF(INDEX(Platforms!$E$5:$E$14,MATCH(H650,Lists!$A$2:$A$11,0))="Yes",N(L650),0))+N(INDEX(Platforms!$D$5:$D$14,MATCH(H650,Lists!$A$2:$A$11,0)))))),""))</f>
        <v/>
      </c>
      <c r="R650" s="16" t="str">
        <f t="shared" si="41"/>
        <v/>
      </c>
      <c r="S650" s="17" t="str">
        <f t="shared" si="42"/>
        <v/>
      </c>
      <c r="T650" s="18" t="str">
        <f t="shared" ca="1" si="43"/>
        <v/>
      </c>
    </row>
    <row r="651" spans="1:20" x14ac:dyDescent="0.35">
      <c r="A651" s="11"/>
      <c r="B651" s="11"/>
      <c r="C651" s="11"/>
      <c r="D651" s="12"/>
      <c r="E651" s="11"/>
      <c r="F651" s="13"/>
      <c r="G651" s="13"/>
      <c r="H651" s="11"/>
      <c r="I651" s="12"/>
      <c r="J651" s="12"/>
      <c r="K651" s="13"/>
      <c r="L651" s="13"/>
      <c r="M651" s="13"/>
      <c r="N651" s="13"/>
      <c r="O651" s="13"/>
      <c r="P651" s="14" t="str">
        <f t="shared" si="40"/>
        <v/>
      </c>
      <c r="Q651" s="15" t="str">
        <f>IF(OR(J651="",H651=""),"",IFERROR(IF(ISNUMBER(N651),N651,IF(K651&lt;N(INDEX(Platforms!$G$5:$G$14,MATCH(H651,Lists!$A$2:$A$11,0))),N(INDEX(Platforms!$H$5:$H$14,MATCH(H651,Lists!$A$2:$A$11,0))),MAX(N(INDEX(Platforms!$F$5:$F$14,MATCH(H651,Lists!$A$2:$A$11,0))),N(INDEX(Platforms!$C$5:$C$14,MATCH(H651,Lists!$A$2:$A$11,0)))*(K651+IF(INDEX(Platforms!$E$5:$E$14,MATCH(H651,Lists!$A$2:$A$11,0))="Yes",N(L651),0))+N(INDEX(Platforms!$D$5:$D$14,MATCH(H651,Lists!$A$2:$A$11,0)))))),""))</f>
        <v/>
      </c>
      <c r="R651" s="16" t="str">
        <f t="shared" si="41"/>
        <v/>
      </c>
      <c r="S651" s="17" t="str">
        <f t="shared" si="42"/>
        <v/>
      </c>
      <c r="T651" s="18" t="str">
        <f t="shared" ca="1" si="43"/>
        <v/>
      </c>
    </row>
    <row r="652" spans="1:20" x14ac:dyDescent="0.35">
      <c r="A652" s="11"/>
      <c r="B652" s="11"/>
      <c r="C652" s="11"/>
      <c r="D652" s="12"/>
      <c r="E652" s="11"/>
      <c r="F652" s="13"/>
      <c r="G652" s="13"/>
      <c r="H652" s="11"/>
      <c r="I652" s="12"/>
      <c r="J652" s="12"/>
      <c r="K652" s="13"/>
      <c r="L652" s="13"/>
      <c r="M652" s="13"/>
      <c r="N652" s="13"/>
      <c r="O652" s="13"/>
      <c r="P652" s="14" t="str">
        <f t="shared" si="40"/>
        <v/>
      </c>
      <c r="Q652" s="15" t="str">
        <f>IF(OR(J652="",H652=""),"",IFERROR(IF(ISNUMBER(N652),N652,IF(K652&lt;N(INDEX(Platforms!$G$5:$G$14,MATCH(H652,Lists!$A$2:$A$11,0))),N(INDEX(Platforms!$H$5:$H$14,MATCH(H652,Lists!$A$2:$A$11,0))),MAX(N(INDEX(Platforms!$F$5:$F$14,MATCH(H652,Lists!$A$2:$A$11,0))),N(INDEX(Platforms!$C$5:$C$14,MATCH(H652,Lists!$A$2:$A$11,0)))*(K652+IF(INDEX(Platforms!$E$5:$E$14,MATCH(H652,Lists!$A$2:$A$11,0))="Yes",N(L652),0))+N(INDEX(Platforms!$D$5:$D$14,MATCH(H652,Lists!$A$2:$A$11,0)))))),""))</f>
        <v/>
      </c>
      <c r="R652" s="16" t="str">
        <f t="shared" si="41"/>
        <v/>
      </c>
      <c r="S652" s="17" t="str">
        <f t="shared" si="42"/>
        <v/>
      </c>
      <c r="T652" s="18" t="str">
        <f t="shared" ca="1" si="43"/>
        <v/>
      </c>
    </row>
    <row r="653" spans="1:20" x14ac:dyDescent="0.35">
      <c r="A653" s="11"/>
      <c r="B653" s="11"/>
      <c r="C653" s="11"/>
      <c r="D653" s="12"/>
      <c r="E653" s="11"/>
      <c r="F653" s="13"/>
      <c r="G653" s="13"/>
      <c r="H653" s="11"/>
      <c r="I653" s="12"/>
      <c r="J653" s="12"/>
      <c r="K653" s="13"/>
      <c r="L653" s="13"/>
      <c r="M653" s="13"/>
      <c r="N653" s="13"/>
      <c r="O653" s="13"/>
      <c r="P653" s="14" t="str">
        <f t="shared" si="40"/>
        <v/>
      </c>
      <c r="Q653" s="15" t="str">
        <f>IF(OR(J653="",H653=""),"",IFERROR(IF(ISNUMBER(N653),N653,IF(K653&lt;N(INDEX(Platforms!$G$5:$G$14,MATCH(H653,Lists!$A$2:$A$11,0))),N(INDEX(Platforms!$H$5:$H$14,MATCH(H653,Lists!$A$2:$A$11,0))),MAX(N(INDEX(Platforms!$F$5:$F$14,MATCH(H653,Lists!$A$2:$A$11,0))),N(INDEX(Platforms!$C$5:$C$14,MATCH(H653,Lists!$A$2:$A$11,0)))*(K653+IF(INDEX(Platforms!$E$5:$E$14,MATCH(H653,Lists!$A$2:$A$11,0))="Yes",N(L653),0))+N(INDEX(Platforms!$D$5:$D$14,MATCH(H653,Lists!$A$2:$A$11,0)))))),""))</f>
        <v/>
      </c>
      <c r="R653" s="16" t="str">
        <f t="shared" si="41"/>
        <v/>
      </c>
      <c r="S653" s="17" t="str">
        <f t="shared" si="42"/>
        <v/>
      </c>
      <c r="T653" s="18" t="str">
        <f t="shared" ca="1" si="43"/>
        <v/>
      </c>
    </row>
    <row r="654" spans="1:20" x14ac:dyDescent="0.35">
      <c r="A654" s="11"/>
      <c r="B654" s="11"/>
      <c r="C654" s="11"/>
      <c r="D654" s="12"/>
      <c r="E654" s="11"/>
      <c r="F654" s="13"/>
      <c r="G654" s="13"/>
      <c r="H654" s="11"/>
      <c r="I654" s="12"/>
      <c r="J654" s="12"/>
      <c r="K654" s="13"/>
      <c r="L654" s="13"/>
      <c r="M654" s="13"/>
      <c r="N654" s="13"/>
      <c r="O654" s="13"/>
      <c r="P654" s="14" t="str">
        <f t="shared" si="40"/>
        <v/>
      </c>
      <c r="Q654" s="15" t="str">
        <f>IF(OR(J654="",H654=""),"",IFERROR(IF(ISNUMBER(N654),N654,IF(K654&lt;N(INDEX(Platforms!$G$5:$G$14,MATCH(H654,Lists!$A$2:$A$11,0))),N(INDEX(Platforms!$H$5:$H$14,MATCH(H654,Lists!$A$2:$A$11,0))),MAX(N(INDEX(Platforms!$F$5:$F$14,MATCH(H654,Lists!$A$2:$A$11,0))),N(INDEX(Platforms!$C$5:$C$14,MATCH(H654,Lists!$A$2:$A$11,0)))*(K654+IF(INDEX(Platforms!$E$5:$E$14,MATCH(H654,Lists!$A$2:$A$11,0))="Yes",N(L654),0))+N(INDEX(Platforms!$D$5:$D$14,MATCH(H654,Lists!$A$2:$A$11,0)))))),""))</f>
        <v/>
      </c>
      <c r="R654" s="16" t="str">
        <f t="shared" si="41"/>
        <v/>
      </c>
      <c r="S654" s="17" t="str">
        <f t="shared" si="42"/>
        <v/>
      </c>
      <c r="T654" s="18" t="str">
        <f t="shared" ca="1" si="43"/>
        <v/>
      </c>
    </row>
    <row r="655" spans="1:20" x14ac:dyDescent="0.35">
      <c r="A655" s="11"/>
      <c r="B655" s="11"/>
      <c r="C655" s="11"/>
      <c r="D655" s="12"/>
      <c r="E655" s="11"/>
      <c r="F655" s="13"/>
      <c r="G655" s="13"/>
      <c r="H655" s="11"/>
      <c r="I655" s="12"/>
      <c r="J655" s="12"/>
      <c r="K655" s="13"/>
      <c r="L655" s="13"/>
      <c r="M655" s="13"/>
      <c r="N655" s="13"/>
      <c r="O655" s="13"/>
      <c r="P655" s="14" t="str">
        <f t="shared" si="40"/>
        <v/>
      </c>
      <c r="Q655" s="15" t="str">
        <f>IF(OR(J655="",H655=""),"",IFERROR(IF(ISNUMBER(N655),N655,IF(K655&lt;N(INDEX(Platforms!$G$5:$G$14,MATCH(H655,Lists!$A$2:$A$11,0))),N(INDEX(Platforms!$H$5:$H$14,MATCH(H655,Lists!$A$2:$A$11,0))),MAX(N(INDEX(Platforms!$F$5:$F$14,MATCH(H655,Lists!$A$2:$A$11,0))),N(INDEX(Platforms!$C$5:$C$14,MATCH(H655,Lists!$A$2:$A$11,0)))*(K655+IF(INDEX(Platforms!$E$5:$E$14,MATCH(H655,Lists!$A$2:$A$11,0))="Yes",N(L655),0))+N(INDEX(Platforms!$D$5:$D$14,MATCH(H655,Lists!$A$2:$A$11,0)))))),""))</f>
        <v/>
      </c>
      <c r="R655" s="16" t="str">
        <f t="shared" si="41"/>
        <v/>
      </c>
      <c r="S655" s="17" t="str">
        <f t="shared" si="42"/>
        <v/>
      </c>
      <c r="T655" s="18" t="str">
        <f t="shared" ca="1" si="43"/>
        <v/>
      </c>
    </row>
    <row r="656" spans="1:20" x14ac:dyDescent="0.35">
      <c r="A656" s="11"/>
      <c r="B656" s="11"/>
      <c r="C656" s="11"/>
      <c r="D656" s="12"/>
      <c r="E656" s="11"/>
      <c r="F656" s="13"/>
      <c r="G656" s="13"/>
      <c r="H656" s="11"/>
      <c r="I656" s="12"/>
      <c r="J656" s="12"/>
      <c r="K656" s="13"/>
      <c r="L656" s="13"/>
      <c r="M656" s="13"/>
      <c r="N656" s="13"/>
      <c r="O656" s="13"/>
      <c r="P656" s="14" t="str">
        <f t="shared" si="40"/>
        <v/>
      </c>
      <c r="Q656" s="15" t="str">
        <f>IF(OR(J656="",H656=""),"",IFERROR(IF(ISNUMBER(N656),N656,IF(K656&lt;N(INDEX(Platforms!$G$5:$G$14,MATCH(H656,Lists!$A$2:$A$11,0))),N(INDEX(Platforms!$H$5:$H$14,MATCH(H656,Lists!$A$2:$A$11,0))),MAX(N(INDEX(Platforms!$F$5:$F$14,MATCH(H656,Lists!$A$2:$A$11,0))),N(INDEX(Platforms!$C$5:$C$14,MATCH(H656,Lists!$A$2:$A$11,0)))*(K656+IF(INDEX(Platforms!$E$5:$E$14,MATCH(H656,Lists!$A$2:$A$11,0))="Yes",N(L656),0))+N(INDEX(Platforms!$D$5:$D$14,MATCH(H656,Lists!$A$2:$A$11,0)))))),""))</f>
        <v/>
      </c>
      <c r="R656" s="16" t="str">
        <f t="shared" si="41"/>
        <v/>
      </c>
      <c r="S656" s="17" t="str">
        <f t="shared" si="42"/>
        <v/>
      </c>
      <c r="T656" s="18" t="str">
        <f t="shared" ca="1" si="43"/>
        <v/>
      </c>
    </row>
    <row r="657" spans="1:20" x14ac:dyDescent="0.35">
      <c r="A657" s="11"/>
      <c r="B657" s="11"/>
      <c r="C657" s="11"/>
      <c r="D657" s="12"/>
      <c r="E657" s="11"/>
      <c r="F657" s="13"/>
      <c r="G657" s="13"/>
      <c r="H657" s="11"/>
      <c r="I657" s="12"/>
      <c r="J657" s="12"/>
      <c r="K657" s="13"/>
      <c r="L657" s="13"/>
      <c r="M657" s="13"/>
      <c r="N657" s="13"/>
      <c r="O657" s="13"/>
      <c r="P657" s="14" t="str">
        <f t="shared" si="40"/>
        <v/>
      </c>
      <c r="Q657" s="15" t="str">
        <f>IF(OR(J657="",H657=""),"",IFERROR(IF(ISNUMBER(N657),N657,IF(K657&lt;N(INDEX(Platforms!$G$5:$G$14,MATCH(H657,Lists!$A$2:$A$11,0))),N(INDEX(Platforms!$H$5:$H$14,MATCH(H657,Lists!$A$2:$A$11,0))),MAX(N(INDEX(Platforms!$F$5:$F$14,MATCH(H657,Lists!$A$2:$A$11,0))),N(INDEX(Platforms!$C$5:$C$14,MATCH(H657,Lists!$A$2:$A$11,0)))*(K657+IF(INDEX(Platforms!$E$5:$E$14,MATCH(H657,Lists!$A$2:$A$11,0))="Yes",N(L657),0))+N(INDEX(Platforms!$D$5:$D$14,MATCH(H657,Lists!$A$2:$A$11,0)))))),""))</f>
        <v/>
      </c>
      <c r="R657" s="16" t="str">
        <f t="shared" si="41"/>
        <v/>
      </c>
      <c r="S657" s="17" t="str">
        <f t="shared" si="42"/>
        <v/>
      </c>
      <c r="T657" s="18" t="str">
        <f t="shared" ca="1" si="43"/>
        <v/>
      </c>
    </row>
    <row r="658" spans="1:20" x14ac:dyDescent="0.35">
      <c r="A658" s="11"/>
      <c r="B658" s="11"/>
      <c r="C658" s="11"/>
      <c r="D658" s="12"/>
      <c r="E658" s="11"/>
      <c r="F658" s="13"/>
      <c r="G658" s="13"/>
      <c r="H658" s="11"/>
      <c r="I658" s="12"/>
      <c r="J658" s="12"/>
      <c r="K658" s="13"/>
      <c r="L658" s="13"/>
      <c r="M658" s="13"/>
      <c r="N658" s="13"/>
      <c r="O658" s="13"/>
      <c r="P658" s="14" t="str">
        <f t="shared" si="40"/>
        <v/>
      </c>
      <c r="Q658" s="15" t="str">
        <f>IF(OR(J658="",H658=""),"",IFERROR(IF(ISNUMBER(N658),N658,IF(K658&lt;N(INDEX(Platforms!$G$5:$G$14,MATCH(H658,Lists!$A$2:$A$11,0))),N(INDEX(Platforms!$H$5:$H$14,MATCH(H658,Lists!$A$2:$A$11,0))),MAX(N(INDEX(Platforms!$F$5:$F$14,MATCH(H658,Lists!$A$2:$A$11,0))),N(INDEX(Platforms!$C$5:$C$14,MATCH(H658,Lists!$A$2:$A$11,0)))*(K658+IF(INDEX(Platforms!$E$5:$E$14,MATCH(H658,Lists!$A$2:$A$11,0))="Yes",N(L658),0))+N(INDEX(Platforms!$D$5:$D$14,MATCH(H658,Lists!$A$2:$A$11,0)))))),""))</f>
        <v/>
      </c>
      <c r="R658" s="16" t="str">
        <f t="shared" si="41"/>
        <v/>
      </c>
      <c r="S658" s="17" t="str">
        <f t="shared" si="42"/>
        <v/>
      </c>
      <c r="T658" s="18" t="str">
        <f t="shared" ca="1" si="43"/>
        <v/>
      </c>
    </row>
    <row r="659" spans="1:20" x14ac:dyDescent="0.35">
      <c r="A659" s="11"/>
      <c r="B659" s="11"/>
      <c r="C659" s="11"/>
      <c r="D659" s="12"/>
      <c r="E659" s="11"/>
      <c r="F659" s="13"/>
      <c r="G659" s="13"/>
      <c r="H659" s="11"/>
      <c r="I659" s="12"/>
      <c r="J659" s="12"/>
      <c r="K659" s="13"/>
      <c r="L659" s="13"/>
      <c r="M659" s="13"/>
      <c r="N659" s="13"/>
      <c r="O659" s="13"/>
      <c r="P659" s="14" t="str">
        <f t="shared" si="40"/>
        <v/>
      </c>
      <c r="Q659" s="15" t="str">
        <f>IF(OR(J659="",H659=""),"",IFERROR(IF(ISNUMBER(N659),N659,IF(K659&lt;N(INDEX(Platforms!$G$5:$G$14,MATCH(H659,Lists!$A$2:$A$11,0))),N(INDEX(Platforms!$H$5:$H$14,MATCH(H659,Lists!$A$2:$A$11,0))),MAX(N(INDEX(Platforms!$F$5:$F$14,MATCH(H659,Lists!$A$2:$A$11,0))),N(INDEX(Platforms!$C$5:$C$14,MATCH(H659,Lists!$A$2:$A$11,0)))*(K659+IF(INDEX(Platforms!$E$5:$E$14,MATCH(H659,Lists!$A$2:$A$11,0))="Yes",N(L659),0))+N(INDEX(Platforms!$D$5:$D$14,MATCH(H659,Lists!$A$2:$A$11,0)))))),""))</f>
        <v/>
      </c>
      <c r="R659" s="16" t="str">
        <f t="shared" si="41"/>
        <v/>
      </c>
      <c r="S659" s="17" t="str">
        <f t="shared" si="42"/>
        <v/>
      </c>
      <c r="T659" s="18" t="str">
        <f t="shared" ca="1" si="43"/>
        <v/>
      </c>
    </row>
    <row r="660" spans="1:20" x14ac:dyDescent="0.35">
      <c r="A660" s="11"/>
      <c r="B660" s="11"/>
      <c r="C660" s="11"/>
      <c r="D660" s="12"/>
      <c r="E660" s="11"/>
      <c r="F660" s="13"/>
      <c r="G660" s="13"/>
      <c r="H660" s="11"/>
      <c r="I660" s="12"/>
      <c r="J660" s="12"/>
      <c r="K660" s="13"/>
      <c r="L660" s="13"/>
      <c r="M660" s="13"/>
      <c r="N660" s="13"/>
      <c r="O660" s="13"/>
      <c r="P660" s="14" t="str">
        <f t="shared" si="40"/>
        <v/>
      </c>
      <c r="Q660" s="15" t="str">
        <f>IF(OR(J660="",H660=""),"",IFERROR(IF(ISNUMBER(N660),N660,IF(K660&lt;N(INDEX(Platforms!$G$5:$G$14,MATCH(H660,Lists!$A$2:$A$11,0))),N(INDEX(Platforms!$H$5:$H$14,MATCH(H660,Lists!$A$2:$A$11,0))),MAX(N(INDEX(Platforms!$F$5:$F$14,MATCH(H660,Lists!$A$2:$A$11,0))),N(INDEX(Platforms!$C$5:$C$14,MATCH(H660,Lists!$A$2:$A$11,0)))*(K660+IF(INDEX(Platforms!$E$5:$E$14,MATCH(H660,Lists!$A$2:$A$11,0))="Yes",N(L660),0))+N(INDEX(Platforms!$D$5:$D$14,MATCH(H660,Lists!$A$2:$A$11,0)))))),""))</f>
        <v/>
      </c>
      <c r="R660" s="16" t="str">
        <f t="shared" si="41"/>
        <v/>
      </c>
      <c r="S660" s="17" t="str">
        <f t="shared" si="42"/>
        <v/>
      </c>
      <c r="T660" s="18" t="str">
        <f t="shared" ca="1" si="43"/>
        <v/>
      </c>
    </row>
    <row r="661" spans="1:20" x14ac:dyDescent="0.35">
      <c r="A661" s="11"/>
      <c r="B661" s="11"/>
      <c r="C661" s="11"/>
      <c r="D661" s="12"/>
      <c r="E661" s="11"/>
      <c r="F661" s="13"/>
      <c r="G661" s="13"/>
      <c r="H661" s="11"/>
      <c r="I661" s="12"/>
      <c r="J661" s="12"/>
      <c r="K661" s="13"/>
      <c r="L661" s="13"/>
      <c r="M661" s="13"/>
      <c r="N661" s="13"/>
      <c r="O661" s="13"/>
      <c r="P661" s="14" t="str">
        <f t="shared" si="40"/>
        <v/>
      </c>
      <c r="Q661" s="15" t="str">
        <f>IF(OR(J661="",H661=""),"",IFERROR(IF(ISNUMBER(N661),N661,IF(K661&lt;N(INDEX(Platforms!$G$5:$G$14,MATCH(H661,Lists!$A$2:$A$11,0))),N(INDEX(Platforms!$H$5:$H$14,MATCH(H661,Lists!$A$2:$A$11,0))),MAX(N(INDEX(Platforms!$F$5:$F$14,MATCH(H661,Lists!$A$2:$A$11,0))),N(INDEX(Platforms!$C$5:$C$14,MATCH(H661,Lists!$A$2:$A$11,0)))*(K661+IF(INDEX(Platforms!$E$5:$E$14,MATCH(H661,Lists!$A$2:$A$11,0))="Yes",N(L661),0))+N(INDEX(Platforms!$D$5:$D$14,MATCH(H661,Lists!$A$2:$A$11,0)))))),""))</f>
        <v/>
      </c>
      <c r="R661" s="16" t="str">
        <f t="shared" si="41"/>
        <v/>
      </c>
      <c r="S661" s="17" t="str">
        <f t="shared" si="42"/>
        <v/>
      </c>
      <c r="T661" s="18" t="str">
        <f t="shared" ca="1" si="43"/>
        <v/>
      </c>
    </row>
    <row r="662" spans="1:20" x14ac:dyDescent="0.35">
      <c r="A662" s="11"/>
      <c r="B662" s="11"/>
      <c r="C662" s="11"/>
      <c r="D662" s="12"/>
      <c r="E662" s="11"/>
      <c r="F662" s="13"/>
      <c r="G662" s="13"/>
      <c r="H662" s="11"/>
      <c r="I662" s="12"/>
      <c r="J662" s="12"/>
      <c r="K662" s="13"/>
      <c r="L662" s="13"/>
      <c r="M662" s="13"/>
      <c r="N662" s="13"/>
      <c r="O662" s="13"/>
      <c r="P662" s="14" t="str">
        <f t="shared" si="40"/>
        <v/>
      </c>
      <c r="Q662" s="15" t="str">
        <f>IF(OR(J662="",H662=""),"",IFERROR(IF(ISNUMBER(N662),N662,IF(K662&lt;N(INDEX(Platforms!$G$5:$G$14,MATCH(H662,Lists!$A$2:$A$11,0))),N(INDEX(Platforms!$H$5:$H$14,MATCH(H662,Lists!$A$2:$A$11,0))),MAX(N(INDEX(Platforms!$F$5:$F$14,MATCH(H662,Lists!$A$2:$A$11,0))),N(INDEX(Platforms!$C$5:$C$14,MATCH(H662,Lists!$A$2:$A$11,0)))*(K662+IF(INDEX(Platforms!$E$5:$E$14,MATCH(H662,Lists!$A$2:$A$11,0))="Yes",N(L662),0))+N(INDEX(Platforms!$D$5:$D$14,MATCH(H662,Lists!$A$2:$A$11,0)))))),""))</f>
        <v/>
      </c>
      <c r="R662" s="16" t="str">
        <f t="shared" si="41"/>
        <v/>
      </c>
      <c r="S662" s="17" t="str">
        <f t="shared" si="42"/>
        <v/>
      </c>
      <c r="T662" s="18" t="str">
        <f t="shared" ca="1" si="43"/>
        <v/>
      </c>
    </row>
    <row r="663" spans="1:20" x14ac:dyDescent="0.35">
      <c r="A663" s="11"/>
      <c r="B663" s="11"/>
      <c r="C663" s="11"/>
      <c r="D663" s="12"/>
      <c r="E663" s="11"/>
      <c r="F663" s="13"/>
      <c r="G663" s="13"/>
      <c r="H663" s="11"/>
      <c r="I663" s="12"/>
      <c r="J663" s="12"/>
      <c r="K663" s="13"/>
      <c r="L663" s="13"/>
      <c r="M663" s="13"/>
      <c r="N663" s="13"/>
      <c r="O663" s="13"/>
      <c r="P663" s="14" t="str">
        <f t="shared" si="40"/>
        <v/>
      </c>
      <c r="Q663" s="15" t="str">
        <f>IF(OR(J663="",H663=""),"",IFERROR(IF(ISNUMBER(N663),N663,IF(K663&lt;N(INDEX(Platforms!$G$5:$G$14,MATCH(H663,Lists!$A$2:$A$11,0))),N(INDEX(Platforms!$H$5:$H$14,MATCH(H663,Lists!$A$2:$A$11,0))),MAX(N(INDEX(Platforms!$F$5:$F$14,MATCH(H663,Lists!$A$2:$A$11,0))),N(INDEX(Platforms!$C$5:$C$14,MATCH(H663,Lists!$A$2:$A$11,0)))*(K663+IF(INDEX(Platforms!$E$5:$E$14,MATCH(H663,Lists!$A$2:$A$11,0))="Yes",N(L663),0))+N(INDEX(Platforms!$D$5:$D$14,MATCH(H663,Lists!$A$2:$A$11,0)))))),""))</f>
        <v/>
      </c>
      <c r="R663" s="16" t="str">
        <f t="shared" si="41"/>
        <v/>
      </c>
      <c r="S663" s="17" t="str">
        <f t="shared" si="42"/>
        <v/>
      </c>
      <c r="T663" s="18" t="str">
        <f t="shared" ca="1" si="43"/>
        <v/>
      </c>
    </row>
    <row r="664" spans="1:20" x14ac:dyDescent="0.35">
      <c r="A664" s="11"/>
      <c r="B664" s="11"/>
      <c r="C664" s="11"/>
      <c r="D664" s="12"/>
      <c r="E664" s="11"/>
      <c r="F664" s="13"/>
      <c r="G664" s="13"/>
      <c r="H664" s="11"/>
      <c r="I664" s="12"/>
      <c r="J664" s="12"/>
      <c r="K664" s="13"/>
      <c r="L664" s="13"/>
      <c r="M664" s="13"/>
      <c r="N664" s="13"/>
      <c r="O664" s="13"/>
      <c r="P664" s="14" t="str">
        <f t="shared" si="40"/>
        <v/>
      </c>
      <c r="Q664" s="15" t="str">
        <f>IF(OR(J664="",H664=""),"",IFERROR(IF(ISNUMBER(N664),N664,IF(K664&lt;N(INDEX(Platforms!$G$5:$G$14,MATCH(H664,Lists!$A$2:$A$11,0))),N(INDEX(Platforms!$H$5:$H$14,MATCH(H664,Lists!$A$2:$A$11,0))),MAX(N(INDEX(Platforms!$F$5:$F$14,MATCH(H664,Lists!$A$2:$A$11,0))),N(INDEX(Platforms!$C$5:$C$14,MATCH(H664,Lists!$A$2:$A$11,0)))*(K664+IF(INDEX(Platforms!$E$5:$E$14,MATCH(H664,Lists!$A$2:$A$11,0))="Yes",N(L664),0))+N(INDEX(Platforms!$D$5:$D$14,MATCH(H664,Lists!$A$2:$A$11,0)))))),""))</f>
        <v/>
      </c>
      <c r="R664" s="16" t="str">
        <f t="shared" si="41"/>
        <v/>
      </c>
      <c r="S664" s="17" t="str">
        <f t="shared" si="42"/>
        <v/>
      </c>
      <c r="T664" s="18" t="str">
        <f t="shared" ca="1" si="43"/>
        <v/>
      </c>
    </row>
    <row r="665" spans="1:20" x14ac:dyDescent="0.35">
      <c r="A665" s="11"/>
      <c r="B665" s="11"/>
      <c r="C665" s="11"/>
      <c r="D665" s="12"/>
      <c r="E665" s="11"/>
      <c r="F665" s="13"/>
      <c r="G665" s="13"/>
      <c r="H665" s="11"/>
      <c r="I665" s="12"/>
      <c r="J665" s="12"/>
      <c r="K665" s="13"/>
      <c r="L665" s="13"/>
      <c r="M665" s="13"/>
      <c r="N665" s="13"/>
      <c r="O665" s="13"/>
      <c r="P665" s="14" t="str">
        <f t="shared" si="40"/>
        <v/>
      </c>
      <c r="Q665" s="15" t="str">
        <f>IF(OR(J665="",H665=""),"",IFERROR(IF(ISNUMBER(N665),N665,IF(K665&lt;N(INDEX(Platforms!$G$5:$G$14,MATCH(H665,Lists!$A$2:$A$11,0))),N(INDEX(Platforms!$H$5:$H$14,MATCH(H665,Lists!$A$2:$A$11,0))),MAX(N(INDEX(Platforms!$F$5:$F$14,MATCH(H665,Lists!$A$2:$A$11,0))),N(INDEX(Platforms!$C$5:$C$14,MATCH(H665,Lists!$A$2:$A$11,0)))*(K665+IF(INDEX(Platforms!$E$5:$E$14,MATCH(H665,Lists!$A$2:$A$11,0))="Yes",N(L665),0))+N(INDEX(Platforms!$D$5:$D$14,MATCH(H665,Lists!$A$2:$A$11,0)))))),""))</f>
        <v/>
      </c>
      <c r="R665" s="16" t="str">
        <f t="shared" si="41"/>
        <v/>
      </c>
      <c r="S665" s="17" t="str">
        <f t="shared" si="42"/>
        <v/>
      </c>
      <c r="T665" s="18" t="str">
        <f t="shared" ca="1" si="43"/>
        <v/>
      </c>
    </row>
    <row r="666" spans="1:20" x14ac:dyDescent="0.35">
      <c r="A666" s="11"/>
      <c r="B666" s="11"/>
      <c r="C666" s="11"/>
      <c r="D666" s="12"/>
      <c r="E666" s="11"/>
      <c r="F666" s="13"/>
      <c r="G666" s="13"/>
      <c r="H666" s="11"/>
      <c r="I666" s="12"/>
      <c r="J666" s="12"/>
      <c r="K666" s="13"/>
      <c r="L666" s="13"/>
      <c r="M666" s="13"/>
      <c r="N666" s="13"/>
      <c r="O666" s="13"/>
      <c r="P666" s="14" t="str">
        <f t="shared" si="40"/>
        <v/>
      </c>
      <c r="Q666" s="15" t="str">
        <f>IF(OR(J666="",H666=""),"",IFERROR(IF(ISNUMBER(N666),N666,IF(K666&lt;N(INDEX(Platforms!$G$5:$G$14,MATCH(H666,Lists!$A$2:$A$11,0))),N(INDEX(Platforms!$H$5:$H$14,MATCH(H666,Lists!$A$2:$A$11,0))),MAX(N(INDEX(Platforms!$F$5:$F$14,MATCH(H666,Lists!$A$2:$A$11,0))),N(INDEX(Platforms!$C$5:$C$14,MATCH(H666,Lists!$A$2:$A$11,0)))*(K666+IF(INDEX(Platforms!$E$5:$E$14,MATCH(H666,Lists!$A$2:$A$11,0))="Yes",N(L666),0))+N(INDEX(Platforms!$D$5:$D$14,MATCH(H666,Lists!$A$2:$A$11,0)))))),""))</f>
        <v/>
      </c>
      <c r="R666" s="16" t="str">
        <f t="shared" si="41"/>
        <v/>
      </c>
      <c r="S666" s="17" t="str">
        <f t="shared" si="42"/>
        <v/>
      </c>
      <c r="T666" s="18" t="str">
        <f t="shared" ca="1" si="43"/>
        <v/>
      </c>
    </row>
    <row r="667" spans="1:20" x14ac:dyDescent="0.35">
      <c r="A667" s="11"/>
      <c r="B667" s="11"/>
      <c r="C667" s="11"/>
      <c r="D667" s="12"/>
      <c r="E667" s="11"/>
      <c r="F667" s="13"/>
      <c r="G667" s="13"/>
      <c r="H667" s="11"/>
      <c r="I667" s="12"/>
      <c r="J667" s="12"/>
      <c r="K667" s="13"/>
      <c r="L667" s="13"/>
      <c r="M667" s="13"/>
      <c r="N667" s="13"/>
      <c r="O667" s="13"/>
      <c r="P667" s="14" t="str">
        <f t="shared" si="40"/>
        <v/>
      </c>
      <c r="Q667" s="15" t="str">
        <f>IF(OR(J667="",H667=""),"",IFERROR(IF(ISNUMBER(N667),N667,IF(K667&lt;N(INDEX(Platforms!$G$5:$G$14,MATCH(H667,Lists!$A$2:$A$11,0))),N(INDEX(Platforms!$H$5:$H$14,MATCH(H667,Lists!$A$2:$A$11,0))),MAX(N(INDEX(Platforms!$F$5:$F$14,MATCH(H667,Lists!$A$2:$A$11,0))),N(INDEX(Platforms!$C$5:$C$14,MATCH(H667,Lists!$A$2:$A$11,0)))*(K667+IF(INDEX(Platforms!$E$5:$E$14,MATCH(H667,Lists!$A$2:$A$11,0))="Yes",N(L667),0))+N(INDEX(Platforms!$D$5:$D$14,MATCH(H667,Lists!$A$2:$A$11,0)))))),""))</f>
        <v/>
      </c>
      <c r="R667" s="16" t="str">
        <f t="shared" si="41"/>
        <v/>
      </c>
      <c r="S667" s="17" t="str">
        <f t="shared" si="42"/>
        <v/>
      </c>
      <c r="T667" s="18" t="str">
        <f t="shared" ca="1" si="43"/>
        <v/>
      </c>
    </row>
    <row r="668" spans="1:20" x14ac:dyDescent="0.35">
      <c r="A668" s="11"/>
      <c r="B668" s="11"/>
      <c r="C668" s="11"/>
      <c r="D668" s="12"/>
      <c r="E668" s="11"/>
      <c r="F668" s="13"/>
      <c r="G668" s="13"/>
      <c r="H668" s="11"/>
      <c r="I668" s="12"/>
      <c r="J668" s="12"/>
      <c r="K668" s="13"/>
      <c r="L668" s="13"/>
      <c r="M668" s="13"/>
      <c r="N668" s="13"/>
      <c r="O668" s="13"/>
      <c r="P668" s="14" t="str">
        <f t="shared" si="40"/>
        <v/>
      </c>
      <c r="Q668" s="15" t="str">
        <f>IF(OR(J668="",H668=""),"",IFERROR(IF(ISNUMBER(N668),N668,IF(K668&lt;N(INDEX(Platforms!$G$5:$G$14,MATCH(H668,Lists!$A$2:$A$11,0))),N(INDEX(Platforms!$H$5:$H$14,MATCH(H668,Lists!$A$2:$A$11,0))),MAX(N(INDEX(Platforms!$F$5:$F$14,MATCH(H668,Lists!$A$2:$A$11,0))),N(INDEX(Platforms!$C$5:$C$14,MATCH(H668,Lists!$A$2:$A$11,0)))*(K668+IF(INDEX(Platforms!$E$5:$E$14,MATCH(H668,Lists!$A$2:$A$11,0))="Yes",N(L668),0))+N(INDEX(Platforms!$D$5:$D$14,MATCH(H668,Lists!$A$2:$A$11,0)))))),""))</f>
        <v/>
      </c>
      <c r="R668" s="16" t="str">
        <f t="shared" si="41"/>
        <v/>
      </c>
      <c r="S668" s="17" t="str">
        <f t="shared" si="42"/>
        <v/>
      </c>
      <c r="T668" s="18" t="str">
        <f t="shared" ca="1" si="43"/>
        <v/>
      </c>
    </row>
    <row r="669" spans="1:20" x14ac:dyDescent="0.35">
      <c r="A669" s="11"/>
      <c r="B669" s="11"/>
      <c r="C669" s="11"/>
      <c r="D669" s="12"/>
      <c r="E669" s="11"/>
      <c r="F669" s="13"/>
      <c r="G669" s="13"/>
      <c r="H669" s="11"/>
      <c r="I669" s="12"/>
      <c r="J669" s="12"/>
      <c r="K669" s="13"/>
      <c r="L669" s="13"/>
      <c r="M669" s="13"/>
      <c r="N669" s="13"/>
      <c r="O669" s="13"/>
      <c r="P669" s="14" t="str">
        <f t="shared" si="40"/>
        <v/>
      </c>
      <c r="Q669" s="15" t="str">
        <f>IF(OR(J669="",H669=""),"",IFERROR(IF(ISNUMBER(N669),N669,IF(K669&lt;N(INDEX(Platforms!$G$5:$G$14,MATCH(H669,Lists!$A$2:$A$11,0))),N(INDEX(Platforms!$H$5:$H$14,MATCH(H669,Lists!$A$2:$A$11,0))),MAX(N(INDEX(Platforms!$F$5:$F$14,MATCH(H669,Lists!$A$2:$A$11,0))),N(INDEX(Platforms!$C$5:$C$14,MATCH(H669,Lists!$A$2:$A$11,0)))*(K669+IF(INDEX(Platforms!$E$5:$E$14,MATCH(H669,Lists!$A$2:$A$11,0))="Yes",N(L669),0))+N(INDEX(Platforms!$D$5:$D$14,MATCH(H669,Lists!$A$2:$A$11,0)))))),""))</f>
        <v/>
      </c>
      <c r="R669" s="16" t="str">
        <f t="shared" si="41"/>
        <v/>
      </c>
      <c r="S669" s="17" t="str">
        <f t="shared" si="42"/>
        <v/>
      </c>
      <c r="T669" s="18" t="str">
        <f t="shared" ca="1" si="43"/>
        <v/>
      </c>
    </row>
    <row r="670" spans="1:20" x14ac:dyDescent="0.35">
      <c r="A670" s="11"/>
      <c r="B670" s="11"/>
      <c r="C670" s="11"/>
      <c r="D670" s="12"/>
      <c r="E670" s="11"/>
      <c r="F670" s="13"/>
      <c r="G670" s="13"/>
      <c r="H670" s="11"/>
      <c r="I670" s="12"/>
      <c r="J670" s="12"/>
      <c r="K670" s="13"/>
      <c r="L670" s="13"/>
      <c r="M670" s="13"/>
      <c r="N670" s="13"/>
      <c r="O670" s="13"/>
      <c r="P670" s="14" t="str">
        <f t="shared" si="40"/>
        <v/>
      </c>
      <c r="Q670" s="15" t="str">
        <f>IF(OR(J670="",H670=""),"",IFERROR(IF(ISNUMBER(N670),N670,IF(K670&lt;N(INDEX(Platforms!$G$5:$G$14,MATCH(H670,Lists!$A$2:$A$11,0))),N(INDEX(Platforms!$H$5:$H$14,MATCH(H670,Lists!$A$2:$A$11,0))),MAX(N(INDEX(Platforms!$F$5:$F$14,MATCH(H670,Lists!$A$2:$A$11,0))),N(INDEX(Platforms!$C$5:$C$14,MATCH(H670,Lists!$A$2:$A$11,0)))*(K670+IF(INDEX(Platforms!$E$5:$E$14,MATCH(H670,Lists!$A$2:$A$11,0))="Yes",N(L670),0))+N(INDEX(Platforms!$D$5:$D$14,MATCH(H670,Lists!$A$2:$A$11,0)))))),""))</f>
        <v/>
      </c>
      <c r="R670" s="16" t="str">
        <f t="shared" si="41"/>
        <v/>
      </c>
      <c r="S670" s="17" t="str">
        <f t="shared" si="42"/>
        <v/>
      </c>
      <c r="T670" s="18" t="str">
        <f t="shared" ca="1" si="43"/>
        <v/>
      </c>
    </row>
    <row r="671" spans="1:20" x14ac:dyDescent="0.35">
      <c r="A671" s="11"/>
      <c r="B671" s="11"/>
      <c r="C671" s="11"/>
      <c r="D671" s="12"/>
      <c r="E671" s="11"/>
      <c r="F671" s="13"/>
      <c r="G671" s="13"/>
      <c r="H671" s="11"/>
      <c r="I671" s="12"/>
      <c r="J671" s="12"/>
      <c r="K671" s="13"/>
      <c r="L671" s="13"/>
      <c r="M671" s="13"/>
      <c r="N671" s="13"/>
      <c r="O671" s="13"/>
      <c r="P671" s="14" t="str">
        <f t="shared" si="40"/>
        <v/>
      </c>
      <c r="Q671" s="15" t="str">
        <f>IF(OR(J671="",H671=""),"",IFERROR(IF(ISNUMBER(N671),N671,IF(K671&lt;N(INDEX(Platforms!$G$5:$G$14,MATCH(H671,Lists!$A$2:$A$11,0))),N(INDEX(Platforms!$H$5:$H$14,MATCH(H671,Lists!$A$2:$A$11,0))),MAX(N(INDEX(Platforms!$F$5:$F$14,MATCH(H671,Lists!$A$2:$A$11,0))),N(INDEX(Platforms!$C$5:$C$14,MATCH(H671,Lists!$A$2:$A$11,0)))*(K671+IF(INDEX(Platforms!$E$5:$E$14,MATCH(H671,Lists!$A$2:$A$11,0))="Yes",N(L671),0))+N(INDEX(Platforms!$D$5:$D$14,MATCH(H671,Lists!$A$2:$A$11,0)))))),""))</f>
        <v/>
      </c>
      <c r="R671" s="16" t="str">
        <f t="shared" si="41"/>
        <v/>
      </c>
      <c r="S671" s="17" t="str">
        <f t="shared" si="42"/>
        <v/>
      </c>
      <c r="T671" s="18" t="str">
        <f t="shared" ca="1" si="43"/>
        <v/>
      </c>
    </row>
    <row r="672" spans="1:20" x14ac:dyDescent="0.35">
      <c r="A672" s="11"/>
      <c r="B672" s="11"/>
      <c r="C672" s="11"/>
      <c r="D672" s="12"/>
      <c r="E672" s="11"/>
      <c r="F672" s="13"/>
      <c r="G672" s="13"/>
      <c r="H672" s="11"/>
      <c r="I672" s="12"/>
      <c r="J672" s="12"/>
      <c r="K672" s="13"/>
      <c r="L672" s="13"/>
      <c r="M672" s="13"/>
      <c r="N672" s="13"/>
      <c r="O672" s="13"/>
      <c r="P672" s="14" t="str">
        <f t="shared" si="40"/>
        <v/>
      </c>
      <c r="Q672" s="15" t="str">
        <f>IF(OR(J672="",H672=""),"",IFERROR(IF(ISNUMBER(N672),N672,IF(K672&lt;N(INDEX(Platforms!$G$5:$G$14,MATCH(H672,Lists!$A$2:$A$11,0))),N(INDEX(Platforms!$H$5:$H$14,MATCH(H672,Lists!$A$2:$A$11,0))),MAX(N(INDEX(Platforms!$F$5:$F$14,MATCH(H672,Lists!$A$2:$A$11,0))),N(INDEX(Platforms!$C$5:$C$14,MATCH(H672,Lists!$A$2:$A$11,0)))*(K672+IF(INDEX(Platforms!$E$5:$E$14,MATCH(H672,Lists!$A$2:$A$11,0))="Yes",N(L672),0))+N(INDEX(Platforms!$D$5:$D$14,MATCH(H672,Lists!$A$2:$A$11,0)))))),""))</f>
        <v/>
      </c>
      <c r="R672" s="16" t="str">
        <f t="shared" si="41"/>
        <v/>
      </c>
      <c r="S672" s="17" t="str">
        <f t="shared" si="42"/>
        <v/>
      </c>
      <c r="T672" s="18" t="str">
        <f t="shared" ca="1" si="43"/>
        <v/>
      </c>
    </row>
    <row r="673" spans="1:20" x14ac:dyDescent="0.35">
      <c r="A673" s="11"/>
      <c r="B673" s="11"/>
      <c r="C673" s="11"/>
      <c r="D673" s="12"/>
      <c r="E673" s="11"/>
      <c r="F673" s="13"/>
      <c r="G673" s="13"/>
      <c r="H673" s="11"/>
      <c r="I673" s="12"/>
      <c r="J673" s="12"/>
      <c r="K673" s="13"/>
      <c r="L673" s="13"/>
      <c r="M673" s="13"/>
      <c r="N673" s="13"/>
      <c r="O673" s="13"/>
      <c r="P673" s="14" t="str">
        <f t="shared" si="40"/>
        <v/>
      </c>
      <c r="Q673" s="15" t="str">
        <f>IF(OR(J673="",H673=""),"",IFERROR(IF(ISNUMBER(N673),N673,IF(K673&lt;N(INDEX(Platforms!$G$5:$G$14,MATCH(H673,Lists!$A$2:$A$11,0))),N(INDEX(Platforms!$H$5:$H$14,MATCH(H673,Lists!$A$2:$A$11,0))),MAX(N(INDEX(Platforms!$F$5:$F$14,MATCH(H673,Lists!$A$2:$A$11,0))),N(INDEX(Platforms!$C$5:$C$14,MATCH(H673,Lists!$A$2:$A$11,0)))*(K673+IF(INDEX(Platforms!$E$5:$E$14,MATCH(H673,Lists!$A$2:$A$11,0))="Yes",N(L673),0))+N(INDEX(Platforms!$D$5:$D$14,MATCH(H673,Lists!$A$2:$A$11,0)))))),""))</f>
        <v/>
      </c>
      <c r="R673" s="16" t="str">
        <f t="shared" si="41"/>
        <v/>
      </c>
      <c r="S673" s="17" t="str">
        <f t="shared" si="42"/>
        <v/>
      </c>
      <c r="T673" s="18" t="str">
        <f t="shared" ca="1" si="43"/>
        <v/>
      </c>
    </row>
    <row r="674" spans="1:20" x14ac:dyDescent="0.35">
      <c r="A674" s="11"/>
      <c r="B674" s="11"/>
      <c r="C674" s="11"/>
      <c r="D674" s="12"/>
      <c r="E674" s="11"/>
      <c r="F674" s="13"/>
      <c r="G674" s="13"/>
      <c r="H674" s="11"/>
      <c r="I674" s="12"/>
      <c r="J674" s="12"/>
      <c r="K674" s="13"/>
      <c r="L674" s="13"/>
      <c r="M674" s="13"/>
      <c r="N674" s="13"/>
      <c r="O674" s="13"/>
      <c r="P674" s="14" t="str">
        <f t="shared" si="40"/>
        <v/>
      </c>
      <c r="Q674" s="15" t="str">
        <f>IF(OR(J674="",H674=""),"",IFERROR(IF(ISNUMBER(N674),N674,IF(K674&lt;N(INDEX(Platforms!$G$5:$G$14,MATCH(H674,Lists!$A$2:$A$11,0))),N(INDEX(Platforms!$H$5:$H$14,MATCH(H674,Lists!$A$2:$A$11,0))),MAX(N(INDEX(Platforms!$F$5:$F$14,MATCH(H674,Lists!$A$2:$A$11,0))),N(INDEX(Platforms!$C$5:$C$14,MATCH(H674,Lists!$A$2:$A$11,0)))*(K674+IF(INDEX(Platforms!$E$5:$E$14,MATCH(H674,Lists!$A$2:$A$11,0))="Yes",N(L674),0))+N(INDEX(Platforms!$D$5:$D$14,MATCH(H674,Lists!$A$2:$A$11,0)))))),""))</f>
        <v/>
      </c>
      <c r="R674" s="16" t="str">
        <f t="shared" si="41"/>
        <v/>
      </c>
      <c r="S674" s="17" t="str">
        <f t="shared" si="42"/>
        <v/>
      </c>
      <c r="T674" s="18" t="str">
        <f t="shared" ca="1" si="43"/>
        <v/>
      </c>
    </row>
    <row r="675" spans="1:20" x14ac:dyDescent="0.35">
      <c r="A675" s="11"/>
      <c r="B675" s="11"/>
      <c r="C675" s="11"/>
      <c r="D675" s="12"/>
      <c r="E675" s="11"/>
      <c r="F675" s="13"/>
      <c r="G675" s="13"/>
      <c r="H675" s="11"/>
      <c r="I675" s="12"/>
      <c r="J675" s="12"/>
      <c r="K675" s="13"/>
      <c r="L675" s="13"/>
      <c r="M675" s="13"/>
      <c r="N675" s="13"/>
      <c r="O675" s="13"/>
      <c r="P675" s="14" t="str">
        <f t="shared" si="40"/>
        <v/>
      </c>
      <c r="Q675" s="15" t="str">
        <f>IF(OR(J675="",H675=""),"",IFERROR(IF(ISNUMBER(N675),N675,IF(K675&lt;N(INDEX(Platforms!$G$5:$G$14,MATCH(H675,Lists!$A$2:$A$11,0))),N(INDEX(Platforms!$H$5:$H$14,MATCH(H675,Lists!$A$2:$A$11,0))),MAX(N(INDEX(Platforms!$F$5:$F$14,MATCH(H675,Lists!$A$2:$A$11,0))),N(INDEX(Platforms!$C$5:$C$14,MATCH(H675,Lists!$A$2:$A$11,0)))*(K675+IF(INDEX(Platforms!$E$5:$E$14,MATCH(H675,Lists!$A$2:$A$11,0))="Yes",N(L675),0))+N(INDEX(Platforms!$D$5:$D$14,MATCH(H675,Lists!$A$2:$A$11,0)))))),""))</f>
        <v/>
      </c>
      <c r="R675" s="16" t="str">
        <f t="shared" si="41"/>
        <v/>
      </c>
      <c r="S675" s="17" t="str">
        <f t="shared" si="42"/>
        <v/>
      </c>
      <c r="T675" s="18" t="str">
        <f t="shared" ca="1" si="43"/>
        <v/>
      </c>
    </row>
    <row r="676" spans="1:20" x14ac:dyDescent="0.35">
      <c r="A676" s="11"/>
      <c r="B676" s="11"/>
      <c r="C676" s="11"/>
      <c r="D676" s="12"/>
      <c r="E676" s="11"/>
      <c r="F676" s="13"/>
      <c r="G676" s="13"/>
      <c r="H676" s="11"/>
      <c r="I676" s="12"/>
      <c r="J676" s="12"/>
      <c r="K676" s="13"/>
      <c r="L676" s="13"/>
      <c r="M676" s="13"/>
      <c r="N676" s="13"/>
      <c r="O676" s="13"/>
      <c r="P676" s="14" t="str">
        <f t="shared" si="40"/>
        <v/>
      </c>
      <c r="Q676" s="15" t="str">
        <f>IF(OR(J676="",H676=""),"",IFERROR(IF(ISNUMBER(N676),N676,IF(K676&lt;N(INDEX(Platforms!$G$5:$G$14,MATCH(H676,Lists!$A$2:$A$11,0))),N(INDEX(Platforms!$H$5:$H$14,MATCH(H676,Lists!$A$2:$A$11,0))),MAX(N(INDEX(Platforms!$F$5:$F$14,MATCH(H676,Lists!$A$2:$A$11,0))),N(INDEX(Platforms!$C$5:$C$14,MATCH(H676,Lists!$A$2:$A$11,0)))*(K676+IF(INDEX(Platforms!$E$5:$E$14,MATCH(H676,Lists!$A$2:$A$11,0))="Yes",N(L676),0))+N(INDEX(Platforms!$D$5:$D$14,MATCH(H676,Lists!$A$2:$A$11,0)))))),""))</f>
        <v/>
      </c>
      <c r="R676" s="16" t="str">
        <f t="shared" si="41"/>
        <v/>
      </c>
      <c r="S676" s="17" t="str">
        <f t="shared" si="42"/>
        <v/>
      </c>
      <c r="T676" s="18" t="str">
        <f t="shared" ca="1" si="43"/>
        <v/>
      </c>
    </row>
    <row r="677" spans="1:20" x14ac:dyDescent="0.35">
      <c r="A677" s="11"/>
      <c r="B677" s="11"/>
      <c r="C677" s="11"/>
      <c r="D677" s="12"/>
      <c r="E677" s="11"/>
      <c r="F677" s="13"/>
      <c r="G677" s="13"/>
      <c r="H677" s="11"/>
      <c r="I677" s="12"/>
      <c r="J677" s="12"/>
      <c r="K677" s="13"/>
      <c r="L677" s="13"/>
      <c r="M677" s="13"/>
      <c r="N677" s="13"/>
      <c r="O677" s="13"/>
      <c r="P677" s="14" t="str">
        <f t="shared" si="40"/>
        <v/>
      </c>
      <c r="Q677" s="15" t="str">
        <f>IF(OR(J677="",H677=""),"",IFERROR(IF(ISNUMBER(N677),N677,IF(K677&lt;N(INDEX(Platforms!$G$5:$G$14,MATCH(H677,Lists!$A$2:$A$11,0))),N(INDEX(Platforms!$H$5:$H$14,MATCH(H677,Lists!$A$2:$A$11,0))),MAX(N(INDEX(Platforms!$F$5:$F$14,MATCH(H677,Lists!$A$2:$A$11,0))),N(INDEX(Platforms!$C$5:$C$14,MATCH(H677,Lists!$A$2:$A$11,0)))*(K677+IF(INDEX(Platforms!$E$5:$E$14,MATCH(H677,Lists!$A$2:$A$11,0))="Yes",N(L677),0))+N(INDEX(Platforms!$D$5:$D$14,MATCH(H677,Lists!$A$2:$A$11,0)))))),""))</f>
        <v/>
      </c>
      <c r="R677" s="16" t="str">
        <f t="shared" si="41"/>
        <v/>
      </c>
      <c r="S677" s="17" t="str">
        <f t="shared" si="42"/>
        <v/>
      </c>
      <c r="T677" s="18" t="str">
        <f t="shared" ca="1" si="43"/>
        <v/>
      </c>
    </row>
    <row r="678" spans="1:20" x14ac:dyDescent="0.35">
      <c r="A678" s="11"/>
      <c r="B678" s="11"/>
      <c r="C678" s="11"/>
      <c r="D678" s="12"/>
      <c r="E678" s="11"/>
      <c r="F678" s="13"/>
      <c r="G678" s="13"/>
      <c r="H678" s="11"/>
      <c r="I678" s="12"/>
      <c r="J678" s="12"/>
      <c r="K678" s="13"/>
      <c r="L678" s="13"/>
      <c r="M678" s="13"/>
      <c r="N678" s="13"/>
      <c r="O678" s="13"/>
      <c r="P678" s="14" t="str">
        <f t="shared" si="40"/>
        <v/>
      </c>
      <c r="Q678" s="15" t="str">
        <f>IF(OR(J678="",H678=""),"",IFERROR(IF(ISNUMBER(N678),N678,IF(K678&lt;N(INDEX(Platforms!$G$5:$G$14,MATCH(H678,Lists!$A$2:$A$11,0))),N(INDEX(Platforms!$H$5:$H$14,MATCH(H678,Lists!$A$2:$A$11,0))),MAX(N(INDEX(Platforms!$F$5:$F$14,MATCH(H678,Lists!$A$2:$A$11,0))),N(INDEX(Platforms!$C$5:$C$14,MATCH(H678,Lists!$A$2:$A$11,0)))*(K678+IF(INDEX(Platforms!$E$5:$E$14,MATCH(H678,Lists!$A$2:$A$11,0))="Yes",N(L678),0))+N(INDEX(Platforms!$D$5:$D$14,MATCH(H678,Lists!$A$2:$A$11,0)))))),""))</f>
        <v/>
      </c>
      <c r="R678" s="16" t="str">
        <f t="shared" si="41"/>
        <v/>
      </c>
      <c r="S678" s="17" t="str">
        <f t="shared" si="42"/>
        <v/>
      </c>
      <c r="T678" s="18" t="str">
        <f t="shared" ca="1" si="43"/>
        <v/>
      </c>
    </row>
    <row r="679" spans="1:20" x14ac:dyDescent="0.35">
      <c r="A679" s="11"/>
      <c r="B679" s="11"/>
      <c r="C679" s="11"/>
      <c r="D679" s="12"/>
      <c r="E679" s="11"/>
      <c r="F679" s="13"/>
      <c r="G679" s="13"/>
      <c r="H679" s="11"/>
      <c r="I679" s="12"/>
      <c r="J679" s="12"/>
      <c r="K679" s="13"/>
      <c r="L679" s="13"/>
      <c r="M679" s="13"/>
      <c r="N679" s="13"/>
      <c r="O679" s="13"/>
      <c r="P679" s="14" t="str">
        <f t="shared" si="40"/>
        <v/>
      </c>
      <c r="Q679" s="15" t="str">
        <f>IF(OR(J679="",H679=""),"",IFERROR(IF(ISNUMBER(N679),N679,IF(K679&lt;N(INDEX(Platforms!$G$5:$G$14,MATCH(H679,Lists!$A$2:$A$11,0))),N(INDEX(Platforms!$H$5:$H$14,MATCH(H679,Lists!$A$2:$A$11,0))),MAX(N(INDEX(Platforms!$F$5:$F$14,MATCH(H679,Lists!$A$2:$A$11,0))),N(INDEX(Platforms!$C$5:$C$14,MATCH(H679,Lists!$A$2:$A$11,0)))*(K679+IF(INDEX(Platforms!$E$5:$E$14,MATCH(H679,Lists!$A$2:$A$11,0))="Yes",N(L679),0))+N(INDEX(Platforms!$D$5:$D$14,MATCH(H679,Lists!$A$2:$A$11,0)))))),""))</f>
        <v/>
      </c>
      <c r="R679" s="16" t="str">
        <f t="shared" si="41"/>
        <v/>
      </c>
      <c r="S679" s="17" t="str">
        <f t="shared" si="42"/>
        <v/>
      </c>
      <c r="T679" s="18" t="str">
        <f t="shared" ca="1" si="43"/>
        <v/>
      </c>
    </row>
    <row r="680" spans="1:20" x14ac:dyDescent="0.35">
      <c r="A680" s="11"/>
      <c r="B680" s="11"/>
      <c r="C680" s="11"/>
      <c r="D680" s="12"/>
      <c r="E680" s="11"/>
      <c r="F680" s="13"/>
      <c r="G680" s="13"/>
      <c r="H680" s="11"/>
      <c r="I680" s="12"/>
      <c r="J680" s="12"/>
      <c r="K680" s="13"/>
      <c r="L680" s="13"/>
      <c r="M680" s="13"/>
      <c r="N680" s="13"/>
      <c r="O680" s="13"/>
      <c r="P680" s="14" t="str">
        <f t="shared" si="40"/>
        <v/>
      </c>
      <c r="Q680" s="15" t="str">
        <f>IF(OR(J680="",H680=""),"",IFERROR(IF(ISNUMBER(N680),N680,IF(K680&lt;N(INDEX(Platforms!$G$5:$G$14,MATCH(H680,Lists!$A$2:$A$11,0))),N(INDEX(Platforms!$H$5:$H$14,MATCH(H680,Lists!$A$2:$A$11,0))),MAX(N(INDEX(Platforms!$F$5:$F$14,MATCH(H680,Lists!$A$2:$A$11,0))),N(INDEX(Platforms!$C$5:$C$14,MATCH(H680,Lists!$A$2:$A$11,0)))*(K680+IF(INDEX(Platforms!$E$5:$E$14,MATCH(H680,Lists!$A$2:$A$11,0))="Yes",N(L680),0))+N(INDEX(Platforms!$D$5:$D$14,MATCH(H680,Lists!$A$2:$A$11,0)))))),""))</f>
        <v/>
      </c>
      <c r="R680" s="16" t="str">
        <f t="shared" si="41"/>
        <v/>
      </c>
      <c r="S680" s="17" t="str">
        <f t="shared" si="42"/>
        <v/>
      </c>
      <c r="T680" s="18" t="str">
        <f t="shared" ca="1" si="43"/>
        <v/>
      </c>
    </row>
    <row r="681" spans="1:20" x14ac:dyDescent="0.35">
      <c r="A681" s="11"/>
      <c r="B681" s="11"/>
      <c r="C681" s="11"/>
      <c r="D681" s="12"/>
      <c r="E681" s="11"/>
      <c r="F681" s="13"/>
      <c r="G681" s="13"/>
      <c r="H681" s="11"/>
      <c r="I681" s="12"/>
      <c r="J681" s="12"/>
      <c r="K681" s="13"/>
      <c r="L681" s="13"/>
      <c r="M681" s="13"/>
      <c r="N681" s="13"/>
      <c r="O681" s="13"/>
      <c r="P681" s="14" t="str">
        <f t="shared" si="40"/>
        <v/>
      </c>
      <c r="Q681" s="15" t="str">
        <f>IF(OR(J681="",H681=""),"",IFERROR(IF(ISNUMBER(N681),N681,IF(K681&lt;N(INDEX(Platforms!$G$5:$G$14,MATCH(H681,Lists!$A$2:$A$11,0))),N(INDEX(Platforms!$H$5:$H$14,MATCH(H681,Lists!$A$2:$A$11,0))),MAX(N(INDEX(Platforms!$F$5:$F$14,MATCH(H681,Lists!$A$2:$A$11,0))),N(INDEX(Platforms!$C$5:$C$14,MATCH(H681,Lists!$A$2:$A$11,0)))*(K681+IF(INDEX(Platforms!$E$5:$E$14,MATCH(H681,Lists!$A$2:$A$11,0))="Yes",N(L681),0))+N(INDEX(Platforms!$D$5:$D$14,MATCH(H681,Lists!$A$2:$A$11,0)))))),""))</f>
        <v/>
      </c>
      <c r="R681" s="16" t="str">
        <f t="shared" si="41"/>
        <v/>
      </c>
      <c r="S681" s="17" t="str">
        <f t="shared" si="42"/>
        <v/>
      </c>
      <c r="T681" s="18" t="str">
        <f t="shared" ca="1" si="43"/>
        <v/>
      </c>
    </row>
    <row r="682" spans="1:20" x14ac:dyDescent="0.35">
      <c r="A682" s="11"/>
      <c r="B682" s="11"/>
      <c r="C682" s="11"/>
      <c r="D682" s="12"/>
      <c r="E682" s="11"/>
      <c r="F682" s="13"/>
      <c r="G682" s="13"/>
      <c r="H682" s="11"/>
      <c r="I682" s="12"/>
      <c r="J682" s="12"/>
      <c r="K682" s="13"/>
      <c r="L682" s="13"/>
      <c r="M682" s="13"/>
      <c r="N682" s="13"/>
      <c r="O682" s="13"/>
      <c r="P682" s="14" t="str">
        <f t="shared" si="40"/>
        <v/>
      </c>
      <c r="Q682" s="15" t="str">
        <f>IF(OR(J682="",H682=""),"",IFERROR(IF(ISNUMBER(N682),N682,IF(K682&lt;N(INDEX(Platforms!$G$5:$G$14,MATCH(H682,Lists!$A$2:$A$11,0))),N(INDEX(Platforms!$H$5:$H$14,MATCH(H682,Lists!$A$2:$A$11,0))),MAX(N(INDEX(Platforms!$F$5:$F$14,MATCH(H682,Lists!$A$2:$A$11,0))),N(INDEX(Platforms!$C$5:$C$14,MATCH(H682,Lists!$A$2:$A$11,0)))*(K682+IF(INDEX(Platforms!$E$5:$E$14,MATCH(H682,Lists!$A$2:$A$11,0))="Yes",N(L682),0))+N(INDEX(Platforms!$D$5:$D$14,MATCH(H682,Lists!$A$2:$A$11,0)))))),""))</f>
        <v/>
      </c>
      <c r="R682" s="16" t="str">
        <f t="shared" si="41"/>
        <v/>
      </c>
      <c r="S682" s="17" t="str">
        <f t="shared" si="42"/>
        <v/>
      </c>
      <c r="T682" s="18" t="str">
        <f t="shared" ca="1" si="43"/>
        <v/>
      </c>
    </row>
    <row r="683" spans="1:20" x14ac:dyDescent="0.35">
      <c r="A683" s="11"/>
      <c r="B683" s="11"/>
      <c r="C683" s="11"/>
      <c r="D683" s="12"/>
      <c r="E683" s="11"/>
      <c r="F683" s="13"/>
      <c r="G683" s="13"/>
      <c r="H683" s="11"/>
      <c r="I683" s="12"/>
      <c r="J683" s="12"/>
      <c r="K683" s="13"/>
      <c r="L683" s="13"/>
      <c r="M683" s="13"/>
      <c r="N683" s="13"/>
      <c r="O683" s="13"/>
      <c r="P683" s="14" t="str">
        <f t="shared" si="40"/>
        <v/>
      </c>
      <c r="Q683" s="15" t="str">
        <f>IF(OR(J683="",H683=""),"",IFERROR(IF(ISNUMBER(N683),N683,IF(K683&lt;N(INDEX(Platforms!$G$5:$G$14,MATCH(H683,Lists!$A$2:$A$11,0))),N(INDEX(Platforms!$H$5:$H$14,MATCH(H683,Lists!$A$2:$A$11,0))),MAX(N(INDEX(Platforms!$F$5:$F$14,MATCH(H683,Lists!$A$2:$A$11,0))),N(INDEX(Platforms!$C$5:$C$14,MATCH(H683,Lists!$A$2:$A$11,0)))*(K683+IF(INDEX(Platforms!$E$5:$E$14,MATCH(H683,Lists!$A$2:$A$11,0))="Yes",N(L683),0))+N(INDEX(Platforms!$D$5:$D$14,MATCH(H683,Lists!$A$2:$A$11,0)))))),""))</f>
        <v/>
      </c>
      <c r="R683" s="16" t="str">
        <f t="shared" si="41"/>
        <v/>
      </c>
      <c r="S683" s="17" t="str">
        <f t="shared" si="42"/>
        <v/>
      </c>
      <c r="T683" s="18" t="str">
        <f t="shared" ca="1" si="43"/>
        <v/>
      </c>
    </row>
    <row r="684" spans="1:20" x14ac:dyDescent="0.35">
      <c r="A684" s="11"/>
      <c r="B684" s="11"/>
      <c r="C684" s="11"/>
      <c r="D684" s="12"/>
      <c r="E684" s="11"/>
      <c r="F684" s="13"/>
      <c r="G684" s="13"/>
      <c r="H684" s="11"/>
      <c r="I684" s="12"/>
      <c r="J684" s="12"/>
      <c r="K684" s="13"/>
      <c r="L684" s="13"/>
      <c r="M684" s="13"/>
      <c r="N684" s="13"/>
      <c r="O684" s="13"/>
      <c r="P684" s="14" t="str">
        <f t="shared" si="40"/>
        <v/>
      </c>
      <c r="Q684" s="15" t="str">
        <f>IF(OR(J684="",H684=""),"",IFERROR(IF(ISNUMBER(N684),N684,IF(K684&lt;N(INDEX(Platforms!$G$5:$G$14,MATCH(H684,Lists!$A$2:$A$11,0))),N(INDEX(Platforms!$H$5:$H$14,MATCH(H684,Lists!$A$2:$A$11,0))),MAX(N(INDEX(Platforms!$F$5:$F$14,MATCH(H684,Lists!$A$2:$A$11,0))),N(INDEX(Platforms!$C$5:$C$14,MATCH(H684,Lists!$A$2:$A$11,0)))*(K684+IF(INDEX(Platforms!$E$5:$E$14,MATCH(H684,Lists!$A$2:$A$11,0))="Yes",N(L684),0))+N(INDEX(Platforms!$D$5:$D$14,MATCH(H684,Lists!$A$2:$A$11,0)))))),""))</f>
        <v/>
      </c>
      <c r="R684" s="16" t="str">
        <f t="shared" si="41"/>
        <v/>
      </c>
      <c r="S684" s="17" t="str">
        <f t="shared" si="42"/>
        <v/>
      </c>
      <c r="T684" s="18" t="str">
        <f t="shared" ca="1" si="43"/>
        <v/>
      </c>
    </row>
    <row r="685" spans="1:20" x14ac:dyDescent="0.35">
      <c r="A685" s="11"/>
      <c r="B685" s="11"/>
      <c r="C685" s="11"/>
      <c r="D685" s="12"/>
      <c r="E685" s="11"/>
      <c r="F685" s="13"/>
      <c r="G685" s="13"/>
      <c r="H685" s="11"/>
      <c r="I685" s="12"/>
      <c r="J685" s="12"/>
      <c r="K685" s="13"/>
      <c r="L685" s="13"/>
      <c r="M685" s="13"/>
      <c r="N685" s="13"/>
      <c r="O685" s="13"/>
      <c r="P685" s="14" t="str">
        <f t="shared" si="40"/>
        <v/>
      </c>
      <c r="Q685" s="15" t="str">
        <f>IF(OR(J685="",H685=""),"",IFERROR(IF(ISNUMBER(N685),N685,IF(K685&lt;N(INDEX(Platforms!$G$5:$G$14,MATCH(H685,Lists!$A$2:$A$11,0))),N(INDEX(Platforms!$H$5:$H$14,MATCH(H685,Lists!$A$2:$A$11,0))),MAX(N(INDEX(Platforms!$F$5:$F$14,MATCH(H685,Lists!$A$2:$A$11,0))),N(INDEX(Platforms!$C$5:$C$14,MATCH(H685,Lists!$A$2:$A$11,0)))*(K685+IF(INDEX(Platforms!$E$5:$E$14,MATCH(H685,Lists!$A$2:$A$11,0))="Yes",N(L685),0))+N(INDEX(Platforms!$D$5:$D$14,MATCH(H685,Lists!$A$2:$A$11,0)))))),""))</f>
        <v/>
      </c>
      <c r="R685" s="16" t="str">
        <f t="shared" si="41"/>
        <v/>
      </c>
      <c r="S685" s="17" t="str">
        <f t="shared" si="42"/>
        <v/>
      </c>
      <c r="T685" s="18" t="str">
        <f t="shared" ca="1" si="43"/>
        <v/>
      </c>
    </row>
    <row r="686" spans="1:20" x14ac:dyDescent="0.35">
      <c r="A686" s="11"/>
      <c r="B686" s="11"/>
      <c r="C686" s="11"/>
      <c r="D686" s="12"/>
      <c r="E686" s="11"/>
      <c r="F686" s="13"/>
      <c r="G686" s="13"/>
      <c r="H686" s="11"/>
      <c r="I686" s="12"/>
      <c r="J686" s="12"/>
      <c r="K686" s="13"/>
      <c r="L686" s="13"/>
      <c r="M686" s="13"/>
      <c r="N686" s="13"/>
      <c r="O686" s="13"/>
      <c r="P686" s="14" t="str">
        <f t="shared" si="40"/>
        <v/>
      </c>
      <c r="Q686" s="15" t="str">
        <f>IF(OR(J686="",H686=""),"",IFERROR(IF(ISNUMBER(N686),N686,IF(K686&lt;N(INDEX(Platforms!$G$5:$G$14,MATCH(H686,Lists!$A$2:$A$11,0))),N(INDEX(Platforms!$H$5:$H$14,MATCH(H686,Lists!$A$2:$A$11,0))),MAX(N(INDEX(Platforms!$F$5:$F$14,MATCH(H686,Lists!$A$2:$A$11,0))),N(INDEX(Platforms!$C$5:$C$14,MATCH(H686,Lists!$A$2:$A$11,0)))*(K686+IF(INDEX(Platforms!$E$5:$E$14,MATCH(H686,Lists!$A$2:$A$11,0))="Yes",N(L686),0))+N(INDEX(Platforms!$D$5:$D$14,MATCH(H686,Lists!$A$2:$A$11,0)))))),""))</f>
        <v/>
      </c>
      <c r="R686" s="16" t="str">
        <f t="shared" si="41"/>
        <v/>
      </c>
      <c r="S686" s="17" t="str">
        <f t="shared" si="42"/>
        <v/>
      </c>
      <c r="T686" s="18" t="str">
        <f t="shared" ca="1" si="43"/>
        <v/>
      </c>
    </row>
    <row r="687" spans="1:20" x14ac:dyDescent="0.35">
      <c r="A687" s="11"/>
      <c r="B687" s="11"/>
      <c r="C687" s="11"/>
      <c r="D687" s="12"/>
      <c r="E687" s="11"/>
      <c r="F687" s="13"/>
      <c r="G687" s="13"/>
      <c r="H687" s="11"/>
      <c r="I687" s="12"/>
      <c r="J687" s="12"/>
      <c r="K687" s="13"/>
      <c r="L687" s="13"/>
      <c r="M687" s="13"/>
      <c r="N687" s="13"/>
      <c r="O687" s="13"/>
      <c r="P687" s="14" t="str">
        <f t="shared" si="40"/>
        <v/>
      </c>
      <c r="Q687" s="15" t="str">
        <f>IF(OR(J687="",H687=""),"",IFERROR(IF(ISNUMBER(N687),N687,IF(K687&lt;N(INDEX(Platforms!$G$5:$G$14,MATCH(H687,Lists!$A$2:$A$11,0))),N(INDEX(Platforms!$H$5:$H$14,MATCH(H687,Lists!$A$2:$A$11,0))),MAX(N(INDEX(Platforms!$F$5:$F$14,MATCH(H687,Lists!$A$2:$A$11,0))),N(INDEX(Platforms!$C$5:$C$14,MATCH(H687,Lists!$A$2:$A$11,0)))*(K687+IF(INDEX(Platforms!$E$5:$E$14,MATCH(H687,Lists!$A$2:$A$11,0))="Yes",N(L687),0))+N(INDEX(Platforms!$D$5:$D$14,MATCH(H687,Lists!$A$2:$A$11,0)))))),""))</f>
        <v/>
      </c>
      <c r="R687" s="16" t="str">
        <f t="shared" si="41"/>
        <v/>
      </c>
      <c r="S687" s="17" t="str">
        <f t="shared" si="42"/>
        <v/>
      </c>
      <c r="T687" s="18" t="str">
        <f t="shared" ca="1" si="43"/>
        <v/>
      </c>
    </row>
    <row r="688" spans="1:20" x14ac:dyDescent="0.35">
      <c r="A688" s="11"/>
      <c r="B688" s="11"/>
      <c r="C688" s="11"/>
      <c r="D688" s="12"/>
      <c r="E688" s="11"/>
      <c r="F688" s="13"/>
      <c r="G688" s="13"/>
      <c r="H688" s="11"/>
      <c r="I688" s="12"/>
      <c r="J688" s="12"/>
      <c r="K688" s="13"/>
      <c r="L688" s="13"/>
      <c r="M688" s="13"/>
      <c r="N688" s="13"/>
      <c r="O688" s="13"/>
      <c r="P688" s="14" t="str">
        <f t="shared" si="40"/>
        <v/>
      </c>
      <c r="Q688" s="15" t="str">
        <f>IF(OR(J688="",H688=""),"",IFERROR(IF(ISNUMBER(N688),N688,IF(K688&lt;N(INDEX(Platforms!$G$5:$G$14,MATCH(H688,Lists!$A$2:$A$11,0))),N(INDEX(Platforms!$H$5:$H$14,MATCH(H688,Lists!$A$2:$A$11,0))),MAX(N(INDEX(Platforms!$F$5:$F$14,MATCH(H688,Lists!$A$2:$A$11,0))),N(INDEX(Platforms!$C$5:$C$14,MATCH(H688,Lists!$A$2:$A$11,0)))*(K688+IF(INDEX(Platforms!$E$5:$E$14,MATCH(H688,Lists!$A$2:$A$11,0))="Yes",N(L688),0))+N(INDEX(Platforms!$D$5:$D$14,MATCH(H688,Lists!$A$2:$A$11,0)))))),""))</f>
        <v/>
      </c>
      <c r="R688" s="16" t="str">
        <f t="shared" si="41"/>
        <v/>
      </c>
      <c r="S688" s="17" t="str">
        <f t="shared" si="42"/>
        <v/>
      </c>
      <c r="T688" s="18" t="str">
        <f t="shared" ca="1" si="43"/>
        <v/>
      </c>
    </row>
    <row r="689" spans="1:20" x14ac:dyDescent="0.35">
      <c r="A689" s="11"/>
      <c r="B689" s="11"/>
      <c r="C689" s="11"/>
      <c r="D689" s="12"/>
      <c r="E689" s="11"/>
      <c r="F689" s="13"/>
      <c r="G689" s="13"/>
      <c r="H689" s="11"/>
      <c r="I689" s="12"/>
      <c r="J689" s="12"/>
      <c r="K689" s="13"/>
      <c r="L689" s="13"/>
      <c r="M689" s="13"/>
      <c r="N689" s="13"/>
      <c r="O689" s="13"/>
      <c r="P689" s="14" t="str">
        <f t="shared" si="40"/>
        <v/>
      </c>
      <c r="Q689" s="15" t="str">
        <f>IF(OR(J689="",H689=""),"",IFERROR(IF(ISNUMBER(N689),N689,IF(K689&lt;N(INDEX(Platforms!$G$5:$G$14,MATCH(H689,Lists!$A$2:$A$11,0))),N(INDEX(Platforms!$H$5:$H$14,MATCH(H689,Lists!$A$2:$A$11,0))),MAX(N(INDEX(Platforms!$F$5:$F$14,MATCH(H689,Lists!$A$2:$A$11,0))),N(INDEX(Platforms!$C$5:$C$14,MATCH(H689,Lists!$A$2:$A$11,0)))*(K689+IF(INDEX(Platforms!$E$5:$E$14,MATCH(H689,Lists!$A$2:$A$11,0))="Yes",N(L689),0))+N(INDEX(Platforms!$D$5:$D$14,MATCH(H689,Lists!$A$2:$A$11,0)))))),""))</f>
        <v/>
      </c>
      <c r="R689" s="16" t="str">
        <f t="shared" si="41"/>
        <v/>
      </c>
      <c r="S689" s="17" t="str">
        <f t="shared" si="42"/>
        <v/>
      </c>
      <c r="T689" s="18" t="str">
        <f t="shared" ca="1" si="43"/>
        <v/>
      </c>
    </row>
    <row r="690" spans="1:20" x14ac:dyDescent="0.35">
      <c r="A690" s="11"/>
      <c r="B690" s="11"/>
      <c r="C690" s="11"/>
      <c r="D690" s="12"/>
      <c r="E690" s="11"/>
      <c r="F690" s="13"/>
      <c r="G690" s="13"/>
      <c r="H690" s="11"/>
      <c r="I690" s="12"/>
      <c r="J690" s="12"/>
      <c r="K690" s="13"/>
      <c r="L690" s="13"/>
      <c r="M690" s="13"/>
      <c r="N690" s="13"/>
      <c r="O690" s="13"/>
      <c r="P690" s="14" t="str">
        <f t="shared" si="40"/>
        <v/>
      </c>
      <c r="Q690" s="15" t="str">
        <f>IF(OR(J690="",H690=""),"",IFERROR(IF(ISNUMBER(N690),N690,IF(K690&lt;N(INDEX(Platforms!$G$5:$G$14,MATCH(H690,Lists!$A$2:$A$11,0))),N(INDEX(Platforms!$H$5:$H$14,MATCH(H690,Lists!$A$2:$A$11,0))),MAX(N(INDEX(Platforms!$F$5:$F$14,MATCH(H690,Lists!$A$2:$A$11,0))),N(INDEX(Platforms!$C$5:$C$14,MATCH(H690,Lists!$A$2:$A$11,0)))*(K690+IF(INDEX(Platforms!$E$5:$E$14,MATCH(H690,Lists!$A$2:$A$11,0))="Yes",N(L690),0))+N(INDEX(Platforms!$D$5:$D$14,MATCH(H690,Lists!$A$2:$A$11,0)))))),""))</f>
        <v/>
      </c>
      <c r="R690" s="16" t="str">
        <f t="shared" si="41"/>
        <v/>
      </c>
      <c r="S690" s="17" t="str">
        <f t="shared" si="42"/>
        <v/>
      </c>
      <c r="T690" s="18" t="str">
        <f t="shared" ca="1" si="43"/>
        <v/>
      </c>
    </row>
    <row r="691" spans="1:20" x14ac:dyDescent="0.35">
      <c r="A691" s="11"/>
      <c r="B691" s="11"/>
      <c r="C691" s="11"/>
      <c r="D691" s="12"/>
      <c r="E691" s="11"/>
      <c r="F691" s="13"/>
      <c r="G691" s="13"/>
      <c r="H691" s="11"/>
      <c r="I691" s="12"/>
      <c r="J691" s="12"/>
      <c r="K691" s="13"/>
      <c r="L691" s="13"/>
      <c r="M691" s="13"/>
      <c r="N691" s="13"/>
      <c r="O691" s="13"/>
      <c r="P691" s="14" t="str">
        <f t="shared" si="40"/>
        <v/>
      </c>
      <c r="Q691" s="15" t="str">
        <f>IF(OR(J691="",H691=""),"",IFERROR(IF(ISNUMBER(N691),N691,IF(K691&lt;N(INDEX(Platforms!$G$5:$G$14,MATCH(H691,Lists!$A$2:$A$11,0))),N(INDEX(Platforms!$H$5:$H$14,MATCH(H691,Lists!$A$2:$A$11,0))),MAX(N(INDEX(Platforms!$F$5:$F$14,MATCH(H691,Lists!$A$2:$A$11,0))),N(INDEX(Platforms!$C$5:$C$14,MATCH(H691,Lists!$A$2:$A$11,0)))*(K691+IF(INDEX(Platforms!$E$5:$E$14,MATCH(H691,Lists!$A$2:$A$11,0))="Yes",N(L691),0))+N(INDEX(Platforms!$D$5:$D$14,MATCH(H691,Lists!$A$2:$A$11,0)))))),""))</f>
        <v/>
      </c>
      <c r="R691" s="16" t="str">
        <f t="shared" si="41"/>
        <v/>
      </c>
      <c r="S691" s="17" t="str">
        <f t="shared" si="42"/>
        <v/>
      </c>
      <c r="T691" s="18" t="str">
        <f t="shared" ca="1" si="43"/>
        <v/>
      </c>
    </row>
    <row r="692" spans="1:20" x14ac:dyDescent="0.35">
      <c r="A692" s="11"/>
      <c r="B692" s="11"/>
      <c r="C692" s="11"/>
      <c r="D692" s="12"/>
      <c r="E692" s="11"/>
      <c r="F692" s="13"/>
      <c r="G692" s="13"/>
      <c r="H692" s="11"/>
      <c r="I692" s="12"/>
      <c r="J692" s="12"/>
      <c r="K692" s="13"/>
      <c r="L692" s="13"/>
      <c r="M692" s="13"/>
      <c r="N692" s="13"/>
      <c r="O692" s="13"/>
      <c r="P692" s="14" t="str">
        <f t="shared" si="40"/>
        <v/>
      </c>
      <c r="Q692" s="15" t="str">
        <f>IF(OR(J692="",H692=""),"",IFERROR(IF(ISNUMBER(N692),N692,IF(K692&lt;N(INDEX(Platforms!$G$5:$G$14,MATCH(H692,Lists!$A$2:$A$11,0))),N(INDEX(Platforms!$H$5:$H$14,MATCH(H692,Lists!$A$2:$A$11,0))),MAX(N(INDEX(Platforms!$F$5:$F$14,MATCH(H692,Lists!$A$2:$A$11,0))),N(INDEX(Platforms!$C$5:$C$14,MATCH(H692,Lists!$A$2:$A$11,0)))*(K692+IF(INDEX(Platforms!$E$5:$E$14,MATCH(H692,Lists!$A$2:$A$11,0))="Yes",N(L692),0))+N(INDEX(Platforms!$D$5:$D$14,MATCH(H692,Lists!$A$2:$A$11,0)))))),""))</f>
        <v/>
      </c>
      <c r="R692" s="16" t="str">
        <f t="shared" si="41"/>
        <v/>
      </c>
      <c r="S692" s="17" t="str">
        <f t="shared" si="42"/>
        <v/>
      </c>
      <c r="T692" s="18" t="str">
        <f t="shared" ca="1" si="43"/>
        <v/>
      </c>
    </row>
    <row r="693" spans="1:20" x14ac:dyDescent="0.35">
      <c r="A693" s="11"/>
      <c r="B693" s="11"/>
      <c r="C693" s="11"/>
      <c r="D693" s="12"/>
      <c r="E693" s="11"/>
      <c r="F693" s="13"/>
      <c r="G693" s="13"/>
      <c r="H693" s="11"/>
      <c r="I693" s="12"/>
      <c r="J693" s="12"/>
      <c r="K693" s="13"/>
      <c r="L693" s="13"/>
      <c r="M693" s="13"/>
      <c r="N693" s="13"/>
      <c r="O693" s="13"/>
      <c r="P693" s="14" t="str">
        <f t="shared" si="40"/>
        <v/>
      </c>
      <c r="Q693" s="15" t="str">
        <f>IF(OR(J693="",H693=""),"",IFERROR(IF(ISNUMBER(N693),N693,IF(K693&lt;N(INDEX(Platforms!$G$5:$G$14,MATCH(H693,Lists!$A$2:$A$11,0))),N(INDEX(Platforms!$H$5:$H$14,MATCH(H693,Lists!$A$2:$A$11,0))),MAX(N(INDEX(Platforms!$F$5:$F$14,MATCH(H693,Lists!$A$2:$A$11,0))),N(INDEX(Platforms!$C$5:$C$14,MATCH(H693,Lists!$A$2:$A$11,0)))*(K693+IF(INDEX(Platforms!$E$5:$E$14,MATCH(H693,Lists!$A$2:$A$11,0))="Yes",N(L693),0))+N(INDEX(Platforms!$D$5:$D$14,MATCH(H693,Lists!$A$2:$A$11,0)))))),""))</f>
        <v/>
      </c>
      <c r="R693" s="16" t="str">
        <f t="shared" si="41"/>
        <v/>
      </c>
      <c r="S693" s="17" t="str">
        <f t="shared" si="42"/>
        <v/>
      </c>
      <c r="T693" s="18" t="str">
        <f t="shared" ca="1" si="43"/>
        <v/>
      </c>
    </row>
    <row r="694" spans="1:20" x14ac:dyDescent="0.35">
      <c r="A694" s="11"/>
      <c r="B694" s="11"/>
      <c r="C694" s="11"/>
      <c r="D694" s="12"/>
      <c r="E694" s="11"/>
      <c r="F694" s="13"/>
      <c r="G694" s="13"/>
      <c r="H694" s="11"/>
      <c r="I694" s="12"/>
      <c r="J694" s="12"/>
      <c r="K694" s="13"/>
      <c r="L694" s="13"/>
      <c r="M694" s="13"/>
      <c r="N694" s="13"/>
      <c r="O694" s="13"/>
      <c r="P694" s="14" t="str">
        <f t="shared" si="40"/>
        <v/>
      </c>
      <c r="Q694" s="15" t="str">
        <f>IF(OR(J694="",H694=""),"",IFERROR(IF(ISNUMBER(N694),N694,IF(K694&lt;N(INDEX(Platforms!$G$5:$G$14,MATCH(H694,Lists!$A$2:$A$11,0))),N(INDEX(Platforms!$H$5:$H$14,MATCH(H694,Lists!$A$2:$A$11,0))),MAX(N(INDEX(Platforms!$F$5:$F$14,MATCH(H694,Lists!$A$2:$A$11,0))),N(INDEX(Platforms!$C$5:$C$14,MATCH(H694,Lists!$A$2:$A$11,0)))*(K694+IF(INDEX(Platforms!$E$5:$E$14,MATCH(H694,Lists!$A$2:$A$11,0))="Yes",N(L694),0))+N(INDEX(Platforms!$D$5:$D$14,MATCH(H694,Lists!$A$2:$A$11,0)))))),""))</f>
        <v/>
      </c>
      <c r="R694" s="16" t="str">
        <f t="shared" si="41"/>
        <v/>
      </c>
      <c r="S694" s="17" t="str">
        <f t="shared" si="42"/>
        <v/>
      </c>
      <c r="T694" s="18" t="str">
        <f t="shared" ca="1" si="43"/>
        <v/>
      </c>
    </row>
    <row r="695" spans="1:20" x14ac:dyDescent="0.35">
      <c r="A695" s="11"/>
      <c r="B695" s="11"/>
      <c r="C695" s="11"/>
      <c r="D695" s="12"/>
      <c r="E695" s="11"/>
      <c r="F695" s="13"/>
      <c r="G695" s="13"/>
      <c r="H695" s="11"/>
      <c r="I695" s="12"/>
      <c r="J695" s="12"/>
      <c r="K695" s="13"/>
      <c r="L695" s="13"/>
      <c r="M695" s="13"/>
      <c r="N695" s="13"/>
      <c r="O695" s="13"/>
      <c r="P695" s="14" t="str">
        <f t="shared" si="40"/>
        <v/>
      </c>
      <c r="Q695" s="15" t="str">
        <f>IF(OR(J695="",H695=""),"",IFERROR(IF(ISNUMBER(N695),N695,IF(K695&lt;N(INDEX(Platforms!$G$5:$G$14,MATCH(H695,Lists!$A$2:$A$11,0))),N(INDEX(Platforms!$H$5:$H$14,MATCH(H695,Lists!$A$2:$A$11,0))),MAX(N(INDEX(Platforms!$F$5:$F$14,MATCH(H695,Lists!$A$2:$A$11,0))),N(INDEX(Platforms!$C$5:$C$14,MATCH(H695,Lists!$A$2:$A$11,0)))*(K695+IF(INDEX(Platforms!$E$5:$E$14,MATCH(H695,Lists!$A$2:$A$11,0))="Yes",N(L695),0))+N(INDEX(Platforms!$D$5:$D$14,MATCH(H695,Lists!$A$2:$A$11,0)))))),""))</f>
        <v/>
      </c>
      <c r="R695" s="16" t="str">
        <f t="shared" si="41"/>
        <v/>
      </c>
      <c r="S695" s="17" t="str">
        <f t="shared" si="42"/>
        <v/>
      </c>
      <c r="T695" s="18" t="str">
        <f t="shared" ca="1" si="43"/>
        <v/>
      </c>
    </row>
    <row r="696" spans="1:20" x14ac:dyDescent="0.35">
      <c r="A696" s="11"/>
      <c r="B696" s="11"/>
      <c r="C696" s="11"/>
      <c r="D696" s="12"/>
      <c r="E696" s="11"/>
      <c r="F696" s="13"/>
      <c r="G696" s="13"/>
      <c r="H696" s="11"/>
      <c r="I696" s="12"/>
      <c r="J696" s="12"/>
      <c r="K696" s="13"/>
      <c r="L696" s="13"/>
      <c r="M696" s="13"/>
      <c r="N696" s="13"/>
      <c r="O696" s="13"/>
      <c r="P696" s="14" t="str">
        <f t="shared" si="40"/>
        <v/>
      </c>
      <c r="Q696" s="15" t="str">
        <f>IF(OR(J696="",H696=""),"",IFERROR(IF(ISNUMBER(N696),N696,IF(K696&lt;N(INDEX(Platforms!$G$5:$G$14,MATCH(H696,Lists!$A$2:$A$11,0))),N(INDEX(Platforms!$H$5:$H$14,MATCH(H696,Lists!$A$2:$A$11,0))),MAX(N(INDEX(Platforms!$F$5:$F$14,MATCH(H696,Lists!$A$2:$A$11,0))),N(INDEX(Platforms!$C$5:$C$14,MATCH(H696,Lists!$A$2:$A$11,0)))*(K696+IF(INDEX(Platforms!$E$5:$E$14,MATCH(H696,Lists!$A$2:$A$11,0))="Yes",N(L696),0))+N(INDEX(Platforms!$D$5:$D$14,MATCH(H696,Lists!$A$2:$A$11,0)))))),""))</f>
        <v/>
      </c>
      <c r="R696" s="16" t="str">
        <f t="shared" si="41"/>
        <v/>
      </c>
      <c r="S696" s="17" t="str">
        <f t="shared" si="42"/>
        <v/>
      </c>
      <c r="T696" s="18" t="str">
        <f t="shared" ca="1" si="43"/>
        <v/>
      </c>
    </row>
    <row r="697" spans="1:20" x14ac:dyDescent="0.35">
      <c r="A697" s="11"/>
      <c r="B697" s="11"/>
      <c r="C697" s="11"/>
      <c r="D697" s="12"/>
      <c r="E697" s="11"/>
      <c r="F697" s="13"/>
      <c r="G697" s="13"/>
      <c r="H697" s="11"/>
      <c r="I697" s="12"/>
      <c r="J697" s="12"/>
      <c r="K697" s="13"/>
      <c r="L697" s="13"/>
      <c r="M697" s="13"/>
      <c r="N697" s="13"/>
      <c r="O697" s="13"/>
      <c r="P697" s="14" t="str">
        <f t="shared" si="40"/>
        <v/>
      </c>
      <c r="Q697" s="15" t="str">
        <f>IF(OR(J697="",H697=""),"",IFERROR(IF(ISNUMBER(N697),N697,IF(K697&lt;N(INDEX(Platforms!$G$5:$G$14,MATCH(H697,Lists!$A$2:$A$11,0))),N(INDEX(Platforms!$H$5:$H$14,MATCH(H697,Lists!$A$2:$A$11,0))),MAX(N(INDEX(Platforms!$F$5:$F$14,MATCH(H697,Lists!$A$2:$A$11,0))),N(INDEX(Platforms!$C$5:$C$14,MATCH(H697,Lists!$A$2:$A$11,0)))*(K697+IF(INDEX(Platforms!$E$5:$E$14,MATCH(H697,Lists!$A$2:$A$11,0))="Yes",N(L697),0))+N(INDEX(Platforms!$D$5:$D$14,MATCH(H697,Lists!$A$2:$A$11,0)))))),""))</f>
        <v/>
      </c>
      <c r="R697" s="16" t="str">
        <f t="shared" si="41"/>
        <v/>
      </c>
      <c r="S697" s="17" t="str">
        <f t="shared" si="42"/>
        <v/>
      </c>
      <c r="T697" s="18" t="str">
        <f t="shared" ca="1" si="43"/>
        <v/>
      </c>
    </row>
    <row r="698" spans="1:20" x14ac:dyDescent="0.35">
      <c r="A698" s="11"/>
      <c r="B698" s="11"/>
      <c r="C698" s="11"/>
      <c r="D698" s="12"/>
      <c r="E698" s="11"/>
      <c r="F698" s="13"/>
      <c r="G698" s="13"/>
      <c r="H698" s="11"/>
      <c r="I698" s="12"/>
      <c r="J698" s="12"/>
      <c r="K698" s="13"/>
      <c r="L698" s="13"/>
      <c r="M698" s="13"/>
      <c r="N698" s="13"/>
      <c r="O698" s="13"/>
      <c r="P698" s="14" t="str">
        <f t="shared" si="40"/>
        <v/>
      </c>
      <c r="Q698" s="15" t="str">
        <f>IF(OR(J698="",H698=""),"",IFERROR(IF(ISNUMBER(N698),N698,IF(K698&lt;N(INDEX(Platforms!$G$5:$G$14,MATCH(H698,Lists!$A$2:$A$11,0))),N(INDEX(Platforms!$H$5:$H$14,MATCH(H698,Lists!$A$2:$A$11,0))),MAX(N(INDEX(Platforms!$F$5:$F$14,MATCH(H698,Lists!$A$2:$A$11,0))),N(INDEX(Platforms!$C$5:$C$14,MATCH(H698,Lists!$A$2:$A$11,0)))*(K698+IF(INDEX(Platforms!$E$5:$E$14,MATCH(H698,Lists!$A$2:$A$11,0))="Yes",N(L698),0))+N(INDEX(Platforms!$D$5:$D$14,MATCH(H698,Lists!$A$2:$A$11,0)))))),""))</f>
        <v/>
      </c>
      <c r="R698" s="16" t="str">
        <f t="shared" si="41"/>
        <v/>
      </c>
      <c r="S698" s="17" t="str">
        <f t="shared" si="42"/>
        <v/>
      </c>
      <c r="T698" s="18" t="str">
        <f t="shared" ca="1" si="43"/>
        <v/>
      </c>
    </row>
    <row r="699" spans="1:20" x14ac:dyDescent="0.35">
      <c r="A699" s="11"/>
      <c r="B699" s="11"/>
      <c r="C699" s="11"/>
      <c r="D699" s="12"/>
      <c r="E699" s="11"/>
      <c r="F699" s="13"/>
      <c r="G699" s="13"/>
      <c r="H699" s="11"/>
      <c r="I699" s="12"/>
      <c r="J699" s="12"/>
      <c r="K699" s="13"/>
      <c r="L699" s="13"/>
      <c r="M699" s="13"/>
      <c r="N699" s="13"/>
      <c r="O699" s="13"/>
      <c r="P699" s="14" t="str">
        <f t="shared" si="40"/>
        <v/>
      </c>
      <c r="Q699" s="15" t="str">
        <f>IF(OR(J699="",H699=""),"",IFERROR(IF(ISNUMBER(N699),N699,IF(K699&lt;N(INDEX(Platforms!$G$5:$G$14,MATCH(H699,Lists!$A$2:$A$11,0))),N(INDEX(Platforms!$H$5:$H$14,MATCH(H699,Lists!$A$2:$A$11,0))),MAX(N(INDEX(Platforms!$F$5:$F$14,MATCH(H699,Lists!$A$2:$A$11,0))),N(INDEX(Platforms!$C$5:$C$14,MATCH(H699,Lists!$A$2:$A$11,0)))*(K699+IF(INDEX(Platforms!$E$5:$E$14,MATCH(H699,Lists!$A$2:$A$11,0))="Yes",N(L699),0))+N(INDEX(Platforms!$D$5:$D$14,MATCH(H699,Lists!$A$2:$A$11,0)))))),""))</f>
        <v/>
      </c>
      <c r="R699" s="16" t="str">
        <f t="shared" si="41"/>
        <v/>
      </c>
      <c r="S699" s="17" t="str">
        <f t="shared" si="42"/>
        <v/>
      </c>
      <c r="T699" s="18" t="str">
        <f t="shared" ca="1" si="43"/>
        <v/>
      </c>
    </row>
    <row r="700" spans="1:20" x14ac:dyDescent="0.35">
      <c r="A700" s="11"/>
      <c r="B700" s="11"/>
      <c r="C700" s="11"/>
      <c r="D700" s="12"/>
      <c r="E700" s="11"/>
      <c r="F700" s="13"/>
      <c r="G700" s="13"/>
      <c r="H700" s="11"/>
      <c r="I700" s="12"/>
      <c r="J700" s="12"/>
      <c r="K700" s="13"/>
      <c r="L700" s="13"/>
      <c r="M700" s="13"/>
      <c r="N700" s="13"/>
      <c r="O700" s="13"/>
      <c r="P700" s="14" t="str">
        <f t="shared" si="40"/>
        <v/>
      </c>
      <c r="Q700" s="15" t="str">
        <f>IF(OR(J700="",H700=""),"",IFERROR(IF(ISNUMBER(N700),N700,IF(K700&lt;N(INDEX(Platforms!$G$5:$G$14,MATCH(H700,Lists!$A$2:$A$11,0))),N(INDEX(Platforms!$H$5:$H$14,MATCH(H700,Lists!$A$2:$A$11,0))),MAX(N(INDEX(Platforms!$F$5:$F$14,MATCH(H700,Lists!$A$2:$A$11,0))),N(INDEX(Platforms!$C$5:$C$14,MATCH(H700,Lists!$A$2:$A$11,0)))*(K700+IF(INDEX(Platforms!$E$5:$E$14,MATCH(H700,Lists!$A$2:$A$11,0))="Yes",N(L700),0))+N(INDEX(Platforms!$D$5:$D$14,MATCH(H700,Lists!$A$2:$A$11,0)))))),""))</f>
        <v/>
      </c>
      <c r="R700" s="16" t="str">
        <f t="shared" si="41"/>
        <v/>
      </c>
      <c r="S700" s="17" t="str">
        <f t="shared" si="42"/>
        <v/>
      </c>
      <c r="T700" s="18" t="str">
        <f t="shared" ca="1" si="43"/>
        <v/>
      </c>
    </row>
    <row r="701" spans="1:20" x14ac:dyDescent="0.35">
      <c r="A701" s="11"/>
      <c r="B701" s="11"/>
      <c r="C701" s="11"/>
      <c r="D701" s="12"/>
      <c r="E701" s="11"/>
      <c r="F701" s="13"/>
      <c r="G701" s="13"/>
      <c r="H701" s="11"/>
      <c r="I701" s="12"/>
      <c r="J701" s="12"/>
      <c r="K701" s="13"/>
      <c r="L701" s="13"/>
      <c r="M701" s="13"/>
      <c r="N701" s="13"/>
      <c r="O701" s="13"/>
      <c r="P701" s="14" t="str">
        <f t="shared" si="40"/>
        <v/>
      </c>
      <c r="Q701" s="15" t="str">
        <f>IF(OR(J701="",H701=""),"",IFERROR(IF(ISNUMBER(N701),N701,IF(K701&lt;N(INDEX(Platforms!$G$5:$G$14,MATCH(H701,Lists!$A$2:$A$11,0))),N(INDEX(Platforms!$H$5:$H$14,MATCH(H701,Lists!$A$2:$A$11,0))),MAX(N(INDEX(Platforms!$F$5:$F$14,MATCH(H701,Lists!$A$2:$A$11,0))),N(INDEX(Platforms!$C$5:$C$14,MATCH(H701,Lists!$A$2:$A$11,0)))*(K701+IF(INDEX(Platforms!$E$5:$E$14,MATCH(H701,Lists!$A$2:$A$11,0))="Yes",N(L701),0))+N(INDEX(Platforms!$D$5:$D$14,MATCH(H701,Lists!$A$2:$A$11,0)))))),""))</f>
        <v/>
      </c>
      <c r="R701" s="16" t="str">
        <f t="shared" si="41"/>
        <v/>
      </c>
      <c r="S701" s="17" t="str">
        <f t="shared" si="42"/>
        <v/>
      </c>
      <c r="T701" s="18" t="str">
        <f t="shared" ca="1" si="43"/>
        <v/>
      </c>
    </row>
    <row r="702" spans="1:20" x14ac:dyDescent="0.35">
      <c r="A702" s="11"/>
      <c r="B702" s="11"/>
      <c r="C702" s="11"/>
      <c r="D702" s="12"/>
      <c r="E702" s="11"/>
      <c r="F702" s="13"/>
      <c r="G702" s="13"/>
      <c r="H702" s="11"/>
      <c r="I702" s="12"/>
      <c r="J702" s="12"/>
      <c r="K702" s="13"/>
      <c r="L702" s="13"/>
      <c r="M702" s="13"/>
      <c r="N702" s="13"/>
      <c r="O702" s="13"/>
      <c r="P702" s="14" t="str">
        <f t="shared" si="40"/>
        <v/>
      </c>
      <c r="Q702" s="15" t="str">
        <f>IF(OR(J702="",H702=""),"",IFERROR(IF(ISNUMBER(N702),N702,IF(K702&lt;N(INDEX(Platforms!$G$5:$G$14,MATCH(H702,Lists!$A$2:$A$11,0))),N(INDEX(Platforms!$H$5:$H$14,MATCH(H702,Lists!$A$2:$A$11,0))),MAX(N(INDEX(Platforms!$F$5:$F$14,MATCH(H702,Lists!$A$2:$A$11,0))),N(INDEX(Platforms!$C$5:$C$14,MATCH(H702,Lists!$A$2:$A$11,0)))*(K702+IF(INDEX(Platforms!$E$5:$E$14,MATCH(H702,Lists!$A$2:$A$11,0))="Yes",N(L702),0))+N(INDEX(Platforms!$D$5:$D$14,MATCH(H702,Lists!$A$2:$A$11,0)))))),""))</f>
        <v/>
      </c>
      <c r="R702" s="16" t="str">
        <f t="shared" si="41"/>
        <v/>
      </c>
      <c r="S702" s="17" t="str">
        <f t="shared" si="42"/>
        <v/>
      </c>
      <c r="T702" s="18" t="str">
        <f t="shared" ca="1" si="43"/>
        <v/>
      </c>
    </row>
    <row r="703" spans="1:20" x14ac:dyDescent="0.35">
      <c r="A703" s="11"/>
      <c r="B703" s="11"/>
      <c r="C703" s="11"/>
      <c r="D703" s="12"/>
      <c r="E703" s="11"/>
      <c r="F703" s="13"/>
      <c r="G703" s="13"/>
      <c r="H703" s="11"/>
      <c r="I703" s="12"/>
      <c r="J703" s="12"/>
      <c r="K703" s="13"/>
      <c r="L703" s="13"/>
      <c r="M703" s="13"/>
      <c r="N703" s="13"/>
      <c r="O703" s="13"/>
      <c r="P703" s="14" t="str">
        <f t="shared" si="40"/>
        <v/>
      </c>
      <c r="Q703" s="15" t="str">
        <f>IF(OR(J703="",H703=""),"",IFERROR(IF(ISNUMBER(N703),N703,IF(K703&lt;N(INDEX(Platforms!$G$5:$G$14,MATCH(H703,Lists!$A$2:$A$11,0))),N(INDEX(Platforms!$H$5:$H$14,MATCH(H703,Lists!$A$2:$A$11,0))),MAX(N(INDEX(Platforms!$F$5:$F$14,MATCH(H703,Lists!$A$2:$A$11,0))),N(INDEX(Platforms!$C$5:$C$14,MATCH(H703,Lists!$A$2:$A$11,0)))*(K703+IF(INDEX(Platforms!$E$5:$E$14,MATCH(H703,Lists!$A$2:$A$11,0))="Yes",N(L703),0))+N(INDEX(Platforms!$D$5:$D$14,MATCH(H703,Lists!$A$2:$A$11,0)))))),""))</f>
        <v/>
      </c>
      <c r="R703" s="16" t="str">
        <f t="shared" si="41"/>
        <v/>
      </c>
      <c r="S703" s="17" t="str">
        <f t="shared" si="42"/>
        <v/>
      </c>
      <c r="T703" s="18" t="str">
        <f t="shared" ca="1" si="43"/>
        <v/>
      </c>
    </row>
    <row r="704" spans="1:20" x14ac:dyDescent="0.35">
      <c r="A704" s="11"/>
      <c r="B704" s="11"/>
      <c r="C704" s="11"/>
      <c r="D704" s="12"/>
      <c r="E704" s="11"/>
      <c r="F704" s="13"/>
      <c r="G704" s="13"/>
      <c r="H704" s="11"/>
      <c r="I704" s="12"/>
      <c r="J704" s="12"/>
      <c r="K704" s="13"/>
      <c r="L704" s="13"/>
      <c r="M704" s="13"/>
      <c r="N704" s="13"/>
      <c r="O704" s="13"/>
      <c r="P704" s="14" t="str">
        <f t="shared" si="40"/>
        <v/>
      </c>
      <c r="Q704" s="15" t="str">
        <f>IF(OR(J704="",H704=""),"",IFERROR(IF(ISNUMBER(N704),N704,IF(K704&lt;N(INDEX(Platforms!$G$5:$G$14,MATCH(H704,Lists!$A$2:$A$11,0))),N(INDEX(Platforms!$H$5:$H$14,MATCH(H704,Lists!$A$2:$A$11,0))),MAX(N(INDEX(Platforms!$F$5:$F$14,MATCH(H704,Lists!$A$2:$A$11,0))),N(INDEX(Platforms!$C$5:$C$14,MATCH(H704,Lists!$A$2:$A$11,0)))*(K704+IF(INDEX(Platforms!$E$5:$E$14,MATCH(H704,Lists!$A$2:$A$11,0))="Yes",N(L704),0))+N(INDEX(Platforms!$D$5:$D$14,MATCH(H704,Lists!$A$2:$A$11,0)))))),""))</f>
        <v/>
      </c>
      <c r="R704" s="16" t="str">
        <f t="shared" si="41"/>
        <v/>
      </c>
      <c r="S704" s="17" t="str">
        <f t="shared" si="42"/>
        <v/>
      </c>
      <c r="T704" s="18" t="str">
        <f t="shared" ca="1" si="43"/>
        <v/>
      </c>
    </row>
    <row r="705" spans="1:20" x14ac:dyDescent="0.35">
      <c r="A705" s="11"/>
      <c r="B705" s="11"/>
      <c r="C705" s="11"/>
      <c r="D705" s="12"/>
      <c r="E705" s="11"/>
      <c r="F705" s="13"/>
      <c r="G705" s="13"/>
      <c r="H705" s="11"/>
      <c r="I705" s="12"/>
      <c r="J705" s="12"/>
      <c r="K705" s="13"/>
      <c r="L705" s="13"/>
      <c r="M705" s="13"/>
      <c r="N705" s="13"/>
      <c r="O705" s="13"/>
      <c r="P705" s="14" t="str">
        <f t="shared" si="40"/>
        <v/>
      </c>
      <c r="Q705" s="15" t="str">
        <f>IF(OR(J705="",H705=""),"",IFERROR(IF(ISNUMBER(N705),N705,IF(K705&lt;N(INDEX(Platforms!$G$5:$G$14,MATCH(H705,Lists!$A$2:$A$11,0))),N(INDEX(Platforms!$H$5:$H$14,MATCH(H705,Lists!$A$2:$A$11,0))),MAX(N(INDEX(Platforms!$F$5:$F$14,MATCH(H705,Lists!$A$2:$A$11,0))),N(INDEX(Platforms!$C$5:$C$14,MATCH(H705,Lists!$A$2:$A$11,0)))*(K705+IF(INDEX(Platforms!$E$5:$E$14,MATCH(H705,Lists!$A$2:$A$11,0))="Yes",N(L705),0))+N(INDEX(Platforms!$D$5:$D$14,MATCH(H705,Lists!$A$2:$A$11,0)))))),""))</f>
        <v/>
      </c>
      <c r="R705" s="16" t="str">
        <f t="shared" si="41"/>
        <v/>
      </c>
      <c r="S705" s="17" t="str">
        <f t="shared" si="42"/>
        <v/>
      </c>
      <c r="T705" s="18" t="str">
        <f t="shared" ca="1" si="43"/>
        <v/>
      </c>
    </row>
    <row r="706" spans="1:20" x14ac:dyDescent="0.35">
      <c r="A706" s="11"/>
      <c r="B706" s="11"/>
      <c r="C706" s="11"/>
      <c r="D706" s="12"/>
      <c r="E706" s="11"/>
      <c r="F706" s="13"/>
      <c r="G706" s="13"/>
      <c r="H706" s="11"/>
      <c r="I706" s="12"/>
      <c r="J706" s="12"/>
      <c r="K706" s="13"/>
      <c r="L706" s="13"/>
      <c r="M706" s="13"/>
      <c r="N706" s="13"/>
      <c r="O706" s="13"/>
      <c r="P706" s="14" t="str">
        <f t="shared" si="40"/>
        <v/>
      </c>
      <c r="Q706" s="15" t="str">
        <f>IF(OR(J706="",H706=""),"",IFERROR(IF(ISNUMBER(N706),N706,IF(K706&lt;N(INDEX(Platforms!$G$5:$G$14,MATCH(H706,Lists!$A$2:$A$11,0))),N(INDEX(Platforms!$H$5:$H$14,MATCH(H706,Lists!$A$2:$A$11,0))),MAX(N(INDEX(Platforms!$F$5:$F$14,MATCH(H706,Lists!$A$2:$A$11,0))),N(INDEX(Platforms!$C$5:$C$14,MATCH(H706,Lists!$A$2:$A$11,0)))*(K706+IF(INDEX(Platforms!$E$5:$E$14,MATCH(H706,Lists!$A$2:$A$11,0))="Yes",N(L706),0))+N(INDEX(Platforms!$D$5:$D$14,MATCH(H706,Lists!$A$2:$A$11,0)))))),""))</f>
        <v/>
      </c>
      <c r="R706" s="16" t="str">
        <f t="shared" si="41"/>
        <v/>
      </c>
      <c r="S706" s="17" t="str">
        <f t="shared" si="42"/>
        <v/>
      </c>
      <c r="T706" s="18" t="str">
        <f t="shared" ca="1" si="43"/>
        <v/>
      </c>
    </row>
    <row r="707" spans="1:20" x14ac:dyDescent="0.35">
      <c r="A707" s="11"/>
      <c r="B707" s="11"/>
      <c r="C707" s="11"/>
      <c r="D707" s="12"/>
      <c r="E707" s="11"/>
      <c r="F707" s="13"/>
      <c r="G707" s="13"/>
      <c r="H707" s="11"/>
      <c r="I707" s="12"/>
      <c r="J707" s="12"/>
      <c r="K707" s="13"/>
      <c r="L707" s="13"/>
      <c r="M707" s="13"/>
      <c r="N707" s="13"/>
      <c r="O707" s="13"/>
      <c r="P707" s="14" t="str">
        <f t="shared" si="40"/>
        <v/>
      </c>
      <c r="Q707" s="15" t="str">
        <f>IF(OR(J707="",H707=""),"",IFERROR(IF(ISNUMBER(N707),N707,IF(K707&lt;N(INDEX(Platforms!$G$5:$G$14,MATCH(H707,Lists!$A$2:$A$11,0))),N(INDEX(Platforms!$H$5:$H$14,MATCH(H707,Lists!$A$2:$A$11,0))),MAX(N(INDEX(Platforms!$F$5:$F$14,MATCH(H707,Lists!$A$2:$A$11,0))),N(INDEX(Platforms!$C$5:$C$14,MATCH(H707,Lists!$A$2:$A$11,0)))*(K707+IF(INDEX(Platforms!$E$5:$E$14,MATCH(H707,Lists!$A$2:$A$11,0))="Yes",N(L707),0))+N(INDEX(Platforms!$D$5:$D$14,MATCH(H707,Lists!$A$2:$A$11,0)))))),""))</f>
        <v/>
      </c>
      <c r="R707" s="16" t="str">
        <f t="shared" si="41"/>
        <v/>
      </c>
      <c r="S707" s="17" t="str">
        <f t="shared" si="42"/>
        <v/>
      </c>
      <c r="T707" s="18" t="str">
        <f t="shared" ca="1" si="43"/>
        <v/>
      </c>
    </row>
    <row r="708" spans="1:20" x14ac:dyDescent="0.35">
      <c r="A708" s="11"/>
      <c r="B708" s="11"/>
      <c r="C708" s="11"/>
      <c r="D708" s="12"/>
      <c r="E708" s="11"/>
      <c r="F708" s="13"/>
      <c r="G708" s="13"/>
      <c r="H708" s="11"/>
      <c r="I708" s="12"/>
      <c r="J708" s="12"/>
      <c r="K708" s="13"/>
      <c r="L708" s="13"/>
      <c r="M708" s="13"/>
      <c r="N708" s="13"/>
      <c r="O708" s="13"/>
      <c r="P708" s="14" t="str">
        <f t="shared" si="40"/>
        <v/>
      </c>
      <c r="Q708" s="15" t="str">
        <f>IF(OR(J708="",H708=""),"",IFERROR(IF(ISNUMBER(N708),N708,IF(K708&lt;N(INDEX(Platforms!$G$5:$G$14,MATCH(H708,Lists!$A$2:$A$11,0))),N(INDEX(Platforms!$H$5:$H$14,MATCH(H708,Lists!$A$2:$A$11,0))),MAX(N(INDEX(Platforms!$F$5:$F$14,MATCH(H708,Lists!$A$2:$A$11,0))),N(INDEX(Platforms!$C$5:$C$14,MATCH(H708,Lists!$A$2:$A$11,0)))*(K708+IF(INDEX(Platforms!$E$5:$E$14,MATCH(H708,Lists!$A$2:$A$11,0))="Yes",N(L708),0))+N(INDEX(Platforms!$D$5:$D$14,MATCH(H708,Lists!$A$2:$A$11,0)))))),""))</f>
        <v/>
      </c>
      <c r="R708" s="16" t="str">
        <f t="shared" si="41"/>
        <v/>
      </c>
      <c r="S708" s="17" t="str">
        <f t="shared" si="42"/>
        <v/>
      </c>
      <c r="T708" s="18" t="str">
        <f t="shared" ca="1" si="43"/>
        <v/>
      </c>
    </row>
    <row r="709" spans="1:20" x14ac:dyDescent="0.35">
      <c r="A709" s="11"/>
      <c r="B709" s="11"/>
      <c r="C709" s="11"/>
      <c r="D709" s="12"/>
      <c r="E709" s="11"/>
      <c r="F709" s="13"/>
      <c r="G709" s="13"/>
      <c r="H709" s="11"/>
      <c r="I709" s="12"/>
      <c r="J709" s="12"/>
      <c r="K709" s="13"/>
      <c r="L709" s="13"/>
      <c r="M709" s="13"/>
      <c r="N709" s="13"/>
      <c r="O709" s="13"/>
      <c r="P709" s="14" t="str">
        <f t="shared" ref="P709:P772" si="44">IF(OR(B709&lt;&gt;"",F709&lt;&gt;"",H709&lt;&gt;"",J709&lt;&gt;"",K709&lt;&gt;""),IF(J709&lt;&gt;"","Sold",IF(I709&lt;&gt;"","Listed","In stock")),"")</f>
        <v/>
      </c>
      <c r="Q709" s="15" t="str">
        <f>IF(OR(J709="",H709=""),"",IFERROR(IF(ISNUMBER(N709),N709,IF(K709&lt;N(INDEX(Platforms!$G$5:$G$14,MATCH(H709,Lists!$A$2:$A$11,0))),N(INDEX(Platforms!$H$5:$H$14,MATCH(H709,Lists!$A$2:$A$11,0))),MAX(N(INDEX(Platforms!$F$5:$F$14,MATCH(H709,Lists!$A$2:$A$11,0))),N(INDEX(Platforms!$C$5:$C$14,MATCH(H709,Lists!$A$2:$A$11,0)))*(K709+IF(INDEX(Platforms!$E$5:$E$14,MATCH(H709,Lists!$A$2:$A$11,0))="Yes",N(L709),0))+N(INDEX(Platforms!$D$5:$D$14,MATCH(H709,Lists!$A$2:$A$11,0)))))),""))</f>
        <v/>
      </c>
      <c r="R709" s="16" t="str">
        <f t="shared" ref="R709:R772" si="45">IF(J709="","",IFERROR(K709+N(L709)-N(O709)-Q709-N(M709)-N(F709)-N(G709),""))</f>
        <v/>
      </c>
      <c r="S709" s="17" t="str">
        <f t="shared" ref="S709:S772" si="46">IF(OR(R709="",N(F709)+N(G709)=0),"",R709/(N(F709)+N(G709)))</f>
        <v/>
      </c>
      <c r="T709" s="18" t="str">
        <f t="shared" ref="T709:T772" ca="1" si="47">IFERROR(IF(ISNUMBER(D709),IF(ISNUMBER(J709),J709,IF(J709="",TODAY(),""))-D709,""),"")</f>
        <v/>
      </c>
    </row>
    <row r="710" spans="1:20" x14ac:dyDescent="0.35">
      <c r="A710" s="11"/>
      <c r="B710" s="11"/>
      <c r="C710" s="11"/>
      <c r="D710" s="12"/>
      <c r="E710" s="11"/>
      <c r="F710" s="13"/>
      <c r="G710" s="13"/>
      <c r="H710" s="11"/>
      <c r="I710" s="12"/>
      <c r="J710" s="12"/>
      <c r="K710" s="13"/>
      <c r="L710" s="13"/>
      <c r="M710" s="13"/>
      <c r="N710" s="13"/>
      <c r="O710" s="13"/>
      <c r="P710" s="14" t="str">
        <f t="shared" si="44"/>
        <v/>
      </c>
      <c r="Q710" s="15" t="str">
        <f>IF(OR(J710="",H710=""),"",IFERROR(IF(ISNUMBER(N710),N710,IF(K710&lt;N(INDEX(Platforms!$G$5:$G$14,MATCH(H710,Lists!$A$2:$A$11,0))),N(INDEX(Platforms!$H$5:$H$14,MATCH(H710,Lists!$A$2:$A$11,0))),MAX(N(INDEX(Platforms!$F$5:$F$14,MATCH(H710,Lists!$A$2:$A$11,0))),N(INDEX(Platforms!$C$5:$C$14,MATCH(H710,Lists!$A$2:$A$11,0)))*(K710+IF(INDEX(Platforms!$E$5:$E$14,MATCH(H710,Lists!$A$2:$A$11,0))="Yes",N(L710),0))+N(INDEX(Platforms!$D$5:$D$14,MATCH(H710,Lists!$A$2:$A$11,0)))))),""))</f>
        <v/>
      </c>
      <c r="R710" s="16" t="str">
        <f t="shared" si="45"/>
        <v/>
      </c>
      <c r="S710" s="17" t="str">
        <f t="shared" si="46"/>
        <v/>
      </c>
      <c r="T710" s="18" t="str">
        <f t="shared" ca="1" si="47"/>
        <v/>
      </c>
    </row>
    <row r="711" spans="1:20" x14ac:dyDescent="0.35">
      <c r="A711" s="11"/>
      <c r="B711" s="11"/>
      <c r="C711" s="11"/>
      <c r="D711" s="12"/>
      <c r="E711" s="11"/>
      <c r="F711" s="13"/>
      <c r="G711" s="13"/>
      <c r="H711" s="11"/>
      <c r="I711" s="12"/>
      <c r="J711" s="12"/>
      <c r="K711" s="13"/>
      <c r="L711" s="13"/>
      <c r="M711" s="13"/>
      <c r="N711" s="13"/>
      <c r="O711" s="13"/>
      <c r="P711" s="14" t="str">
        <f t="shared" si="44"/>
        <v/>
      </c>
      <c r="Q711" s="15" t="str">
        <f>IF(OR(J711="",H711=""),"",IFERROR(IF(ISNUMBER(N711),N711,IF(K711&lt;N(INDEX(Platforms!$G$5:$G$14,MATCH(H711,Lists!$A$2:$A$11,0))),N(INDEX(Platforms!$H$5:$H$14,MATCH(H711,Lists!$A$2:$A$11,0))),MAX(N(INDEX(Platforms!$F$5:$F$14,MATCH(H711,Lists!$A$2:$A$11,0))),N(INDEX(Platforms!$C$5:$C$14,MATCH(H711,Lists!$A$2:$A$11,0)))*(K711+IF(INDEX(Platforms!$E$5:$E$14,MATCH(H711,Lists!$A$2:$A$11,0))="Yes",N(L711),0))+N(INDEX(Platforms!$D$5:$D$14,MATCH(H711,Lists!$A$2:$A$11,0)))))),""))</f>
        <v/>
      </c>
      <c r="R711" s="16" t="str">
        <f t="shared" si="45"/>
        <v/>
      </c>
      <c r="S711" s="17" t="str">
        <f t="shared" si="46"/>
        <v/>
      </c>
      <c r="T711" s="18" t="str">
        <f t="shared" ca="1" si="47"/>
        <v/>
      </c>
    </row>
    <row r="712" spans="1:20" x14ac:dyDescent="0.35">
      <c r="A712" s="11"/>
      <c r="B712" s="11"/>
      <c r="C712" s="11"/>
      <c r="D712" s="12"/>
      <c r="E712" s="11"/>
      <c r="F712" s="13"/>
      <c r="G712" s="13"/>
      <c r="H712" s="11"/>
      <c r="I712" s="12"/>
      <c r="J712" s="12"/>
      <c r="K712" s="13"/>
      <c r="L712" s="13"/>
      <c r="M712" s="13"/>
      <c r="N712" s="13"/>
      <c r="O712" s="13"/>
      <c r="P712" s="14" t="str">
        <f t="shared" si="44"/>
        <v/>
      </c>
      <c r="Q712" s="15" t="str">
        <f>IF(OR(J712="",H712=""),"",IFERROR(IF(ISNUMBER(N712),N712,IF(K712&lt;N(INDEX(Platforms!$G$5:$G$14,MATCH(H712,Lists!$A$2:$A$11,0))),N(INDEX(Platforms!$H$5:$H$14,MATCH(H712,Lists!$A$2:$A$11,0))),MAX(N(INDEX(Platforms!$F$5:$F$14,MATCH(H712,Lists!$A$2:$A$11,0))),N(INDEX(Platforms!$C$5:$C$14,MATCH(H712,Lists!$A$2:$A$11,0)))*(K712+IF(INDEX(Platforms!$E$5:$E$14,MATCH(H712,Lists!$A$2:$A$11,0))="Yes",N(L712),0))+N(INDEX(Platforms!$D$5:$D$14,MATCH(H712,Lists!$A$2:$A$11,0)))))),""))</f>
        <v/>
      </c>
      <c r="R712" s="16" t="str">
        <f t="shared" si="45"/>
        <v/>
      </c>
      <c r="S712" s="17" t="str">
        <f t="shared" si="46"/>
        <v/>
      </c>
      <c r="T712" s="18" t="str">
        <f t="shared" ca="1" si="47"/>
        <v/>
      </c>
    </row>
    <row r="713" spans="1:20" x14ac:dyDescent="0.35">
      <c r="A713" s="11"/>
      <c r="B713" s="11"/>
      <c r="C713" s="11"/>
      <c r="D713" s="12"/>
      <c r="E713" s="11"/>
      <c r="F713" s="13"/>
      <c r="G713" s="13"/>
      <c r="H713" s="11"/>
      <c r="I713" s="12"/>
      <c r="J713" s="12"/>
      <c r="K713" s="13"/>
      <c r="L713" s="13"/>
      <c r="M713" s="13"/>
      <c r="N713" s="13"/>
      <c r="O713" s="13"/>
      <c r="P713" s="14" t="str">
        <f t="shared" si="44"/>
        <v/>
      </c>
      <c r="Q713" s="15" t="str">
        <f>IF(OR(J713="",H713=""),"",IFERROR(IF(ISNUMBER(N713),N713,IF(K713&lt;N(INDEX(Platforms!$G$5:$G$14,MATCH(H713,Lists!$A$2:$A$11,0))),N(INDEX(Platforms!$H$5:$H$14,MATCH(H713,Lists!$A$2:$A$11,0))),MAX(N(INDEX(Platforms!$F$5:$F$14,MATCH(H713,Lists!$A$2:$A$11,0))),N(INDEX(Platforms!$C$5:$C$14,MATCH(H713,Lists!$A$2:$A$11,0)))*(K713+IF(INDEX(Platforms!$E$5:$E$14,MATCH(H713,Lists!$A$2:$A$11,0))="Yes",N(L713),0))+N(INDEX(Platforms!$D$5:$D$14,MATCH(H713,Lists!$A$2:$A$11,0)))))),""))</f>
        <v/>
      </c>
      <c r="R713" s="16" t="str">
        <f t="shared" si="45"/>
        <v/>
      </c>
      <c r="S713" s="17" t="str">
        <f t="shared" si="46"/>
        <v/>
      </c>
      <c r="T713" s="18" t="str">
        <f t="shared" ca="1" si="47"/>
        <v/>
      </c>
    </row>
    <row r="714" spans="1:20" x14ac:dyDescent="0.35">
      <c r="A714" s="11"/>
      <c r="B714" s="11"/>
      <c r="C714" s="11"/>
      <c r="D714" s="12"/>
      <c r="E714" s="11"/>
      <c r="F714" s="13"/>
      <c r="G714" s="13"/>
      <c r="H714" s="11"/>
      <c r="I714" s="12"/>
      <c r="J714" s="12"/>
      <c r="K714" s="13"/>
      <c r="L714" s="13"/>
      <c r="M714" s="13"/>
      <c r="N714" s="13"/>
      <c r="O714" s="13"/>
      <c r="P714" s="14" t="str">
        <f t="shared" si="44"/>
        <v/>
      </c>
      <c r="Q714" s="15" t="str">
        <f>IF(OR(J714="",H714=""),"",IFERROR(IF(ISNUMBER(N714),N714,IF(K714&lt;N(INDEX(Platforms!$G$5:$G$14,MATCH(H714,Lists!$A$2:$A$11,0))),N(INDEX(Platforms!$H$5:$H$14,MATCH(H714,Lists!$A$2:$A$11,0))),MAX(N(INDEX(Platforms!$F$5:$F$14,MATCH(H714,Lists!$A$2:$A$11,0))),N(INDEX(Platforms!$C$5:$C$14,MATCH(H714,Lists!$A$2:$A$11,0)))*(K714+IF(INDEX(Platforms!$E$5:$E$14,MATCH(H714,Lists!$A$2:$A$11,0))="Yes",N(L714),0))+N(INDEX(Platforms!$D$5:$D$14,MATCH(H714,Lists!$A$2:$A$11,0)))))),""))</f>
        <v/>
      </c>
      <c r="R714" s="16" t="str">
        <f t="shared" si="45"/>
        <v/>
      </c>
      <c r="S714" s="17" t="str">
        <f t="shared" si="46"/>
        <v/>
      </c>
      <c r="T714" s="18" t="str">
        <f t="shared" ca="1" si="47"/>
        <v/>
      </c>
    </row>
    <row r="715" spans="1:20" x14ac:dyDescent="0.35">
      <c r="A715" s="11"/>
      <c r="B715" s="11"/>
      <c r="C715" s="11"/>
      <c r="D715" s="12"/>
      <c r="E715" s="11"/>
      <c r="F715" s="13"/>
      <c r="G715" s="13"/>
      <c r="H715" s="11"/>
      <c r="I715" s="12"/>
      <c r="J715" s="12"/>
      <c r="K715" s="13"/>
      <c r="L715" s="13"/>
      <c r="M715" s="13"/>
      <c r="N715" s="13"/>
      <c r="O715" s="13"/>
      <c r="P715" s="14" t="str">
        <f t="shared" si="44"/>
        <v/>
      </c>
      <c r="Q715" s="15" t="str">
        <f>IF(OR(J715="",H715=""),"",IFERROR(IF(ISNUMBER(N715),N715,IF(K715&lt;N(INDEX(Platforms!$G$5:$G$14,MATCH(H715,Lists!$A$2:$A$11,0))),N(INDEX(Platforms!$H$5:$H$14,MATCH(H715,Lists!$A$2:$A$11,0))),MAX(N(INDEX(Platforms!$F$5:$F$14,MATCH(H715,Lists!$A$2:$A$11,0))),N(INDEX(Platforms!$C$5:$C$14,MATCH(H715,Lists!$A$2:$A$11,0)))*(K715+IF(INDEX(Platforms!$E$5:$E$14,MATCH(H715,Lists!$A$2:$A$11,0))="Yes",N(L715),0))+N(INDEX(Platforms!$D$5:$D$14,MATCH(H715,Lists!$A$2:$A$11,0)))))),""))</f>
        <v/>
      </c>
      <c r="R715" s="16" t="str">
        <f t="shared" si="45"/>
        <v/>
      </c>
      <c r="S715" s="17" t="str">
        <f t="shared" si="46"/>
        <v/>
      </c>
      <c r="T715" s="18" t="str">
        <f t="shared" ca="1" si="47"/>
        <v/>
      </c>
    </row>
    <row r="716" spans="1:20" x14ac:dyDescent="0.35">
      <c r="A716" s="11"/>
      <c r="B716" s="11"/>
      <c r="C716" s="11"/>
      <c r="D716" s="12"/>
      <c r="E716" s="11"/>
      <c r="F716" s="13"/>
      <c r="G716" s="13"/>
      <c r="H716" s="11"/>
      <c r="I716" s="12"/>
      <c r="J716" s="12"/>
      <c r="K716" s="13"/>
      <c r="L716" s="13"/>
      <c r="M716" s="13"/>
      <c r="N716" s="13"/>
      <c r="O716" s="13"/>
      <c r="P716" s="14" t="str">
        <f t="shared" si="44"/>
        <v/>
      </c>
      <c r="Q716" s="15" t="str">
        <f>IF(OR(J716="",H716=""),"",IFERROR(IF(ISNUMBER(N716),N716,IF(K716&lt;N(INDEX(Platforms!$G$5:$G$14,MATCH(H716,Lists!$A$2:$A$11,0))),N(INDEX(Platforms!$H$5:$H$14,MATCH(H716,Lists!$A$2:$A$11,0))),MAX(N(INDEX(Platforms!$F$5:$F$14,MATCH(H716,Lists!$A$2:$A$11,0))),N(INDEX(Platforms!$C$5:$C$14,MATCH(H716,Lists!$A$2:$A$11,0)))*(K716+IF(INDEX(Platforms!$E$5:$E$14,MATCH(H716,Lists!$A$2:$A$11,0))="Yes",N(L716),0))+N(INDEX(Platforms!$D$5:$D$14,MATCH(H716,Lists!$A$2:$A$11,0)))))),""))</f>
        <v/>
      </c>
      <c r="R716" s="16" t="str">
        <f t="shared" si="45"/>
        <v/>
      </c>
      <c r="S716" s="17" t="str">
        <f t="shared" si="46"/>
        <v/>
      </c>
      <c r="T716" s="18" t="str">
        <f t="shared" ca="1" si="47"/>
        <v/>
      </c>
    </row>
    <row r="717" spans="1:20" x14ac:dyDescent="0.35">
      <c r="A717" s="11"/>
      <c r="B717" s="11"/>
      <c r="C717" s="11"/>
      <c r="D717" s="12"/>
      <c r="E717" s="11"/>
      <c r="F717" s="13"/>
      <c r="G717" s="13"/>
      <c r="H717" s="11"/>
      <c r="I717" s="12"/>
      <c r="J717" s="12"/>
      <c r="K717" s="13"/>
      <c r="L717" s="13"/>
      <c r="M717" s="13"/>
      <c r="N717" s="13"/>
      <c r="O717" s="13"/>
      <c r="P717" s="14" t="str">
        <f t="shared" si="44"/>
        <v/>
      </c>
      <c r="Q717" s="15" t="str">
        <f>IF(OR(J717="",H717=""),"",IFERROR(IF(ISNUMBER(N717),N717,IF(K717&lt;N(INDEX(Platforms!$G$5:$G$14,MATCH(H717,Lists!$A$2:$A$11,0))),N(INDEX(Platforms!$H$5:$H$14,MATCH(H717,Lists!$A$2:$A$11,0))),MAX(N(INDEX(Platforms!$F$5:$F$14,MATCH(H717,Lists!$A$2:$A$11,0))),N(INDEX(Platforms!$C$5:$C$14,MATCH(H717,Lists!$A$2:$A$11,0)))*(K717+IF(INDEX(Platforms!$E$5:$E$14,MATCH(H717,Lists!$A$2:$A$11,0))="Yes",N(L717),0))+N(INDEX(Platforms!$D$5:$D$14,MATCH(H717,Lists!$A$2:$A$11,0)))))),""))</f>
        <v/>
      </c>
      <c r="R717" s="16" t="str">
        <f t="shared" si="45"/>
        <v/>
      </c>
      <c r="S717" s="17" t="str">
        <f t="shared" si="46"/>
        <v/>
      </c>
      <c r="T717" s="18" t="str">
        <f t="shared" ca="1" si="47"/>
        <v/>
      </c>
    </row>
    <row r="718" spans="1:20" x14ac:dyDescent="0.35">
      <c r="A718" s="11"/>
      <c r="B718" s="11"/>
      <c r="C718" s="11"/>
      <c r="D718" s="12"/>
      <c r="E718" s="11"/>
      <c r="F718" s="13"/>
      <c r="G718" s="13"/>
      <c r="H718" s="11"/>
      <c r="I718" s="12"/>
      <c r="J718" s="12"/>
      <c r="K718" s="13"/>
      <c r="L718" s="13"/>
      <c r="M718" s="13"/>
      <c r="N718" s="13"/>
      <c r="O718" s="13"/>
      <c r="P718" s="14" t="str">
        <f t="shared" si="44"/>
        <v/>
      </c>
      <c r="Q718" s="15" t="str">
        <f>IF(OR(J718="",H718=""),"",IFERROR(IF(ISNUMBER(N718),N718,IF(K718&lt;N(INDEX(Platforms!$G$5:$G$14,MATCH(H718,Lists!$A$2:$A$11,0))),N(INDEX(Platforms!$H$5:$H$14,MATCH(H718,Lists!$A$2:$A$11,0))),MAX(N(INDEX(Platforms!$F$5:$F$14,MATCH(H718,Lists!$A$2:$A$11,0))),N(INDEX(Platforms!$C$5:$C$14,MATCH(H718,Lists!$A$2:$A$11,0)))*(K718+IF(INDEX(Platforms!$E$5:$E$14,MATCH(H718,Lists!$A$2:$A$11,0))="Yes",N(L718),0))+N(INDEX(Platforms!$D$5:$D$14,MATCH(H718,Lists!$A$2:$A$11,0)))))),""))</f>
        <v/>
      </c>
      <c r="R718" s="16" t="str">
        <f t="shared" si="45"/>
        <v/>
      </c>
      <c r="S718" s="17" t="str">
        <f t="shared" si="46"/>
        <v/>
      </c>
      <c r="T718" s="18" t="str">
        <f t="shared" ca="1" si="47"/>
        <v/>
      </c>
    </row>
    <row r="719" spans="1:20" x14ac:dyDescent="0.35">
      <c r="A719" s="11"/>
      <c r="B719" s="11"/>
      <c r="C719" s="11"/>
      <c r="D719" s="12"/>
      <c r="E719" s="11"/>
      <c r="F719" s="13"/>
      <c r="G719" s="13"/>
      <c r="H719" s="11"/>
      <c r="I719" s="12"/>
      <c r="J719" s="12"/>
      <c r="K719" s="13"/>
      <c r="L719" s="13"/>
      <c r="M719" s="13"/>
      <c r="N719" s="13"/>
      <c r="O719" s="13"/>
      <c r="P719" s="14" t="str">
        <f t="shared" si="44"/>
        <v/>
      </c>
      <c r="Q719" s="15" t="str">
        <f>IF(OR(J719="",H719=""),"",IFERROR(IF(ISNUMBER(N719),N719,IF(K719&lt;N(INDEX(Platforms!$G$5:$G$14,MATCH(H719,Lists!$A$2:$A$11,0))),N(INDEX(Platforms!$H$5:$H$14,MATCH(H719,Lists!$A$2:$A$11,0))),MAX(N(INDEX(Platforms!$F$5:$F$14,MATCH(H719,Lists!$A$2:$A$11,0))),N(INDEX(Platforms!$C$5:$C$14,MATCH(H719,Lists!$A$2:$A$11,0)))*(K719+IF(INDEX(Platforms!$E$5:$E$14,MATCH(H719,Lists!$A$2:$A$11,0))="Yes",N(L719),0))+N(INDEX(Platforms!$D$5:$D$14,MATCH(H719,Lists!$A$2:$A$11,0)))))),""))</f>
        <v/>
      </c>
      <c r="R719" s="16" t="str">
        <f t="shared" si="45"/>
        <v/>
      </c>
      <c r="S719" s="17" t="str">
        <f t="shared" si="46"/>
        <v/>
      </c>
      <c r="T719" s="18" t="str">
        <f t="shared" ca="1" si="47"/>
        <v/>
      </c>
    </row>
    <row r="720" spans="1:20" x14ac:dyDescent="0.35">
      <c r="A720" s="11"/>
      <c r="B720" s="11"/>
      <c r="C720" s="11"/>
      <c r="D720" s="12"/>
      <c r="E720" s="11"/>
      <c r="F720" s="13"/>
      <c r="G720" s="13"/>
      <c r="H720" s="11"/>
      <c r="I720" s="12"/>
      <c r="J720" s="12"/>
      <c r="K720" s="13"/>
      <c r="L720" s="13"/>
      <c r="M720" s="13"/>
      <c r="N720" s="13"/>
      <c r="O720" s="13"/>
      <c r="P720" s="14" t="str">
        <f t="shared" si="44"/>
        <v/>
      </c>
      <c r="Q720" s="15" t="str">
        <f>IF(OR(J720="",H720=""),"",IFERROR(IF(ISNUMBER(N720),N720,IF(K720&lt;N(INDEX(Platforms!$G$5:$G$14,MATCH(H720,Lists!$A$2:$A$11,0))),N(INDEX(Platforms!$H$5:$H$14,MATCH(H720,Lists!$A$2:$A$11,0))),MAX(N(INDEX(Platforms!$F$5:$F$14,MATCH(H720,Lists!$A$2:$A$11,0))),N(INDEX(Platforms!$C$5:$C$14,MATCH(H720,Lists!$A$2:$A$11,0)))*(K720+IF(INDEX(Platforms!$E$5:$E$14,MATCH(H720,Lists!$A$2:$A$11,0))="Yes",N(L720),0))+N(INDEX(Platforms!$D$5:$D$14,MATCH(H720,Lists!$A$2:$A$11,0)))))),""))</f>
        <v/>
      </c>
      <c r="R720" s="16" t="str">
        <f t="shared" si="45"/>
        <v/>
      </c>
      <c r="S720" s="17" t="str">
        <f t="shared" si="46"/>
        <v/>
      </c>
      <c r="T720" s="18" t="str">
        <f t="shared" ca="1" si="47"/>
        <v/>
      </c>
    </row>
    <row r="721" spans="1:20" x14ac:dyDescent="0.35">
      <c r="A721" s="11"/>
      <c r="B721" s="11"/>
      <c r="C721" s="11"/>
      <c r="D721" s="12"/>
      <c r="E721" s="11"/>
      <c r="F721" s="13"/>
      <c r="G721" s="13"/>
      <c r="H721" s="11"/>
      <c r="I721" s="12"/>
      <c r="J721" s="12"/>
      <c r="K721" s="13"/>
      <c r="L721" s="13"/>
      <c r="M721" s="13"/>
      <c r="N721" s="13"/>
      <c r="O721" s="13"/>
      <c r="P721" s="14" t="str">
        <f t="shared" si="44"/>
        <v/>
      </c>
      <c r="Q721" s="15" t="str">
        <f>IF(OR(J721="",H721=""),"",IFERROR(IF(ISNUMBER(N721),N721,IF(K721&lt;N(INDEX(Platforms!$G$5:$G$14,MATCH(H721,Lists!$A$2:$A$11,0))),N(INDEX(Platforms!$H$5:$H$14,MATCH(H721,Lists!$A$2:$A$11,0))),MAX(N(INDEX(Platforms!$F$5:$F$14,MATCH(H721,Lists!$A$2:$A$11,0))),N(INDEX(Platforms!$C$5:$C$14,MATCH(H721,Lists!$A$2:$A$11,0)))*(K721+IF(INDEX(Platforms!$E$5:$E$14,MATCH(H721,Lists!$A$2:$A$11,0))="Yes",N(L721),0))+N(INDEX(Platforms!$D$5:$D$14,MATCH(H721,Lists!$A$2:$A$11,0)))))),""))</f>
        <v/>
      </c>
      <c r="R721" s="16" t="str">
        <f t="shared" si="45"/>
        <v/>
      </c>
      <c r="S721" s="17" t="str">
        <f t="shared" si="46"/>
        <v/>
      </c>
      <c r="T721" s="18" t="str">
        <f t="shared" ca="1" si="47"/>
        <v/>
      </c>
    </row>
    <row r="722" spans="1:20" x14ac:dyDescent="0.35">
      <c r="A722" s="11"/>
      <c r="B722" s="11"/>
      <c r="C722" s="11"/>
      <c r="D722" s="12"/>
      <c r="E722" s="11"/>
      <c r="F722" s="13"/>
      <c r="G722" s="13"/>
      <c r="H722" s="11"/>
      <c r="I722" s="12"/>
      <c r="J722" s="12"/>
      <c r="K722" s="13"/>
      <c r="L722" s="13"/>
      <c r="M722" s="13"/>
      <c r="N722" s="13"/>
      <c r="O722" s="13"/>
      <c r="P722" s="14" t="str">
        <f t="shared" si="44"/>
        <v/>
      </c>
      <c r="Q722" s="15" t="str">
        <f>IF(OR(J722="",H722=""),"",IFERROR(IF(ISNUMBER(N722),N722,IF(K722&lt;N(INDEX(Platforms!$G$5:$G$14,MATCH(H722,Lists!$A$2:$A$11,0))),N(INDEX(Platforms!$H$5:$H$14,MATCH(H722,Lists!$A$2:$A$11,0))),MAX(N(INDEX(Platforms!$F$5:$F$14,MATCH(H722,Lists!$A$2:$A$11,0))),N(INDEX(Platforms!$C$5:$C$14,MATCH(H722,Lists!$A$2:$A$11,0)))*(K722+IF(INDEX(Platforms!$E$5:$E$14,MATCH(H722,Lists!$A$2:$A$11,0))="Yes",N(L722),0))+N(INDEX(Platforms!$D$5:$D$14,MATCH(H722,Lists!$A$2:$A$11,0)))))),""))</f>
        <v/>
      </c>
      <c r="R722" s="16" t="str">
        <f t="shared" si="45"/>
        <v/>
      </c>
      <c r="S722" s="17" t="str">
        <f t="shared" si="46"/>
        <v/>
      </c>
      <c r="T722" s="18" t="str">
        <f t="shared" ca="1" si="47"/>
        <v/>
      </c>
    </row>
    <row r="723" spans="1:20" x14ac:dyDescent="0.35">
      <c r="A723" s="11"/>
      <c r="B723" s="11"/>
      <c r="C723" s="11"/>
      <c r="D723" s="12"/>
      <c r="E723" s="11"/>
      <c r="F723" s="13"/>
      <c r="G723" s="13"/>
      <c r="H723" s="11"/>
      <c r="I723" s="12"/>
      <c r="J723" s="12"/>
      <c r="K723" s="13"/>
      <c r="L723" s="13"/>
      <c r="M723" s="13"/>
      <c r="N723" s="13"/>
      <c r="O723" s="13"/>
      <c r="P723" s="14" t="str">
        <f t="shared" si="44"/>
        <v/>
      </c>
      <c r="Q723" s="15" t="str">
        <f>IF(OR(J723="",H723=""),"",IFERROR(IF(ISNUMBER(N723),N723,IF(K723&lt;N(INDEX(Platforms!$G$5:$G$14,MATCH(H723,Lists!$A$2:$A$11,0))),N(INDEX(Platforms!$H$5:$H$14,MATCH(H723,Lists!$A$2:$A$11,0))),MAX(N(INDEX(Platforms!$F$5:$F$14,MATCH(H723,Lists!$A$2:$A$11,0))),N(INDEX(Platforms!$C$5:$C$14,MATCH(H723,Lists!$A$2:$A$11,0)))*(K723+IF(INDEX(Platforms!$E$5:$E$14,MATCH(H723,Lists!$A$2:$A$11,0))="Yes",N(L723),0))+N(INDEX(Platforms!$D$5:$D$14,MATCH(H723,Lists!$A$2:$A$11,0)))))),""))</f>
        <v/>
      </c>
      <c r="R723" s="16" t="str">
        <f t="shared" si="45"/>
        <v/>
      </c>
      <c r="S723" s="17" t="str">
        <f t="shared" si="46"/>
        <v/>
      </c>
      <c r="T723" s="18" t="str">
        <f t="shared" ca="1" si="47"/>
        <v/>
      </c>
    </row>
    <row r="724" spans="1:20" x14ac:dyDescent="0.35">
      <c r="A724" s="11"/>
      <c r="B724" s="11"/>
      <c r="C724" s="11"/>
      <c r="D724" s="12"/>
      <c r="E724" s="11"/>
      <c r="F724" s="13"/>
      <c r="G724" s="13"/>
      <c r="H724" s="11"/>
      <c r="I724" s="12"/>
      <c r="J724" s="12"/>
      <c r="K724" s="13"/>
      <c r="L724" s="13"/>
      <c r="M724" s="13"/>
      <c r="N724" s="13"/>
      <c r="O724" s="13"/>
      <c r="P724" s="14" t="str">
        <f t="shared" si="44"/>
        <v/>
      </c>
      <c r="Q724" s="15" t="str">
        <f>IF(OR(J724="",H724=""),"",IFERROR(IF(ISNUMBER(N724),N724,IF(K724&lt;N(INDEX(Platforms!$G$5:$G$14,MATCH(H724,Lists!$A$2:$A$11,0))),N(INDEX(Platforms!$H$5:$H$14,MATCH(H724,Lists!$A$2:$A$11,0))),MAX(N(INDEX(Platforms!$F$5:$F$14,MATCH(H724,Lists!$A$2:$A$11,0))),N(INDEX(Platforms!$C$5:$C$14,MATCH(H724,Lists!$A$2:$A$11,0)))*(K724+IF(INDEX(Platforms!$E$5:$E$14,MATCH(H724,Lists!$A$2:$A$11,0))="Yes",N(L724),0))+N(INDEX(Platforms!$D$5:$D$14,MATCH(H724,Lists!$A$2:$A$11,0)))))),""))</f>
        <v/>
      </c>
      <c r="R724" s="16" t="str">
        <f t="shared" si="45"/>
        <v/>
      </c>
      <c r="S724" s="17" t="str">
        <f t="shared" si="46"/>
        <v/>
      </c>
      <c r="T724" s="18" t="str">
        <f t="shared" ca="1" si="47"/>
        <v/>
      </c>
    </row>
    <row r="725" spans="1:20" x14ac:dyDescent="0.35">
      <c r="A725" s="11"/>
      <c r="B725" s="11"/>
      <c r="C725" s="11"/>
      <c r="D725" s="12"/>
      <c r="E725" s="11"/>
      <c r="F725" s="13"/>
      <c r="G725" s="13"/>
      <c r="H725" s="11"/>
      <c r="I725" s="12"/>
      <c r="J725" s="12"/>
      <c r="K725" s="13"/>
      <c r="L725" s="13"/>
      <c r="M725" s="13"/>
      <c r="N725" s="13"/>
      <c r="O725" s="13"/>
      <c r="P725" s="14" t="str">
        <f t="shared" si="44"/>
        <v/>
      </c>
      <c r="Q725" s="15" t="str">
        <f>IF(OR(J725="",H725=""),"",IFERROR(IF(ISNUMBER(N725),N725,IF(K725&lt;N(INDEX(Platforms!$G$5:$G$14,MATCH(H725,Lists!$A$2:$A$11,0))),N(INDEX(Platforms!$H$5:$H$14,MATCH(H725,Lists!$A$2:$A$11,0))),MAX(N(INDEX(Platforms!$F$5:$F$14,MATCH(H725,Lists!$A$2:$A$11,0))),N(INDEX(Platforms!$C$5:$C$14,MATCH(H725,Lists!$A$2:$A$11,0)))*(K725+IF(INDEX(Platforms!$E$5:$E$14,MATCH(H725,Lists!$A$2:$A$11,0))="Yes",N(L725),0))+N(INDEX(Platforms!$D$5:$D$14,MATCH(H725,Lists!$A$2:$A$11,0)))))),""))</f>
        <v/>
      </c>
      <c r="R725" s="16" t="str">
        <f t="shared" si="45"/>
        <v/>
      </c>
      <c r="S725" s="17" t="str">
        <f t="shared" si="46"/>
        <v/>
      </c>
      <c r="T725" s="18" t="str">
        <f t="shared" ca="1" si="47"/>
        <v/>
      </c>
    </row>
    <row r="726" spans="1:20" x14ac:dyDescent="0.35">
      <c r="A726" s="11"/>
      <c r="B726" s="11"/>
      <c r="C726" s="11"/>
      <c r="D726" s="12"/>
      <c r="E726" s="11"/>
      <c r="F726" s="13"/>
      <c r="G726" s="13"/>
      <c r="H726" s="11"/>
      <c r="I726" s="12"/>
      <c r="J726" s="12"/>
      <c r="K726" s="13"/>
      <c r="L726" s="13"/>
      <c r="M726" s="13"/>
      <c r="N726" s="13"/>
      <c r="O726" s="13"/>
      <c r="P726" s="14" t="str">
        <f t="shared" si="44"/>
        <v/>
      </c>
      <c r="Q726" s="15" t="str">
        <f>IF(OR(J726="",H726=""),"",IFERROR(IF(ISNUMBER(N726),N726,IF(K726&lt;N(INDEX(Platforms!$G$5:$G$14,MATCH(H726,Lists!$A$2:$A$11,0))),N(INDEX(Platforms!$H$5:$H$14,MATCH(H726,Lists!$A$2:$A$11,0))),MAX(N(INDEX(Platforms!$F$5:$F$14,MATCH(H726,Lists!$A$2:$A$11,0))),N(INDEX(Platforms!$C$5:$C$14,MATCH(H726,Lists!$A$2:$A$11,0)))*(K726+IF(INDEX(Platforms!$E$5:$E$14,MATCH(H726,Lists!$A$2:$A$11,0))="Yes",N(L726),0))+N(INDEX(Platforms!$D$5:$D$14,MATCH(H726,Lists!$A$2:$A$11,0)))))),""))</f>
        <v/>
      </c>
      <c r="R726" s="16" t="str">
        <f t="shared" si="45"/>
        <v/>
      </c>
      <c r="S726" s="17" t="str">
        <f t="shared" si="46"/>
        <v/>
      </c>
      <c r="T726" s="18" t="str">
        <f t="shared" ca="1" si="47"/>
        <v/>
      </c>
    </row>
    <row r="727" spans="1:20" x14ac:dyDescent="0.35">
      <c r="A727" s="11"/>
      <c r="B727" s="11"/>
      <c r="C727" s="11"/>
      <c r="D727" s="12"/>
      <c r="E727" s="11"/>
      <c r="F727" s="13"/>
      <c r="G727" s="13"/>
      <c r="H727" s="11"/>
      <c r="I727" s="12"/>
      <c r="J727" s="12"/>
      <c r="K727" s="13"/>
      <c r="L727" s="13"/>
      <c r="M727" s="13"/>
      <c r="N727" s="13"/>
      <c r="O727" s="13"/>
      <c r="P727" s="14" t="str">
        <f t="shared" si="44"/>
        <v/>
      </c>
      <c r="Q727" s="15" t="str">
        <f>IF(OR(J727="",H727=""),"",IFERROR(IF(ISNUMBER(N727),N727,IF(K727&lt;N(INDEX(Platforms!$G$5:$G$14,MATCH(H727,Lists!$A$2:$A$11,0))),N(INDEX(Platforms!$H$5:$H$14,MATCH(H727,Lists!$A$2:$A$11,0))),MAX(N(INDEX(Platforms!$F$5:$F$14,MATCH(H727,Lists!$A$2:$A$11,0))),N(INDEX(Platforms!$C$5:$C$14,MATCH(H727,Lists!$A$2:$A$11,0)))*(K727+IF(INDEX(Platforms!$E$5:$E$14,MATCH(H727,Lists!$A$2:$A$11,0))="Yes",N(L727),0))+N(INDEX(Platforms!$D$5:$D$14,MATCH(H727,Lists!$A$2:$A$11,0)))))),""))</f>
        <v/>
      </c>
      <c r="R727" s="16" t="str">
        <f t="shared" si="45"/>
        <v/>
      </c>
      <c r="S727" s="17" t="str">
        <f t="shared" si="46"/>
        <v/>
      </c>
      <c r="T727" s="18" t="str">
        <f t="shared" ca="1" si="47"/>
        <v/>
      </c>
    </row>
    <row r="728" spans="1:20" x14ac:dyDescent="0.35">
      <c r="A728" s="11"/>
      <c r="B728" s="11"/>
      <c r="C728" s="11"/>
      <c r="D728" s="12"/>
      <c r="E728" s="11"/>
      <c r="F728" s="13"/>
      <c r="G728" s="13"/>
      <c r="H728" s="11"/>
      <c r="I728" s="12"/>
      <c r="J728" s="12"/>
      <c r="K728" s="13"/>
      <c r="L728" s="13"/>
      <c r="M728" s="13"/>
      <c r="N728" s="13"/>
      <c r="O728" s="13"/>
      <c r="P728" s="14" t="str">
        <f t="shared" si="44"/>
        <v/>
      </c>
      <c r="Q728" s="15" t="str">
        <f>IF(OR(J728="",H728=""),"",IFERROR(IF(ISNUMBER(N728),N728,IF(K728&lt;N(INDEX(Platforms!$G$5:$G$14,MATCH(H728,Lists!$A$2:$A$11,0))),N(INDEX(Platforms!$H$5:$H$14,MATCH(H728,Lists!$A$2:$A$11,0))),MAX(N(INDEX(Platforms!$F$5:$F$14,MATCH(H728,Lists!$A$2:$A$11,0))),N(INDEX(Platforms!$C$5:$C$14,MATCH(H728,Lists!$A$2:$A$11,0)))*(K728+IF(INDEX(Platforms!$E$5:$E$14,MATCH(H728,Lists!$A$2:$A$11,0))="Yes",N(L728),0))+N(INDEX(Platforms!$D$5:$D$14,MATCH(H728,Lists!$A$2:$A$11,0)))))),""))</f>
        <v/>
      </c>
      <c r="R728" s="16" t="str">
        <f t="shared" si="45"/>
        <v/>
      </c>
      <c r="S728" s="17" t="str">
        <f t="shared" si="46"/>
        <v/>
      </c>
      <c r="T728" s="18" t="str">
        <f t="shared" ca="1" si="47"/>
        <v/>
      </c>
    </row>
    <row r="729" spans="1:20" x14ac:dyDescent="0.35">
      <c r="A729" s="11"/>
      <c r="B729" s="11"/>
      <c r="C729" s="11"/>
      <c r="D729" s="12"/>
      <c r="E729" s="11"/>
      <c r="F729" s="13"/>
      <c r="G729" s="13"/>
      <c r="H729" s="11"/>
      <c r="I729" s="12"/>
      <c r="J729" s="12"/>
      <c r="K729" s="13"/>
      <c r="L729" s="13"/>
      <c r="M729" s="13"/>
      <c r="N729" s="13"/>
      <c r="O729" s="13"/>
      <c r="P729" s="14" t="str">
        <f t="shared" si="44"/>
        <v/>
      </c>
      <c r="Q729" s="15" t="str">
        <f>IF(OR(J729="",H729=""),"",IFERROR(IF(ISNUMBER(N729),N729,IF(K729&lt;N(INDEX(Platforms!$G$5:$G$14,MATCH(H729,Lists!$A$2:$A$11,0))),N(INDEX(Platforms!$H$5:$H$14,MATCH(H729,Lists!$A$2:$A$11,0))),MAX(N(INDEX(Platforms!$F$5:$F$14,MATCH(H729,Lists!$A$2:$A$11,0))),N(INDEX(Platforms!$C$5:$C$14,MATCH(H729,Lists!$A$2:$A$11,0)))*(K729+IF(INDEX(Platforms!$E$5:$E$14,MATCH(H729,Lists!$A$2:$A$11,0))="Yes",N(L729),0))+N(INDEX(Platforms!$D$5:$D$14,MATCH(H729,Lists!$A$2:$A$11,0)))))),""))</f>
        <v/>
      </c>
      <c r="R729" s="16" t="str">
        <f t="shared" si="45"/>
        <v/>
      </c>
      <c r="S729" s="17" t="str">
        <f t="shared" si="46"/>
        <v/>
      </c>
      <c r="T729" s="18" t="str">
        <f t="shared" ca="1" si="47"/>
        <v/>
      </c>
    </row>
    <row r="730" spans="1:20" x14ac:dyDescent="0.35">
      <c r="A730" s="11"/>
      <c r="B730" s="11"/>
      <c r="C730" s="11"/>
      <c r="D730" s="12"/>
      <c r="E730" s="11"/>
      <c r="F730" s="13"/>
      <c r="G730" s="13"/>
      <c r="H730" s="11"/>
      <c r="I730" s="12"/>
      <c r="J730" s="12"/>
      <c r="K730" s="13"/>
      <c r="L730" s="13"/>
      <c r="M730" s="13"/>
      <c r="N730" s="13"/>
      <c r="O730" s="13"/>
      <c r="P730" s="14" t="str">
        <f t="shared" si="44"/>
        <v/>
      </c>
      <c r="Q730" s="15" t="str">
        <f>IF(OR(J730="",H730=""),"",IFERROR(IF(ISNUMBER(N730),N730,IF(K730&lt;N(INDEX(Platforms!$G$5:$G$14,MATCH(H730,Lists!$A$2:$A$11,0))),N(INDEX(Platforms!$H$5:$H$14,MATCH(H730,Lists!$A$2:$A$11,0))),MAX(N(INDEX(Platforms!$F$5:$F$14,MATCH(H730,Lists!$A$2:$A$11,0))),N(INDEX(Platforms!$C$5:$C$14,MATCH(H730,Lists!$A$2:$A$11,0)))*(K730+IF(INDEX(Platforms!$E$5:$E$14,MATCH(H730,Lists!$A$2:$A$11,0))="Yes",N(L730),0))+N(INDEX(Platforms!$D$5:$D$14,MATCH(H730,Lists!$A$2:$A$11,0)))))),""))</f>
        <v/>
      </c>
      <c r="R730" s="16" t="str">
        <f t="shared" si="45"/>
        <v/>
      </c>
      <c r="S730" s="17" t="str">
        <f t="shared" si="46"/>
        <v/>
      </c>
      <c r="T730" s="18" t="str">
        <f t="shared" ca="1" si="47"/>
        <v/>
      </c>
    </row>
    <row r="731" spans="1:20" x14ac:dyDescent="0.35">
      <c r="A731" s="11"/>
      <c r="B731" s="11"/>
      <c r="C731" s="11"/>
      <c r="D731" s="12"/>
      <c r="E731" s="11"/>
      <c r="F731" s="13"/>
      <c r="G731" s="13"/>
      <c r="H731" s="11"/>
      <c r="I731" s="12"/>
      <c r="J731" s="12"/>
      <c r="K731" s="13"/>
      <c r="L731" s="13"/>
      <c r="M731" s="13"/>
      <c r="N731" s="13"/>
      <c r="O731" s="13"/>
      <c r="P731" s="14" t="str">
        <f t="shared" si="44"/>
        <v/>
      </c>
      <c r="Q731" s="15" t="str">
        <f>IF(OR(J731="",H731=""),"",IFERROR(IF(ISNUMBER(N731),N731,IF(K731&lt;N(INDEX(Platforms!$G$5:$G$14,MATCH(H731,Lists!$A$2:$A$11,0))),N(INDEX(Platforms!$H$5:$H$14,MATCH(H731,Lists!$A$2:$A$11,0))),MAX(N(INDEX(Platforms!$F$5:$F$14,MATCH(H731,Lists!$A$2:$A$11,0))),N(INDEX(Platforms!$C$5:$C$14,MATCH(H731,Lists!$A$2:$A$11,0)))*(K731+IF(INDEX(Platforms!$E$5:$E$14,MATCH(H731,Lists!$A$2:$A$11,0))="Yes",N(L731),0))+N(INDEX(Platforms!$D$5:$D$14,MATCH(H731,Lists!$A$2:$A$11,0)))))),""))</f>
        <v/>
      </c>
      <c r="R731" s="16" t="str">
        <f t="shared" si="45"/>
        <v/>
      </c>
      <c r="S731" s="17" t="str">
        <f t="shared" si="46"/>
        <v/>
      </c>
      <c r="T731" s="18" t="str">
        <f t="shared" ca="1" si="47"/>
        <v/>
      </c>
    </row>
    <row r="732" spans="1:20" x14ac:dyDescent="0.35">
      <c r="A732" s="11"/>
      <c r="B732" s="11"/>
      <c r="C732" s="11"/>
      <c r="D732" s="12"/>
      <c r="E732" s="11"/>
      <c r="F732" s="13"/>
      <c r="G732" s="13"/>
      <c r="H732" s="11"/>
      <c r="I732" s="12"/>
      <c r="J732" s="12"/>
      <c r="K732" s="13"/>
      <c r="L732" s="13"/>
      <c r="M732" s="13"/>
      <c r="N732" s="13"/>
      <c r="O732" s="13"/>
      <c r="P732" s="14" t="str">
        <f t="shared" si="44"/>
        <v/>
      </c>
      <c r="Q732" s="15" t="str">
        <f>IF(OR(J732="",H732=""),"",IFERROR(IF(ISNUMBER(N732),N732,IF(K732&lt;N(INDEX(Platforms!$G$5:$G$14,MATCH(H732,Lists!$A$2:$A$11,0))),N(INDEX(Platforms!$H$5:$H$14,MATCH(H732,Lists!$A$2:$A$11,0))),MAX(N(INDEX(Platforms!$F$5:$F$14,MATCH(H732,Lists!$A$2:$A$11,0))),N(INDEX(Platforms!$C$5:$C$14,MATCH(H732,Lists!$A$2:$A$11,0)))*(K732+IF(INDEX(Platforms!$E$5:$E$14,MATCH(H732,Lists!$A$2:$A$11,0))="Yes",N(L732),0))+N(INDEX(Platforms!$D$5:$D$14,MATCH(H732,Lists!$A$2:$A$11,0)))))),""))</f>
        <v/>
      </c>
      <c r="R732" s="16" t="str">
        <f t="shared" si="45"/>
        <v/>
      </c>
      <c r="S732" s="17" t="str">
        <f t="shared" si="46"/>
        <v/>
      </c>
      <c r="T732" s="18" t="str">
        <f t="shared" ca="1" si="47"/>
        <v/>
      </c>
    </row>
    <row r="733" spans="1:20" x14ac:dyDescent="0.35">
      <c r="A733" s="11"/>
      <c r="B733" s="11"/>
      <c r="C733" s="11"/>
      <c r="D733" s="12"/>
      <c r="E733" s="11"/>
      <c r="F733" s="13"/>
      <c r="G733" s="13"/>
      <c r="H733" s="11"/>
      <c r="I733" s="12"/>
      <c r="J733" s="12"/>
      <c r="K733" s="13"/>
      <c r="L733" s="13"/>
      <c r="M733" s="13"/>
      <c r="N733" s="13"/>
      <c r="O733" s="13"/>
      <c r="P733" s="14" t="str">
        <f t="shared" si="44"/>
        <v/>
      </c>
      <c r="Q733" s="15" t="str">
        <f>IF(OR(J733="",H733=""),"",IFERROR(IF(ISNUMBER(N733),N733,IF(K733&lt;N(INDEX(Platforms!$G$5:$G$14,MATCH(H733,Lists!$A$2:$A$11,0))),N(INDEX(Platforms!$H$5:$H$14,MATCH(H733,Lists!$A$2:$A$11,0))),MAX(N(INDEX(Platforms!$F$5:$F$14,MATCH(H733,Lists!$A$2:$A$11,0))),N(INDEX(Platforms!$C$5:$C$14,MATCH(H733,Lists!$A$2:$A$11,0)))*(K733+IF(INDEX(Platforms!$E$5:$E$14,MATCH(H733,Lists!$A$2:$A$11,0))="Yes",N(L733),0))+N(INDEX(Platforms!$D$5:$D$14,MATCH(H733,Lists!$A$2:$A$11,0)))))),""))</f>
        <v/>
      </c>
      <c r="R733" s="16" t="str">
        <f t="shared" si="45"/>
        <v/>
      </c>
      <c r="S733" s="17" t="str">
        <f t="shared" si="46"/>
        <v/>
      </c>
      <c r="T733" s="18" t="str">
        <f t="shared" ca="1" si="47"/>
        <v/>
      </c>
    </row>
    <row r="734" spans="1:20" x14ac:dyDescent="0.35">
      <c r="A734" s="11"/>
      <c r="B734" s="11"/>
      <c r="C734" s="11"/>
      <c r="D734" s="12"/>
      <c r="E734" s="11"/>
      <c r="F734" s="13"/>
      <c r="G734" s="13"/>
      <c r="H734" s="11"/>
      <c r="I734" s="12"/>
      <c r="J734" s="12"/>
      <c r="K734" s="13"/>
      <c r="L734" s="13"/>
      <c r="M734" s="13"/>
      <c r="N734" s="13"/>
      <c r="O734" s="13"/>
      <c r="P734" s="14" t="str">
        <f t="shared" si="44"/>
        <v/>
      </c>
      <c r="Q734" s="15" t="str">
        <f>IF(OR(J734="",H734=""),"",IFERROR(IF(ISNUMBER(N734),N734,IF(K734&lt;N(INDEX(Platforms!$G$5:$G$14,MATCH(H734,Lists!$A$2:$A$11,0))),N(INDEX(Platforms!$H$5:$H$14,MATCH(H734,Lists!$A$2:$A$11,0))),MAX(N(INDEX(Platforms!$F$5:$F$14,MATCH(H734,Lists!$A$2:$A$11,0))),N(INDEX(Platforms!$C$5:$C$14,MATCH(H734,Lists!$A$2:$A$11,0)))*(K734+IF(INDEX(Platforms!$E$5:$E$14,MATCH(H734,Lists!$A$2:$A$11,0))="Yes",N(L734),0))+N(INDEX(Platforms!$D$5:$D$14,MATCH(H734,Lists!$A$2:$A$11,0)))))),""))</f>
        <v/>
      </c>
      <c r="R734" s="16" t="str">
        <f t="shared" si="45"/>
        <v/>
      </c>
      <c r="S734" s="17" t="str">
        <f t="shared" si="46"/>
        <v/>
      </c>
      <c r="T734" s="18" t="str">
        <f t="shared" ca="1" si="47"/>
        <v/>
      </c>
    </row>
    <row r="735" spans="1:20" x14ac:dyDescent="0.35">
      <c r="A735" s="11"/>
      <c r="B735" s="11"/>
      <c r="C735" s="11"/>
      <c r="D735" s="12"/>
      <c r="E735" s="11"/>
      <c r="F735" s="13"/>
      <c r="G735" s="13"/>
      <c r="H735" s="11"/>
      <c r="I735" s="12"/>
      <c r="J735" s="12"/>
      <c r="K735" s="13"/>
      <c r="L735" s="13"/>
      <c r="M735" s="13"/>
      <c r="N735" s="13"/>
      <c r="O735" s="13"/>
      <c r="P735" s="14" t="str">
        <f t="shared" si="44"/>
        <v/>
      </c>
      <c r="Q735" s="15" t="str">
        <f>IF(OR(J735="",H735=""),"",IFERROR(IF(ISNUMBER(N735),N735,IF(K735&lt;N(INDEX(Platforms!$G$5:$G$14,MATCH(H735,Lists!$A$2:$A$11,0))),N(INDEX(Platforms!$H$5:$H$14,MATCH(H735,Lists!$A$2:$A$11,0))),MAX(N(INDEX(Platforms!$F$5:$F$14,MATCH(H735,Lists!$A$2:$A$11,0))),N(INDEX(Platforms!$C$5:$C$14,MATCH(H735,Lists!$A$2:$A$11,0)))*(K735+IF(INDEX(Platforms!$E$5:$E$14,MATCH(H735,Lists!$A$2:$A$11,0))="Yes",N(L735),0))+N(INDEX(Platforms!$D$5:$D$14,MATCH(H735,Lists!$A$2:$A$11,0)))))),""))</f>
        <v/>
      </c>
      <c r="R735" s="16" t="str">
        <f t="shared" si="45"/>
        <v/>
      </c>
      <c r="S735" s="17" t="str">
        <f t="shared" si="46"/>
        <v/>
      </c>
      <c r="T735" s="18" t="str">
        <f t="shared" ca="1" si="47"/>
        <v/>
      </c>
    </row>
    <row r="736" spans="1:20" x14ac:dyDescent="0.35">
      <c r="A736" s="11"/>
      <c r="B736" s="11"/>
      <c r="C736" s="11"/>
      <c r="D736" s="12"/>
      <c r="E736" s="11"/>
      <c r="F736" s="13"/>
      <c r="G736" s="13"/>
      <c r="H736" s="11"/>
      <c r="I736" s="12"/>
      <c r="J736" s="12"/>
      <c r="K736" s="13"/>
      <c r="L736" s="13"/>
      <c r="M736" s="13"/>
      <c r="N736" s="13"/>
      <c r="O736" s="13"/>
      <c r="P736" s="14" t="str">
        <f t="shared" si="44"/>
        <v/>
      </c>
      <c r="Q736" s="15" t="str">
        <f>IF(OR(J736="",H736=""),"",IFERROR(IF(ISNUMBER(N736),N736,IF(K736&lt;N(INDEX(Platforms!$G$5:$G$14,MATCH(H736,Lists!$A$2:$A$11,0))),N(INDEX(Platforms!$H$5:$H$14,MATCH(H736,Lists!$A$2:$A$11,0))),MAX(N(INDEX(Platforms!$F$5:$F$14,MATCH(H736,Lists!$A$2:$A$11,0))),N(INDEX(Platforms!$C$5:$C$14,MATCH(H736,Lists!$A$2:$A$11,0)))*(K736+IF(INDEX(Platforms!$E$5:$E$14,MATCH(H736,Lists!$A$2:$A$11,0))="Yes",N(L736),0))+N(INDEX(Platforms!$D$5:$D$14,MATCH(H736,Lists!$A$2:$A$11,0)))))),""))</f>
        <v/>
      </c>
      <c r="R736" s="16" t="str">
        <f t="shared" si="45"/>
        <v/>
      </c>
      <c r="S736" s="17" t="str">
        <f t="shared" si="46"/>
        <v/>
      </c>
      <c r="T736" s="18" t="str">
        <f t="shared" ca="1" si="47"/>
        <v/>
      </c>
    </row>
    <row r="737" spans="1:20" x14ac:dyDescent="0.35">
      <c r="A737" s="11"/>
      <c r="B737" s="11"/>
      <c r="C737" s="11"/>
      <c r="D737" s="12"/>
      <c r="E737" s="11"/>
      <c r="F737" s="13"/>
      <c r="G737" s="13"/>
      <c r="H737" s="11"/>
      <c r="I737" s="12"/>
      <c r="J737" s="12"/>
      <c r="K737" s="13"/>
      <c r="L737" s="13"/>
      <c r="M737" s="13"/>
      <c r="N737" s="13"/>
      <c r="O737" s="13"/>
      <c r="P737" s="14" t="str">
        <f t="shared" si="44"/>
        <v/>
      </c>
      <c r="Q737" s="15" t="str">
        <f>IF(OR(J737="",H737=""),"",IFERROR(IF(ISNUMBER(N737),N737,IF(K737&lt;N(INDEX(Platforms!$G$5:$G$14,MATCH(H737,Lists!$A$2:$A$11,0))),N(INDEX(Platforms!$H$5:$H$14,MATCH(H737,Lists!$A$2:$A$11,0))),MAX(N(INDEX(Platforms!$F$5:$F$14,MATCH(H737,Lists!$A$2:$A$11,0))),N(INDEX(Platforms!$C$5:$C$14,MATCH(H737,Lists!$A$2:$A$11,0)))*(K737+IF(INDEX(Platforms!$E$5:$E$14,MATCH(H737,Lists!$A$2:$A$11,0))="Yes",N(L737),0))+N(INDEX(Platforms!$D$5:$D$14,MATCH(H737,Lists!$A$2:$A$11,0)))))),""))</f>
        <v/>
      </c>
      <c r="R737" s="16" t="str">
        <f t="shared" si="45"/>
        <v/>
      </c>
      <c r="S737" s="17" t="str">
        <f t="shared" si="46"/>
        <v/>
      </c>
      <c r="T737" s="18" t="str">
        <f t="shared" ca="1" si="47"/>
        <v/>
      </c>
    </row>
    <row r="738" spans="1:20" x14ac:dyDescent="0.35">
      <c r="A738" s="11"/>
      <c r="B738" s="11"/>
      <c r="C738" s="11"/>
      <c r="D738" s="12"/>
      <c r="E738" s="11"/>
      <c r="F738" s="13"/>
      <c r="G738" s="13"/>
      <c r="H738" s="11"/>
      <c r="I738" s="12"/>
      <c r="J738" s="12"/>
      <c r="K738" s="13"/>
      <c r="L738" s="13"/>
      <c r="M738" s="13"/>
      <c r="N738" s="13"/>
      <c r="O738" s="13"/>
      <c r="P738" s="14" t="str">
        <f t="shared" si="44"/>
        <v/>
      </c>
      <c r="Q738" s="15" t="str">
        <f>IF(OR(J738="",H738=""),"",IFERROR(IF(ISNUMBER(N738),N738,IF(K738&lt;N(INDEX(Platforms!$G$5:$G$14,MATCH(H738,Lists!$A$2:$A$11,0))),N(INDEX(Platforms!$H$5:$H$14,MATCH(H738,Lists!$A$2:$A$11,0))),MAX(N(INDEX(Platforms!$F$5:$F$14,MATCH(H738,Lists!$A$2:$A$11,0))),N(INDEX(Platforms!$C$5:$C$14,MATCH(H738,Lists!$A$2:$A$11,0)))*(K738+IF(INDEX(Platforms!$E$5:$E$14,MATCH(H738,Lists!$A$2:$A$11,0))="Yes",N(L738),0))+N(INDEX(Platforms!$D$5:$D$14,MATCH(H738,Lists!$A$2:$A$11,0)))))),""))</f>
        <v/>
      </c>
      <c r="R738" s="16" t="str">
        <f t="shared" si="45"/>
        <v/>
      </c>
      <c r="S738" s="17" t="str">
        <f t="shared" si="46"/>
        <v/>
      </c>
      <c r="T738" s="18" t="str">
        <f t="shared" ca="1" si="47"/>
        <v/>
      </c>
    </row>
    <row r="739" spans="1:20" x14ac:dyDescent="0.35">
      <c r="A739" s="11"/>
      <c r="B739" s="11"/>
      <c r="C739" s="11"/>
      <c r="D739" s="12"/>
      <c r="E739" s="11"/>
      <c r="F739" s="13"/>
      <c r="G739" s="13"/>
      <c r="H739" s="11"/>
      <c r="I739" s="12"/>
      <c r="J739" s="12"/>
      <c r="K739" s="13"/>
      <c r="L739" s="13"/>
      <c r="M739" s="13"/>
      <c r="N739" s="13"/>
      <c r="O739" s="13"/>
      <c r="P739" s="14" t="str">
        <f t="shared" si="44"/>
        <v/>
      </c>
      <c r="Q739" s="15" t="str">
        <f>IF(OR(J739="",H739=""),"",IFERROR(IF(ISNUMBER(N739),N739,IF(K739&lt;N(INDEX(Platforms!$G$5:$G$14,MATCH(H739,Lists!$A$2:$A$11,0))),N(INDEX(Platforms!$H$5:$H$14,MATCH(H739,Lists!$A$2:$A$11,0))),MAX(N(INDEX(Platforms!$F$5:$F$14,MATCH(H739,Lists!$A$2:$A$11,0))),N(INDEX(Platforms!$C$5:$C$14,MATCH(H739,Lists!$A$2:$A$11,0)))*(K739+IF(INDEX(Platforms!$E$5:$E$14,MATCH(H739,Lists!$A$2:$A$11,0))="Yes",N(L739),0))+N(INDEX(Platforms!$D$5:$D$14,MATCH(H739,Lists!$A$2:$A$11,0)))))),""))</f>
        <v/>
      </c>
      <c r="R739" s="16" t="str">
        <f t="shared" si="45"/>
        <v/>
      </c>
      <c r="S739" s="17" t="str">
        <f t="shared" si="46"/>
        <v/>
      </c>
      <c r="T739" s="18" t="str">
        <f t="shared" ca="1" si="47"/>
        <v/>
      </c>
    </row>
    <row r="740" spans="1:20" x14ac:dyDescent="0.35">
      <c r="A740" s="11"/>
      <c r="B740" s="11"/>
      <c r="C740" s="11"/>
      <c r="D740" s="12"/>
      <c r="E740" s="11"/>
      <c r="F740" s="13"/>
      <c r="G740" s="13"/>
      <c r="H740" s="11"/>
      <c r="I740" s="12"/>
      <c r="J740" s="12"/>
      <c r="K740" s="13"/>
      <c r="L740" s="13"/>
      <c r="M740" s="13"/>
      <c r="N740" s="13"/>
      <c r="O740" s="13"/>
      <c r="P740" s="14" t="str">
        <f t="shared" si="44"/>
        <v/>
      </c>
      <c r="Q740" s="15" t="str">
        <f>IF(OR(J740="",H740=""),"",IFERROR(IF(ISNUMBER(N740),N740,IF(K740&lt;N(INDEX(Platforms!$G$5:$G$14,MATCH(H740,Lists!$A$2:$A$11,0))),N(INDEX(Platforms!$H$5:$H$14,MATCH(H740,Lists!$A$2:$A$11,0))),MAX(N(INDEX(Platforms!$F$5:$F$14,MATCH(H740,Lists!$A$2:$A$11,0))),N(INDEX(Platforms!$C$5:$C$14,MATCH(H740,Lists!$A$2:$A$11,0)))*(K740+IF(INDEX(Platforms!$E$5:$E$14,MATCH(H740,Lists!$A$2:$A$11,0))="Yes",N(L740),0))+N(INDEX(Platforms!$D$5:$D$14,MATCH(H740,Lists!$A$2:$A$11,0)))))),""))</f>
        <v/>
      </c>
      <c r="R740" s="16" t="str">
        <f t="shared" si="45"/>
        <v/>
      </c>
      <c r="S740" s="17" t="str">
        <f t="shared" si="46"/>
        <v/>
      </c>
      <c r="T740" s="18" t="str">
        <f t="shared" ca="1" si="47"/>
        <v/>
      </c>
    </row>
    <row r="741" spans="1:20" x14ac:dyDescent="0.35">
      <c r="A741" s="11"/>
      <c r="B741" s="11"/>
      <c r="C741" s="11"/>
      <c r="D741" s="12"/>
      <c r="E741" s="11"/>
      <c r="F741" s="13"/>
      <c r="G741" s="13"/>
      <c r="H741" s="11"/>
      <c r="I741" s="12"/>
      <c r="J741" s="12"/>
      <c r="K741" s="13"/>
      <c r="L741" s="13"/>
      <c r="M741" s="13"/>
      <c r="N741" s="13"/>
      <c r="O741" s="13"/>
      <c r="P741" s="14" t="str">
        <f t="shared" si="44"/>
        <v/>
      </c>
      <c r="Q741" s="15" t="str">
        <f>IF(OR(J741="",H741=""),"",IFERROR(IF(ISNUMBER(N741),N741,IF(K741&lt;N(INDEX(Platforms!$G$5:$G$14,MATCH(H741,Lists!$A$2:$A$11,0))),N(INDEX(Platforms!$H$5:$H$14,MATCH(H741,Lists!$A$2:$A$11,0))),MAX(N(INDEX(Platforms!$F$5:$F$14,MATCH(H741,Lists!$A$2:$A$11,0))),N(INDEX(Platforms!$C$5:$C$14,MATCH(H741,Lists!$A$2:$A$11,0)))*(K741+IF(INDEX(Platforms!$E$5:$E$14,MATCH(H741,Lists!$A$2:$A$11,0))="Yes",N(L741),0))+N(INDEX(Platforms!$D$5:$D$14,MATCH(H741,Lists!$A$2:$A$11,0)))))),""))</f>
        <v/>
      </c>
      <c r="R741" s="16" t="str">
        <f t="shared" si="45"/>
        <v/>
      </c>
      <c r="S741" s="17" t="str">
        <f t="shared" si="46"/>
        <v/>
      </c>
      <c r="T741" s="18" t="str">
        <f t="shared" ca="1" si="47"/>
        <v/>
      </c>
    </row>
    <row r="742" spans="1:20" x14ac:dyDescent="0.35">
      <c r="A742" s="11"/>
      <c r="B742" s="11"/>
      <c r="C742" s="11"/>
      <c r="D742" s="12"/>
      <c r="E742" s="11"/>
      <c r="F742" s="13"/>
      <c r="G742" s="13"/>
      <c r="H742" s="11"/>
      <c r="I742" s="12"/>
      <c r="J742" s="12"/>
      <c r="K742" s="13"/>
      <c r="L742" s="13"/>
      <c r="M742" s="13"/>
      <c r="N742" s="13"/>
      <c r="O742" s="13"/>
      <c r="P742" s="14" t="str">
        <f t="shared" si="44"/>
        <v/>
      </c>
      <c r="Q742" s="15" t="str">
        <f>IF(OR(J742="",H742=""),"",IFERROR(IF(ISNUMBER(N742),N742,IF(K742&lt;N(INDEX(Platforms!$G$5:$G$14,MATCH(H742,Lists!$A$2:$A$11,0))),N(INDEX(Platforms!$H$5:$H$14,MATCH(H742,Lists!$A$2:$A$11,0))),MAX(N(INDEX(Platforms!$F$5:$F$14,MATCH(H742,Lists!$A$2:$A$11,0))),N(INDEX(Platforms!$C$5:$C$14,MATCH(H742,Lists!$A$2:$A$11,0)))*(K742+IF(INDEX(Platforms!$E$5:$E$14,MATCH(H742,Lists!$A$2:$A$11,0))="Yes",N(L742),0))+N(INDEX(Platforms!$D$5:$D$14,MATCH(H742,Lists!$A$2:$A$11,0)))))),""))</f>
        <v/>
      </c>
      <c r="R742" s="16" t="str">
        <f t="shared" si="45"/>
        <v/>
      </c>
      <c r="S742" s="17" t="str">
        <f t="shared" si="46"/>
        <v/>
      </c>
      <c r="T742" s="18" t="str">
        <f t="shared" ca="1" si="47"/>
        <v/>
      </c>
    </row>
    <row r="743" spans="1:20" x14ac:dyDescent="0.35">
      <c r="A743" s="11"/>
      <c r="B743" s="11"/>
      <c r="C743" s="11"/>
      <c r="D743" s="12"/>
      <c r="E743" s="11"/>
      <c r="F743" s="13"/>
      <c r="G743" s="13"/>
      <c r="H743" s="11"/>
      <c r="I743" s="12"/>
      <c r="J743" s="12"/>
      <c r="K743" s="13"/>
      <c r="L743" s="13"/>
      <c r="M743" s="13"/>
      <c r="N743" s="13"/>
      <c r="O743" s="13"/>
      <c r="P743" s="14" t="str">
        <f t="shared" si="44"/>
        <v/>
      </c>
      <c r="Q743" s="15" t="str">
        <f>IF(OR(J743="",H743=""),"",IFERROR(IF(ISNUMBER(N743),N743,IF(K743&lt;N(INDEX(Platforms!$G$5:$G$14,MATCH(H743,Lists!$A$2:$A$11,0))),N(INDEX(Platforms!$H$5:$H$14,MATCH(H743,Lists!$A$2:$A$11,0))),MAX(N(INDEX(Platforms!$F$5:$F$14,MATCH(H743,Lists!$A$2:$A$11,0))),N(INDEX(Platforms!$C$5:$C$14,MATCH(H743,Lists!$A$2:$A$11,0)))*(K743+IF(INDEX(Platforms!$E$5:$E$14,MATCH(H743,Lists!$A$2:$A$11,0))="Yes",N(L743),0))+N(INDEX(Platforms!$D$5:$D$14,MATCH(H743,Lists!$A$2:$A$11,0)))))),""))</f>
        <v/>
      </c>
      <c r="R743" s="16" t="str">
        <f t="shared" si="45"/>
        <v/>
      </c>
      <c r="S743" s="17" t="str">
        <f t="shared" si="46"/>
        <v/>
      </c>
      <c r="T743" s="18" t="str">
        <f t="shared" ca="1" si="47"/>
        <v/>
      </c>
    </row>
    <row r="744" spans="1:20" x14ac:dyDescent="0.35">
      <c r="A744" s="11"/>
      <c r="B744" s="11"/>
      <c r="C744" s="11"/>
      <c r="D744" s="12"/>
      <c r="E744" s="11"/>
      <c r="F744" s="13"/>
      <c r="G744" s="13"/>
      <c r="H744" s="11"/>
      <c r="I744" s="12"/>
      <c r="J744" s="12"/>
      <c r="K744" s="13"/>
      <c r="L744" s="13"/>
      <c r="M744" s="13"/>
      <c r="N744" s="13"/>
      <c r="O744" s="13"/>
      <c r="P744" s="14" t="str">
        <f t="shared" si="44"/>
        <v/>
      </c>
      <c r="Q744" s="15" t="str">
        <f>IF(OR(J744="",H744=""),"",IFERROR(IF(ISNUMBER(N744),N744,IF(K744&lt;N(INDEX(Platforms!$G$5:$G$14,MATCH(H744,Lists!$A$2:$A$11,0))),N(INDEX(Platforms!$H$5:$H$14,MATCH(H744,Lists!$A$2:$A$11,0))),MAX(N(INDEX(Platforms!$F$5:$F$14,MATCH(H744,Lists!$A$2:$A$11,0))),N(INDEX(Platforms!$C$5:$C$14,MATCH(H744,Lists!$A$2:$A$11,0)))*(K744+IF(INDEX(Platforms!$E$5:$E$14,MATCH(H744,Lists!$A$2:$A$11,0))="Yes",N(L744),0))+N(INDEX(Platforms!$D$5:$D$14,MATCH(H744,Lists!$A$2:$A$11,0)))))),""))</f>
        <v/>
      </c>
      <c r="R744" s="16" t="str">
        <f t="shared" si="45"/>
        <v/>
      </c>
      <c r="S744" s="17" t="str">
        <f t="shared" si="46"/>
        <v/>
      </c>
      <c r="T744" s="18" t="str">
        <f t="shared" ca="1" si="47"/>
        <v/>
      </c>
    </row>
    <row r="745" spans="1:20" x14ac:dyDescent="0.35">
      <c r="A745" s="11"/>
      <c r="B745" s="11"/>
      <c r="C745" s="11"/>
      <c r="D745" s="12"/>
      <c r="E745" s="11"/>
      <c r="F745" s="13"/>
      <c r="G745" s="13"/>
      <c r="H745" s="11"/>
      <c r="I745" s="12"/>
      <c r="J745" s="12"/>
      <c r="K745" s="13"/>
      <c r="L745" s="13"/>
      <c r="M745" s="13"/>
      <c r="N745" s="13"/>
      <c r="O745" s="13"/>
      <c r="P745" s="14" t="str">
        <f t="shared" si="44"/>
        <v/>
      </c>
      <c r="Q745" s="15" t="str">
        <f>IF(OR(J745="",H745=""),"",IFERROR(IF(ISNUMBER(N745),N745,IF(K745&lt;N(INDEX(Platforms!$G$5:$G$14,MATCH(H745,Lists!$A$2:$A$11,0))),N(INDEX(Platforms!$H$5:$H$14,MATCH(H745,Lists!$A$2:$A$11,0))),MAX(N(INDEX(Platforms!$F$5:$F$14,MATCH(H745,Lists!$A$2:$A$11,0))),N(INDEX(Platforms!$C$5:$C$14,MATCH(H745,Lists!$A$2:$A$11,0)))*(K745+IF(INDEX(Platforms!$E$5:$E$14,MATCH(H745,Lists!$A$2:$A$11,0))="Yes",N(L745),0))+N(INDEX(Platforms!$D$5:$D$14,MATCH(H745,Lists!$A$2:$A$11,0)))))),""))</f>
        <v/>
      </c>
      <c r="R745" s="16" t="str">
        <f t="shared" si="45"/>
        <v/>
      </c>
      <c r="S745" s="17" t="str">
        <f t="shared" si="46"/>
        <v/>
      </c>
      <c r="T745" s="18" t="str">
        <f t="shared" ca="1" si="47"/>
        <v/>
      </c>
    </row>
    <row r="746" spans="1:20" x14ac:dyDescent="0.35">
      <c r="A746" s="11"/>
      <c r="B746" s="11"/>
      <c r="C746" s="11"/>
      <c r="D746" s="12"/>
      <c r="E746" s="11"/>
      <c r="F746" s="13"/>
      <c r="G746" s="13"/>
      <c r="H746" s="11"/>
      <c r="I746" s="12"/>
      <c r="J746" s="12"/>
      <c r="K746" s="13"/>
      <c r="L746" s="13"/>
      <c r="M746" s="13"/>
      <c r="N746" s="13"/>
      <c r="O746" s="13"/>
      <c r="P746" s="14" t="str">
        <f t="shared" si="44"/>
        <v/>
      </c>
      <c r="Q746" s="15" t="str">
        <f>IF(OR(J746="",H746=""),"",IFERROR(IF(ISNUMBER(N746),N746,IF(K746&lt;N(INDEX(Platforms!$G$5:$G$14,MATCH(H746,Lists!$A$2:$A$11,0))),N(INDEX(Platforms!$H$5:$H$14,MATCH(H746,Lists!$A$2:$A$11,0))),MAX(N(INDEX(Platforms!$F$5:$F$14,MATCH(H746,Lists!$A$2:$A$11,0))),N(INDEX(Platforms!$C$5:$C$14,MATCH(H746,Lists!$A$2:$A$11,0)))*(K746+IF(INDEX(Platforms!$E$5:$E$14,MATCH(H746,Lists!$A$2:$A$11,0))="Yes",N(L746),0))+N(INDEX(Platforms!$D$5:$D$14,MATCH(H746,Lists!$A$2:$A$11,0)))))),""))</f>
        <v/>
      </c>
      <c r="R746" s="16" t="str">
        <f t="shared" si="45"/>
        <v/>
      </c>
      <c r="S746" s="17" t="str">
        <f t="shared" si="46"/>
        <v/>
      </c>
      <c r="T746" s="18" t="str">
        <f t="shared" ca="1" si="47"/>
        <v/>
      </c>
    </row>
    <row r="747" spans="1:20" x14ac:dyDescent="0.35">
      <c r="A747" s="11"/>
      <c r="B747" s="11"/>
      <c r="C747" s="11"/>
      <c r="D747" s="12"/>
      <c r="E747" s="11"/>
      <c r="F747" s="13"/>
      <c r="G747" s="13"/>
      <c r="H747" s="11"/>
      <c r="I747" s="12"/>
      <c r="J747" s="12"/>
      <c r="K747" s="13"/>
      <c r="L747" s="13"/>
      <c r="M747" s="13"/>
      <c r="N747" s="13"/>
      <c r="O747" s="13"/>
      <c r="P747" s="14" t="str">
        <f t="shared" si="44"/>
        <v/>
      </c>
      <c r="Q747" s="15" t="str">
        <f>IF(OR(J747="",H747=""),"",IFERROR(IF(ISNUMBER(N747),N747,IF(K747&lt;N(INDEX(Platforms!$G$5:$G$14,MATCH(H747,Lists!$A$2:$A$11,0))),N(INDEX(Platforms!$H$5:$H$14,MATCH(H747,Lists!$A$2:$A$11,0))),MAX(N(INDEX(Platforms!$F$5:$F$14,MATCH(H747,Lists!$A$2:$A$11,0))),N(INDEX(Platforms!$C$5:$C$14,MATCH(H747,Lists!$A$2:$A$11,0)))*(K747+IF(INDEX(Platforms!$E$5:$E$14,MATCH(H747,Lists!$A$2:$A$11,0))="Yes",N(L747),0))+N(INDEX(Platforms!$D$5:$D$14,MATCH(H747,Lists!$A$2:$A$11,0)))))),""))</f>
        <v/>
      </c>
      <c r="R747" s="16" t="str">
        <f t="shared" si="45"/>
        <v/>
      </c>
      <c r="S747" s="17" t="str">
        <f t="shared" si="46"/>
        <v/>
      </c>
      <c r="T747" s="18" t="str">
        <f t="shared" ca="1" si="47"/>
        <v/>
      </c>
    </row>
    <row r="748" spans="1:20" x14ac:dyDescent="0.35">
      <c r="A748" s="11"/>
      <c r="B748" s="11"/>
      <c r="C748" s="11"/>
      <c r="D748" s="12"/>
      <c r="E748" s="11"/>
      <c r="F748" s="13"/>
      <c r="G748" s="13"/>
      <c r="H748" s="11"/>
      <c r="I748" s="12"/>
      <c r="J748" s="12"/>
      <c r="K748" s="13"/>
      <c r="L748" s="13"/>
      <c r="M748" s="13"/>
      <c r="N748" s="13"/>
      <c r="O748" s="13"/>
      <c r="P748" s="14" t="str">
        <f t="shared" si="44"/>
        <v/>
      </c>
      <c r="Q748" s="15" t="str">
        <f>IF(OR(J748="",H748=""),"",IFERROR(IF(ISNUMBER(N748),N748,IF(K748&lt;N(INDEX(Platforms!$G$5:$G$14,MATCH(H748,Lists!$A$2:$A$11,0))),N(INDEX(Platforms!$H$5:$H$14,MATCH(H748,Lists!$A$2:$A$11,0))),MAX(N(INDEX(Platforms!$F$5:$F$14,MATCH(H748,Lists!$A$2:$A$11,0))),N(INDEX(Platforms!$C$5:$C$14,MATCH(H748,Lists!$A$2:$A$11,0)))*(K748+IF(INDEX(Platforms!$E$5:$E$14,MATCH(H748,Lists!$A$2:$A$11,0))="Yes",N(L748),0))+N(INDEX(Platforms!$D$5:$D$14,MATCH(H748,Lists!$A$2:$A$11,0)))))),""))</f>
        <v/>
      </c>
      <c r="R748" s="16" t="str">
        <f t="shared" si="45"/>
        <v/>
      </c>
      <c r="S748" s="17" t="str">
        <f t="shared" si="46"/>
        <v/>
      </c>
      <c r="T748" s="18" t="str">
        <f t="shared" ca="1" si="47"/>
        <v/>
      </c>
    </row>
    <row r="749" spans="1:20" x14ac:dyDescent="0.35">
      <c r="A749" s="11"/>
      <c r="B749" s="11"/>
      <c r="C749" s="11"/>
      <c r="D749" s="12"/>
      <c r="E749" s="11"/>
      <c r="F749" s="13"/>
      <c r="G749" s="13"/>
      <c r="H749" s="11"/>
      <c r="I749" s="12"/>
      <c r="J749" s="12"/>
      <c r="K749" s="13"/>
      <c r="L749" s="13"/>
      <c r="M749" s="13"/>
      <c r="N749" s="13"/>
      <c r="O749" s="13"/>
      <c r="P749" s="14" t="str">
        <f t="shared" si="44"/>
        <v/>
      </c>
      <c r="Q749" s="15" t="str">
        <f>IF(OR(J749="",H749=""),"",IFERROR(IF(ISNUMBER(N749),N749,IF(K749&lt;N(INDEX(Platforms!$G$5:$G$14,MATCH(H749,Lists!$A$2:$A$11,0))),N(INDEX(Platforms!$H$5:$H$14,MATCH(H749,Lists!$A$2:$A$11,0))),MAX(N(INDEX(Platforms!$F$5:$F$14,MATCH(H749,Lists!$A$2:$A$11,0))),N(INDEX(Platforms!$C$5:$C$14,MATCH(H749,Lists!$A$2:$A$11,0)))*(K749+IF(INDEX(Platforms!$E$5:$E$14,MATCH(H749,Lists!$A$2:$A$11,0))="Yes",N(L749),0))+N(INDEX(Platforms!$D$5:$D$14,MATCH(H749,Lists!$A$2:$A$11,0)))))),""))</f>
        <v/>
      </c>
      <c r="R749" s="16" t="str">
        <f t="shared" si="45"/>
        <v/>
      </c>
      <c r="S749" s="17" t="str">
        <f t="shared" si="46"/>
        <v/>
      </c>
      <c r="T749" s="18" t="str">
        <f t="shared" ca="1" si="47"/>
        <v/>
      </c>
    </row>
    <row r="750" spans="1:20" x14ac:dyDescent="0.35">
      <c r="A750" s="11"/>
      <c r="B750" s="11"/>
      <c r="C750" s="11"/>
      <c r="D750" s="12"/>
      <c r="E750" s="11"/>
      <c r="F750" s="13"/>
      <c r="G750" s="13"/>
      <c r="H750" s="11"/>
      <c r="I750" s="12"/>
      <c r="J750" s="12"/>
      <c r="K750" s="13"/>
      <c r="L750" s="13"/>
      <c r="M750" s="13"/>
      <c r="N750" s="13"/>
      <c r="O750" s="13"/>
      <c r="P750" s="14" t="str">
        <f t="shared" si="44"/>
        <v/>
      </c>
      <c r="Q750" s="15" t="str">
        <f>IF(OR(J750="",H750=""),"",IFERROR(IF(ISNUMBER(N750),N750,IF(K750&lt;N(INDEX(Platforms!$G$5:$G$14,MATCH(H750,Lists!$A$2:$A$11,0))),N(INDEX(Platforms!$H$5:$H$14,MATCH(H750,Lists!$A$2:$A$11,0))),MAX(N(INDEX(Platforms!$F$5:$F$14,MATCH(H750,Lists!$A$2:$A$11,0))),N(INDEX(Platforms!$C$5:$C$14,MATCH(H750,Lists!$A$2:$A$11,0)))*(K750+IF(INDEX(Platforms!$E$5:$E$14,MATCH(H750,Lists!$A$2:$A$11,0))="Yes",N(L750),0))+N(INDEX(Platforms!$D$5:$D$14,MATCH(H750,Lists!$A$2:$A$11,0)))))),""))</f>
        <v/>
      </c>
      <c r="R750" s="16" t="str">
        <f t="shared" si="45"/>
        <v/>
      </c>
      <c r="S750" s="17" t="str">
        <f t="shared" si="46"/>
        <v/>
      </c>
      <c r="T750" s="18" t="str">
        <f t="shared" ca="1" si="47"/>
        <v/>
      </c>
    </row>
    <row r="751" spans="1:20" x14ac:dyDescent="0.35">
      <c r="A751" s="11"/>
      <c r="B751" s="11"/>
      <c r="C751" s="11"/>
      <c r="D751" s="12"/>
      <c r="E751" s="11"/>
      <c r="F751" s="13"/>
      <c r="G751" s="13"/>
      <c r="H751" s="11"/>
      <c r="I751" s="12"/>
      <c r="J751" s="12"/>
      <c r="K751" s="13"/>
      <c r="L751" s="13"/>
      <c r="M751" s="13"/>
      <c r="N751" s="13"/>
      <c r="O751" s="13"/>
      <c r="P751" s="14" t="str">
        <f t="shared" si="44"/>
        <v/>
      </c>
      <c r="Q751" s="15" t="str">
        <f>IF(OR(J751="",H751=""),"",IFERROR(IF(ISNUMBER(N751),N751,IF(K751&lt;N(INDEX(Platforms!$G$5:$G$14,MATCH(H751,Lists!$A$2:$A$11,0))),N(INDEX(Platforms!$H$5:$H$14,MATCH(H751,Lists!$A$2:$A$11,0))),MAX(N(INDEX(Platforms!$F$5:$F$14,MATCH(H751,Lists!$A$2:$A$11,0))),N(INDEX(Platforms!$C$5:$C$14,MATCH(H751,Lists!$A$2:$A$11,0)))*(K751+IF(INDEX(Platforms!$E$5:$E$14,MATCH(H751,Lists!$A$2:$A$11,0))="Yes",N(L751),0))+N(INDEX(Platforms!$D$5:$D$14,MATCH(H751,Lists!$A$2:$A$11,0)))))),""))</f>
        <v/>
      </c>
      <c r="R751" s="16" t="str">
        <f t="shared" si="45"/>
        <v/>
      </c>
      <c r="S751" s="17" t="str">
        <f t="shared" si="46"/>
        <v/>
      </c>
      <c r="T751" s="18" t="str">
        <f t="shared" ca="1" si="47"/>
        <v/>
      </c>
    </row>
    <row r="752" spans="1:20" x14ac:dyDescent="0.35">
      <c r="A752" s="11"/>
      <c r="B752" s="11"/>
      <c r="C752" s="11"/>
      <c r="D752" s="12"/>
      <c r="E752" s="11"/>
      <c r="F752" s="13"/>
      <c r="G752" s="13"/>
      <c r="H752" s="11"/>
      <c r="I752" s="12"/>
      <c r="J752" s="12"/>
      <c r="K752" s="13"/>
      <c r="L752" s="13"/>
      <c r="M752" s="13"/>
      <c r="N752" s="13"/>
      <c r="O752" s="13"/>
      <c r="P752" s="14" t="str">
        <f t="shared" si="44"/>
        <v/>
      </c>
      <c r="Q752" s="15" t="str">
        <f>IF(OR(J752="",H752=""),"",IFERROR(IF(ISNUMBER(N752),N752,IF(K752&lt;N(INDEX(Platforms!$G$5:$G$14,MATCH(H752,Lists!$A$2:$A$11,0))),N(INDEX(Platforms!$H$5:$H$14,MATCH(H752,Lists!$A$2:$A$11,0))),MAX(N(INDEX(Platforms!$F$5:$F$14,MATCH(H752,Lists!$A$2:$A$11,0))),N(INDEX(Platforms!$C$5:$C$14,MATCH(H752,Lists!$A$2:$A$11,0)))*(K752+IF(INDEX(Platforms!$E$5:$E$14,MATCH(H752,Lists!$A$2:$A$11,0))="Yes",N(L752),0))+N(INDEX(Platforms!$D$5:$D$14,MATCH(H752,Lists!$A$2:$A$11,0)))))),""))</f>
        <v/>
      </c>
      <c r="R752" s="16" t="str">
        <f t="shared" si="45"/>
        <v/>
      </c>
      <c r="S752" s="17" t="str">
        <f t="shared" si="46"/>
        <v/>
      </c>
      <c r="T752" s="18" t="str">
        <f t="shared" ca="1" si="47"/>
        <v/>
      </c>
    </row>
    <row r="753" spans="1:20" x14ac:dyDescent="0.35">
      <c r="A753" s="11"/>
      <c r="B753" s="11"/>
      <c r="C753" s="11"/>
      <c r="D753" s="12"/>
      <c r="E753" s="11"/>
      <c r="F753" s="13"/>
      <c r="G753" s="13"/>
      <c r="H753" s="11"/>
      <c r="I753" s="12"/>
      <c r="J753" s="12"/>
      <c r="K753" s="13"/>
      <c r="L753" s="13"/>
      <c r="M753" s="13"/>
      <c r="N753" s="13"/>
      <c r="O753" s="13"/>
      <c r="P753" s="14" t="str">
        <f t="shared" si="44"/>
        <v/>
      </c>
      <c r="Q753" s="15" t="str">
        <f>IF(OR(J753="",H753=""),"",IFERROR(IF(ISNUMBER(N753),N753,IF(K753&lt;N(INDEX(Platforms!$G$5:$G$14,MATCH(H753,Lists!$A$2:$A$11,0))),N(INDEX(Platforms!$H$5:$H$14,MATCH(H753,Lists!$A$2:$A$11,0))),MAX(N(INDEX(Platforms!$F$5:$F$14,MATCH(H753,Lists!$A$2:$A$11,0))),N(INDEX(Platforms!$C$5:$C$14,MATCH(H753,Lists!$A$2:$A$11,0)))*(K753+IF(INDEX(Platforms!$E$5:$E$14,MATCH(H753,Lists!$A$2:$A$11,0))="Yes",N(L753),0))+N(INDEX(Platforms!$D$5:$D$14,MATCH(H753,Lists!$A$2:$A$11,0)))))),""))</f>
        <v/>
      </c>
      <c r="R753" s="16" t="str">
        <f t="shared" si="45"/>
        <v/>
      </c>
      <c r="S753" s="17" t="str">
        <f t="shared" si="46"/>
        <v/>
      </c>
      <c r="T753" s="18" t="str">
        <f t="shared" ca="1" si="47"/>
        <v/>
      </c>
    </row>
    <row r="754" spans="1:20" x14ac:dyDescent="0.35">
      <c r="A754" s="11"/>
      <c r="B754" s="11"/>
      <c r="C754" s="11"/>
      <c r="D754" s="12"/>
      <c r="E754" s="11"/>
      <c r="F754" s="13"/>
      <c r="G754" s="13"/>
      <c r="H754" s="11"/>
      <c r="I754" s="12"/>
      <c r="J754" s="12"/>
      <c r="K754" s="13"/>
      <c r="L754" s="13"/>
      <c r="M754" s="13"/>
      <c r="N754" s="13"/>
      <c r="O754" s="13"/>
      <c r="P754" s="14" t="str">
        <f t="shared" si="44"/>
        <v/>
      </c>
      <c r="Q754" s="15" t="str">
        <f>IF(OR(J754="",H754=""),"",IFERROR(IF(ISNUMBER(N754),N754,IF(K754&lt;N(INDEX(Platforms!$G$5:$G$14,MATCH(H754,Lists!$A$2:$A$11,0))),N(INDEX(Platforms!$H$5:$H$14,MATCH(H754,Lists!$A$2:$A$11,0))),MAX(N(INDEX(Platforms!$F$5:$F$14,MATCH(H754,Lists!$A$2:$A$11,0))),N(INDEX(Platforms!$C$5:$C$14,MATCH(H754,Lists!$A$2:$A$11,0)))*(K754+IF(INDEX(Platforms!$E$5:$E$14,MATCH(H754,Lists!$A$2:$A$11,0))="Yes",N(L754),0))+N(INDEX(Platforms!$D$5:$D$14,MATCH(H754,Lists!$A$2:$A$11,0)))))),""))</f>
        <v/>
      </c>
      <c r="R754" s="16" t="str">
        <f t="shared" si="45"/>
        <v/>
      </c>
      <c r="S754" s="17" t="str">
        <f t="shared" si="46"/>
        <v/>
      </c>
      <c r="T754" s="18" t="str">
        <f t="shared" ca="1" si="47"/>
        <v/>
      </c>
    </row>
    <row r="755" spans="1:20" x14ac:dyDescent="0.35">
      <c r="A755" s="11"/>
      <c r="B755" s="11"/>
      <c r="C755" s="11"/>
      <c r="D755" s="12"/>
      <c r="E755" s="11"/>
      <c r="F755" s="13"/>
      <c r="G755" s="13"/>
      <c r="H755" s="11"/>
      <c r="I755" s="12"/>
      <c r="J755" s="12"/>
      <c r="K755" s="13"/>
      <c r="L755" s="13"/>
      <c r="M755" s="13"/>
      <c r="N755" s="13"/>
      <c r="O755" s="13"/>
      <c r="P755" s="14" t="str">
        <f t="shared" si="44"/>
        <v/>
      </c>
      <c r="Q755" s="15" t="str">
        <f>IF(OR(J755="",H755=""),"",IFERROR(IF(ISNUMBER(N755),N755,IF(K755&lt;N(INDEX(Platforms!$G$5:$G$14,MATCH(H755,Lists!$A$2:$A$11,0))),N(INDEX(Platforms!$H$5:$H$14,MATCH(H755,Lists!$A$2:$A$11,0))),MAX(N(INDEX(Platforms!$F$5:$F$14,MATCH(H755,Lists!$A$2:$A$11,0))),N(INDEX(Platforms!$C$5:$C$14,MATCH(H755,Lists!$A$2:$A$11,0)))*(K755+IF(INDEX(Platforms!$E$5:$E$14,MATCH(H755,Lists!$A$2:$A$11,0))="Yes",N(L755),0))+N(INDEX(Platforms!$D$5:$D$14,MATCH(H755,Lists!$A$2:$A$11,0)))))),""))</f>
        <v/>
      </c>
      <c r="R755" s="16" t="str">
        <f t="shared" si="45"/>
        <v/>
      </c>
      <c r="S755" s="17" t="str">
        <f t="shared" si="46"/>
        <v/>
      </c>
      <c r="T755" s="18" t="str">
        <f t="shared" ca="1" si="47"/>
        <v/>
      </c>
    </row>
    <row r="756" spans="1:20" x14ac:dyDescent="0.35">
      <c r="A756" s="11"/>
      <c r="B756" s="11"/>
      <c r="C756" s="11"/>
      <c r="D756" s="12"/>
      <c r="E756" s="11"/>
      <c r="F756" s="13"/>
      <c r="G756" s="13"/>
      <c r="H756" s="11"/>
      <c r="I756" s="12"/>
      <c r="J756" s="12"/>
      <c r="K756" s="13"/>
      <c r="L756" s="13"/>
      <c r="M756" s="13"/>
      <c r="N756" s="13"/>
      <c r="O756" s="13"/>
      <c r="P756" s="14" t="str">
        <f t="shared" si="44"/>
        <v/>
      </c>
      <c r="Q756" s="15" t="str">
        <f>IF(OR(J756="",H756=""),"",IFERROR(IF(ISNUMBER(N756),N756,IF(K756&lt;N(INDEX(Platforms!$G$5:$G$14,MATCH(H756,Lists!$A$2:$A$11,0))),N(INDEX(Platforms!$H$5:$H$14,MATCH(H756,Lists!$A$2:$A$11,0))),MAX(N(INDEX(Platforms!$F$5:$F$14,MATCH(H756,Lists!$A$2:$A$11,0))),N(INDEX(Platforms!$C$5:$C$14,MATCH(H756,Lists!$A$2:$A$11,0)))*(K756+IF(INDEX(Platforms!$E$5:$E$14,MATCH(H756,Lists!$A$2:$A$11,0))="Yes",N(L756),0))+N(INDEX(Platforms!$D$5:$D$14,MATCH(H756,Lists!$A$2:$A$11,0)))))),""))</f>
        <v/>
      </c>
      <c r="R756" s="16" t="str">
        <f t="shared" si="45"/>
        <v/>
      </c>
      <c r="S756" s="17" t="str">
        <f t="shared" si="46"/>
        <v/>
      </c>
      <c r="T756" s="18" t="str">
        <f t="shared" ca="1" si="47"/>
        <v/>
      </c>
    </row>
    <row r="757" spans="1:20" x14ac:dyDescent="0.35">
      <c r="A757" s="11"/>
      <c r="B757" s="11"/>
      <c r="C757" s="11"/>
      <c r="D757" s="12"/>
      <c r="E757" s="11"/>
      <c r="F757" s="13"/>
      <c r="G757" s="13"/>
      <c r="H757" s="11"/>
      <c r="I757" s="12"/>
      <c r="J757" s="12"/>
      <c r="K757" s="13"/>
      <c r="L757" s="13"/>
      <c r="M757" s="13"/>
      <c r="N757" s="13"/>
      <c r="O757" s="13"/>
      <c r="P757" s="14" t="str">
        <f t="shared" si="44"/>
        <v/>
      </c>
      <c r="Q757" s="15" t="str">
        <f>IF(OR(J757="",H757=""),"",IFERROR(IF(ISNUMBER(N757),N757,IF(K757&lt;N(INDEX(Platforms!$G$5:$G$14,MATCH(H757,Lists!$A$2:$A$11,0))),N(INDEX(Platforms!$H$5:$H$14,MATCH(H757,Lists!$A$2:$A$11,0))),MAX(N(INDEX(Platforms!$F$5:$F$14,MATCH(H757,Lists!$A$2:$A$11,0))),N(INDEX(Platforms!$C$5:$C$14,MATCH(H757,Lists!$A$2:$A$11,0)))*(K757+IF(INDEX(Platforms!$E$5:$E$14,MATCH(H757,Lists!$A$2:$A$11,0))="Yes",N(L757),0))+N(INDEX(Platforms!$D$5:$D$14,MATCH(H757,Lists!$A$2:$A$11,0)))))),""))</f>
        <v/>
      </c>
      <c r="R757" s="16" t="str">
        <f t="shared" si="45"/>
        <v/>
      </c>
      <c r="S757" s="17" t="str">
        <f t="shared" si="46"/>
        <v/>
      </c>
      <c r="T757" s="18" t="str">
        <f t="shared" ca="1" si="47"/>
        <v/>
      </c>
    </row>
    <row r="758" spans="1:20" x14ac:dyDescent="0.35">
      <c r="A758" s="11"/>
      <c r="B758" s="11"/>
      <c r="C758" s="11"/>
      <c r="D758" s="12"/>
      <c r="E758" s="11"/>
      <c r="F758" s="13"/>
      <c r="G758" s="13"/>
      <c r="H758" s="11"/>
      <c r="I758" s="12"/>
      <c r="J758" s="12"/>
      <c r="K758" s="13"/>
      <c r="L758" s="13"/>
      <c r="M758" s="13"/>
      <c r="N758" s="13"/>
      <c r="O758" s="13"/>
      <c r="P758" s="14" t="str">
        <f t="shared" si="44"/>
        <v/>
      </c>
      <c r="Q758" s="15" t="str">
        <f>IF(OR(J758="",H758=""),"",IFERROR(IF(ISNUMBER(N758),N758,IF(K758&lt;N(INDEX(Platforms!$G$5:$G$14,MATCH(H758,Lists!$A$2:$A$11,0))),N(INDEX(Platforms!$H$5:$H$14,MATCH(H758,Lists!$A$2:$A$11,0))),MAX(N(INDEX(Platforms!$F$5:$F$14,MATCH(H758,Lists!$A$2:$A$11,0))),N(INDEX(Platforms!$C$5:$C$14,MATCH(H758,Lists!$A$2:$A$11,0)))*(K758+IF(INDEX(Platforms!$E$5:$E$14,MATCH(H758,Lists!$A$2:$A$11,0))="Yes",N(L758),0))+N(INDEX(Platforms!$D$5:$D$14,MATCH(H758,Lists!$A$2:$A$11,0)))))),""))</f>
        <v/>
      </c>
      <c r="R758" s="16" t="str">
        <f t="shared" si="45"/>
        <v/>
      </c>
      <c r="S758" s="17" t="str">
        <f t="shared" si="46"/>
        <v/>
      </c>
      <c r="T758" s="18" t="str">
        <f t="shared" ca="1" si="47"/>
        <v/>
      </c>
    </row>
    <row r="759" spans="1:20" x14ac:dyDescent="0.35">
      <c r="A759" s="11"/>
      <c r="B759" s="11"/>
      <c r="C759" s="11"/>
      <c r="D759" s="12"/>
      <c r="E759" s="11"/>
      <c r="F759" s="13"/>
      <c r="G759" s="13"/>
      <c r="H759" s="11"/>
      <c r="I759" s="12"/>
      <c r="J759" s="12"/>
      <c r="K759" s="13"/>
      <c r="L759" s="13"/>
      <c r="M759" s="13"/>
      <c r="N759" s="13"/>
      <c r="O759" s="13"/>
      <c r="P759" s="14" t="str">
        <f t="shared" si="44"/>
        <v/>
      </c>
      <c r="Q759" s="15" t="str">
        <f>IF(OR(J759="",H759=""),"",IFERROR(IF(ISNUMBER(N759),N759,IF(K759&lt;N(INDEX(Platforms!$G$5:$G$14,MATCH(H759,Lists!$A$2:$A$11,0))),N(INDEX(Platforms!$H$5:$H$14,MATCH(H759,Lists!$A$2:$A$11,0))),MAX(N(INDEX(Platforms!$F$5:$F$14,MATCH(H759,Lists!$A$2:$A$11,0))),N(INDEX(Platforms!$C$5:$C$14,MATCH(H759,Lists!$A$2:$A$11,0)))*(K759+IF(INDEX(Platforms!$E$5:$E$14,MATCH(H759,Lists!$A$2:$A$11,0))="Yes",N(L759),0))+N(INDEX(Platforms!$D$5:$D$14,MATCH(H759,Lists!$A$2:$A$11,0)))))),""))</f>
        <v/>
      </c>
      <c r="R759" s="16" t="str">
        <f t="shared" si="45"/>
        <v/>
      </c>
      <c r="S759" s="17" t="str">
        <f t="shared" si="46"/>
        <v/>
      </c>
      <c r="T759" s="18" t="str">
        <f t="shared" ca="1" si="47"/>
        <v/>
      </c>
    </row>
    <row r="760" spans="1:20" x14ac:dyDescent="0.35">
      <c r="A760" s="11"/>
      <c r="B760" s="11"/>
      <c r="C760" s="11"/>
      <c r="D760" s="12"/>
      <c r="E760" s="11"/>
      <c r="F760" s="13"/>
      <c r="G760" s="13"/>
      <c r="H760" s="11"/>
      <c r="I760" s="12"/>
      <c r="J760" s="12"/>
      <c r="K760" s="13"/>
      <c r="L760" s="13"/>
      <c r="M760" s="13"/>
      <c r="N760" s="13"/>
      <c r="O760" s="13"/>
      <c r="P760" s="14" t="str">
        <f t="shared" si="44"/>
        <v/>
      </c>
      <c r="Q760" s="15" t="str">
        <f>IF(OR(J760="",H760=""),"",IFERROR(IF(ISNUMBER(N760),N760,IF(K760&lt;N(INDEX(Platforms!$G$5:$G$14,MATCH(H760,Lists!$A$2:$A$11,0))),N(INDEX(Platforms!$H$5:$H$14,MATCH(H760,Lists!$A$2:$A$11,0))),MAX(N(INDEX(Platforms!$F$5:$F$14,MATCH(H760,Lists!$A$2:$A$11,0))),N(INDEX(Platforms!$C$5:$C$14,MATCH(H760,Lists!$A$2:$A$11,0)))*(K760+IF(INDEX(Platforms!$E$5:$E$14,MATCH(H760,Lists!$A$2:$A$11,0))="Yes",N(L760),0))+N(INDEX(Platforms!$D$5:$D$14,MATCH(H760,Lists!$A$2:$A$11,0)))))),""))</f>
        <v/>
      </c>
      <c r="R760" s="16" t="str">
        <f t="shared" si="45"/>
        <v/>
      </c>
      <c r="S760" s="17" t="str">
        <f t="shared" si="46"/>
        <v/>
      </c>
      <c r="T760" s="18" t="str">
        <f t="shared" ca="1" si="47"/>
        <v/>
      </c>
    </row>
    <row r="761" spans="1:20" x14ac:dyDescent="0.35">
      <c r="A761" s="11"/>
      <c r="B761" s="11"/>
      <c r="C761" s="11"/>
      <c r="D761" s="12"/>
      <c r="E761" s="11"/>
      <c r="F761" s="13"/>
      <c r="G761" s="13"/>
      <c r="H761" s="11"/>
      <c r="I761" s="12"/>
      <c r="J761" s="12"/>
      <c r="K761" s="13"/>
      <c r="L761" s="13"/>
      <c r="M761" s="13"/>
      <c r="N761" s="13"/>
      <c r="O761" s="13"/>
      <c r="P761" s="14" t="str">
        <f t="shared" si="44"/>
        <v/>
      </c>
      <c r="Q761" s="15" t="str">
        <f>IF(OR(J761="",H761=""),"",IFERROR(IF(ISNUMBER(N761),N761,IF(K761&lt;N(INDEX(Platforms!$G$5:$G$14,MATCH(H761,Lists!$A$2:$A$11,0))),N(INDEX(Platforms!$H$5:$H$14,MATCH(H761,Lists!$A$2:$A$11,0))),MAX(N(INDEX(Platforms!$F$5:$F$14,MATCH(H761,Lists!$A$2:$A$11,0))),N(INDEX(Platforms!$C$5:$C$14,MATCH(H761,Lists!$A$2:$A$11,0)))*(K761+IF(INDEX(Platforms!$E$5:$E$14,MATCH(H761,Lists!$A$2:$A$11,0))="Yes",N(L761),0))+N(INDEX(Platforms!$D$5:$D$14,MATCH(H761,Lists!$A$2:$A$11,0)))))),""))</f>
        <v/>
      </c>
      <c r="R761" s="16" t="str">
        <f t="shared" si="45"/>
        <v/>
      </c>
      <c r="S761" s="17" t="str">
        <f t="shared" si="46"/>
        <v/>
      </c>
      <c r="T761" s="18" t="str">
        <f t="shared" ca="1" si="47"/>
        <v/>
      </c>
    </row>
    <row r="762" spans="1:20" x14ac:dyDescent="0.35">
      <c r="A762" s="11"/>
      <c r="B762" s="11"/>
      <c r="C762" s="11"/>
      <c r="D762" s="12"/>
      <c r="E762" s="11"/>
      <c r="F762" s="13"/>
      <c r="G762" s="13"/>
      <c r="H762" s="11"/>
      <c r="I762" s="12"/>
      <c r="J762" s="12"/>
      <c r="K762" s="13"/>
      <c r="L762" s="13"/>
      <c r="M762" s="13"/>
      <c r="N762" s="13"/>
      <c r="O762" s="13"/>
      <c r="P762" s="14" t="str">
        <f t="shared" si="44"/>
        <v/>
      </c>
      <c r="Q762" s="15" t="str">
        <f>IF(OR(J762="",H762=""),"",IFERROR(IF(ISNUMBER(N762),N762,IF(K762&lt;N(INDEX(Platforms!$G$5:$G$14,MATCH(H762,Lists!$A$2:$A$11,0))),N(INDEX(Platforms!$H$5:$H$14,MATCH(H762,Lists!$A$2:$A$11,0))),MAX(N(INDEX(Platforms!$F$5:$F$14,MATCH(H762,Lists!$A$2:$A$11,0))),N(INDEX(Platforms!$C$5:$C$14,MATCH(H762,Lists!$A$2:$A$11,0)))*(K762+IF(INDEX(Platforms!$E$5:$E$14,MATCH(H762,Lists!$A$2:$A$11,0))="Yes",N(L762),0))+N(INDEX(Platforms!$D$5:$D$14,MATCH(H762,Lists!$A$2:$A$11,0)))))),""))</f>
        <v/>
      </c>
      <c r="R762" s="16" t="str">
        <f t="shared" si="45"/>
        <v/>
      </c>
      <c r="S762" s="17" t="str">
        <f t="shared" si="46"/>
        <v/>
      </c>
      <c r="T762" s="18" t="str">
        <f t="shared" ca="1" si="47"/>
        <v/>
      </c>
    </row>
    <row r="763" spans="1:20" x14ac:dyDescent="0.35">
      <c r="A763" s="11"/>
      <c r="B763" s="11"/>
      <c r="C763" s="11"/>
      <c r="D763" s="12"/>
      <c r="E763" s="11"/>
      <c r="F763" s="13"/>
      <c r="G763" s="13"/>
      <c r="H763" s="11"/>
      <c r="I763" s="12"/>
      <c r="J763" s="12"/>
      <c r="K763" s="13"/>
      <c r="L763" s="13"/>
      <c r="M763" s="13"/>
      <c r="N763" s="13"/>
      <c r="O763" s="13"/>
      <c r="P763" s="14" t="str">
        <f t="shared" si="44"/>
        <v/>
      </c>
      <c r="Q763" s="15" t="str">
        <f>IF(OR(J763="",H763=""),"",IFERROR(IF(ISNUMBER(N763),N763,IF(K763&lt;N(INDEX(Platforms!$G$5:$G$14,MATCH(H763,Lists!$A$2:$A$11,0))),N(INDEX(Platforms!$H$5:$H$14,MATCH(H763,Lists!$A$2:$A$11,0))),MAX(N(INDEX(Platforms!$F$5:$F$14,MATCH(H763,Lists!$A$2:$A$11,0))),N(INDEX(Platforms!$C$5:$C$14,MATCH(H763,Lists!$A$2:$A$11,0)))*(K763+IF(INDEX(Platforms!$E$5:$E$14,MATCH(H763,Lists!$A$2:$A$11,0))="Yes",N(L763),0))+N(INDEX(Platforms!$D$5:$D$14,MATCH(H763,Lists!$A$2:$A$11,0)))))),""))</f>
        <v/>
      </c>
      <c r="R763" s="16" t="str">
        <f t="shared" si="45"/>
        <v/>
      </c>
      <c r="S763" s="17" t="str">
        <f t="shared" si="46"/>
        <v/>
      </c>
      <c r="T763" s="18" t="str">
        <f t="shared" ca="1" si="47"/>
        <v/>
      </c>
    </row>
    <row r="764" spans="1:20" x14ac:dyDescent="0.35">
      <c r="A764" s="11"/>
      <c r="B764" s="11"/>
      <c r="C764" s="11"/>
      <c r="D764" s="12"/>
      <c r="E764" s="11"/>
      <c r="F764" s="13"/>
      <c r="G764" s="13"/>
      <c r="H764" s="11"/>
      <c r="I764" s="12"/>
      <c r="J764" s="12"/>
      <c r="K764" s="13"/>
      <c r="L764" s="13"/>
      <c r="M764" s="13"/>
      <c r="N764" s="13"/>
      <c r="O764" s="13"/>
      <c r="P764" s="14" t="str">
        <f t="shared" si="44"/>
        <v/>
      </c>
      <c r="Q764" s="15" t="str">
        <f>IF(OR(J764="",H764=""),"",IFERROR(IF(ISNUMBER(N764),N764,IF(K764&lt;N(INDEX(Platforms!$G$5:$G$14,MATCH(H764,Lists!$A$2:$A$11,0))),N(INDEX(Platforms!$H$5:$H$14,MATCH(H764,Lists!$A$2:$A$11,0))),MAX(N(INDEX(Platforms!$F$5:$F$14,MATCH(H764,Lists!$A$2:$A$11,0))),N(INDEX(Platforms!$C$5:$C$14,MATCH(H764,Lists!$A$2:$A$11,0)))*(K764+IF(INDEX(Platforms!$E$5:$E$14,MATCH(H764,Lists!$A$2:$A$11,0))="Yes",N(L764),0))+N(INDEX(Platforms!$D$5:$D$14,MATCH(H764,Lists!$A$2:$A$11,0)))))),""))</f>
        <v/>
      </c>
      <c r="R764" s="16" t="str">
        <f t="shared" si="45"/>
        <v/>
      </c>
      <c r="S764" s="17" t="str">
        <f t="shared" si="46"/>
        <v/>
      </c>
      <c r="T764" s="18" t="str">
        <f t="shared" ca="1" si="47"/>
        <v/>
      </c>
    </row>
    <row r="765" spans="1:20" x14ac:dyDescent="0.35">
      <c r="A765" s="11"/>
      <c r="B765" s="11"/>
      <c r="C765" s="11"/>
      <c r="D765" s="12"/>
      <c r="E765" s="11"/>
      <c r="F765" s="13"/>
      <c r="G765" s="13"/>
      <c r="H765" s="11"/>
      <c r="I765" s="12"/>
      <c r="J765" s="12"/>
      <c r="K765" s="13"/>
      <c r="L765" s="13"/>
      <c r="M765" s="13"/>
      <c r="N765" s="13"/>
      <c r="O765" s="13"/>
      <c r="P765" s="14" t="str">
        <f t="shared" si="44"/>
        <v/>
      </c>
      <c r="Q765" s="15" t="str">
        <f>IF(OR(J765="",H765=""),"",IFERROR(IF(ISNUMBER(N765),N765,IF(K765&lt;N(INDEX(Platforms!$G$5:$G$14,MATCH(H765,Lists!$A$2:$A$11,0))),N(INDEX(Platforms!$H$5:$H$14,MATCH(H765,Lists!$A$2:$A$11,0))),MAX(N(INDEX(Platforms!$F$5:$F$14,MATCH(H765,Lists!$A$2:$A$11,0))),N(INDEX(Platforms!$C$5:$C$14,MATCH(H765,Lists!$A$2:$A$11,0)))*(K765+IF(INDEX(Platforms!$E$5:$E$14,MATCH(H765,Lists!$A$2:$A$11,0))="Yes",N(L765),0))+N(INDEX(Platforms!$D$5:$D$14,MATCH(H765,Lists!$A$2:$A$11,0)))))),""))</f>
        <v/>
      </c>
      <c r="R765" s="16" t="str">
        <f t="shared" si="45"/>
        <v/>
      </c>
      <c r="S765" s="17" t="str">
        <f t="shared" si="46"/>
        <v/>
      </c>
      <c r="T765" s="18" t="str">
        <f t="shared" ca="1" si="47"/>
        <v/>
      </c>
    </row>
    <row r="766" spans="1:20" x14ac:dyDescent="0.35">
      <c r="A766" s="11"/>
      <c r="B766" s="11"/>
      <c r="C766" s="11"/>
      <c r="D766" s="12"/>
      <c r="E766" s="11"/>
      <c r="F766" s="13"/>
      <c r="G766" s="13"/>
      <c r="H766" s="11"/>
      <c r="I766" s="12"/>
      <c r="J766" s="12"/>
      <c r="K766" s="13"/>
      <c r="L766" s="13"/>
      <c r="M766" s="13"/>
      <c r="N766" s="13"/>
      <c r="O766" s="13"/>
      <c r="P766" s="14" t="str">
        <f t="shared" si="44"/>
        <v/>
      </c>
      <c r="Q766" s="15" t="str">
        <f>IF(OR(J766="",H766=""),"",IFERROR(IF(ISNUMBER(N766),N766,IF(K766&lt;N(INDEX(Platforms!$G$5:$G$14,MATCH(H766,Lists!$A$2:$A$11,0))),N(INDEX(Platforms!$H$5:$H$14,MATCH(H766,Lists!$A$2:$A$11,0))),MAX(N(INDEX(Platforms!$F$5:$F$14,MATCH(H766,Lists!$A$2:$A$11,0))),N(INDEX(Platforms!$C$5:$C$14,MATCH(H766,Lists!$A$2:$A$11,0)))*(K766+IF(INDEX(Platforms!$E$5:$E$14,MATCH(H766,Lists!$A$2:$A$11,0))="Yes",N(L766),0))+N(INDEX(Platforms!$D$5:$D$14,MATCH(H766,Lists!$A$2:$A$11,0)))))),""))</f>
        <v/>
      </c>
      <c r="R766" s="16" t="str">
        <f t="shared" si="45"/>
        <v/>
      </c>
      <c r="S766" s="17" t="str">
        <f t="shared" si="46"/>
        <v/>
      </c>
      <c r="T766" s="18" t="str">
        <f t="shared" ca="1" si="47"/>
        <v/>
      </c>
    </row>
    <row r="767" spans="1:20" x14ac:dyDescent="0.35">
      <c r="A767" s="11"/>
      <c r="B767" s="11"/>
      <c r="C767" s="11"/>
      <c r="D767" s="12"/>
      <c r="E767" s="11"/>
      <c r="F767" s="13"/>
      <c r="G767" s="13"/>
      <c r="H767" s="11"/>
      <c r="I767" s="12"/>
      <c r="J767" s="12"/>
      <c r="K767" s="13"/>
      <c r="L767" s="13"/>
      <c r="M767" s="13"/>
      <c r="N767" s="13"/>
      <c r="O767" s="13"/>
      <c r="P767" s="14" t="str">
        <f t="shared" si="44"/>
        <v/>
      </c>
      <c r="Q767" s="15" t="str">
        <f>IF(OR(J767="",H767=""),"",IFERROR(IF(ISNUMBER(N767),N767,IF(K767&lt;N(INDEX(Platforms!$G$5:$G$14,MATCH(H767,Lists!$A$2:$A$11,0))),N(INDEX(Platforms!$H$5:$H$14,MATCH(H767,Lists!$A$2:$A$11,0))),MAX(N(INDEX(Platforms!$F$5:$F$14,MATCH(H767,Lists!$A$2:$A$11,0))),N(INDEX(Platforms!$C$5:$C$14,MATCH(H767,Lists!$A$2:$A$11,0)))*(K767+IF(INDEX(Platforms!$E$5:$E$14,MATCH(H767,Lists!$A$2:$A$11,0))="Yes",N(L767),0))+N(INDEX(Platforms!$D$5:$D$14,MATCH(H767,Lists!$A$2:$A$11,0)))))),""))</f>
        <v/>
      </c>
      <c r="R767" s="16" t="str">
        <f t="shared" si="45"/>
        <v/>
      </c>
      <c r="S767" s="17" t="str">
        <f t="shared" si="46"/>
        <v/>
      </c>
      <c r="T767" s="18" t="str">
        <f t="shared" ca="1" si="47"/>
        <v/>
      </c>
    </row>
    <row r="768" spans="1:20" x14ac:dyDescent="0.35">
      <c r="A768" s="11"/>
      <c r="B768" s="11"/>
      <c r="C768" s="11"/>
      <c r="D768" s="12"/>
      <c r="E768" s="11"/>
      <c r="F768" s="13"/>
      <c r="G768" s="13"/>
      <c r="H768" s="11"/>
      <c r="I768" s="12"/>
      <c r="J768" s="12"/>
      <c r="K768" s="13"/>
      <c r="L768" s="13"/>
      <c r="M768" s="13"/>
      <c r="N768" s="13"/>
      <c r="O768" s="13"/>
      <c r="P768" s="14" t="str">
        <f t="shared" si="44"/>
        <v/>
      </c>
      <c r="Q768" s="15" t="str">
        <f>IF(OR(J768="",H768=""),"",IFERROR(IF(ISNUMBER(N768),N768,IF(K768&lt;N(INDEX(Platforms!$G$5:$G$14,MATCH(H768,Lists!$A$2:$A$11,0))),N(INDEX(Platforms!$H$5:$H$14,MATCH(H768,Lists!$A$2:$A$11,0))),MAX(N(INDEX(Platforms!$F$5:$F$14,MATCH(H768,Lists!$A$2:$A$11,0))),N(INDEX(Platforms!$C$5:$C$14,MATCH(H768,Lists!$A$2:$A$11,0)))*(K768+IF(INDEX(Platforms!$E$5:$E$14,MATCH(H768,Lists!$A$2:$A$11,0))="Yes",N(L768),0))+N(INDEX(Platforms!$D$5:$D$14,MATCH(H768,Lists!$A$2:$A$11,0)))))),""))</f>
        <v/>
      </c>
      <c r="R768" s="16" t="str">
        <f t="shared" si="45"/>
        <v/>
      </c>
      <c r="S768" s="17" t="str">
        <f t="shared" si="46"/>
        <v/>
      </c>
      <c r="T768" s="18" t="str">
        <f t="shared" ca="1" si="47"/>
        <v/>
      </c>
    </row>
    <row r="769" spans="1:20" x14ac:dyDescent="0.35">
      <c r="A769" s="11"/>
      <c r="B769" s="11"/>
      <c r="C769" s="11"/>
      <c r="D769" s="12"/>
      <c r="E769" s="11"/>
      <c r="F769" s="13"/>
      <c r="G769" s="13"/>
      <c r="H769" s="11"/>
      <c r="I769" s="12"/>
      <c r="J769" s="12"/>
      <c r="K769" s="13"/>
      <c r="L769" s="13"/>
      <c r="M769" s="13"/>
      <c r="N769" s="13"/>
      <c r="O769" s="13"/>
      <c r="P769" s="14" t="str">
        <f t="shared" si="44"/>
        <v/>
      </c>
      <c r="Q769" s="15" t="str">
        <f>IF(OR(J769="",H769=""),"",IFERROR(IF(ISNUMBER(N769),N769,IF(K769&lt;N(INDEX(Platforms!$G$5:$G$14,MATCH(H769,Lists!$A$2:$A$11,0))),N(INDEX(Platforms!$H$5:$H$14,MATCH(H769,Lists!$A$2:$A$11,0))),MAX(N(INDEX(Platforms!$F$5:$F$14,MATCH(H769,Lists!$A$2:$A$11,0))),N(INDEX(Platforms!$C$5:$C$14,MATCH(H769,Lists!$A$2:$A$11,0)))*(K769+IF(INDEX(Platforms!$E$5:$E$14,MATCH(H769,Lists!$A$2:$A$11,0))="Yes",N(L769),0))+N(INDEX(Platforms!$D$5:$D$14,MATCH(H769,Lists!$A$2:$A$11,0)))))),""))</f>
        <v/>
      </c>
      <c r="R769" s="16" t="str">
        <f t="shared" si="45"/>
        <v/>
      </c>
      <c r="S769" s="17" t="str">
        <f t="shared" si="46"/>
        <v/>
      </c>
      <c r="T769" s="18" t="str">
        <f t="shared" ca="1" si="47"/>
        <v/>
      </c>
    </row>
    <row r="770" spans="1:20" x14ac:dyDescent="0.35">
      <c r="A770" s="11"/>
      <c r="B770" s="11"/>
      <c r="C770" s="11"/>
      <c r="D770" s="12"/>
      <c r="E770" s="11"/>
      <c r="F770" s="13"/>
      <c r="G770" s="13"/>
      <c r="H770" s="11"/>
      <c r="I770" s="12"/>
      <c r="J770" s="12"/>
      <c r="K770" s="13"/>
      <c r="L770" s="13"/>
      <c r="M770" s="13"/>
      <c r="N770" s="13"/>
      <c r="O770" s="13"/>
      <c r="P770" s="14" t="str">
        <f t="shared" si="44"/>
        <v/>
      </c>
      <c r="Q770" s="15" t="str">
        <f>IF(OR(J770="",H770=""),"",IFERROR(IF(ISNUMBER(N770),N770,IF(K770&lt;N(INDEX(Platforms!$G$5:$G$14,MATCH(H770,Lists!$A$2:$A$11,0))),N(INDEX(Platforms!$H$5:$H$14,MATCH(H770,Lists!$A$2:$A$11,0))),MAX(N(INDEX(Platforms!$F$5:$F$14,MATCH(H770,Lists!$A$2:$A$11,0))),N(INDEX(Platforms!$C$5:$C$14,MATCH(H770,Lists!$A$2:$A$11,0)))*(K770+IF(INDEX(Platforms!$E$5:$E$14,MATCH(H770,Lists!$A$2:$A$11,0))="Yes",N(L770),0))+N(INDEX(Platforms!$D$5:$D$14,MATCH(H770,Lists!$A$2:$A$11,0)))))),""))</f>
        <v/>
      </c>
      <c r="R770" s="16" t="str">
        <f t="shared" si="45"/>
        <v/>
      </c>
      <c r="S770" s="17" t="str">
        <f t="shared" si="46"/>
        <v/>
      </c>
      <c r="T770" s="18" t="str">
        <f t="shared" ca="1" si="47"/>
        <v/>
      </c>
    </row>
    <row r="771" spans="1:20" x14ac:dyDescent="0.35">
      <c r="A771" s="11"/>
      <c r="B771" s="11"/>
      <c r="C771" s="11"/>
      <c r="D771" s="12"/>
      <c r="E771" s="11"/>
      <c r="F771" s="13"/>
      <c r="G771" s="13"/>
      <c r="H771" s="11"/>
      <c r="I771" s="12"/>
      <c r="J771" s="12"/>
      <c r="K771" s="13"/>
      <c r="L771" s="13"/>
      <c r="M771" s="13"/>
      <c r="N771" s="13"/>
      <c r="O771" s="13"/>
      <c r="P771" s="14" t="str">
        <f t="shared" si="44"/>
        <v/>
      </c>
      <c r="Q771" s="15" t="str">
        <f>IF(OR(J771="",H771=""),"",IFERROR(IF(ISNUMBER(N771),N771,IF(K771&lt;N(INDEX(Platforms!$G$5:$G$14,MATCH(H771,Lists!$A$2:$A$11,0))),N(INDEX(Platforms!$H$5:$H$14,MATCH(H771,Lists!$A$2:$A$11,0))),MAX(N(INDEX(Platforms!$F$5:$F$14,MATCH(H771,Lists!$A$2:$A$11,0))),N(INDEX(Platforms!$C$5:$C$14,MATCH(H771,Lists!$A$2:$A$11,0)))*(K771+IF(INDEX(Platforms!$E$5:$E$14,MATCH(H771,Lists!$A$2:$A$11,0))="Yes",N(L771),0))+N(INDEX(Platforms!$D$5:$D$14,MATCH(H771,Lists!$A$2:$A$11,0)))))),""))</f>
        <v/>
      </c>
      <c r="R771" s="16" t="str">
        <f t="shared" si="45"/>
        <v/>
      </c>
      <c r="S771" s="17" t="str">
        <f t="shared" si="46"/>
        <v/>
      </c>
      <c r="T771" s="18" t="str">
        <f t="shared" ca="1" si="47"/>
        <v/>
      </c>
    </row>
    <row r="772" spans="1:20" x14ac:dyDescent="0.35">
      <c r="A772" s="11"/>
      <c r="B772" s="11"/>
      <c r="C772" s="11"/>
      <c r="D772" s="12"/>
      <c r="E772" s="11"/>
      <c r="F772" s="13"/>
      <c r="G772" s="13"/>
      <c r="H772" s="11"/>
      <c r="I772" s="12"/>
      <c r="J772" s="12"/>
      <c r="K772" s="13"/>
      <c r="L772" s="13"/>
      <c r="M772" s="13"/>
      <c r="N772" s="13"/>
      <c r="O772" s="13"/>
      <c r="P772" s="14" t="str">
        <f t="shared" si="44"/>
        <v/>
      </c>
      <c r="Q772" s="15" t="str">
        <f>IF(OR(J772="",H772=""),"",IFERROR(IF(ISNUMBER(N772),N772,IF(K772&lt;N(INDEX(Platforms!$G$5:$G$14,MATCH(H772,Lists!$A$2:$A$11,0))),N(INDEX(Platforms!$H$5:$H$14,MATCH(H772,Lists!$A$2:$A$11,0))),MAX(N(INDEX(Platforms!$F$5:$F$14,MATCH(H772,Lists!$A$2:$A$11,0))),N(INDEX(Platforms!$C$5:$C$14,MATCH(H772,Lists!$A$2:$A$11,0)))*(K772+IF(INDEX(Platforms!$E$5:$E$14,MATCH(H772,Lists!$A$2:$A$11,0))="Yes",N(L772),0))+N(INDEX(Platforms!$D$5:$D$14,MATCH(H772,Lists!$A$2:$A$11,0)))))),""))</f>
        <v/>
      </c>
      <c r="R772" s="16" t="str">
        <f t="shared" si="45"/>
        <v/>
      </c>
      <c r="S772" s="17" t="str">
        <f t="shared" si="46"/>
        <v/>
      </c>
      <c r="T772" s="18" t="str">
        <f t="shared" ca="1" si="47"/>
        <v/>
      </c>
    </row>
    <row r="773" spans="1:20" x14ac:dyDescent="0.35">
      <c r="A773" s="11"/>
      <c r="B773" s="11"/>
      <c r="C773" s="11"/>
      <c r="D773" s="12"/>
      <c r="E773" s="11"/>
      <c r="F773" s="13"/>
      <c r="G773" s="13"/>
      <c r="H773" s="11"/>
      <c r="I773" s="12"/>
      <c r="J773" s="12"/>
      <c r="K773" s="13"/>
      <c r="L773" s="13"/>
      <c r="M773" s="13"/>
      <c r="N773" s="13"/>
      <c r="O773" s="13"/>
      <c r="P773" s="14" t="str">
        <f t="shared" ref="P773:P836" si="48">IF(OR(B773&lt;&gt;"",F773&lt;&gt;"",H773&lt;&gt;"",J773&lt;&gt;"",K773&lt;&gt;""),IF(J773&lt;&gt;"","Sold",IF(I773&lt;&gt;"","Listed","In stock")),"")</f>
        <v/>
      </c>
      <c r="Q773" s="15" t="str">
        <f>IF(OR(J773="",H773=""),"",IFERROR(IF(ISNUMBER(N773),N773,IF(K773&lt;N(INDEX(Platforms!$G$5:$G$14,MATCH(H773,Lists!$A$2:$A$11,0))),N(INDEX(Platforms!$H$5:$H$14,MATCH(H773,Lists!$A$2:$A$11,0))),MAX(N(INDEX(Platforms!$F$5:$F$14,MATCH(H773,Lists!$A$2:$A$11,0))),N(INDEX(Platforms!$C$5:$C$14,MATCH(H773,Lists!$A$2:$A$11,0)))*(K773+IF(INDEX(Platforms!$E$5:$E$14,MATCH(H773,Lists!$A$2:$A$11,0))="Yes",N(L773),0))+N(INDEX(Platforms!$D$5:$D$14,MATCH(H773,Lists!$A$2:$A$11,0)))))),""))</f>
        <v/>
      </c>
      <c r="R773" s="16" t="str">
        <f t="shared" ref="R773:R836" si="49">IF(J773="","",IFERROR(K773+N(L773)-N(O773)-Q773-N(M773)-N(F773)-N(G773),""))</f>
        <v/>
      </c>
      <c r="S773" s="17" t="str">
        <f t="shared" ref="S773:S836" si="50">IF(OR(R773="",N(F773)+N(G773)=0),"",R773/(N(F773)+N(G773)))</f>
        <v/>
      </c>
      <c r="T773" s="18" t="str">
        <f t="shared" ref="T773:T836" ca="1" si="51">IFERROR(IF(ISNUMBER(D773),IF(ISNUMBER(J773),J773,IF(J773="",TODAY(),""))-D773,""),"")</f>
        <v/>
      </c>
    </row>
    <row r="774" spans="1:20" x14ac:dyDescent="0.35">
      <c r="A774" s="11"/>
      <c r="B774" s="11"/>
      <c r="C774" s="11"/>
      <c r="D774" s="12"/>
      <c r="E774" s="11"/>
      <c r="F774" s="13"/>
      <c r="G774" s="13"/>
      <c r="H774" s="11"/>
      <c r="I774" s="12"/>
      <c r="J774" s="12"/>
      <c r="K774" s="13"/>
      <c r="L774" s="13"/>
      <c r="M774" s="13"/>
      <c r="N774" s="13"/>
      <c r="O774" s="13"/>
      <c r="P774" s="14" t="str">
        <f t="shared" si="48"/>
        <v/>
      </c>
      <c r="Q774" s="15" t="str">
        <f>IF(OR(J774="",H774=""),"",IFERROR(IF(ISNUMBER(N774),N774,IF(K774&lt;N(INDEX(Platforms!$G$5:$G$14,MATCH(H774,Lists!$A$2:$A$11,0))),N(INDEX(Platforms!$H$5:$H$14,MATCH(H774,Lists!$A$2:$A$11,0))),MAX(N(INDEX(Platforms!$F$5:$F$14,MATCH(H774,Lists!$A$2:$A$11,0))),N(INDEX(Platforms!$C$5:$C$14,MATCH(H774,Lists!$A$2:$A$11,0)))*(K774+IF(INDEX(Platforms!$E$5:$E$14,MATCH(H774,Lists!$A$2:$A$11,0))="Yes",N(L774),0))+N(INDEX(Platforms!$D$5:$D$14,MATCH(H774,Lists!$A$2:$A$11,0)))))),""))</f>
        <v/>
      </c>
      <c r="R774" s="16" t="str">
        <f t="shared" si="49"/>
        <v/>
      </c>
      <c r="S774" s="17" t="str">
        <f t="shared" si="50"/>
        <v/>
      </c>
      <c r="T774" s="18" t="str">
        <f t="shared" ca="1" si="51"/>
        <v/>
      </c>
    </row>
    <row r="775" spans="1:20" x14ac:dyDescent="0.35">
      <c r="A775" s="11"/>
      <c r="B775" s="11"/>
      <c r="C775" s="11"/>
      <c r="D775" s="12"/>
      <c r="E775" s="11"/>
      <c r="F775" s="13"/>
      <c r="G775" s="13"/>
      <c r="H775" s="11"/>
      <c r="I775" s="12"/>
      <c r="J775" s="12"/>
      <c r="K775" s="13"/>
      <c r="L775" s="13"/>
      <c r="M775" s="13"/>
      <c r="N775" s="13"/>
      <c r="O775" s="13"/>
      <c r="P775" s="14" t="str">
        <f t="shared" si="48"/>
        <v/>
      </c>
      <c r="Q775" s="15" t="str">
        <f>IF(OR(J775="",H775=""),"",IFERROR(IF(ISNUMBER(N775),N775,IF(K775&lt;N(INDEX(Platforms!$G$5:$G$14,MATCH(H775,Lists!$A$2:$A$11,0))),N(INDEX(Platforms!$H$5:$H$14,MATCH(H775,Lists!$A$2:$A$11,0))),MAX(N(INDEX(Platforms!$F$5:$F$14,MATCH(H775,Lists!$A$2:$A$11,0))),N(INDEX(Platforms!$C$5:$C$14,MATCH(H775,Lists!$A$2:$A$11,0)))*(K775+IF(INDEX(Platforms!$E$5:$E$14,MATCH(H775,Lists!$A$2:$A$11,0))="Yes",N(L775),0))+N(INDEX(Platforms!$D$5:$D$14,MATCH(H775,Lists!$A$2:$A$11,0)))))),""))</f>
        <v/>
      </c>
      <c r="R775" s="16" t="str">
        <f t="shared" si="49"/>
        <v/>
      </c>
      <c r="S775" s="17" t="str">
        <f t="shared" si="50"/>
        <v/>
      </c>
      <c r="T775" s="18" t="str">
        <f t="shared" ca="1" si="51"/>
        <v/>
      </c>
    </row>
    <row r="776" spans="1:20" x14ac:dyDescent="0.35">
      <c r="A776" s="11"/>
      <c r="B776" s="11"/>
      <c r="C776" s="11"/>
      <c r="D776" s="12"/>
      <c r="E776" s="11"/>
      <c r="F776" s="13"/>
      <c r="G776" s="13"/>
      <c r="H776" s="11"/>
      <c r="I776" s="12"/>
      <c r="J776" s="12"/>
      <c r="K776" s="13"/>
      <c r="L776" s="13"/>
      <c r="M776" s="13"/>
      <c r="N776" s="13"/>
      <c r="O776" s="13"/>
      <c r="P776" s="14" t="str">
        <f t="shared" si="48"/>
        <v/>
      </c>
      <c r="Q776" s="15" t="str">
        <f>IF(OR(J776="",H776=""),"",IFERROR(IF(ISNUMBER(N776),N776,IF(K776&lt;N(INDEX(Platforms!$G$5:$G$14,MATCH(H776,Lists!$A$2:$A$11,0))),N(INDEX(Platforms!$H$5:$H$14,MATCH(H776,Lists!$A$2:$A$11,0))),MAX(N(INDEX(Platforms!$F$5:$F$14,MATCH(H776,Lists!$A$2:$A$11,0))),N(INDEX(Platforms!$C$5:$C$14,MATCH(H776,Lists!$A$2:$A$11,0)))*(K776+IF(INDEX(Platforms!$E$5:$E$14,MATCH(H776,Lists!$A$2:$A$11,0))="Yes",N(L776),0))+N(INDEX(Platforms!$D$5:$D$14,MATCH(H776,Lists!$A$2:$A$11,0)))))),""))</f>
        <v/>
      </c>
      <c r="R776" s="16" t="str">
        <f t="shared" si="49"/>
        <v/>
      </c>
      <c r="S776" s="17" t="str">
        <f t="shared" si="50"/>
        <v/>
      </c>
      <c r="T776" s="18" t="str">
        <f t="shared" ca="1" si="51"/>
        <v/>
      </c>
    </row>
    <row r="777" spans="1:20" x14ac:dyDescent="0.35">
      <c r="A777" s="11"/>
      <c r="B777" s="11"/>
      <c r="C777" s="11"/>
      <c r="D777" s="12"/>
      <c r="E777" s="11"/>
      <c r="F777" s="13"/>
      <c r="G777" s="13"/>
      <c r="H777" s="11"/>
      <c r="I777" s="12"/>
      <c r="J777" s="12"/>
      <c r="K777" s="13"/>
      <c r="L777" s="13"/>
      <c r="M777" s="13"/>
      <c r="N777" s="13"/>
      <c r="O777" s="13"/>
      <c r="P777" s="14" t="str">
        <f t="shared" si="48"/>
        <v/>
      </c>
      <c r="Q777" s="15" t="str">
        <f>IF(OR(J777="",H777=""),"",IFERROR(IF(ISNUMBER(N777),N777,IF(K777&lt;N(INDEX(Platforms!$G$5:$G$14,MATCH(H777,Lists!$A$2:$A$11,0))),N(INDEX(Platforms!$H$5:$H$14,MATCH(H777,Lists!$A$2:$A$11,0))),MAX(N(INDEX(Platforms!$F$5:$F$14,MATCH(H777,Lists!$A$2:$A$11,0))),N(INDEX(Platforms!$C$5:$C$14,MATCH(H777,Lists!$A$2:$A$11,0)))*(K777+IF(INDEX(Platforms!$E$5:$E$14,MATCH(H777,Lists!$A$2:$A$11,0))="Yes",N(L777),0))+N(INDEX(Platforms!$D$5:$D$14,MATCH(H777,Lists!$A$2:$A$11,0)))))),""))</f>
        <v/>
      </c>
      <c r="R777" s="16" t="str">
        <f t="shared" si="49"/>
        <v/>
      </c>
      <c r="S777" s="17" t="str">
        <f t="shared" si="50"/>
        <v/>
      </c>
      <c r="T777" s="18" t="str">
        <f t="shared" ca="1" si="51"/>
        <v/>
      </c>
    </row>
    <row r="778" spans="1:20" x14ac:dyDescent="0.35">
      <c r="A778" s="11"/>
      <c r="B778" s="11"/>
      <c r="C778" s="11"/>
      <c r="D778" s="12"/>
      <c r="E778" s="11"/>
      <c r="F778" s="13"/>
      <c r="G778" s="13"/>
      <c r="H778" s="11"/>
      <c r="I778" s="12"/>
      <c r="J778" s="12"/>
      <c r="K778" s="13"/>
      <c r="L778" s="13"/>
      <c r="M778" s="13"/>
      <c r="N778" s="13"/>
      <c r="O778" s="13"/>
      <c r="P778" s="14" t="str">
        <f t="shared" si="48"/>
        <v/>
      </c>
      <c r="Q778" s="15" t="str">
        <f>IF(OR(J778="",H778=""),"",IFERROR(IF(ISNUMBER(N778),N778,IF(K778&lt;N(INDEX(Platforms!$G$5:$G$14,MATCH(H778,Lists!$A$2:$A$11,0))),N(INDEX(Platforms!$H$5:$H$14,MATCH(H778,Lists!$A$2:$A$11,0))),MAX(N(INDEX(Platforms!$F$5:$F$14,MATCH(H778,Lists!$A$2:$A$11,0))),N(INDEX(Platforms!$C$5:$C$14,MATCH(H778,Lists!$A$2:$A$11,0)))*(K778+IF(INDEX(Platforms!$E$5:$E$14,MATCH(H778,Lists!$A$2:$A$11,0))="Yes",N(L778),0))+N(INDEX(Platforms!$D$5:$D$14,MATCH(H778,Lists!$A$2:$A$11,0)))))),""))</f>
        <v/>
      </c>
      <c r="R778" s="16" t="str">
        <f t="shared" si="49"/>
        <v/>
      </c>
      <c r="S778" s="17" t="str">
        <f t="shared" si="50"/>
        <v/>
      </c>
      <c r="T778" s="18" t="str">
        <f t="shared" ca="1" si="51"/>
        <v/>
      </c>
    </row>
    <row r="779" spans="1:20" x14ac:dyDescent="0.35">
      <c r="A779" s="11"/>
      <c r="B779" s="11"/>
      <c r="C779" s="11"/>
      <c r="D779" s="12"/>
      <c r="E779" s="11"/>
      <c r="F779" s="13"/>
      <c r="G779" s="13"/>
      <c r="H779" s="11"/>
      <c r="I779" s="12"/>
      <c r="J779" s="12"/>
      <c r="K779" s="13"/>
      <c r="L779" s="13"/>
      <c r="M779" s="13"/>
      <c r="N779" s="13"/>
      <c r="O779" s="13"/>
      <c r="P779" s="14" t="str">
        <f t="shared" si="48"/>
        <v/>
      </c>
      <c r="Q779" s="15" t="str">
        <f>IF(OR(J779="",H779=""),"",IFERROR(IF(ISNUMBER(N779),N779,IF(K779&lt;N(INDEX(Platforms!$G$5:$G$14,MATCH(H779,Lists!$A$2:$A$11,0))),N(INDEX(Platforms!$H$5:$H$14,MATCH(H779,Lists!$A$2:$A$11,0))),MAX(N(INDEX(Platforms!$F$5:$F$14,MATCH(H779,Lists!$A$2:$A$11,0))),N(INDEX(Platforms!$C$5:$C$14,MATCH(H779,Lists!$A$2:$A$11,0)))*(K779+IF(INDEX(Platforms!$E$5:$E$14,MATCH(H779,Lists!$A$2:$A$11,0))="Yes",N(L779),0))+N(INDEX(Platforms!$D$5:$D$14,MATCH(H779,Lists!$A$2:$A$11,0)))))),""))</f>
        <v/>
      </c>
      <c r="R779" s="16" t="str">
        <f t="shared" si="49"/>
        <v/>
      </c>
      <c r="S779" s="17" t="str">
        <f t="shared" si="50"/>
        <v/>
      </c>
      <c r="T779" s="18" t="str">
        <f t="shared" ca="1" si="51"/>
        <v/>
      </c>
    </row>
    <row r="780" spans="1:20" x14ac:dyDescent="0.35">
      <c r="A780" s="11"/>
      <c r="B780" s="11"/>
      <c r="C780" s="11"/>
      <c r="D780" s="12"/>
      <c r="E780" s="11"/>
      <c r="F780" s="13"/>
      <c r="G780" s="13"/>
      <c r="H780" s="11"/>
      <c r="I780" s="12"/>
      <c r="J780" s="12"/>
      <c r="K780" s="13"/>
      <c r="L780" s="13"/>
      <c r="M780" s="13"/>
      <c r="N780" s="13"/>
      <c r="O780" s="13"/>
      <c r="P780" s="14" t="str">
        <f t="shared" si="48"/>
        <v/>
      </c>
      <c r="Q780" s="15" t="str">
        <f>IF(OR(J780="",H780=""),"",IFERROR(IF(ISNUMBER(N780),N780,IF(K780&lt;N(INDEX(Platforms!$G$5:$G$14,MATCH(H780,Lists!$A$2:$A$11,0))),N(INDEX(Platforms!$H$5:$H$14,MATCH(H780,Lists!$A$2:$A$11,0))),MAX(N(INDEX(Platforms!$F$5:$F$14,MATCH(H780,Lists!$A$2:$A$11,0))),N(INDEX(Platforms!$C$5:$C$14,MATCH(H780,Lists!$A$2:$A$11,0)))*(K780+IF(INDEX(Platforms!$E$5:$E$14,MATCH(H780,Lists!$A$2:$A$11,0))="Yes",N(L780),0))+N(INDEX(Platforms!$D$5:$D$14,MATCH(H780,Lists!$A$2:$A$11,0)))))),""))</f>
        <v/>
      </c>
      <c r="R780" s="16" t="str">
        <f t="shared" si="49"/>
        <v/>
      </c>
      <c r="S780" s="17" t="str">
        <f t="shared" si="50"/>
        <v/>
      </c>
      <c r="T780" s="18" t="str">
        <f t="shared" ca="1" si="51"/>
        <v/>
      </c>
    </row>
    <row r="781" spans="1:20" x14ac:dyDescent="0.35">
      <c r="A781" s="11"/>
      <c r="B781" s="11"/>
      <c r="C781" s="11"/>
      <c r="D781" s="12"/>
      <c r="E781" s="11"/>
      <c r="F781" s="13"/>
      <c r="G781" s="13"/>
      <c r="H781" s="11"/>
      <c r="I781" s="12"/>
      <c r="J781" s="12"/>
      <c r="K781" s="13"/>
      <c r="L781" s="13"/>
      <c r="M781" s="13"/>
      <c r="N781" s="13"/>
      <c r="O781" s="13"/>
      <c r="P781" s="14" t="str">
        <f t="shared" si="48"/>
        <v/>
      </c>
      <c r="Q781" s="15" t="str">
        <f>IF(OR(J781="",H781=""),"",IFERROR(IF(ISNUMBER(N781),N781,IF(K781&lt;N(INDEX(Platforms!$G$5:$G$14,MATCH(H781,Lists!$A$2:$A$11,0))),N(INDEX(Platforms!$H$5:$H$14,MATCH(H781,Lists!$A$2:$A$11,0))),MAX(N(INDEX(Platforms!$F$5:$F$14,MATCH(H781,Lists!$A$2:$A$11,0))),N(INDEX(Platforms!$C$5:$C$14,MATCH(H781,Lists!$A$2:$A$11,0)))*(K781+IF(INDEX(Platforms!$E$5:$E$14,MATCH(H781,Lists!$A$2:$A$11,0))="Yes",N(L781),0))+N(INDEX(Platforms!$D$5:$D$14,MATCH(H781,Lists!$A$2:$A$11,0)))))),""))</f>
        <v/>
      </c>
      <c r="R781" s="16" t="str">
        <f t="shared" si="49"/>
        <v/>
      </c>
      <c r="S781" s="17" t="str">
        <f t="shared" si="50"/>
        <v/>
      </c>
      <c r="T781" s="18" t="str">
        <f t="shared" ca="1" si="51"/>
        <v/>
      </c>
    </row>
    <row r="782" spans="1:20" x14ac:dyDescent="0.35">
      <c r="A782" s="11"/>
      <c r="B782" s="11"/>
      <c r="C782" s="11"/>
      <c r="D782" s="12"/>
      <c r="E782" s="11"/>
      <c r="F782" s="13"/>
      <c r="G782" s="13"/>
      <c r="H782" s="11"/>
      <c r="I782" s="12"/>
      <c r="J782" s="12"/>
      <c r="K782" s="13"/>
      <c r="L782" s="13"/>
      <c r="M782" s="13"/>
      <c r="N782" s="13"/>
      <c r="O782" s="13"/>
      <c r="P782" s="14" t="str">
        <f t="shared" si="48"/>
        <v/>
      </c>
      <c r="Q782" s="15" t="str">
        <f>IF(OR(J782="",H782=""),"",IFERROR(IF(ISNUMBER(N782),N782,IF(K782&lt;N(INDEX(Platforms!$G$5:$G$14,MATCH(H782,Lists!$A$2:$A$11,0))),N(INDEX(Platforms!$H$5:$H$14,MATCH(H782,Lists!$A$2:$A$11,0))),MAX(N(INDEX(Platforms!$F$5:$F$14,MATCH(H782,Lists!$A$2:$A$11,0))),N(INDEX(Platforms!$C$5:$C$14,MATCH(H782,Lists!$A$2:$A$11,0)))*(K782+IF(INDEX(Platforms!$E$5:$E$14,MATCH(H782,Lists!$A$2:$A$11,0))="Yes",N(L782),0))+N(INDEX(Platforms!$D$5:$D$14,MATCH(H782,Lists!$A$2:$A$11,0)))))),""))</f>
        <v/>
      </c>
      <c r="R782" s="16" t="str">
        <f t="shared" si="49"/>
        <v/>
      </c>
      <c r="S782" s="17" t="str">
        <f t="shared" si="50"/>
        <v/>
      </c>
      <c r="T782" s="18" t="str">
        <f t="shared" ca="1" si="51"/>
        <v/>
      </c>
    </row>
    <row r="783" spans="1:20" x14ac:dyDescent="0.35">
      <c r="A783" s="11"/>
      <c r="B783" s="11"/>
      <c r="C783" s="11"/>
      <c r="D783" s="12"/>
      <c r="E783" s="11"/>
      <c r="F783" s="13"/>
      <c r="G783" s="13"/>
      <c r="H783" s="11"/>
      <c r="I783" s="12"/>
      <c r="J783" s="12"/>
      <c r="K783" s="13"/>
      <c r="L783" s="13"/>
      <c r="M783" s="13"/>
      <c r="N783" s="13"/>
      <c r="O783" s="13"/>
      <c r="P783" s="14" t="str">
        <f t="shared" si="48"/>
        <v/>
      </c>
      <c r="Q783" s="15" t="str">
        <f>IF(OR(J783="",H783=""),"",IFERROR(IF(ISNUMBER(N783),N783,IF(K783&lt;N(INDEX(Platforms!$G$5:$G$14,MATCH(H783,Lists!$A$2:$A$11,0))),N(INDEX(Platforms!$H$5:$H$14,MATCH(H783,Lists!$A$2:$A$11,0))),MAX(N(INDEX(Platforms!$F$5:$F$14,MATCH(H783,Lists!$A$2:$A$11,0))),N(INDEX(Platforms!$C$5:$C$14,MATCH(H783,Lists!$A$2:$A$11,0)))*(K783+IF(INDEX(Platforms!$E$5:$E$14,MATCH(H783,Lists!$A$2:$A$11,0))="Yes",N(L783),0))+N(INDEX(Platforms!$D$5:$D$14,MATCH(H783,Lists!$A$2:$A$11,0)))))),""))</f>
        <v/>
      </c>
      <c r="R783" s="16" t="str">
        <f t="shared" si="49"/>
        <v/>
      </c>
      <c r="S783" s="17" t="str">
        <f t="shared" si="50"/>
        <v/>
      </c>
      <c r="T783" s="18" t="str">
        <f t="shared" ca="1" si="51"/>
        <v/>
      </c>
    </row>
    <row r="784" spans="1:20" x14ac:dyDescent="0.35">
      <c r="A784" s="11"/>
      <c r="B784" s="11"/>
      <c r="C784" s="11"/>
      <c r="D784" s="12"/>
      <c r="E784" s="11"/>
      <c r="F784" s="13"/>
      <c r="G784" s="13"/>
      <c r="H784" s="11"/>
      <c r="I784" s="12"/>
      <c r="J784" s="12"/>
      <c r="K784" s="13"/>
      <c r="L784" s="13"/>
      <c r="M784" s="13"/>
      <c r="N784" s="13"/>
      <c r="O784" s="13"/>
      <c r="P784" s="14" t="str">
        <f t="shared" si="48"/>
        <v/>
      </c>
      <c r="Q784" s="15" t="str">
        <f>IF(OR(J784="",H784=""),"",IFERROR(IF(ISNUMBER(N784),N784,IF(K784&lt;N(INDEX(Platforms!$G$5:$G$14,MATCH(H784,Lists!$A$2:$A$11,0))),N(INDEX(Platforms!$H$5:$H$14,MATCH(H784,Lists!$A$2:$A$11,0))),MAX(N(INDEX(Platforms!$F$5:$F$14,MATCH(H784,Lists!$A$2:$A$11,0))),N(INDEX(Platforms!$C$5:$C$14,MATCH(H784,Lists!$A$2:$A$11,0)))*(K784+IF(INDEX(Platforms!$E$5:$E$14,MATCH(H784,Lists!$A$2:$A$11,0))="Yes",N(L784),0))+N(INDEX(Platforms!$D$5:$D$14,MATCH(H784,Lists!$A$2:$A$11,0)))))),""))</f>
        <v/>
      </c>
      <c r="R784" s="16" t="str">
        <f t="shared" si="49"/>
        <v/>
      </c>
      <c r="S784" s="17" t="str">
        <f t="shared" si="50"/>
        <v/>
      </c>
      <c r="T784" s="18" t="str">
        <f t="shared" ca="1" si="51"/>
        <v/>
      </c>
    </row>
    <row r="785" spans="1:20" x14ac:dyDescent="0.35">
      <c r="A785" s="11"/>
      <c r="B785" s="11"/>
      <c r="C785" s="11"/>
      <c r="D785" s="12"/>
      <c r="E785" s="11"/>
      <c r="F785" s="13"/>
      <c r="G785" s="13"/>
      <c r="H785" s="11"/>
      <c r="I785" s="12"/>
      <c r="J785" s="12"/>
      <c r="K785" s="13"/>
      <c r="L785" s="13"/>
      <c r="M785" s="13"/>
      <c r="N785" s="13"/>
      <c r="O785" s="13"/>
      <c r="P785" s="14" t="str">
        <f t="shared" si="48"/>
        <v/>
      </c>
      <c r="Q785" s="15" t="str">
        <f>IF(OR(J785="",H785=""),"",IFERROR(IF(ISNUMBER(N785),N785,IF(K785&lt;N(INDEX(Platforms!$G$5:$G$14,MATCH(H785,Lists!$A$2:$A$11,0))),N(INDEX(Platforms!$H$5:$H$14,MATCH(H785,Lists!$A$2:$A$11,0))),MAX(N(INDEX(Platforms!$F$5:$F$14,MATCH(H785,Lists!$A$2:$A$11,0))),N(INDEX(Platforms!$C$5:$C$14,MATCH(H785,Lists!$A$2:$A$11,0)))*(K785+IF(INDEX(Platforms!$E$5:$E$14,MATCH(H785,Lists!$A$2:$A$11,0))="Yes",N(L785),0))+N(INDEX(Platforms!$D$5:$D$14,MATCH(H785,Lists!$A$2:$A$11,0)))))),""))</f>
        <v/>
      </c>
      <c r="R785" s="16" t="str">
        <f t="shared" si="49"/>
        <v/>
      </c>
      <c r="S785" s="17" t="str">
        <f t="shared" si="50"/>
        <v/>
      </c>
      <c r="T785" s="18" t="str">
        <f t="shared" ca="1" si="51"/>
        <v/>
      </c>
    </row>
    <row r="786" spans="1:20" x14ac:dyDescent="0.35">
      <c r="A786" s="11"/>
      <c r="B786" s="11"/>
      <c r="C786" s="11"/>
      <c r="D786" s="12"/>
      <c r="E786" s="11"/>
      <c r="F786" s="13"/>
      <c r="G786" s="13"/>
      <c r="H786" s="11"/>
      <c r="I786" s="12"/>
      <c r="J786" s="12"/>
      <c r="K786" s="13"/>
      <c r="L786" s="13"/>
      <c r="M786" s="13"/>
      <c r="N786" s="13"/>
      <c r="O786" s="13"/>
      <c r="P786" s="14" t="str">
        <f t="shared" si="48"/>
        <v/>
      </c>
      <c r="Q786" s="15" t="str">
        <f>IF(OR(J786="",H786=""),"",IFERROR(IF(ISNUMBER(N786),N786,IF(K786&lt;N(INDEX(Platforms!$G$5:$G$14,MATCH(H786,Lists!$A$2:$A$11,0))),N(INDEX(Platforms!$H$5:$H$14,MATCH(H786,Lists!$A$2:$A$11,0))),MAX(N(INDEX(Platforms!$F$5:$F$14,MATCH(H786,Lists!$A$2:$A$11,0))),N(INDEX(Platforms!$C$5:$C$14,MATCH(H786,Lists!$A$2:$A$11,0)))*(K786+IF(INDEX(Platforms!$E$5:$E$14,MATCH(H786,Lists!$A$2:$A$11,0))="Yes",N(L786),0))+N(INDEX(Platforms!$D$5:$D$14,MATCH(H786,Lists!$A$2:$A$11,0)))))),""))</f>
        <v/>
      </c>
      <c r="R786" s="16" t="str">
        <f t="shared" si="49"/>
        <v/>
      </c>
      <c r="S786" s="17" t="str">
        <f t="shared" si="50"/>
        <v/>
      </c>
      <c r="T786" s="18" t="str">
        <f t="shared" ca="1" si="51"/>
        <v/>
      </c>
    </row>
    <row r="787" spans="1:20" x14ac:dyDescent="0.35">
      <c r="A787" s="11"/>
      <c r="B787" s="11"/>
      <c r="C787" s="11"/>
      <c r="D787" s="12"/>
      <c r="E787" s="11"/>
      <c r="F787" s="13"/>
      <c r="G787" s="13"/>
      <c r="H787" s="11"/>
      <c r="I787" s="12"/>
      <c r="J787" s="12"/>
      <c r="K787" s="13"/>
      <c r="L787" s="13"/>
      <c r="M787" s="13"/>
      <c r="N787" s="13"/>
      <c r="O787" s="13"/>
      <c r="P787" s="14" t="str">
        <f t="shared" si="48"/>
        <v/>
      </c>
      <c r="Q787" s="15" t="str">
        <f>IF(OR(J787="",H787=""),"",IFERROR(IF(ISNUMBER(N787),N787,IF(K787&lt;N(INDEX(Platforms!$G$5:$G$14,MATCH(H787,Lists!$A$2:$A$11,0))),N(INDEX(Platforms!$H$5:$H$14,MATCH(H787,Lists!$A$2:$A$11,0))),MAX(N(INDEX(Platforms!$F$5:$F$14,MATCH(H787,Lists!$A$2:$A$11,0))),N(INDEX(Platforms!$C$5:$C$14,MATCH(H787,Lists!$A$2:$A$11,0)))*(K787+IF(INDEX(Platforms!$E$5:$E$14,MATCH(H787,Lists!$A$2:$A$11,0))="Yes",N(L787),0))+N(INDEX(Platforms!$D$5:$D$14,MATCH(H787,Lists!$A$2:$A$11,0)))))),""))</f>
        <v/>
      </c>
      <c r="R787" s="16" t="str">
        <f t="shared" si="49"/>
        <v/>
      </c>
      <c r="S787" s="17" t="str">
        <f t="shared" si="50"/>
        <v/>
      </c>
      <c r="T787" s="18" t="str">
        <f t="shared" ca="1" si="51"/>
        <v/>
      </c>
    </row>
    <row r="788" spans="1:20" x14ac:dyDescent="0.35">
      <c r="A788" s="11"/>
      <c r="B788" s="11"/>
      <c r="C788" s="11"/>
      <c r="D788" s="12"/>
      <c r="E788" s="11"/>
      <c r="F788" s="13"/>
      <c r="G788" s="13"/>
      <c r="H788" s="11"/>
      <c r="I788" s="12"/>
      <c r="J788" s="12"/>
      <c r="K788" s="13"/>
      <c r="L788" s="13"/>
      <c r="M788" s="13"/>
      <c r="N788" s="13"/>
      <c r="O788" s="13"/>
      <c r="P788" s="14" t="str">
        <f t="shared" si="48"/>
        <v/>
      </c>
      <c r="Q788" s="15" t="str">
        <f>IF(OR(J788="",H788=""),"",IFERROR(IF(ISNUMBER(N788),N788,IF(K788&lt;N(INDEX(Platforms!$G$5:$G$14,MATCH(H788,Lists!$A$2:$A$11,0))),N(INDEX(Platforms!$H$5:$H$14,MATCH(H788,Lists!$A$2:$A$11,0))),MAX(N(INDEX(Platforms!$F$5:$F$14,MATCH(H788,Lists!$A$2:$A$11,0))),N(INDEX(Platforms!$C$5:$C$14,MATCH(H788,Lists!$A$2:$A$11,0)))*(K788+IF(INDEX(Platforms!$E$5:$E$14,MATCH(H788,Lists!$A$2:$A$11,0))="Yes",N(L788),0))+N(INDEX(Platforms!$D$5:$D$14,MATCH(H788,Lists!$A$2:$A$11,0)))))),""))</f>
        <v/>
      </c>
      <c r="R788" s="16" t="str">
        <f t="shared" si="49"/>
        <v/>
      </c>
      <c r="S788" s="17" t="str">
        <f t="shared" si="50"/>
        <v/>
      </c>
      <c r="T788" s="18" t="str">
        <f t="shared" ca="1" si="51"/>
        <v/>
      </c>
    </row>
    <row r="789" spans="1:20" x14ac:dyDescent="0.35">
      <c r="A789" s="11"/>
      <c r="B789" s="11"/>
      <c r="C789" s="11"/>
      <c r="D789" s="12"/>
      <c r="E789" s="11"/>
      <c r="F789" s="13"/>
      <c r="G789" s="13"/>
      <c r="H789" s="11"/>
      <c r="I789" s="12"/>
      <c r="J789" s="12"/>
      <c r="K789" s="13"/>
      <c r="L789" s="13"/>
      <c r="M789" s="13"/>
      <c r="N789" s="13"/>
      <c r="O789" s="13"/>
      <c r="P789" s="14" t="str">
        <f t="shared" si="48"/>
        <v/>
      </c>
      <c r="Q789" s="15" t="str">
        <f>IF(OR(J789="",H789=""),"",IFERROR(IF(ISNUMBER(N789),N789,IF(K789&lt;N(INDEX(Platforms!$G$5:$G$14,MATCH(H789,Lists!$A$2:$A$11,0))),N(INDEX(Platforms!$H$5:$H$14,MATCH(H789,Lists!$A$2:$A$11,0))),MAX(N(INDEX(Platforms!$F$5:$F$14,MATCH(H789,Lists!$A$2:$A$11,0))),N(INDEX(Platforms!$C$5:$C$14,MATCH(H789,Lists!$A$2:$A$11,0)))*(K789+IF(INDEX(Platforms!$E$5:$E$14,MATCH(H789,Lists!$A$2:$A$11,0))="Yes",N(L789),0))+N(INDEX(Platforms!$D$5:$D$14,MATCH(H789,Lists!$A$2:$A$11,0)))))),""))</f>
        <v/>
      </c>
      <c r="R789" s="16" t="str">
        <f t="shared" si="49"/>
        <v/>
      </c>
      <c r="S789" s="17" t="str">
        <f t="shared" si="50"/>
        <v/>
      </c>
      <c r="T789" s="18" t="str">
        <f t="shared" ca="1" si="51"/>
        <v/>
      </c>
    </row>
    <row r="790" spans="1:20" x14ac:dyDescent="0.35">
      <c r="A790" s="11"/>
      <c r="B790" s="11"/>
      <c r="C790" s="11"/>
      <c r="D790" s="12"/>
      <c r="E790" s="11"/>
      <c r="F790" s="13"/>
      <c r="G790" s="13"/>
      <c r="H790" s="11"/>
      <c r="I790" s="12"/>
      <c r="J790" s="12"/>
      <c r="K790" s="13"/>
      <c r="L790" s="13"/>
      <c r="M790" s="13"/>
      <c r="N790" s="13"/>
      <c r="O790" s="13"/>
      <c r="P790" s="14" t="str">
        <f t="shared" si="48"/>
        <v/>
      </c>
      <c r="Q790" s="15" t="str">
        <f>IF(OR(J790="",H790=""),"",IFERROR(IF(ISNUMBER(N790),N790,IF(K790&lt;N(INDEX(Platforms!$G$5:$G$14,MATCH(H790,Lists!$A$2:$A$11,0))),N(INDEX(Platforms!$H$5:$H$14,MATCH(H790,Lists!$A$2:$A$11,0))),MAX(N(INDEX(Platforms!$F$5:$F$14,MATCH(H790,Lists!$A$2:$A$11,0))),N(INDEX(Platforms!$C$5:$C$14,MATCH(H790,Lists!$A$2:$A$11,0)))*(K790+IF(INDEX(Platforms!$E$5:$E$14,MATCH(H790,Lists!$A$2:$A$11,0))="Yes",N(L790),0))+N(INDEX(Platforms!$D$5:$D$14,MATCH(H790,Lists!$A$2:$A$11,0)))))),""))</f>
        <v/>
      </c>
      <c r="R790" s="16" t="str">
        <f t="shared" si="49"/>
        <v/>
      </c>
      <c r="S790" s="17" t="str">
        <f t="shared" si="50"/>
        <v/>
      </c>
      <c r="T790" s="18" t="str">
        <f t="shared" ca="1" si="51"/>
        <v/>
      </c>
    </row>
    <row r="791" spans="1:20" x14ac:dyDescent="0.35">
      <c r="A791" s="11"/>
      <c r="B791" s="11"/>
      <c r="C791" s="11"/>
      <c r="D791" s="12"/>
      <c r="E791" s="11"/>
      <c r="F791" s="13"/>
      <c r="G791" s="13"/>
      <c r="H791" s="11"/>
      <c r="I791" s="12"/>
      <c r="J791" s="12"/>
      <c r="K791" s="13"/>
      <c r="L791" s="13"/>
      <c r="M791" s="13"/>
      <c r="N791" s="13"/>
      <c r="O791" s="13"/>
      <c r="P791" s="14" t="str">
        <f t="shared" si="48"/>
        <v/>
      </c>
      <c r="Q791" s="15" t="str">
        <f>IF(OR(J791="",H791=""),"",IFERROR(IF(ISNUMBER(N791),N791,IF(K791&lt;N(INDEX(Platforms!$G$5:$G$14,MATCH(H791,Lists!$A$2:$A$11,0))),N(INDEX(Platforms!$H$5:$H$14,MATCH(H791,Lists!$A$2:$A$11,0))),MAX(N(INDEX(Platforms!$F$5:$F$14,MATCH(H791,Lists!$A$2:$A$11,0))),N(INDEX(Platforms!$C$5:$C$14,MATCH(H791,Lists!$A$2:$A$11,0)))*(K791+IF(INDEX(Platforms!$E$5:$E$14,MATCH(H791,Lists!$A$2:$A$11,0))="Yes",N(L791),0))+N(INDEX(Platforms!$D$5:$D$14,MATCH(H791,Lists!$A$2:$A$11,0)))))),""))</f>
        <v/>
      </c>
      <c r="R791" s="16" t="str">
        <f t="shared" si="49"/>
        <v/>
      </c>
      <c r="S791" s="17" t="str">
        <f t="shared" si="50"/>
        <v/>
      </c>
      <c r="T791" s="18" t="str">
        <f t="shared" ca="1" si="51"/>
        <v/>
      </c>
    </row>
    <row r="792" spans="1:20" x14ac:dyDescent="0.35">
      <c r="A792" s="11"/>
      <c r="B792" s="11"/>
      <c r="C792" s="11"/>
      <c r="D792" s="12"/>
      <c r="E792" s="11"/>
      <c r="F792" s="13"/>
      <c r="G792" s="13"/>
      <c r="H792" s="11"/>
      <c r="I792" s="12"/>
      <c r="J792" s="12"/>
      <c r="K792" s="13"/>
      <c r="L792" s="13"/>
      <c r="M792" s="13"/>
      <c r="N792" s="13"/>
      <c r="O792" s="13"/>
      <c r="P792" s="14" t="str">
        <f t="shared" si="48"/>
        <v/>
      </c>
      <c r="Q792" s="15" t="str">
        <f>IF(OR(J792="",H792=""),"",IFERROR(IF(ISNUMBER(N792),N792,IF(K792&lt;N(INDEX(Platforms!$G$5:$G$14,MATCH(H792,Lists!$A$2:$A$11,0))),N(INDEX(Platforms!$H$5:$H$14,MATCH(H792,Lists!$A$2:$A$11,0))),MAX(N(INDEX(Platforms!$F$5:$F$14,MATCH(H792,Lists!$A$2:$A$11,0))),N(INDEX(Platforms!$C$5:$C$14,MATCH(H792,Lists!$A$2:$A$11,0)))*(K792+IF(INDEX(Platforms!$E$5:$E$14,MATCH(H792,Lists!$A$2:$A$11,0))="Yes",N(L792),0))+N(INDEX(Platforms!$D$5:$D$14,MATCH(H792,Lists!$A$2:$A$11,0)))))),""))</f>
        <v/>
      </c>
      <c r="R792" s="16" t="str">
        <f t="shared" si="49"/>
        <v/>
      </c>
      <c r="S792" s="17" t="str">
        <f t="shared" si="50"/>
        <v/>
      </c>
      <c r="T792" s="18" t="str">
        <f t="shared" ca="1" si="51"/>
        <v/>
      </c>
    </row>
    <row r="793" spans="1:20" x14ac:dyDescent="0.35">
      <c r="A793" s="11"/>
      <c r="B793" s="11"/>
      <c r="C793" s="11"/>
      <c r="D793" s="12"/>
      <c r="E793" s="11"/>
      <c r="F793" s="13"/>
      <c r="G793" s="13"/>
      <c r="H793" s="11"/>
      <c r="I793" s="12"/>
      <c r="J793" s="12"/>
      <c r="K793" s="13"/>
      <c r="L793" s="13"/>
      <c r="M793" s="13"/>
      <c r="N793" s="13"/>
      <c r="O793" s="13"/>
      <c r="P793" s="14" t="str">
        <f t="shared" si="48"/>
        <v/>
      </c>
      <c r="Q793" s="15" t="str">
        <f>IF(OR(J793="",H793=""),"",IFERROR(IF(ISNUMBER(N793),N793,IF(K793&lt;N(INDEX(Platforms!$G$5:$G$14,MATCH(H793,Lists!$A$2:$A$11,0))),N(INDEX(Platforms!$H$5:$H$14,MATCH(H793,Lists!$A$2:$A$11,0))),MAX(N(INDEX(Platforms!$F$5:$F$14,MATCH(H793,Lists!$A$2:$A$11,0))),N(INDEX(Platforms!$C$5:$C$14,MATCH(H793,Lists!$A$2:$A$11,0)))*(K793+IF(INDEX(Platforms!$E$5:$E$14,MATCH(H793,Lists!$A$2:$A$11,0))="Yes",N(L793),0))+N(INDEX(Platforms!$D$5:$D$14,MATCH(H793,Lists!$A$2:$A$11,0)))))),""))</f>
        <v/>
      </c>
      <c r="R793" s="16" t="str">
        <f t="shared" si="49"/>
        <v/>
      </c>
      <c r="S793" s="17" t="str">
        <f t="shared" si="50"/>
        <v/>
      </c>
      <c r="T793" s="18" t="str">
        <f t="shared" ca="1" si="51"/>
        <v/>
      </c>
    </row>
    <row r="794" spans="1:20" x14ac:dyDescent="0.35">
      <c r="A794" s="11"/>
      <c r="B794" s="11"/>
      <c r="C794" s="11"/>
      <c r="D794" s="12"/>
      <c r="E794" s="11"/>
      <c r="F794" s="13"/>
      <c r="G794" s="13"/>
      <c r="H794" s="11"/>
      <c r="I794" s="12"/>
      <c r="J794" s="12"/>
      <c r="K794" s="13"/>
      <c r="L794" s="13"/>
      <c r="M794" s="13"/>
      <c r="N794" s="13"/>
      <c r="O794" s="13"/>
      <c r="P794" s="14" t="str">
        <f t="shared" si="48"/>
        <v/>
      </c>
      <c r="Q794" s="15" t="str">
        <f>IF(OR(J794="",H794=""),"",IFERROR(IF(ISNUMBER(N794),N794,IF(K794&lt;N(INDEX(Platforms!$G$5:$G$14,MATCH(H794,Lists!$A$2:$A$11,0))),N(INDEX(Platforms!$H$5:$H$14,MATCH(H794,Lists!$A$2:$A$11,0))),MAX(N(INDEX(Platforms!$F$5:$F$14,MATCH(H794,Lists!$A$2:$A$11,0))),N(INDEX(Platforms!$C$5:$C$14,MATCH(H794,Lists!$A$2:$A$11,0)))*(K794+IF(INDEX(Platforms!$E$5:$E$14,MATCH(H794,Lists!$A$2:$A$11,0))="Yes",N(L794),0))+N(INDEX(Platforms!$D$5:$D$14,MATCH(H794,Lists!$A$2:$A$11,0)))))),""))</f>
        <v/>
      </c>
      <c r="R794" s="16" t="str">
        <f t="shared" si="49"/>
        <v/>
      </c>
      <c r="S794" s="17" t="str">
        <f t="shared" si="50"/>
        <v/>
      </c>
      <c r="T794" s="18" t="str">
        <f t="shared" ca="1" si="51"/>
        <v/>
      </c>
    </row>
    <row r="795" spans="1:20" x14ac:dyDescent="0.35">
      <c r="A795" s="11"/>
      <c r="B795" s="11"/>
      <c r="C795" s="11"/>
      <c r="D795" s="12"/>
      <c r="E795" s="11"/>
      <c r="F795" s="13"/>
      <c r="G795" s="13"/>
      <c r="H795" s="11"/>
      <c r="I795" s="12"/>
      <c r="J795" s="12"/>
      <c r="K795" s="13"/>
      <c r="L795" s="13"/>
      <c r="M795" s="13"/>
      <c r="N795" s="13"/>
      <c r="O795" s="13"/>
      <c r="P795" s="14" t="str">
        <f t="shared" si="48"/>
        <v/>
      </c>
      <c r="Q795" s="15" t="str">
        <f>IF(OR(J795="",H795=""),"",IFERROR(IF(ISNUMBER(N795),N795,IF(K795&lt;N(INDEX(Platforms!$G$5:$G$14,MATCH(H795,Lists!$A$2:$A$11,0))),N(INDEX(Platforms!$H$5:$H$14,MATCH(H795,Lists!$A$2:$A$11,0))),MAX(N(INDEX(Platforms!$F$5:$F$14,MATCH(H795,Lists!$A$2:$A$11,0))),N(INDEX(Platforms!$C$5:$C$14,MATCH(H795,Lists!$A$2:$A$11,0)))*(K795+IF(INDEX(Platforms!$E$5:$E$14,MATCH(H795,Lists!$A$2:$A$11,0))="Yes",N(L795),0))+N(INDEX(Platforms!$D$5:$D$14,MATCH(H795,Lists!$A$2:$A$11,0)))))),""))</f>
        <v/>
      </c>
      <c r="R795" s="16" t="str">
        <f t="shared" si="49"/>
        <v/>
      </c>
      <c r="S795" s="17" t="str">
        <f t="shared" si="50"/>
        <v/>
      </c>
      <c r="T795" s="18" t="str">
        <f t="shared" ca="1" si="51"/>
        <v/>
      </c>
    </row>
    <row r="796" spans="1:20" x14ac:dyDescent="0.35">
      <c r="A796" s="11"/>
      <c r="B796" s="11"/>
      <c r="C796" s="11"/>
      <c r="D796" s="12"/>
      <c r="E796" s="11"/>
      <c r="F796" s="13"/>
      <c r="G796" s="13"/>
      <c r="H796" s="11"/>
      <c r="I796" s="12"/>
      <c r="J796" s="12"/>
      <c r="K796" s="13"/>
      <c r="L796" s="13"/>
      <c r="M796" s="13"/>
      <c r="N796" s="13"/>
      <c r="O796" s="13"/>
      <c r="P796" s="14" t="str">
        <f t="shared" si="48"/>
        <v/>
      </c>
      <c r="Q796" s="15" t="str">
        <f>IF(OR(J796="",H796=""),"",IFERROR(IF(ISNUMBER(N796),N796,IF(K796&lt;N(INDEX(Platforms!$G$5:$G$14,MATCH(H796,Lists!$A$2:$A$11,0))),N(INDEX(Platforms!$H$5:$H$14,MATCH(H796,Lists!$A$2:$A$11,0))),MAX(N(INDEX(Platforms!$F$5:$F$14,MATCH(H796,Lists!$A$2:$A$11,0))),N(INDEX(Platforms!$C$5:$C$14,MATCH(H796,Lists!$A$2:$A$11,0)))*(K796+IF(INDEX(Platforms!$E$5:$E$14,MATCH(H796,Lists!$A$2:$A$11,0))="Yes",N(L796),0))+N(INDEX(Platforms!$D$5:$D$14,MATCH(H796,Lists!$A$2:$A$11,0)))))),""))</f>
        <v/>
      </c>
      <c r="R796" s="16" t="str">
        <f t="shared" si="49"/>
        <v/>
      </c>
      <c r="S796" s="17" t="str">
        <f t="shared" si="50"/>
        <v/>
      </c>
      <c r="T796" s="18" t="str">
        <f t="shared" ca="1" si="51"/>
        <v/>
      </c>
    </row>
    <row r="797" spans="1:20" x14ac:dyDescent="0.35">
      <c r="A797" s="11"/>
      <c r="B797" s="11"/>
      <c r="C797" s="11"/>
      <c r="D797" s="12"/>
      <c r="E797" s="11"/>
      <c r="F797" s="13"/>
      <c r="G797" s="13"/>
      <c r="H797" s="11"/>
      <c r="I797" s="12"/>
      <c r="J797" s="12"/>
      <c r="K797" s="13"/>
      <c r="L797" s="13"/>
      <c r="M797" s="13"/>
      <c r="N797" s="13"/>
      <c r="O797" s="13"/>
      <c r="P797" s="14" t="str">
        <f t="shared" si="48"/>
        <v/>
      </c>
      <c r="Q797" s="15" t="str">
        <f>IF(OR(J797="",H797=""),"",IFERROR(IF(ISNUMBER(N797),N797,IF(K797&lt;N(INDEX(Platforms!$G$5:$G$14,MATCH(H797,Lists!$A$2:$A$11,0))),N(INDEX(Platforms!$H$5:$H$14,MATCH(H797,Lists!$A$2:$A$11,0))),MAX(N(INDEX(Platforms!$F$5:$F$14,MATCH(H797,Lists!$A$2:$A$11,0))),N(INDEX(Platforms!$C$5:$C$14,MATCH(H797,Lists!$A$2:$A$11,0)))*(K797+IF(INDEX(Platforms!$E$5:$E$14,MATCH(H797,Lists!$A$2:$A$11,0))="Yes",N(L797),0))+N(INDEX(Platforms!$D$5:$D$14,MATCH(H797,Lists!$A$2:$A$11,0)))))),""))</f>
        <v/>
      </c>
      <c r="R797" s="16" t="str">
        <f t="shared" si="49"/>
        <v/>
      </c>
      <c r="S797" s="17" t="str">
        <f t="shared" si="50"/>
        <v/>
      </c>
      <c r="T797" s="18" t="str">
        <f t="shared" ca="1" si="51"/>
        <v/>
      </c>
    </row>
    <row r="798" spans="1:20" x14ac:dyDescent="0.35">
      <c r="A798" s="11"/>
      <c r="B798" s="11"/>
      <c r="C798" s="11"/>
      <c r="D798" s="12"/>
      <c r="E798" s="11"/>
      <c r="F798" s="13"/>
      <c r="G798" s="13"/>
      <c r="H798" s="11"/>
      <c r="I798" s="12"/>
      <c r="J798" s="12"/>
      <c r="K798" s="13"/>
      <c r="L798" s="13"/>
      <c r="M798" s="13"/>
      <c r="N798" s="13"/>
      <c r="O798" s="13"/>
      <c r="P798" s="14" t="str">
        <f t="shared" si="48"/>
        <v/>
      </c>
      <c r="Q798" s="15" t="str">
        <f>IF(OR(J798="",H798=""),"",IFERROR(IF(ISNUMBER(N798),N798,IF(K798&lt;N(INDEX(Platforms!$G$5:$G$14,MATCH(H798,Lists!$A$2:$A$11,0))),N(INDEX(Platforms!$H$5:$H$14,MATCH(H798,Lists!$A$2:$A$11,0))),MAX(N(INDEX(Platforms!$F$5:$F$14,MATCH(H798,Lists!$A$2:$A$11,0))),N(INDEX(Platforms!$C$5:$C$14,MATCH(H798,Lists!$A$2:$A$11,0)))*(K798+IF(INDEX(Platforms!$E$5:$E$14,MATCH(H798,Lists!$A$2:$A$11,0))="Yes",N(L798),0))+N(INDEX(Platforms!$D$5:$D$14,MATCH(H798,Lists!$A$2:$A$11,0)))))),""))</f>
        <v/>
      </c>
      <c r="R798" s="16" t="str">
        <f t="shared" si="49"/>
        <v/>
      </c>
      <c r="S798" s="17" t="str">
        <f t="shared" si="50"/>
        <v/>
      </c>
      <c r="T798" s="18" t="str">
        <f t="shared" ca="1" si="51"/>
        <v/>
      </c>
    </row>
    <row r="799" spans="1:20" x14ac:dyDescent="0.35">
      <c r="A799" s="11"/>
      <c r="B799" s="11"/>
      <c r="C799" s="11"/>
      <c r="D799" s="12"/>
      <c r="E799" s="11"/>
      <c r="F799" s="13"/>
      <c r="G799" s="13"/>
      <c r="H799" s="11"/>
      <c r="I799" s="12"/>
      <c r="J799" s="12"/>
      <c r="K799" s="13"/>
      <c r="L799" s="13"/>
      <c r="M799" s="13"/>
      <c r="N799" s="13"/>
      <c r="O799" s="13"/>
      <c r="P799" s="14" t="str">
        <f t="shared" si="48"/>
        <v/>
      </c>
      <c r="Q799" s="15" t="str">
        <f>IF(OR(J799="",H799=""),"",IFERROR(IF(ISNUMBER(N799),N799,IF(K799&lt;N(INDEX(Platforms!$G$5:$G$14,MATCH(H799,Lists!$A$2:$A$11,0))),N(INDEX(Platforms!$H$5:$H$14,MATCH(H799,Lists!$A$2:$A$11,0))),MAX(N(INDEX(Platforms!$F$5:$F$14,MATCH(H799,Lists!$A$2:$A$11,0))),N(INDEX(Platforms!$C$5:$C$14,MATCH(H799,Lists!$A$2:$A$11,0)))*(K799+IF(INDEX(Platforms!$E$5:$E$14,MATCH(H799,Lists!$A$2:$A$11,0))="Yes",N(L799),0))+N(INDEX(Platforms!$D$5:$D$14,MATCH(H799,Lists!$A$2:$A$11,0)))))),""))</f>
        <v/>
      </c>
      <c r="R799" s="16" t="str">
        <f t="shared" si="49"/>
        <v/>
      </c>
      <c r="S799" s="17" t="str">
        <f t="shared" si="50"/>
        <v/>
      </c>
      <c r="T799" s="18" t="str">
        <f t="shared" ca="1" si="51"/>
        <v/>
      </c>
    </row>
    <row r="800" spans="1:20" x14ac:dyDescent="0.35">
      <c r="A800" s="11"/>
      <c r="B800" s="11"/>
      <c r="C800" s="11"/>
      <c r="D800" s="12"/>
      <c r="E800" s="11"/>
      <c r="F800" s="13"/>
      <c r="G800" s="13"/>
      <c r="H800" s="11"/>
      <c r="I800" s="12"/>
      <c r="J800" s="12"/>
      <c r="K800" s="13"/>
      <c r="L800" s="13"/>
      <c r="M800" s="13"/>
      <c r="N800" s="13"/>
      <c r="O800" s="13"/>
      <c r="P800" s="14" t="str">
        <f t="shared" si="48"/>
        <v/>
      </c>
      <c r="Q800" s="15" t="str">
        <f>IF(OR(J800="",H800=""),"",IFERROR(IF(ISNUMBER(N800),N800,IF(K800&lt;N(INDEX(Platforms!$G$5:$G$14,MATCH(H800,Lists!$A$2:$A$11,0))),N(INDEX(Platforms!$H$5:$H$14,MATCH(H800,Lists!$A$2:$A$11,0))),MAX(N(INDEX(Platforms!$F$5:$F$14,MATCH(H800,Lists!$A$2:$A$11,0))),N(INDEX(Platforms!$C$5:$C$14,MATCH(H800,Lists!$A$2:$A$11,0)))*(K800+IF(INDEX(Platforms!$E$5:$E$14,MATCH(H800,Lists!$A$2:$A$11,0))="Yes",N(L800),0))+N(INDEX(Platforms!$D$5:$D$14,MATCH(H800,Lists!$A$2:$A$11,0)))))),""))</f>
        <v/>
      </c>
      <c r="R800" s="16" t="str">
        <f t="shared" si="49"/>
        <v/>
      </c>
      <c r="S800" s="17" t="str">
        <f t="shared" si="50"/>
        <v/>
      </c>
      <c r="T800" s="18" t="str">
        <f t="shared" ca="1" si="51"/>
        <v/>
      </c>
    </row>
    <row r="801" spans="1:20" x14ac:dyDescent="0.35">
      <c r="A801" s="11"/>
      <c r="B801" s="11"/>
      <c r="C801" s="11"/>
      <c r="D801" s="12"/>
      <c r="E801" s="11"/>
      <c r="F801" s="13"/>
      <c r="G801" s="13"/>
      <c r="H801" s="11"/>
      <c r="I801" s="12"/>
      <c r="J801" s="12"/>
      <c r="K801" s="13"/>
      <c r="L801" s="13"/>
      <c r="M801" s="13"/>
      <c r="N801" s="13"/>
      <c r="O801" s="13"/>
      <c r="P801" s="14" t="str">
        <f t="shared" si="48"/>
        <v/>
      </c>
      <c r="Q801" s="15" t="str">
        <f>IF(OR(J801="",H801=""),"",IFERROR(IF(ISNUMBER(N801),N801,IF(K801&lt;N(INDEX(Platforms!$G$5:$G$14,MATCH(H801,Lists!$A$2:$A$11,0))),N(INDEX(Platforms!$H$5:$H$14,MATCH(H801,Lists!$A$2:$A$11,0))),MAX(N(INDEX(Platforms!$F$5:$F$14,MATCH(H801,Lists!$A$2:$A$11,0))),N(INDEX(Platforms!$C$5:$C$14,MATCH(H801,Lists!$A$2:$A$11,0)))*(K801+IF(INDEX(Platforms!$E$5:$E$14,MATCH(H801,Lists!$A$2:$A$11,0))="Yes",N(L801),0))+N(INDEX(Platforms!$D$5:$D$14,MATCH(H801,Lists!$A$2:$A$11,0)))))),""))</f>
        <v/>
      </c>
      <c r="R801" s="16" t="str">
        <f t="shared" si="49"/>
        <v/>
      </c>
      <c r="S801" s="17" t="str">
        <f t="shared" si="50"/>
        <v/>
      </c>
      <c r="T801" s="18" t="str">
        <f t="shared" ca="1" si="51"/>
        <v/>
      </c>
    </row>
    <row r="802" spans="1:20" x14ac:dyDescent="0.35">
      <c r="A802" s="11"/>
      <c r="B802" s="11"/>
      <c r="C802" s="11"/>
      <c r="D802" s="12"/>
      <c r="E802" s="11"/>
      <c r="F802" s="13"/>
      <c r="G802" s="13"/>
      <c r="H802" s="11"/>
      <c r="I802" s="12"/>
      <c r="J802" s="12"/>
      <c r="K802" s="13"/>
      <c r="L802" s="13"/>
      <c r="M802" s="13"/>
      <c r="N802" s="13"/>
      <c r="O802" s="13"/>
      <c r="P802" s="14" t="str">
        <f t="shared" si="48"/>
        <v/>
      </c>
      <c r="Q802" s="15" t="str">
        <f>IF(OR(J802="",H802=""),"",IFERROR(IF(ISNUMBER(N802),N802,IF(K802&lt;N(INDEX(Platforms!$G$5:$G$14,MATCH(H802,Lists!$A$2:$A$11,0))),N(INDEX(Platforms!$H$5:$H$14,MATCH(H802,Lists!$A$2:$A$11,0))),MAX(N(INDEX(Platforms!$F$5:$F$14,MATCH(H802,Lists!$A$2:$A$11,0))),N(INDEX(Platforms!$C$5:$C$14,MATCH(H802,Lists!$A$2:$A$11,0)))*(K802+IF(INDEX(Platforms!$E$5:$E$14,MATCH(H802,Lists!$A$2:$A$11,0))="Yes",N(L802),0))+N(INDEX(Platforms!$D$5:$D$14,MATCH(H802,Lists!$A$2:$A$11,0)))))),""))</f>
        <v/>
      </c>
      <c r="R802" s="16" t="str">
        <f t="shared" si="49"/>
        <v/>
      </c>
      <c r="S802" s="17" t="str">
        <f t="shared" si="50"/>
        <v/>
      </c>
      <c r="T802" s="18" t="str">
        <f t="shared" ca="1" si="51"/>
        <v/>
      </c>
    </row>
    <row r="803" spans="1:20" x14ac:dyDescent="0.35">
      <c r="A803" s="11"/>
      <c r="B803" s="11"/>
      <c r="C803" s="11"/>
      <c r="D803" s="12"/>
      <c r="E803" s="11"/>
      <c r="F803" s="13"/>
      <c r="G803" s="13"/>
      <c r="H803" s="11"/>
      <c r="I803" s="12"/>
      <c r="J803" s="12"/>
      <c r="K803" s="13"/>
      <c r="L803" s="13"/>
      <c r="M803" s="13"/>
      <c r="N803" s="13"/>
      <c r="O803" s="13"/>
      <c r="P803" s="14" t="str">
        <f t="shared" si="48"/>
        <v/>
      </c>
      <c r="Q803" s="15" t="str">
        <f>IF(OR(J803="",H803=""),"",IFERROR(IF(ISNUMBER(N803),N803,IF(K803&lt;N(INDEX(Platforms!$G$5:$G$14,MATCH(H803,Lists!$A$2:$A$11,0))),N(INDEX(Platforms!$H$5:$H$14,MATCH(H803,Lists!$A$2:$A$11,0))),MAX(N(INDEX(Platforms!$F$5:$F$14,MATCH(H803,Lists!$A$2:$A$11,0))),N(INDEX(Platforms!$C$5:$C$14,MATCH(H803,Lists!$A$2:$A$11,0)))*(K803+IF(INDEX(Platforms!$E$5:$E$14,MATCH(H803,Lists!$A$2:$A$11,0))="Yes",N(L803),0))+N(INDEX(Platforms!$D$5:$D$14,MATCH(H803,Lists!$A$2:$A$11,0)))))),""))</f>
        <v/>
      </c>
      <c r="R803" s="16" t="str">
        <f t="shared" si="49"/>
        <v/>
      </c>
      <c r="S803" s="17" t="str">
        <f t="shared" si="50"/>
        <v/>
      </c>
      <c r="T803" s="18" t="str">
        <f t="shared" ca="1" si="51"/>
        <v/>
      </c>
    </row>
    <row r="804" spans="1:20" x14ac:dyDescent="0.35">
      <c r="A804" s="11"/>
      <c r="B804" s="11"/>
      <c r="C804" s="11"/>
      <c r="D804" s="12"/>
      <c r="E804" s="11"/>
      <c r="F804" s="13"/>
      <c r="G804" s="13"/>
      <c r="H804" s="11"/>
      <c r="I804" s="12"/>
      <c r="J804" s="12"/>
      <c r="K804" s="13"/>
      <c r="L804" s="13"/>
      <c r="M804" s="13"/>
      <c r="N804" s="13"/>
      <c r="O804" s="13"/>
      <c r="P804" s="14" t="str">
        <f t="shared" si="48"/>
        <v/>
      </c>
      <c r="Q804" s="15" t="str">
        <f>IF(OR(J804="",H804=""),"",IFERROR(IF(ISNUMBER(N804),N804,IF(K804&lt;N(INDEX(Platforms!$G$5:$G$14,MATCH(H804,Lists!$A$2:$A$11,0))),N(INDEX(Platforms!$H$5:$H$14,MATCH(H804,Lists!$A$2:$A$11,0))),MAX(N(INDEX(Platforms!$F$5:$F$14,MATCH(H804,Lists!$A$2:$A$11,0))),N(INDEX(Platforms!$C$5:$C$14,MATCH(H804,Lists!$A$2:$A$11,0)))*(K804+IF(INDEX(Platforms!$E$5:$E$14,MATCH(H804,Lists!$A$2:$A$11,0))="Yes",N(L804),0))+N(INDEX(Platforms!$D$5:$D$14,MATCH(H804,Lists!$A$2:$A$11,0)))))),""))</f>
        <v/>
      </c>
      <c r="R804" s="16" t="str">
        <f t="shared" si="49"/>
        <v/>
      </c>
      <c r="S804" s="17" t="str">
        <f t="shared" si="50"/>
        <v/>
      </c>
      <c r="T804" s="18" t="str">
        <f t="shared" ca="1" si="51"/>
        <v/>
      </c>
    </row>
    <row r="805" spans="1:20" x14ac:dyDescent="0.35">
      <c r="A805" s="11"/>
      <c r="B805" s="11"/>
      <c r="C805" s="11"/>
      <c r="D805" s="12"/>
      <c r="E805" s="11"/>
      <c r="F805" s="13"/>
      <c r="G805" s="13"/>
      <c r="H805" s="11"/>
      <c r="I805" s="12"/>
      <c r="J805" s="12"/>
      <c r="K805" s="13"/>
      <c r="L805" s="13"/>
      <c r="M805" s="13"/>
      <c r="N805" s="13"/>
      <c r="O805" s="13"/>
      <c r="P805" s="14" t="str">
        <f t="shared" si="48"/>
        <v/>
      </c>
      <c r="Q805" s="15" t="str">
        <f>IF(OR(J805="",H805=""),"",IFERROR(IF(ISNUMBER(N805),N805,IF(K805&lt;N(INDEX(Platforms!$G$5:$G$14,MATCH(H805,Lists!$A$2:$A$11,0))),N(INDEX(Platforms!$H$5:$H$14,MATCH(H805,Lists!$A$2:$A$11,0))),MAX(N(INDEX(Platforms!$F$5:$F$14,MATCH(H805,Lists!$A$2:$A$11,0))),N(INDEX(Platforms!$C$5:$C$14,MATCH(H805,Lists!$A$2:$A$11,0)))*(K805+IF(INDEX(Platforms!$E$5:$E$14,MATCH(H805,Lists!$A$2:$A$11,0))="Yes",N(L805),0))+N(INDEX(Platforms!$D$5:$D$14,MATCH(H805,Lists!$A$2:$A$11,0)))))),""))</f>
        <v/>
      </c>
      <c r="R805" s="16" t="str">
        <f t="shared" si="49"/>
        <v/>
      </c>
      <c r="S805" s="17" t="str">
        <f t="shared" si="50"/>
        <v/>
      </c>
      <c r="T805" s="18" t="str">
        <f t="shared" ca="1" si="51"/>
        <v/>
      </c>
    </row>
    <row r="806" spans="1:20" x14ac:dyDescent="0.35">
      <c r="A806" s="11"/>
      <c r="B806" s="11"/>
      <c r="C806" s="11"/>
      <c r="D806" s="12"/>
      <c r="E806" s="11"/>
      <c r="F806" s="13"/>
      <c r="G806" s="13"/>
      <c r="H806" s="11"/>
      <c r="I806" s="12"/>
      <c r="J806" s="12"/>
      <c r="K806" s="13"/>
      <c r="L806" s="13"/>
      <c r="M806" s="13"/>
      <c r="N806" s="13"/>
      <c r="O806" s="13"/>
      <c r="P806" s="14" t="str">
        <f t="shared" si="48"/>
        <v/>
      </c>
      <c r="Q806" s="15" t="str">
        <f>IF(OR(J806="",H806=""),"",IFERROR(IF(ISNUMBER(N806),N806,IF(K806&lt;N(INDEX(Platforms!$G$5:$G$14,MATCH(H806,Lists!$A$2:$A$11,0))),N(INDEX(Platforms!$H$5:$H$14,MATCH(H806,Lists!$A$2:$A$11,0))),MAX(N(INDEX(Platforms!$F$5:$F$14,MATCH(H806,Lists!$A$2:$A$11,0))),N(INDEX(Platforms!$C$5:$C$14,MATCH(H806,Lists!$A$2:$A$11,0)))*(K806+IF(INDEX(Platforms!$E$5:$E$14,MATCH(H806,Lists!$A$2:$A$11,0))="Yes",N(L806),0))+N(INDEX(Platforms!$D$5:$D$14,MATCH(H806,Lists!$A$2:$A$11,0)))))),""))</f>
        <v/>
      </c>
      <c r="R806" s="16" t="str">
        <f t="shared" si="49"/>
        <v/>
      </c>
      <c r="S806" s="17" t="str">
        <f t="shared" si="50"/>
        <v/>
      </c>
      <c r="T806" s="18" t="str">
        <f t="shared" ca="1" si="51"/>
        <v/>
      </c>
    </row>
    <row r="807" spans="1:20" x14ac:dyDescent="0.35">
      <c r="A807" s="11"/>
      <c r="B807" s="11"/>
      <c r="C807" s="11"/>
      <c r="D807" s="12"/>
      <c r="E807" s="11"/>
      <c r="F807" s="13"/>
      <c r="G807" s="13"/>
      <c r="H807" s="11"/>
      <c r="I807" s="12"/>
      <c r="J807" s="12"/>
      <c r="K807" s="13"/>
      <c r="L807" s="13"/>
      <c r="M807" s="13"/>
      <c r="N807" s="13"/>
      <c r="O807" s="13"/>
      <c r="P807" s="14" t="str">
        <f t="shared" si="48"/>
        <v/>
      </c>
      <c r="Q807" s="15" t="str">
        <f>IF(OR(J807="",H807=""),"",IFERROR(IF(ISNUMBER(N807),N807,IF(K807&lt;N(INDEX(Platforms!$G$5:$G$14,MATCH(H807,Lists!$A$2:$A$11,0))),N(INDEX(Platforms!$H$5:$H$14,MATCH(H807,Lists!$A$2:$A$11,0))),MAX(N(INDEX(Platforms!$F$5:$F$14,MATCH(H807,Lists!$A$2:$A$11,0))),N(INDEX(Platforms!$C$5:$C$14,MATCH(H807,Lists!$A$2:$A$11,0)))*(K807+IF(INDEX(Platforms!$E$5:$E$14,MATCH(H807,Lists!$A$2:$A$11,0))="Yes",N(L807),0))+N(INDEX(Platforms!$D$5:$D$14,MATCH(H807,Lists!$A$2:$A$11,0)))))),""))</f>
        <v/>
      </c>
      <c r="R807" s="16" t="str">
        <f t="shared" si="49"/>
        <v/>
      </c>
      <c r="S807" s="17" t="str">
        <f t="shared" si="50"/>
        <v/>
      </c>
      <c r="T807" s="18" t="str">
        <f t="shared" ca="1" si="51"/>
        <v/>
      </c>
    </row>
    <row r="808" spans="1:20" x14ac:dyDescent="0.35">
      <c r="A808" s="11"/>
      <c r="B808" s="11"/>
      <c r="C808" s="11"/>
      <c r="D808" s="12"/>
      <c r="E808" s="11"/>
      <c r="F808" s="13"/>
      <c r="G808" s="13"/>
      <c r="H808" s="11"/>
      <c r="I808" s="12"/>
      <c r="J808" s="12"/>
      <c r="K808" s="13"/>
      <c r="L808" s="13"/>
      <c r="M808" s="13"/>
      <c r="N808" s="13"/>
      <c r="O808" s="13"/>
      <c r="P808" s="14" t="str">
        <f t="shared" si="48"/>
        <v/>
      </c>
      <c r="Q808" s="15" t="str">
        <f>IF(OR(J808="",H808=""),"",IFERROR(IF(ISNUMBER(N808),N808,IF(K808&lt;N(INDEX(Platforms!$G$5:$G$14,MATCH(H808,Lists!$A$2:$A$11,0))),N(INDEX(Platforms!$H$5:$H$14,MATCH(H808,Lists!$A$2:$A$11,0))),MAX(N(INDEX(Platforms!$F$5:$F$14,MATCH(H808,Lists!$A$2:$A$11,0))),N(INDEX(Platforms!$C$5:$C$14,MATCH(H808,Lists!$A$2:$A$11,0)))*(K808+IF(INDEX(Platforms!$E$5:$E$14,MATCH(H808,Lists!$A$2:$A$11,0))="Yes",N(L808),0))+N(INDEX(Platforms!$D$5:$D$14,MATCH(H808,Lists!$A$2:$A$11,0)))))),""))</f>
        <v/>
      </c>
      <c r="R808" s="16" t="str">
        <f t="shared" si="49"/>
        <v/>
      </c>
      <c r="S808" s="17" t="str">
        <f t="shared" si="50"/>
        <v/>
      </c>
      <c r="T808" s="18" t="str">
        <f t="shared" ca="1" si="51"/>
        <v/>
      </c>
    </row>
    <row r="809" spans="1:20" x14ac:dyDescent="0.35">
      <c r="A809" s="11"/>
      <c r="B809" s="11"/>
      <c r="C809" s="11"/>
      <c r="D809" s="12"/>
      <c r="E809" s="11"/>
      <c r="F809" s="13"/>
      <c r="G809" s="13"/>
      <c r="H809" s="11"/>
      <c r="I809" s="12"/>
      <c r="J809" s="12"/>
      <c r="K809" s="13"/>
      <c r="L809" s="13"/>
      <c r="M809" s="13"/>
      <c r="N809" s="13"/>
      <c r="O809" s="13"/>
      <c r="P809" s="14" t="str">
        <f t="shared" si="48"/>
        <v/>
      </c>
      <c r="Q809" s="15" t="str">
        <f>IF(OR(J809="",H809=""),"",IFERROR(IF(ISNUMBER(N809),N809,IF(K809&lt;N(INDEX(Platforms!$G$5:$G$14,MATCH(H809,Lists!$A$2:$A$11,0))),N(INDEX(Platforms!$H$5:$H$14,MATCH(H809,Lists!$A$2:$A$11,0))),MAX(N(INDEX(Platforms!$F$5:$F$14,MATCH(H809,Lists!$A$2:$A$11,0))),N(INDEX(Platforms!$C$5:$C$14,MATCH(H809,Lists!$A$2:$A$11,0)))*(K809+IF(INDEX(Platforms!$E$5:$E$14,MATCH(H809,Lists!$A$2:$A$11,0))="Yes",N(L809),0))+N(INDEX(Platforms!$D$5:$D$14,MATCH(H809,Lists!$A$2:$A$11,0)))))),""))</f>
        <v/>
      </c>
      <c r="R809" s="16" t="str">
        <f t="shared" si="49"/>
        <v/>
      </c>
      <c r="S809" s="17" t="str">
        <f t="shared" si="50"/>
        <v/>
      </c>
      <c r="T809" s="18" t="str">
        <f t="shared" ca="1" si="51"/>
        <v/>
      </c>
    </row>
    <row r="810" spans="1:20" x14ac:dyDescent="0.35">
      <c r="A810" s="11"/>
      <c r="B810" s="11"/>
      <c r="C810" s="11"/>
      <c r="D810" s="12"/>
      <c r="E810" s="11"/>
      <c r="F810" s="13"/>
      <c r="G810" s="13"/>
      <c r="H810" s="11"/>
      <c r="I810" s="12"/>
      <c r="J810" s="12"/>
      <c r="K810" s="13"/>
      <c r="L810" s="13"/>
      <c r="M810" s="13"/>
      <c r="N810" s="13"/>
      <c r="O810" s="13"/>
      <c r="P810" s="14" t="str">
        <f t="shared" si="48"/>
        <v/>
      </c>
      <c r="Q810" s="15" t="str">
        <f>IF(OR(J810="",H810=""),"",IFERROR(IF(ISNUMBER(N810),N810,IF(K810&lt;N(INDEX(Platforms!$G$5:$G$14,MATCH(H810,Lists!$A$2:$A$11,0))),N(INDEX(Platforms!$H$5:$H$14,MATCH(H810,Lists!$A$2:$A$11,0))),MAX(N(INDEX(Platforms!$F$5:$F$14,MATCH(H810,Lists!$A$2:$A$11,0))),N(INDEX(Platforms!$C$5:$C$14,MATCH(H810,Lists!$A$2:$A$11,0)))*(K810+IF(INDEX(Platforms!$E$5:$E$14,MATCH(H810,Lists!$A$2:$A$11,0))="Yes",N(L810),0))+N(INDEX(Platforms!$D$5:$D$14,MATCH(H810,Lists!$A$2:$A$11,0)))))),""))</f>
        <v/>
      </c>
      <c r="R810" s="16" t="str">
        <f t="shared" si="49"/>
        <v/>
      </c>
      <c r="S810" s="17" t="str">
        <f t="shared" si="50"/>
        <v/>
      </c>
      <c r="T810" s="18" t="str">
        <f t="shared" ca="1" si="51"/>
        <v/>
      </c>
    </row>
    <row r="811" spans="1:20" x14ac:dyDescent="0.35">
      <c r="A811" s="11"/>
      <c r="B811" s="11"/>
      <c r="C811" s="11"/>
      <c r="D811" s="12"/>
      <c r="E811" s="11"/>
      <c r="F811" s="13"/>
      <c r="G811" s="13"/>
      <c r="H811" s="11"/>
      <c r="I811" s="12"/>
      <c r="J811" s="12"/>
      <c r="K811" s="13"/>
      <c r="L811" s="13"/>
      <c r="M811" s="13"/>
      <c r="N811" s="13"/>
      <c r="O811" s="13"/>
      <c r="P811" s="14" t="str">
        <f t="shared" si="48"/>
        <v/>
      </c>
      <c r="Q811" s="15" t="str">
        <f>IF(OR(J811="",H811=""),"",IFERROR(IF(ISNUMBER(N811),N811,IF(K811&lt;N(INDEX(Platforms!$G$5:$G$14,MATCH(H811,Lists!$A$2:$A$11,0))),N(INDEX(Platforms!$H$5:$H$14,MATCH(H811,Lists!$A$2:$A$11,0))),MAX(N(INDEX(Platforms!$F$5:$F$14,MATCH(H811,Lists!$A$2:$A$11,0))),N(INDEX(Platforms!$C$5:$C$14,MATCH(H811,Lists!$A$2:$A$11,0)))*(K811+IF(INDEX(Platforms!$E$5:$E$14,MATCH(H811,Lists!$A$2:$A$11,0))="Yes",N(L811),0))+N(INDEX(Platforms!$D$5:$D$14,MATCH(H811,Lists!$A$2:$A$11,0)))))),""))</f>
        <v/>
      </c>
      <c r="R811" s="16" t="str">
        <f t="shared" si="49"/>
        <v/>
      </c>
      <c r="S811" s="17" t="str">
        <f t="shared" si="50"/>
        <v/>
      </c>
      <c r="T811" s="18" t="str">
        <f t="shared" ca="1" si="51"/>
        <v/>
      </c>
    </row>
    <row r="812" spans="1:20" x14ac:dyDescent="0.35">
      <c r="A812" s="11"/>
      <c r="B812" s="11"/>
      <c r="C812" s="11"/>
      <c r="D812" s="12"/>
      <c r="E812" s="11"/>
      <c r="F812" s="13"/>
      <c r="G812" s="13"/>
      <c r="H812" s="11"/>
      <c r="I812" s="12"/>
      <c r="J812" s="12"/>
      <c r="K812" s="13"/>
      <c r="L812" s="13"/>
      <c r="M812" s="13"/>
      <c r="N812" s="13"/>
      <c r="O812" s="13"/>
      <c r="P812" s="14" t="str">
        <f t="shared" si="48"/>
        <v/>
      </c>
      <c r="Q812" s="15" t="str">
        <f>IF(OR(J812="",H812=""),"",IFERROR(IF(ISNUMBER(N812),N812,IF(K812&lt;N(INDEX(Platforms!$G$5:$G$14,MATCH(H812,Lists!$A$2:$A$11,0))),N(INDEX(Platforms!$H$5:$H$14,MATCH(H812,Lists!$A$2:$A$11,0))),MAX(N(INDEX(Platforms!$F$5:$F$14,MATCH(H812,Lists!$A$2:$A$11,0))),N(INDEX(Platforms!$C$5:$C$14,MATCH(H812,Lists!$A$2:$A$11,0)))*(K812+IF(INDEX(Platforms!$E$5:$E$14,MATCH(H812,Lists!$A$2:$A$11,0))="Yes",N(L812),0))+N(INDEX(Platforms!$D$5:$D$14,MATCH(H812,Lists!$A$2:$A$11,0)))))),""))</f>
        <v/>
      </c>
      <c r="R812" s="16" t="str">
        <f t="shared" si="49"/>
        <v/>
      </c>
      <c r="S812" s="17" t="str">
        <f t="shared" si="50"/>
        <v/>
      </c>
      <c r="T812" s="18" t="str">
        <f t="shared" ca="1" si="51"/>
        <v/>
      </c>
    </row>
    <row r="813" spans="1:20" x14ac:dyDescent="0.35">
      <c r="A813" s="11"/>
      <c r="B813" s="11"/>
      <c r="C813" s="11"/>
      <c r="D813" s="12"/>
      <c r="E813" s="11"/>
      <c r="F813" s="13"/>
      <c r="G813" s="13"/>
      <c r="H813" s="11"/>
      <c r="I813" s="12"/>
      <c r="J813" s="12"/>
      <c r="K813" s="13"/>
      <c r="L813" s="13"/>
      <c r="M813" s="13"/>
      <c r="N813" s="13"/>
      <c r="O813" s="13"/>
      <c r="P813" s="14" t="str">
        <f t="shared" si="48"/>
        <v/>
      </c>
      <c r="Q813" s="15" t="str">
        <f>IF(OR(J813="",H813=""),"",IFERROR(IF(ISNUMBER(N813),N813,IF(K813&lt;N(INDEX(Platforms!$G$5:$G$14,MATCH(H813,Lists!$A$2:$A$11,0))),N(INDEX(Platforms!$H$5:$H$14,MATCH(H813,Lists!$A$2:$A$11,0))),MAX(N(INDEX(Platforms!$F$5:$F$14,MATCH(H813,Lists!$A$2:$A$11,0))),N(INDEX(Platforms!$C$5:$C$14,MATCH(H813,Lists!$A$2:$A$11,0)))*(K813+IF(INDEX(Platforms!$E$5:$E$14,MATCH(H813,Lists!$A$2:$A$11,0))="Yes",N(L813),0))+N(INDEX(Platforms!$D$5:$D$14,MATCH(H813,Lists!$A$2:$A$11,0)))))),""))</f>
        <v/>
      </c>
      <c r="R813" s="16" t="str">
        <f t="shared" si="49"/>
        <v/>
      </c>
      <c r="S813" s="17" t="str">
        <f t="shared" si="50"/>
        <v/>
      </c>
      <c r="T813" s="18" t="str">
        <f t="shared" ca="1" si="51"/>
        <v/>
      </c>
    </row>
    <row r="814" spans="1:20" x14ac:dyDescent="0.35">
      <c r="A814" s="11"/>
      <c r="B814" s="11"/>
      <c r="C814" s="11"/>
      <c r="D814" s="12"/>
      <c r="E814" s="11"/>
      <c r="F814" s="13"/>
      <c r="G814" s="13"/>
      <c r="H814" s="11"/>
      <c r="I814" s="12"/>
      <c r="J814" s="12"/>
      <c r="K814" s="13"/>
      <c r="L814" s="13"/>
      <c r="M814" s="13"/>
      <c r="N814" s="13"/>
      <c r="O814" s="13"/>
      <c r="P814" s="14" t="str">
        <f t="shared" si="48"/>
        <v/>
      </c>
      <c r="Q814" s="15" t="str">
        <f>IF(OR(J814="",H814=""),"",IFERROR(IF(ISNUMBER(N814),N814,IF(K814&lt;N(INDEX(Platforms!$G$5:$G$14,MATCH(H814,Lists!$A$2:$A$11,0))),N(INDEX(Platforms!$H$5:$H$14,MATCH(H814,Lists!$A$2:$A$11,0))),MAX(N(INDEX(Platforms!$F$5:$F$14,MATCH(H814,Lists!$A$2:$A$11,0))),N(INDEX(Platforms!$C$5:$C$14,MATCH(H814,Lists!$A$2:$A$11,0)))*(K814+IF(INDEX(Platforms!$E$5:$E$14,MATCH(H814,Lists!$A$2:$A$11,0))="Yes",N(L814),0))+N(INDEX(Platforms!$D$5:$D$14,MATCH(H814,Lists!$A$2:$A$11,0)))))),""))</f>
        <v/>
      </c>
      <c r="R814" s="16" t="str">
        <f t="shared" si="49"/>
        <v/>
      </c>
      <c r="S814" s="17" t="str">
        <f t="shared" si="50"/>
        <v/>
      </c>
      <c r="T814" s="18" t="str">
        <f t="shared" ca="1" si="51"/>
        <v/>
      </c>
    </row>
    <row r="815" spans="1:20" x14ac:dyDescent="0.35">
      <c r="A815" s="11"/>
      <c r="B815" s="11"/>
      <c r="C815" s="11"/>
      <c r="D815" s="12"/>
      <c r="E815" s="11"/>
      <c r="F815" s="13"/>
      <c r="G815" s="13"/>
      <c r="H815" s="11"/>
      <c r="I815" s="12"/>
      <c r="J815" s="12"/>
      <c r="K815" s="13"/>
      <c r="L815" s="13"/>
      <c r="M815" s="13"/>
      <c r="N815" s="13"/>
      <c r="O815" s="13"/>
      <c r="P815" s="14" t="str">
        <f t="shared" si="48"/>
        <v/>
      </c>
      <c r="Q815" s="15" t="str">
        <f>IF(OR(J815="",H815=""),"",IFERROR(IF(ISNUMBER(N815),N815,IF(K815&lt;N(INDEX(Platforms!$G$5:$G$14,MATCH(H815,Lists!$A$2:$A$11,0))),N(INDEX(Platforms!$H$5:$H$14,MATCH(H815,Lists!$A$2:$A$11,0))),MAX(N(INDEX(Platforms!$F$5:$F$14,MATCH(H815,Lists!$A$2:$A$11,0))),N(INDEX(Platforms!$C$5:$C$14,MATCH(H815,Lists!$A$2:$A$11,0)))*(K815+IF(INDEX(Platforms!$E$5:$E$14,MATCH(H815,Lists!$A$2:$A$11,0))="Yes",N(L815),0))+N(INDEX(Platforms!$D$5:$D$14,MATCH(H815,Lists!$A$2:$A$11,0)))))),""))</f>
        <v/>
      </c>
      <c r="R815" s="16" t="str">
        <f t="shared" si="49"/>
        <v/>
      </c>
      <c r="S815" s="17" t="str">
        <f t="shared" si="50"/>
        <v/>
      </c>
      <c r="T815" s="18" t="str">
        <f t="shared" ca="1" si="51"/>
        <v/>
      </c>
    </row>
    <row r="816" spans="1:20" x14ac:dyDescent="0.35">
      <c r="A816" s="11"/>
      <c r="B816" s="11"/>
      <c r="C816" s="11"/>
      <c r="D816" s="12"/>
      <c r="E816" s="11"/>
      <c r="F816" s="13"/>
      <c r="G816" s="13"/>
      <c r="H816" s="11"/>
      <c r="I816" s="12"/>
      <c r="J816" s="12"/>
      <c r="K816" s="13"/>
      <c r="L816" s="13"/>
      <c r="M816" s="13"/>
      <c r="N816" s="13"/>
      <c r="O816" s="13"/>
      <c r="P816" s="14" t="str">
        <f t="shared" si="48"/>
        <v/>
      </c>
      <c r="Q816" s="15" t="str">
        <f>IF(OR(J816="",H816=""),"",IFERROR(IF(ISNUMBER(N816),N816,IF(K816&lt;N(INDEX(Platforms!$G$5:$G$14,MATCH(H816,Lists!$A$2:$A$11,0))),N(INDEX(Platforms!$H$5:$H$14,MATCH(H816,Lists!$A$2:$A$11,0))),MAX(N(INDEX(Platforms!$F$5:$F$14,MATCH(H816,Lists!$A$2:$A$11,0))),N(INDEX(Platforms!$C$5:$C$14,MATCH(H816,Lists!$A$2:$A$11,0)))*(K816+IF(INDEX(Platforms!$E$5:$E$14,MATCH(H816,Lists!$A$2:$A$11,0))="Yes",N(L816),0))+N(INDEX(Platforms!$D$5:$D$14,MATCH(H816,Lists!$A$2:$A$11,0)))))),""))</f>
        <v/>
      </c>
      <c r="R816" s="16" t="str">
        <f t="shared" si="49"/>
        <v/>
      </c>
      <c r="S816" s="17" t="str">
        <f t="shared" si="50"/>
        <v/>
      </c>
      <c r="T816" s="18" t="str">
        <f t="shared" ca="1" si="51"/>
        <v/>
      </c>
    </row>
    <row r="817" spans="1:20" x14ac:dyDescent="0.35">
      <c r="A817" s="11"/>
      <c r="B817" s="11"/>
      <c r="C817" s="11"/>
      <c r="D817" s="12"/>
      <c r="E817" s="11"/>
      <c r="F817" s="13"/>
      <c r="G817" s="13"/>
      <c r="H817" s="11"/>
      <c r="I817" s="12"/>
      <c r="J817" s="12"/>
      <c r="K817" s="13"/>
      <c r="L817" s="13"/>
      <c r="M817" s="13"/>
      <c r="N817" s="13"/>
      <c r="O817" s="13"/>
      <c r="P817" s="14" t="str">
        <f t="shared" si="48"/>
        <v/>
      </c>
      <c r="Q817" s="15" t="str">
        <f>IF(OR(J817="",H817=""),"",IFERROR(IF(ISNUMBER(N817),N817,IF(K817&lt;N(INDEX(Platforms!$G$5:$G$14,MATCH(H817,Lists!$A$2:$A$11,0))),N(INDEX(Platforms!$H$5:$H$14,MATCH(H817,Lists!$A$2:$A$11,0))),MAX(N(INDEX(Platforms!$F$5:$F$14,MATCH(H817,Lists!$A$2:$A$11,0))),N(INDEX(Platforms!$C$5:$C$14,MATCH(H817,Lists!$A$2:$A$11,0)))*(K817+IF(INDEX(Platforms!$E$5:$E$14,MATCH(H817,Lists!$A$2:$A$11,0))="Yes",N(L817),0))+N(INDEX(Platforms!$D$5:$D$14,MATCH(H817,Lists!$A$2:$A$11,0)))))),""))</f>
        <v/>
      </c>
      <c r="R817" s="16" t="str">
        <f t="shared" si="49"/>
        <v/>
      </c>
      <c r="S817" s="17" t="str">
        <f t="shared" si="50"/>
        <v/>
      </c>
      <c r="T817" s="18" t="str">
        <f t="shared" ca="1" si="51"/>
        <v/>
      </c>
    </row>
    <row r="818" spans="1:20" x14ac:dyDescent="0.35">
      <c r="A818" s="11"/>
      <c r="B818" s="11"/>
      <c r="C818" s="11"/>
      <c r="D818" s="12"/>
      <c r="E818" s="11"/>
      <c r="F818" s="13"/>
      <c r="G818" s="13"/>
      <c r="H818" s="11"/>
      <c r="I818" s="12"/>
      <c r="J818" s="12"/>
      <c r="K818" s="13"/>
      <c r="L818" s="13"/>
      <c r="M818" s="13"/>
      <c r="N818" s="13"/>
      <c r="O818" s="13"/>
      <c r="P818" s="14" t="str">
        <f t="shared" si="48"/>
        <v/>
      </c>
      <c r="Q818" s="15" t="str">
        <f>IF(OR(J818="",H818=""),"",IFERROR(IF(ISNUMBER(N818),N818,IF(K818&lt;N(INDEX(Platforms!$G$5:$G$14,MATCH(H818,Lists!$A$2:$A$11,0))),N(INDEX(Platforms!$H$5:$H$14,MATCH(H818,Lists!$A$2:$A$11,0))),MAX(N(INDEX(Platforms!$F$5:$F$14,MATCH(H818,Lists!$A$2:$A$11,0))),N(INDEX(Platforms!$C$5:$C$14,MATCH(H818,Lists!$A$2:$A$11,0)))*(K818+IF(INDEX(Platforms!$E$5:$E$14,MATCH(H818,Lists!$A$2:$A$11,0))="Yes",N(L818),0))+N(INDEX(Platforms!$D$5:$D$14,MATCH(H818,Lists!$A$2:$A$11,0)))))),""))</f>
        <v/>
      </c>
      <c r="R818" s="16" t="str">
        <f t="shared" si="49"/>
        <v/>
      </c>
      <c r="S818" s="17" t="str">
        <f t="shared" si="50"/>
        <v/>
      </c>
      <c r="T818" s="18" t="str">
        <f t="shared" ca="1" si="51"/>
        <v/>
      </c>
    </row>
    <row r="819" spans="1:20" x14ac:dyDescent="0.35">
      <c r="A819" s="11"/>
      <c r="B819" s="11"/>
      <c r="C819" s="11"/>
      <c r="D819" s="12"/>
      <c r="E819" s="11"/>
      <c r="F819" s="13"/>
      <c r="G819" s="13"/>
      <c r="H819" s="11"/>
      <c r="I819" s="12"/>
      <c r="J819" s="12"/>
      <c r="K819" s="13"/>
      <c r="L819" s="13"/>
      <c r="M819" s="13"/>
      <c r="N819" s="13"/>
      <c r="O819" s="13"/>
      <c r="P819" s="14" t="str">
        <f t="shared" si="48"/>
        <v/>
      </c>
      <c r="Q819" s="15" t="str">
        <f>IF(OR(J819="",H819=""),"",IFERROR(IF(ISNUMBER(N819),N819,IF(K819&lt;N(INDEX(Platforms!$G$5:$G$14,MATCH(H819,Lists!$A$2:$A$11,0))),N(INDEX(Platforms!$H$5:$H$14,MATCH(H819,Lists!$A$2:$A$11,0))),MAX(N(INDEX(Platforms!$F$5:$F$14,MATCH(H819,Lists!$A$2:$A$11,0))),N(INDEX(Platforms!$C$5:$C$14,MATCH(H819,Lists!$A$2:$A$11,0)))*(K819+IF(INDEX(Platforms!$E$5:$E$14,MATCH(H819,Lists!$A$2:$A$11,0))="Yes",N(L819),0))+N(INDEX(Platforms!$D$5:$D$14,MATCH(H819,Lists!$A$2:$A$11,0)))))),""))</f>
        <v/>
      </c>
      <c r="R819" s="16" t="str">
        <f t="shared" si="49"/>
        <v/>
      </c>
      <c r="S819" s="17" t="str">
        <f t="shared" si="50"/>
        <v/>
      </c>
      <c r="T819" s="18" t="str">
        <f t="shared" ca="1" si="51"/>
        <v/>
      </c>
    </row>
    <row r="820" spans="1:20" x14ac:dyDescent="0.35">
      <c r="A820" s="11"/>
      <c r="B820" s="11"/>
      <c r="C820" s="11"/>
      <c r="D820" s="12"/>
      <c r="E820" s="11"/>
      <c r="F820" s="13"/>
      <c r="G820" s="13"/>
      <c r="H820" s="11"/>
      <c r="I820" s="12"/>
      <c r="J820" s="12"/>
      <c r="K820" s="13"/>
      <c r="L820" s="13"/>
      <c r="M820" s="13"/>
      <c r="N820" s="13"/>
      <c r="O820" s="13"/>
      <c r="P820" s="14" t="str">
        <f t="shared" si="48"/>
        <v/>
      </c>
      <c r="Q820" s="15" t="str">
        <f>IF(OR(J820="",H820=""),"",IFERROR(IF(ISNUMBER(N820),N820,IF(K820&lt;N(INDEX(Platforms!$G$5:$G$14,MATCH(H820,Lists!$A$2:$A$11,0))),N(INDEX(Platforms!$H$5:$H$14,MATCH(H820,Lists!$A$2:$A$11,0))),MAX(N(INDEX(Platforms!$F$5:$F$14,MATCH(H820,Lists!$A$2:$A$11,0))),N(INDEX(Platforms!$C$5:$C$14,MATCH(H820,Lists!$A$2:$A$11,0)))*(K820+IF(INDEX(Platforms!$E$5:$E$14,MATCH(H820,Lists!$A$2:$A$11,0))="Yes",N(L820),0))+N(INDEX(Platforms!$D$5:$D$14,MATCH(H820,Lists!$A$2:$A$11,0)))))),""))</f>
        <v/>
      </c>
      <c r="R820" s="16" t="str">
        <f t="shared" si="49"/>
        <v/>
      </c>
      <c r="S820" s="17" t="str">
        <f t="shared" si="50"/>
        <v/>
      </c>
      <c r="T820" s="18" t="str">
        <f t="shared" ca="1" si="51"/>
        <v/>
      </c>
    </row>
    <row r="821" spans="1:20" x14ac:dyDescent="0.35">
      <c r="A821" s="11"/>
      <c r="B821" s="11"/>
      <c r="C821" s="11"/>
      <c r="D821" s="12"/>
      <c r="E821" s="11"/>
      <c r="F821" s="13"/>
      <c r="G821" s="13"/>
      <c r="H821" s="11"/>
      <c r="I821" s="12"/>
      <c r="J821" s="12"/>
      <c r="K821" s="13"/>
      <c r="L821" s="13"/>
      <c r="M821" s="13"/>
      <c r="N821" s="13"/>
      <c r="O821" s="13"/>
      <c r="P821" s="14" t="str">
        <f t="shared" si="48"/>
        <v/>
      </c>
      <c r="Q821" s="15" t="str">
        <f>IF(OR(J821="",H821=""),"",IFERROR(IF(ISNUMBER(N821),N821,IF(K821&lt;N(INDEX(Platforms!$G$5:$G$14,MATCH(H821,Lists!$A$2:$A$11,0))),N(INDEX(Platforms!$H$5:$H$14,MATCH(H821,Lists!$A$2:$A$11,0))),MAX(N(INDEX(Platforms!$F$5:$F$14,MATCH(H821,Lists!$A$2:$A$11,0))),N(INDEX(Platforms!$C$5:$C$14,MATCH(H821,Lists!$A$2:$A$11,0)))*(K821+IF(INDEX(Platforms!$E$5:$E$14,MATCH(H821,Lists!$A$2:$A$11,0))="Yes",N(L821),0))+N(INDEX(Platforms!$D$5:$D$14,MATCH(H821,Lists!$A$2:$A$11,0)))))),""))</f>
        <v/>
      </c>
      <c r="R821" s="16" t="str">
        <f t="shared" si="49"/>
        <v/>
      </c>
      <c r="S821" s="17" t="str">
        <f t="shared" si="50"/>
        <v/>
      </c>
      <c r="T821" s="18" t="str">
        <f t="shared" ca="1" si="51"/>
        <v/>
      </c>
    </row>
    <row r="822" spans="1:20" x14ac:dyDescent="0.35">
      <c r="A822" s="11"/>
      <c r="B822" s="11"/>
      <c r="C822" s="11"/>
      <c r="D822" s="12"/>
      <c r="E822" s="11"/>
      <c r="F822" s="13"/>
      <c r="G822" s="13"/>
      <c r="H822" s="11"/>
      <c r="I822" s="12"/>
      <c r="J822" s="12"/>
      <c r="K822" s="13"/>
      <c r="L822" s="13"/>
      <c r="M822" s="13"/>
      <c r="N822" s="13"/>
      <c r="O822" s="13"/>
      <c r="P822" s="14" t="str">
        <f t="shared" si="48"/>
        <v/>
      </c>
      <c r="Q822" s="15" t="str">
        <f>IF(OR(J822="",H822=""),"",IFERROR(IF(ISNUMBER(N822),N822,IF(K822&lt;N(INDEX(Platforms!$G$5:$G$14,MATCH(H822,Lists!$A$2:$A$11,0))),N(INDEX(Platforms!$H$5:$H$14,MATCH(H822,Lists!$A$2:$A$11,0))),MAX(N(INDEX(Platforms!$F$5:$F$14,MATCH(H822,Lists!$A$2:$A$11,0))),N(INDEX(Platforms!$C$5:$C$14,MATCH(H822,Lists!$A$2:$A$11,0)))*(K822+IF(INDEX(Platforms!$E$5:$E$14,MATCH(H822,Lists!$A$2:$A$11,0))="Yes",N(L822),0))+N(INDEX(Platforms!$D$5:$D$14,MATCH(H822,Lists!$A$2:$A$11,0)))))),""))</f>
        <v/>
      </c>
      <c r="R822" s="16" t="str">
        <f t="shared" si="49"/>
        <v/>
      </c>
      <c r="S822" s="17" t="str">
        <f t="shared" si="50"/>
        <v/>
      </c>
      <c r="T822" s="18" t="str">
        <f t="shared" ca="1" si="51"/>
        <v/>
      </c>
    </row>
    <row r="823" spans="1:20" x14ac:dyDescent="0.35">
      <c r="A823" s="11"/>
      <c r="B823" s="11"/>
      <c r="C823" s="11"/>
      <c r="D823" s="12"/>
      <c r="E823" s="11"/>
      <c r="F823" s="13"/>
      <c r="G823" s="13"/>
      <c r="H823" s="11"/>
      <c r="I823" s="12"/>
      <c r="J823" s="12"/>
      <c r="K823" s="13"/>
      <c r="L823" s="13"/>
      <c r="M823" s="13"/>
      <c r="N823" s="13"/>
      <c r="O823" s="13"/>
      <c r="P823" s="14" t="str">
        <f t="shared" si="48"/>
        <v/>
      </c>
      <c r="Q823" s="15" t="str">
        <f>IF(OR(J823="",H823=""),"",IFERROR(IF(ISNUMBER(N823),N823,IF(K823&lt;N(INDEX(Platforms!$G$5:$G$14,MATCH(H823,Lists!$A$2:$A$11,0))),N(INDEX(Platforms!$H$5:$H$14,MATCH(H823,Lists!$A$2:$A$11,0))),MAX(N(INDEX(Platforms!$F$5:$F$14,MATCH(H823,Lists!$A$2:$A$11,0))),N(INDEX(Platforms!$C$5:$C$14,MATCH(H823,Lists!$A$2:$A$11,0)))*(K823+IF(INDEX(Platforms!$E$5:$E$14,MATCH(H823,Lists!$A$2:$A$11,0))="Yes",N(L823),0))+N(INDEX(Platforms!$D$5:$D$14,MATCH(H823,Lists!$A$2:$A$11,0)))))),""))</f>
        <v/>
      </c>
      <c r="R823" s="16" t="str">
        <f t="shared" si="49"/>
        <v/>
      </c>
      <c r="S823" s="17" t="str">
        <f t="shared" si="50"/>
        <v/>
      </c>
      <c r="T823" s="18" t="str">
        <f t="shared" ca="1" si="51"/>
        <v/>
      </c>
    </row>
    <row r="824" spans="1:20" x14ac:dyDescent="0.35">
      <c r="A824" s="11"/>
      <c r="B824" s="11"/>
      <c r="C824" s="11"/>
      <c r="D824" s="12"/>
      <c r="E824" s="11"/>
      <c r="F824" s="13"/>
      <c r="G824" s="13"/>
      <c r="H824" s="11"/>
      <c r="I824" s="12"/>
      <c r="J824" s="12"/>
      <c r="K824" s="13"/>
      <c r="L824" s="13"/>
      <c r="M824" s="13"/>
      <c r="N824" s="13"/>
      <c r="O824" s="13"/>
      <c r="P824" s="14" t="str">
        <f t="shared" si="48"/>
        <v/>
      </c>
      <c r="Q824" s="15" t="str">
        <f>IF(OR(J824="",H824=""),"",IFERROR(IF(ISNUMBER(N824),N824,IF(K824&lt;N(INDEX(Platforms!$G$5:$G$14,MATCH(H824,Lists!$A$2:$A$11,0))),N(INDEX(Platforms!$H$5:$H$14,MATCH(H824,Lists!$A$2:$A$11,0))),MAX(N(INDEX(Platforms!$F$5:$F$14,MATCH(H824,Lists!$A$2:$A$11,0))),N(INDEX(Platforms!$C$5:$C$14,MATCH(H824,Lists!$A$2:$A$11,0)))*(K824+IF(INDEX(Platforms!$E$5:$E$14,MATCH(H824,Lists!$A$2:$A$11,0))="Yes",N(L824),0))+N(INDEX(Platforms!$D$5:$D$14,MATCH(H824,Lists!$A$2:$A$11,0)))))),""))</f>
        <v/>
      </c>
      <c r="R824" s="16" t="str">
        <f t="shared" si="49"/>
        <v/>
      </c>
      <c r="S824" s="17" t="str">
        <f t="shared" si="50"/>
        <v/>
      </c>
      <c r="T824" s="18" t="str">
        <f t="shared" ca="1" si="51"/>
        <v/>
      </c>
    </row>
    <row r="825" spans="1:20" x14ac:dyDescent="0.35">
      <c r="A825" s="11"/>
      <c r="B825" s="11"/>
      <c r="C825" s="11"/>
      <c r="D825" s="12"/>
      <c r="E825" s="11"/>
      <c r="F825" s="13"/>
      <c r="G825" s="13"/>
      <c r="H825" s="11"/>
      <c r="I825" s="12"/>
      <c r="J825" s="12"/>
      <c r="K825" s="13"/>
      <c r="L825" s="13"/>
      <c r="M825" s="13"/>
      <c r="N825" s="13"/>
      <c r="O825" s="13"/>
      <c r="P825" s="14" t="str">
        <f t="shared" si="48"/>
        <v/>
      </c>
      <c r="Q825" s="15" t="str">
        <f>IF(OR(J825="",H825=""),"",IFERROR(IF(ISNUMBER(N825),N825,IF(K825&lt;N(INDEX(Platforms!$G$5:$G$14,MATCH(H825,Lists!$A$2:$A$11,0))),N(INDEX(Platforms!$H$5:$H$14,MATCH(H825,Lists!$A$2:$A$11,0))),MAX(N(INDEX(Platforms!$F$5:$F$14,MATCH(H825,Lists!$A$2:$A$11,0))),N(INDEX(Platforms!$C$5:$C$14,MATCH(H825,Lists!$A$2:$A$11,0)))*(K825+IF(INDEX(Platforms!$E$5:$E$14,MATCH(H825,Lists!$A$2:$A$11,0))="Yes",N(L825),0))+N(INDEX(Platforms!$D$5:$D$14,MATCH(H825,Lists!$A$2:$A$11,0)))))),""))</f>
        <v/>
      </c>
      <c r="R825" s="16" t="str">
        <f t="shared" si="49"/>
        <v/>
      </c>
      <c r="S825" s="17" t="str">
        <f t="shared" si="50"/>
        <v/>
      </c>
      <c r="T825" s="18" t="str">
        <f t="shared" ca="1" si="51"/>
        <v/>
      </c>
    </row>
    <row r="826" spans="1:20" x14ac:dyDescent="0.35">
      <c r="A826" s="11"/>
      <c r="B826" s="11"/>
      <c r="C826" s="11"/>
      <c r="D826" s="12"/>
      <c r="E826" s="11"/>
      <c r="F826" s="13"/>
      <c r="G826" s="13"/>
      <c r="H826" s="11"/>
      <c r="I826" s="12"/>
      <c r="J826" s="12"/>
      <c r="K826" s="13"/>
      <c r="L826" s="13"/>
      <c r="M826" s="13"/>
      <c r="N826" s="13"/>
      <c r="O826" s="13"/>
      <c r="P826" s="14" t="str">
        <f t="shared" si="48"/>
        <v/>
      </c>
      <c r="Q826" s="15" t="str">
        <f>IF(OR(J826="",H826=""),"",IFERROR(IF(ISNUMBER(N826),N826,IF(K826&lt;N(INDEX(Platforms!$G$5:$G$14,MATCH(H826,Lists!$A$2:$A$11,0))),N(INDEX(Platforms!$H$5:$H$14,MATCH(H826,Lists!$A$2:$A$11,0))),MAX(N(INDEX(Platforms!$F$5:$F$14,MATCH(H826,Lists!$A$2:$A$11,0))),N(INDEX(Platforms!$C$5:$C$14,MATCH(H826,Lists!$A$2:$A$11,0)))*(K826+IF(INDEX(Platforms!$E$5:$E$14,MATCH(H826,Lists!$A$2:$A$11,0))="Yes",N(L826),0))+N(INDEX(Platforms!$D$5:$D$14,MATCH(H826,Lists!$A$2:$A$11,0)))))),""))</f>
        <v/>
      </c>
      <c r="R826" s="16" t="str">
        <f t="shared" si="49"/>
        <v/>
      </c>
      <c r="S826" s="17" t="str">
        <f t="shared" si="50"/>
        <v/>
      </c>
      <c r="T826" s="18" t="str">
        <f t="shared" ca="1" si="51"/>
        <v/>
      </c>
    </row>
    <row r="827" spans="1:20" x14ac:dyDescent="0.35">
      <c r="A827" s="11"/>
      <c r="B827" s="11"/>
      <c r="C827" s="11"/>
      <c r="D827" s="12"/>
      <c r="E827" s="11"/>
      <c r="F827" s="13"/>
      <c r="G827" s="13"/>
      <c r="H827" s="11"/>
      <c r="I827" s="12"/>
      <c r="J827" s="12"/>
      <c r="K827" s="13"/>
      <c r="L827" s="13"/>
      <c r="M827" s="13"/>
      <c r="N827" s="13"/>
      <c r="O827" s="13"/>
      <c r="P827" s="14" t="str">
        <f t="shared" si="48"/>
        <v/>
      </c>
      <c r="Q827" s="15" t="str">
        <f>IF(OR(J827="",H827=""),"",IFERROR(IF(ISNUMBER(N827),N827,IF(K827&lt;N(INDEX(Platforms!$G$5:$G$14,MATCH(H827,Lists!$A$2:$A$11,0))),N(INDEX(Platforms!$H$5:$H$14,MATCH(H827,Lists!$A$2:$A$11,0))),MAX(N(INDEX(Platforms!$F$5:$F$14,MATCH(H827,Lists!$A$2:$A$11,0))),N(INDEX(Platforms!$C$5:$C$14,MATCH(H827,Lists!$A$2:$A$11,0)))*(K827+IF(INDEX(Platforms!$E$5:$E$14,MATCH(H827,Lists!$A$2:$A$11,0))="Yes",N(L827),0))+N(INDEX(Platforms!$D$5:$D$14,MATCH(H827,Lists!$A$2:$A$11,0)))))),""))</f>
        <v/>
      </c>
      <c r="R827" s="16" t="str">
        <f t="shared" si="49"/>
        <v/>
      </c>
      <c r="S827" s="17" t="str">
        <f t="shared" si="50"/>
        <v/>
      </c>
      <c r="T827" s="18" t="str">
        <f t="shared" ca="1" si="51"/>
        <v/>
      </c>
    </row>
    <row r="828" spans="1:20" x14ac:dyDescent="0.35">
      <c r="A828" s="11"/>
      <c r="B828" s="11"/>
      <c r="C828" s="11"/>
      <c r="D828" s="12"/>
      <c r="E828" s="11"/>
      <c r="F828" s="13"/>
      <c r="G828" s="13"/>
      <c r="H828" s="11"/>
      <c r="I828" s="12"/>
      <c r="J828" s="12"/>
      <c r="K828" s="13"/>
      <c r="L828" s="13"/>
      <c r="M828" s="13"/>
      <c r="N828" s="13"/>
      <c r="O828" s="13"/>
      <c r="P828" s="14" t="str">
        <f t="shared" si="48"/>
        <v/>
      </c>
      <c r="Q828" s="15" t="str">
        <f>IF(OR(J828="",H828=""),"",IFERROR(IF(ISNUMBER(N828),N828,IF(K828&lt;N(INDEX(Platforms!$G$5:$G$14,MATCH(H828,Lists!$A$2:$A$11,0))),N(INDEX(Platforms!$H$5:$H$14,MATCH(H828,Lists!$A$2:$A$11,0))),MAX(N(INDEX(Platforms!$F$5:$F$14,MATCH(H828,Lists!$A$2:$A$11,0))),N(INDEX(Platforms!$C$5:$C$14,MATCH(H828,Lists!$A$2:$A$11,0)))*(K828+IF(INDEX(Platforms!$E$5:$E$14,MATCH(H828,Lists!$A$2:$A$11,0))="Yes",N(L828),0))+N(INDEX(Platforms!$D$5:$D$14,MATCH(H828,Lists!$A$2:$A$11,0)))))),""))</f>
        <v/>
      </c>
      <c r="R828" s="16" t="str">
        <f t="shared" si="49"/>
        <v/>
      </c>
      <c r="S828" s="17" t="str">
        <f t="shared" si="50"/>
        <v/>
      </c>
      <c r="T828" s="18" t="str">
        <f t="shared" ca="1" si="51"/>
        <v/>
      </c>
    </row>
    <row r="829" spans="1:20" x14ac:dyDescent="0.35">
      <c r="A829" s="11"/>
      <c r="B829" s="11"/>
      <c r="C829" s="11"/>
      <c r="D829" s="12"/>
      <c r="E829" s="11"/>
      <c r="F829" s="13"/>
      <c r="G829" s="13"/>
      <c r="H829" s="11"/>
      <c r="I829" s="12"/>
      <c r="J829" s="12"/>
      <c r="K829" s="13"/>
      <c r="L829" s="13"/>
      <c r="M829" s="13"/>
      <c r="N829" s="13"/>
      <c r="O829" s="13"/>
      <c r="P829" s="14" t="str">
        <f t="shared" si="48"/>
        <v/>
      </c>
      <c r="Q829" s="15" t="str">
        <f>IF(OR(J829="",H829=""),"",IFERROR(IF(ISNUMBER(N829),N829,IF(K829&lt;N(INDEX(Platforms!$G$5:$G$14,MATCH(H829,Lists!$A$2:$A$11,0))),N(INDEX(Platforms!$H$5:$H$14,MATCH(H829,Lists!$A$2:$A$11,0))),MAX(N(INDEX(Platforms!$F$5:$F$14,MATCH(H829,Lists!$A$2:$A$11,0))),N(INDEX(Platforms!$C$5:$C$14,MATCH(H829,Lists!$A$2:$A$11,0)))*(K829+IF(INDEX(Platforms!$E$5:$E$14,MATCH(H829,Lists!$A$2:$A$11,0))="Yes",N(L829),0))+N(INDEX(Platforms!$D$5:$D$14,MATCH(H829,Lists!$A$2:$A$11,0)))))),""))</f>
        <v/>
      </c>
      <c r="R829" s="16" t="str">
        <f t="shared" si="49"/>
        <v/>
      </c>
      <c r="S829" s="17" t="str">
        <f t="shared" si="50"/>
        <v/>
      </c>
      <c r="T829" s="18" t="str">
        <f t="shared" ca="1" si="51"/>
        <v/>
      </c>
    </row>
    <row r="830" spans="1:20" x14ac:dyDescent="0.35">
      <c r="A830" s="11"/>
      <c r="B830" s="11"/>
      <c r="C830" s="11"/>
      <c r="D830" s="12"/>
      <c r="E830" s="11"/>
      <c r="F830" s="13"/>
      <c r="G830" s="13"/>
      <c r="H830" s="11"/>
      <c r="I830" s="12"/>
      <c r="J830" s="12"/>
      <c r="K830" s="13"/>
      <c r="L830" s="13"/>
      <c r="M830" s="13"/>
      <c r="N830" s="13"/>
      <c r="O830" s="13"/>
      <c r="P830" s="14" t="str">
        <f t="shared" si="48"/>
        <v/>
      </c>
      <c r="Q830" s="15" t="str">
        <f>IF(OR(J830="",H830=""),"",IFERROR(IF(ISNUMBER(N830),N830,IF(K830&lt;N(INDEX(Platforms!$G$5:$G$14,MATCH(H830,Lists!$A$2:$A$11,0))),N(INDEX(Platforms!$H$5:$H$14,MATCH(H830,Lists!$A$2:$A$11,0))),MAX(N(INDEX(Platforms!$F$5:$F$14,MATCH(H830,Lists!$A$2:$A$11,0))),N(INDEX(Platforms!$C$5:$C$14,MATCH(H830,Lists!$A$2:$A$11,0)))*(K830+IF(INDEX(Platforms!$E$5:$E$14,MATCH(H830,Lists!$A$2:$A$11,0))="Yes",N(L830),0))+N(INDEX(Platforms!$D$5:$D$14,MATCH(H830,Lists!$A$2:$A$11,0)))))),""))</f>
        <v/>
      </c>
      <c r="R830" s="16" t="str">
        <f t="shared" si="49"/>
        <v/>
      </c>
      <c r="S830" s="17" t="str">
        <f t="shared" si="50"/>
        <v/>
      </c>
      <c r="T830" s="18" t="str">
        <f t="shared" ca="1" si="51"/>
        <v/>
      </c>
    </row>
    <row r="831" spans="1:20" x14ac:dyDescent="0.35">
      <c r="A831" s="11"/>
      <c r="B831" s="11"/>
      <c r="C831" s="11"/>
      <c r="D831" s="12"/>
      <c r="E831" s="11"/>
      <c r="F831" s="13"/>
      <c r="G831" s="13"/>
      <c r="H831" s="11"/>
      <c r="I831" s="12"/>
      <c r="J831" s="12"/>
      <c r="K831" s="13"/>
      <c r="L831" s="13"/>
      <c r="M831" s="13"/>
      <c r="N831" s="13"/>
      <c r="O831" s="13"/>
      <c r="P831" s="14" t="str">
        <f t="shared" si="48"/>
        <v/>
      </c>
      <c r="Q831" s="15" t="str">
        <f>IF(OR(J831="",H831=""),"",IFERROR(IF(ISNUMBER(N831),N831,IF(K831&lt;N(INDEX(Platforms!$G$5:$G$14,MATCH(H831,Lists!$A$2:$A$11,0))),N(INDEX(Platforms!$H$5:$H$14,MATCH(H831,Lists!$A$2:$A$11,0))),MAX(N(INDEX(Platforms!$F$5:$F$14,MATCH(H831,Lists!$A$2:$A$11,0))),N(INDEX(Platforms!$C$5:$C$14,MATCH(H831,Lists!$A$2:$A$11,0)))*(K831+IF(INDEX(Platforms!$E$5:$E$14,MATCH(H831,Lists!$A$2:$A$11,0))="Yes",N(L831),0))+N(INDEX(Platforms!$D$5:$D$14,MATCH(H831,Lists!$A$2:$A$11,0)))))),""))</f>
        <v/>
      </c>
      <c r="R831" s="16" t="str">
        <f t="shared" si="49"/>
        <v/>
      </c>
      <c r="S831" s="17" t="str">
        <f t="shared" si="50"/>
        <v/>
      </c>
      <c r="T831" s="18" t="str">
        <f t="shared" ca="1" si="51"/>
        <v/>
      </c>
    </row>
    <row r="832" spans="1:20" x14ac:dyDescent="0.35">
      <c r="A832" s="11"/>
      <c r="B832" s="11"/>
      <c r="C832" s="11"/>
      <c r="D832" s="12"/>
      <c r="E832" s="11"/>
      <c r="F832" s="13"/>
      <c r="G832" s="13"/>
      <c r="H832" s="11"/>
      <c r="I832" s="12"/>
      <c r="J832" s="12"/>
      <c r="K832" s="13"/>
      <c r="L832" s="13"/>
      <c r="M832" s="13"/>
      <c r="N832" s="13"/>
      <c r="O832" s="13"/>
      <c r="P832" s="14" t="str">
        <f t="shared" si="48"/>
        <v/>
      </c>
      <c r="Q832" s="15" t="str">
        <f>IF(OR(J832="",H832=""),"",IFERROR(IF(ISNUMBER(N832),N832,IF(K832&lt;N(INDEX(Platforms!$G$5:$G$14,MATCH(H832,Lists!$A$2:$A$11,0))),N(INDEX(Platforms!$H$5:$H$14,MATCH(H832,Lists!$A$2:$A$11,0))),MAX(N(INDEX(Platforms!$F$5:$F$14,MATCH(H832,Lists!$A$2:$A$11,0))),N(INDEX(Platforms!$C$5:$C$14,MATCH(H832,Lists!$A$2:$A$11,0)))*(K832+IF(INDEX(Platforms!$E$5:$E$14,MATCH(H832,Lists!$A$2:$A$11,0))="Yes",N(L832),0))+N(INDEX(Platforms!$D$5:$D$14,MATCH(H832,Lists!$A$2:$A$11,0)))))),""))</f>
        <v/>
      </c>
      <c r="R832" s="16" t="str">
        <f t="shared" si="49"/>
        <v/>
      </c>
      <c r="S832" s="17" t="str">
        <f t="shared" si="50"/>
        <v/>
      </c>
      <c r="T832" s="18" t="str">
        <f t="shared" ca="1" si="51"/>
        <v/>
      </c>
    </row>
    <row r="833" spans="1:20" x14ac:dyDescent="0.35">
      <c r="A833" s="11"/>
      <c r="B833" s="11"/>
      <c r="C833" s="11"/>
      <c r="D833" s="12"/>
      <c r="E833" s="11"/>
      <c r="F833" s="13"/>
      <c r="G833" s="13"/>
      <c r="H833" s="11"/>
      <c r="I833" s="12"/>
      <c r="J833" s="12"/>
      <c r="K833" s="13"/>
      <c r="L833" s="13"/>
      <c r="M833" s="13"/>
      <c r="N833" s="13"/>
      <c r="O833" s="13"/>
      <c r="P833" s="14" t="str">
        <f t="shared" si="48"/>
        <v/>
      </c>
      <c r="Q833" s="15" t="str">
        <f>IF(OR(J833="",H833=""),"",IFERROR(IF(ISNUMBER(N833),N833,IF(K833&lt;N(INDEX(Platforms!$G$5:$G$14,MATCH(H833,Lists!$A$2:$A$11,0))),N(INDEX(Platforms!$H$5:$H$14,MATCH(H833,Lists!$A$2:$A$11,0))),MAX(N(INDEX(Platforms!$F$5:$F$14,MATCH(H833,Lists!$A$2:$A$11,0))),N(INDEX(Platforms!$C$5:$C$14,MATCH(H833,Lists!$A$2:$A$11,0)))*(K833+IF(INDEX(Platforms!$E$5:$E$14,MATCH(H833,Lists!$A$2:$A$11,0))="Yes",N(L833),0))+N(INDEX(Platforms!$D$5:$D$14,MATCH(H833,Lists!$A$2:$A$11,0)))))),""))</f>
        <v/>
      </c>
      <c r="R833" s="16" t="str">
        <f t="shared" si="49"/>
        <v/>
      </c>
      <c r="S833" s="17" t="str">
        <f t="shared" si="50"/>
        <v/>
      </c>
      <c r="T833" s="18" t="str">
        <f t="shared" ca="1" si="51"/>
        <v/>
      </c>
    </row>
    <row r="834" spans="1:20" x14ac:dyDescent="0.35">
      <c r="A834" s="11"/>
      <c r="B834" s="11"/>
      <c r="C834" s="11"/>
      <c r="D834" s="12"/>
      <c r="E834" s="11"/>
      <c r="F834" s="13"/>
      <c r="G834" s="13"/>
      <c r="H834" s="11"/>
      <c r="I834" s="12"/>
      <c r="J834" s="12"/>
      <c r="K834" s="13"/>
      <c r="L834" s="13"/>
      <c r="M834" s="13"/>
      <c r="N834" s="13"/>
      <c r="O834" s="13"/>
      <c r="P834" s="14" t="str">
        <f t="shared" si="48"/>
        <v/>
      </c>
      <c r="Q834" s="15" t="str">
        <f>IF(OR(J834="",H834=""),"",IFERROR(IF(ISNUMBER(N834),N834,IF(K834&lt;N(INDEX(Platforms!$G$5:$G$14,MATCH(H834,Lists!$A$2:$A$11,0))),N(INDEX(Platforms!$H$5:$H$14,MATCH(H834,Lists!$A$2:$A$11,0))),MAX(N(INDEX(Platforms!$F$5:$F$14,MATCH(H834,Lists!$A$2:$A$11,0))),N(INDEX(Platforms!$C$5:$C$14,MATCH(H834,Lists!$A$2:$A$11,0)))*(K834+IF(INDEX(Platforms!$E$5:$E$14,MATCH(H834,Lists!$A$2:$A$11,0))="Yes",N(L834),0))+N(INDEX(Platforms!$D$5:$D$14,MATCH(H834,Lists!$A$2:$A$11,0)))))),""))</f>
        <v/>
      </c>
      <c r="R834" s="16" t="str">
        <f t="shared" si="49"/>
        <v/>
      </c>
      <c r="S834" s="17" t="str">
        <f t="shared" si="50"/>
        <v/>
      </c>
      <c r="T834" s="18" t="str">
        <f t="shared" ca="1" si="51"/>
        <v/>
      </c>
    </row>
    <row r="835" spans="1:20" x14ac:dyDescent="0.35">
      <c r="A835" s="11"/>
      <c r="B835" s="11"/>
      <c r="C835" s="11"/>
      <c r="D835" s="12"/>
      <c r="E835" s="11"/>
      <c r="F835" s="13"/>
      <c r="G835" s="13"/>
      <c r="H835" s="11"/>
      <c r="I835" s="12"/>
      <c r="J835" s="12"/>
      <c r="K835" s="13"/>
      <c r="L835" s="13"/>
      <c r="M835" s="13"/>
      <c r="N835" s="13"/>
      <c r="O835" s="13"/>
      <c r="P835" s="14" t="str">
        <f t="shared" si="48"/>
        <v/>
      </c>
      <c r="Q835" s="15" t="str">
        <f>IF(OR(J835="",H835=""),"",IFERROR(IF(ISNUMBER(N835),N835,IF(K835&lt;N(INDEX(Platforms!$G$5:$G$14,MATCH(H835,Lists!$A$2:$A$11,0))),N(INDEX(Platforms!$H$5:$H$14,MATCH(H835,Lists!$A$2:$A$11,0))),MAX(N(INDEX(Platforms!$F$5:$F$14,MATCH(H835,Lists!$A$2:$A$11,0))),N(INDEX(Platforms!$C$5:$C$14,MATCH(H835,Lists!$A$2:$A$11,0)))*(K835+IF(INDEX(Platforms!$E$5:$E$14,MATCH(H835,Lists!$A$2:$A$11,0))="Yes",N(L835),0))+N(INDEX(Platforms!$D$5:$D$14,MATCH(H835,Lists!$A$2:$A$11,0)))))),""))</f>
        <v/>
      </c>
      <c r="R835" s="16" t="str">
        <f t="shared" si="49"/>
        <v/>
      </c>
      <c r="S835" s="17" t="str">
        <f t="shared" si="50"/>
        <v/>
      </c>
      <c r="T835" s="18" t="str">
        <f t="shared" ca="1" si="51"/>
        <v/>
      </c>
    </row>
    <row r="836" spans="1:20" x14ac:dyDescent="0.35">
      <c r="A836" s="11"/>
      <c r="B836" s="11"/>
      <c r="C836" s="11"/>
      <c r="D836" s="12"/>
      <c r="E836" s="11"/>
      <c r="F836" s="13"/>
      <c r="G836" s="13"/>
      <c r="H836" s="11"/>
      <c r="I836" s="12"/>
      <c r="J836" s="12"/>
      <c r="K836" s="13"/>
      <c r="L836" s="13"/>
      <c r="M836" s="13"/>
      <c r="N836" s="13"/>
      <c r="O836" s="13"/>
      <c r="P836" s="14" t="str">
        <f t="shared" si="48"/>
        <v/>
      </c>
      <c r="Q836" s="15" t="str">
        <f>IF(OR(J836="",H836=""),"",IFERROR(IF(ISNUMBER(N836),N836,IF(K836&lt;N(INDEX(Platforms!$G$5:$G$14,MATCH(H836,Lists!$A$2:$A$11,0))),N(INDEX(Platforms!$H$5:$H$14,MATCH(H836,Lists!$A$2:$A$11,0))),MAX(N(INDEX(Platforms!$F$5:$F$14,MATCH(H836,Lists!$A$2:$A$11,0))),N(INDEX(Platforms!$C$5:$C$14,MATCH(H836,Lists!$A$2:$A$11,0)))*(K836+IF(INDEX(Platforms!$E$5:$E$14,MATCH(H836,Lists!$A$2:$A$11,0))="Yes",N(L836),0))+N(INDEX(Platforms!$D$5:$D$14,MATCH(H836,Lists!$A$2:$A$11,0)))))),""))</f>
        <v/>
      </c>
      <c r="R836" s="16" t="str">
        <f t="shared" si="49"/>
        <v/>
      </c>
      <c r="S836" s="17" t="str">
        <f t="shared" si="50"/>
        <v/>
      </c>
      <c r="T836" s="18" t="str">
        <f t="shared" ca="1" si="51"/>
        <v/>
      </c>
    </row>
    <row r="837" spans="1:20" x14ac:dyDescent="0.35">
      <c r="A837" s="11"/>
      <c r="B837" s="11"/>
      <c r="C837" s="11"/>
      <c r="D837" s="12"/>
      <c r="E837" s="11"/>
      <c r="F837" s="13"/>
      <c r="G837" s="13"/>
      <c r="H837" s="11"/>
      <c r="I837" s="12"/>
      <c r="J837" s="12"/>
      <c r="K837" s="13"/>
      <c r="L837" s="13"/>
      <c r="M837" s="13"/>
      <c r="N837" s="13"/>
      <c r="O837" s="13"/>
      <c r="P837" s="14" t="str">
        <f t="shared" ref="P837:P900" si="52">IF(OR(B837&lt;&gt;"",F837&lt;&gt;"",H837&lt;&gt;"",J837&lt;&gt;"",K837&lt;&gt;""),IF(J837&lt;&gt;"","Sold",IF(I837&lt;&gt;"","Listed","In stock")),"")</f>
        <v/>
      </c>
      <c r="Q837" s="15" t="str">
        <f>IF(OR(J837="",H837=""),"",IFERROR(IF(ISNUMBER(N837),N837,IF(K837&lt;N(INDEX(Platforms!$G$5:$G$14,MATCH(H837,Lists!$A$2:$A$11,0))),N(INDEX(Platforms!$H$5:$H$14,MATCH(H837,Lists!$A$2:$A$11,0))),MAX(N(INDEX(Platforms!$F$5:$F$14,MATCH(H837,Lists!$A$2:$A$11,0))),N(INDEX(Platforms!$C$5:$C$14,MATCH(H837,Lists!$A$2:$A$11,0)))*(K837+IF(INDEX(Platforms!$E$5:$E$14,MATCH(H837,Lists!$A$2:$A$11,0))="Yes",N(L837),0))+N(INDEX(Platforms!$D$5:$D$14,MATCH(H837,Lists!$A$2:$A$11,0)))))),""))</f>
        <v/>
      </c>
      <c r="R837" s="16" t="str">
        <f t="shared" ref="R837:R900" si="53">IF(J837="","",IFERROR(K837+N(L837)-N(O837)-Q837-N(M837)-N(F837)-N(G837),""))</f>
        <v/>
      </c>
      <c r="S837" s="17" t="str">
        <f t="shared" ref="S837:S900" si="54">IF(OR(R837="",N(F837)+N(G837)=0),"",R837/(N(F837)+N(G837)))</f>
        <v/>
      </c>
      <c r="T837" s="18" t="str">
        <f t="shared" ref="T837:T900" ca="1" si="55">IFERROR(IF(ISNUMBER(D837),IF(ISNUMBER(J837),J837,IF(J837="",TODAY(),""))-D837,""),"")</f>
        <v/>
      </c>
    </row>
    <row r="838" spans="1:20" x14ac:dyDescent="0.35">
      <c r="A838" s="11"/>
      <c r="B838" s="11"/>
      <c r="C838" s="11"/>
      <c r="D838" s="12"/>
      <c r="E838" s="11"/>
      <c r="F838" s="13"/>
      <c r="G838" s="13"/>
      <c r="H838" s="11"/>
      <c r="I838" s="12"/>
      <c r="J838" s="12"/>
      <c r="K838" s="13"/>
      <c r="L838" s="13"/>
      <c r="M838" s="13"/>
      <c r="N838" s="13"/>
      <c r="O838" s="13"/>
      <c r="P838" s="14" t="str">
        <f t="shared" si="52"/>
        <v/>
      </c>
      <c r="Q838" s="15" t="str">
        <f>IF(OR(J838="",H838=""),"",IFERROR(IF(ISNUMBER(N838),N838,IF(K838&lt;N(INDEX(Platforms!$G$5:$G$14,MATCH(H838,Lists!$A$2:$A$11,0))),N(INDEX(Platforms!$H$5:$H$14,MATCH(H838,Lists!$A$2:$A$11,0))),MAX(N(INDEX(Platforms!$F$5:$F$14,MATCH(H838,Lists!$A$2:$A$11,0))),N(INDEX(Platforms!$C$5:$C$14,MATCH(H838,Lists!$A$2:$A$11,0)))*(K838+IF(INDEX(Platforms!$E$5:$E$14,MATCH(H838,Lists!$A$2:$A$11,0))="Yes",N(L838),0))+N(INDEX(Platforms!$D$5:$D$14,MATCH(H838,Lists!$A$2:$A$11,0)))))),""))</f>
        <v/>
      </c>
      <c r="R838" s="16" t="str">
        <f t="shared" si="53"/>
        <v/>
      </c>
      <c r="S838" s="17" t="str">
        <f t="shared" si="54"/>
        <v/>
      </c>
      <c r="T838" s="18" t="str">
        <f t="shared" ca="1" si="55"/>
        <v/>
      </c>
    </row>
    <row r="839" spans="1:20" x14ac:dyDescent="0.35">
      <c r="A839" s="11"/>
      <c r="B839" s="11"/>
      <c r="C839" s="11"/>
      <c r="D839" s="12"/>
      <c r="E839" s="11"/>
      <c r="F839" s="13"/>
      <c r="G839" s="13"/>
      <c r="H839" s="11"/>
      <c r="I839" s="12"/>
      <c r="J839" s="12"/>
      <c r="K839" s="13"/>
      <c r="L839" s="13"/>
      <c r="M839" s="13"/>
      <c r="N839" s="13"/>
      <c r="O839" s="13"/>
      <c r="P839" s="14" t="str">
        <f t="shared" si="52"/>
        <v/>
      </c>
      <c r="Q839" s="15" t="str">
        <f>IF(OR(J839="",H839=""),"",IFERROR(IF(ISNUMBER(N839),N839,IF(K839&lt;N(INDEX(Platforms!$G$5:$G$14,MATCH(H839,Lists!$A$2:$A$11,0))),N(INDEX(Platforms!$H$5:$H$14,MATCH(H839,Lists!$A$2:$A$11,0))),MAX(N(INDEX(Platforms!$F$5:$F$14,MATCH(H839,Lists!$A$2:$A$11,0))),N(INDEX(Platforms!$C$5:$C$14,MATCH(H839,Lists!$A$2:$A$11,0)))*(K839+IF(INDEX(Platforms!$E$5:$E$14,MATCH(H839,Lists!$A$2:$A$11,0))="Yes",N(L839),0))+N(INDEX(Platforms!$D$5:$D$14,MATCH(H839,Lists!$A$2:$A$11,0)))))),""))</f>
        <v/>
      </c>
      <c r="R839" s="16" t="str">
        <f t="shared" si="53"/>
        <v/>
      </c>
      <c r="S839" s="17" t="str">
        <f t="shared" si="54"/>
        <v/>
      </c>
      <c r="T839" s="18" t="str">
        <f t="shared" ca="1" si="55"/>
        <v/>
      </c>
    </row>
    <row r="840" spans="1:20" x14ac:dyDescent="0.35">
      <c r="A840" s="11"/>
      <c r="B840" s="11"/>
      <c r="C840" s="11"/>
      <c r="D840" s="12"/>
      <c r="E840" s="11"/>
      <c r="F840" s="13"/>
      <c r="G840" s="13"/>
      <c r="H840" s="11"/>
      <c r="I840" s="12"/>
      <c r="J840" s="12"/>
      <c r="K840" s="13"/>
      <c r="L840" s="13"/>
      <c r="M840" s="13"/>
      <c r="N840" s="13"/>
      <c r="O840" s="13"/>
      <c r="P840" s="14" t="str">
        <f t="shared" si="52"/>
        <v/>
      </c>
      <c r="Q840" s="15" t="str">
        <f>IF(OR(J840="",H840=""),"",IFERROR(IF(ISNUMBER(N840),N840,IF(K840&lt;N(INDEX(Platforms!$G$5:$G$14,MATCH(H840,Lists!$A$2:$A$11,0))),N(INDEX(Platforms!$H$5:$H$14,MATCH(H840,Lists!$A$2:$A$11,0))),MAX(N(INDEX(Platforms!$F$5:$F$14,MATCH(H840,Lists!$A$2:$A$11,0))),N(INDEX(Platforms!$C$5:$C$14,MATCH(H840,Lists!$A$2:$A$11,0)))*(K840+IF(INDEX(Platforms!$E$5:$E$14,MATCH(H840,Lists!$A$2:$A$11,0))="Yes",N(L840),0))+N(INDEX(Platforms!$D$5:$D$14,MATCH(H840,Lists!$A$2:$A$11,0)))))),""))</f>
        <v/>
      </c>
      <c r="R840" s="16" t="str">
        <f t="shared" si="53"/>
        <v/>
      </c>
      <c r="S840" s="17" t="str">
        <f t="shared" si="54"/>
        <v/>
      </c>
      <c r="T840" s="18" t="str">
        <f t="shared" ca="1" si="55"/>
        <v/>
      </c>
    </row>
    <row r="841" spans="1:20" x14ac:dyDescent="0.35">
      <c r="A841" s="11"/>
      <c r="B841" s="11"/>
      <c r="C841" s="11"/>
      <c r="D841" s="12"/>
      <c r="E841" s="11"/>
      <c r="F841" s="13"/>
      <c r="G841" s="13"/>
      <c r="H841" s="11"/>
      <c r="I841" s="12"/>
      <c r="J841" s="12"/>
      <c r="K841" s="13"/>
      <c r="L841" s="13"/>
      <c r="M841" s="13"/>
      <c r="N841" s="13"/>
      <c r="O841" s="13"/>
      <c r="P841" s="14" t="str">
        <f t="shared" si="52"/>
        <v/>
      </c>
      <c r="Q841" s="15" t="str">
        <f>IF(OR(J841="",H841=""),"",IFERROR(IF(ISNUMBER(N841),N841,IF(K841&lt;N(INDEX(Platforms!$G$5:$G$14,MATCH(H841,Lists!$A$2:$A$11,0))),N(INDEX(Platforms!$H$5:$H$14,MATCH(H841,Lists!$A$2:$A$11,0))),MAX(N(INDEX(Platforms!$F$5:$F$14,MATCH(H841,Lists!$A$2:$A$11,0))),N(INDEX(Platforms!$C$5:$C$14,MATCH(H841,Lists!$A$2:$A$11,0)))*(K841+IF(INDEX(Platforms!$E$5:$E$14,MATCH(H841,Lists!$A$2:$A$11,0))="Yes",N(L841),0))+N(INDEX(Platforms!$D$5:$D$14,MATCH(H841,Lists!$A$2:$A$11,0)))))),""))</f>
        <v/>
      </c>
      <c r="R841" s="16" t="str">
        <f t="shared" si="53"/>
        <v/>
      </c>
      <c r="S841" s="17" t="str">
        <f t="shared" si="54"/>
        <v/>
      </c>
      <c r="T841" s="18" t="str">
        <f t="shared" ca="1" si="55"/>
        <v/>
      </c>
    </row>
    <row r="842" spans="1:20" x14ac:dyDescent="0.35">
      <c r="A842" s="11"/>
      <c r="B842" s="11"/>
      <c r="C842" s="11"/>
      <c r="D842" s="12"/>
      <c r="E842" s="11"/>
      <c r="F842" s="13"/>
      <c r="G842" s="13"/>
      <c r="H842" s="11"/>
      <c r="I842" s="12"/>
      <c r="J842" s="12"/>
      <c r="K842" s="13"/>
      <c r="L842" s="13"/>
      <c r="M842" s="13"/>
      <c r="N842" s="13"/>
      <c r="O842" s="13"/>
      <c r="P842" s="14" t="str">
        <f t="shared" si="52"/>
        <v/>
      </c>
      <c r="Q842" s="15" t="str">
        <f>IF(OR(J842="",H842=""),"",IFERROR(IF(ISNUMBER(N842),N842,IF(K842&lt;N(INDEX(Platforms!$G$5:$G$14,MATCH(H842,Lists!$A$2:$A$11,0))),N(INDEX(Platforms!$H$5:$H$14,MATCH(H842,Lists!$A$2:$A$11,0))),MAX(N(INDEX(Platforms!$F$5:$F$14,MATCH(H842,Lists!$A$2:$A$11,0))),N(INDEX(Platforms!$C$5:$C$14,MATCH(H842,Lists!$A$2:$A$11,0)))*(K842+IF(INDEX(Platforms!$E$5:$E$14,MATCH(H842,Lists!$A$2:$A$11,0))="Yes",N(L842),0))+N(INDEX(Platforms!$D$5:$D$14,MATCH(H842,Lists!$A$2:$A$11,0)))))),""))</f>
        <v/>
      </c>
      <c r="R842" s="16" t="str">
        <f t="shared" si="53"/>
        <v/>
      </c>
      <c r="S842" s="17" t="str">
        <f t="shared" si="54"/>
        <v/>
      </c>
      <c r="T842" s="18" t="str">
        <f t="shared" ca="1" si="55"/>
        <v/>
      </c>
    </row>
    <row r="843" spans="1:20" x14ac:dyDescent="0.35">
      <c r="A843" s="11"/>
      <c r="B843" s="11"/>
      <c r="C843" s="11"/>
      <c r="D843" s="12"/>
      <c r="E843" s="11"/>
      <c r="F843" s="13"/>
      <c r="G843" s="13"/>
      <c r="H843" s="11"/>
      <c r="I843" s="12"/>
      <c r="J843" s="12"/>
      <c r="K843" s="13"/>
      <c r="L843" s="13"/>
      <c r="M843" s="13"/>
      <c r="N843" s="13"/>
      <c r="O843" s="13"/>
      <c r="P843" s="14" t="str">
        <f t="shared" si="52"/>
        <v/>
      </c>
      <c r="Q843" s="15" t="str">
        <f>IF(OR(J843="",H843=""),"",IFERROR(IF(ISNUMBER(N843),N843,IF(K843&lt;N(INDEX(Platforms!$G$5:$G$14,MATCH(H843,Lists!$A$2:$A$11,0))),N(INDEX(Platforms!$H$5:$H$14,MATCH(H843,Lists!$A$2:$A$11,0))),MAX(N(INDEX(Platforms!$F$5:$F$14,MATCH(H843,Lists!$A$2:$A$11,0))),N(INDEX(Platforms!$C$5:$C$14,MATCH(H843,Lists!$A$2:$A$11,0)))*(K843+IF(INDEX(Platforms!$E$5:$E$14,MATCH(H843,Lists!$A$2:$A$11,0))="Yes",N(L843),0))+N(INDEX(Platforms!$D$5:$D$14,MATCH(H843,Lists!$A$2:$A$11,0)))))),""))</f>
        <v/>
      </c>
      <c r="R843" s="16" t="str">
        <f t="shared" si="53"/>
        <v/>
      </c>
      <c r="S843" s="17" t="str">
        <f t="shared" si="54"/>
        <v/>
      </c>
      <c r="T843" s="18" t="str">
        <f t="shared" ca="1" si="55"/>
        <v/>
      </c>
    </row>
    <row r="844" spans="1:20" x14ac:dyDescent="0.35">
      <c r="A844" s="11"/>
      <c r="B844" s="11"/>
      <c r="C844" s="11"/>
      <c r="D844" s="12"/>
      <c r="E844" s="11"/>
      <c r="F844" s="13"/>
      <c r="G844" s="13"/>
      <c r="H844" s="11"/>
      <c r="I844" s="12"/>
      <c r="J844" s="12"/>
      <c r="K844" s="13"/>
      <c r="L844" s="13"/>
      <c r="M844" s="13"/>
      <c r="N844" s="13"/>
      <c r="O844" s="13"/>
      <c r="P844" s="14" t="str">
        <f t="shared" si="52"/>
        <v/>
      </c>
      <c r="Q844" s="15" t="str">
        <f>IF(OR(J844="",H844=""),"",IFERROR(IF(ISNUMBER(N844),N844,IF(K844&lt;N(INDEX(Platforms!$G$5:$G$14,MATCH(H844,Lists!$A$2:$A$11,0))),N(INDEX(Platforms!$H$5:$H$14,MATCH(H844,Lists!$A$2:$A$11,0))),MAX(N(INDEX(Platforms!$F$5:$F$14,MATCH(H844,Lists!$A$2:$A$11,0))),N(INDEX(Platforms!$C$5:$C$14,MATCH(H844,Lists!$A$2:$A$11,0)))*(K844+IF(INDEX(Platforms!$E$5:$E$14,MATCH(H844,Lists!$A$2:$A$11,0))="Yes",N(L844),0))+N(INDEX(Platforms!$D$5:$D$14,MATCH(H844,Lists!$A$2:$A$11,0)))))),""))</f>
        <v/>
      </c>
      <c r="R844" s="16" t="str">
        <f t="shared" si="53"/>
        <v/>
      </c>
      <c r="S844" s="17" t="str">
        <f t="shared" si="54"/>
        <v/>
      </c>
      <c r="T844" s="18" t="str">
        <f t="shared" ca="1" si="55"/>
        <v/>
      </c>
    </row>
    <row r="845" spans="1:20" x14ac:dyDescent="0.35">
      <c r="A845" s="11"/>
      <c r="B845" s="11"/>
      <c r="C845" s="11"/>
      <c r="D845" s="12"/>
      <c r="E845" s="11"/>
      <c r="F845" s="13"/>
      <c r="G845" s="13"/>
      <c r="H845" s="11"/>
      <c r="I845" s="12"/>
      <c r="J845" s="12"/>
      <c r="K845" s="13"/>
      <c r="L845" s="13"/>
      <c r="M845" s="13"/>
      <c r="N845" s="13"/>
      <c r="O845" s="13"/>
      <c r="P845" s="14" t="str">
        <f t="shared" si="52"/>
        <v/>
      </c>
      <c r="Q845" s="15" t="str">
        <f>IF(OR(J845="",H845=""),"",IFERROR(IF(ISNUMBER(N845),N845,IF(K845&lt;N(INDEX(Platforms!$G$5:$G$14,MATCH(H845,Lists!$A$2:$A$11,0))),N(INDEX(Platforms!$H$5:$H$14,MATCH(H845,Lists!$A$2:$A$11,0))),MAX(N(INDEX(Platforms!$F$5:$F$14,MATCH(H845,Lists!$A$2:$A$11,0))),N(INDEX(Platforms!$C$5:$C$14,MATCH(H845,Lists!$A$2:$A$11,0)))*(K845+IF(INDEX(Platforms!$E$5:$E$14,MATCH(H845,Lists!$A$2:$A$11,0))="Yes",N(L845),0))+N(INDEX(Platforms!$D$5:$D$14,MATCH(H845,Lists!$A$2:$A$11,0)))))),""))</f>
        <v/>
      </c>
      <c r="R845" s="16" t="str">
        <f t="shared" si="53"/>
        <v/>
      </c>
      <c r="S845" s="17" t="str">
        <f t="shared" si="54"/>
        <v/>
      </c>
      <c r="T845" s="18" t="str">
        <f t="shared" ca="1" si="55"/>
        <v/>
      </c>
    </row>
    <row r="846" spans="1:20" x14ac:dyDescent="0.35">
      <c r="A846" s="11"/>
      <c r="B846" s="11"/>
      <c r="C846" s="11"/>
      <c r="D846" s="12"/>
      <c r="E846" s="11"/>
      <c r="F846" s="13"/>
      <c r="G846" s="13"/>
      <c r="H846" s="11"/>
      <c r="I846" s="12"/>
      <c r="J846" s="12"/>
      <c r="K846" s="13"/>
      <c r="L846" s="13"/>
      <c r="M846" s="13"/>
      <c r="N846" s="13"/>
      <c r="O846" s="13"/>
      <c r="P846" s="14" t="str">
        <f t="shared" si="52"/>
        <v/>
      </c>
      <c r="Q846" s="15" t="str">
        <f>IF(OR(J846="",H846=""),"",IFERROR(IF(ISNUMBER(N846),N846,IF(K846&lt;N(INDEX(Platforms!$G$5:$G$14,MATCH(H846,Lists!$A$2:$A$11,0))),N(INDEX(Platforms!$H$5:$H$14,MATCH(H846,Lists!$A$2:$A$11,0))),MAX(N(INDEX(Platforms!$F$5:$F$14,MATCH(H846,Lists!$A$2:$A$11,0))),N(INDEX(Platforms!$C$5:$C$14,MATCH(H846,Lists!$A$2:$A$11,0)))*(K846+IF(INDEX(Platforms!$E$5:$E$14,MATCH(H846,Lists!$A$2:$A$11,0))="Yes",N(L846),0))+N(INDEX(Platforms!$D$5:$D$14,MATCH(H846,Lists!$A$2:$A$11,0)))))),""))</f>
        <v/>
      </c>
      <c r="R846" s="16" t="str">
        <f t="shared" si="53"/>
        <v/>
      </c>
      <c r="S846" s="17" t="str">
        <f t="shared" si="54"/>
        <v/>
      </c>
      <c r="T846" s="18" t="str">
        <f t="shared" ca="1" si="55"/>
        <v/>
      </c>
    </row>
    <row r="847" spans="1:20" x14ac:dyDescent="0.35">
      <c r="A847" s="11"/>
      <c r="B847" s="11"/>
      <c r="C847" s="11"/>
      <c r="D847" s="12"/>
      <c r="E847" s="11"/>
      <c r="F847" s="13"/>
      <c r="G847" s="13"/>
      <c r="H847" s="11"/>
      <c r="I847" s="12"/>
      <c r="J847" s="12"/>
      <c r="K847" s="13"/>
      <c r="L847" s="13"/>
      <c r="M847" s="13"/>
      <c r="N847" s="13"/>
      <c r="O847" s="13"/>
      <c r="P847" s="14" t="str">
        <f t="shared" si="52"/>
        <v/>
      </c>
      <c r="Q847" s="15" t="str">
        <f>IF(OR(J847="",H847=""),"",IFERROR(IF(ISNUMBER(N847),N847,IF(K847&lt;N(INDEX(Platforms!$G$5:$G$14,MATCH(H847,Lists!$A$2:$A$11,0))),N(INDEX(Platforms!$H$5:$H$14,MATCH(H847,Lists!$A$2:$A$11,0))),MAX(N(INDEX(Platforms!$F$5:$F$14,MATCH(H847,Lists!$A$2:$A$11,0))),N(INDEX(Platforms!$C$5:$C$14,MATCH(H847,Lists!$A$2:$A$11,0)))*(K847+IF(INDEX(Platforms!$E$5:$E$14,MATCH(H847,Lists!$A$2:$A$11,0))="Yes",N(L847),0))+N(INDEX(Platforms!$D$5:$D$14,MATCH(H847,Lists!$A$2:$A$11,0)))))),""))</f>
        <v/>
      </c>
      <c r="R847" s="16" t="str">
        <f t="shared" si="53"/>
        <v/>
      </c>
      <c r="S847" s="17" t="str">
        <f t="shared" si="54"/>
        <v/>
      </c>
      <c r="T847" s="18" t="str">
        <f t="shared" ca="1" si="55"/>
        <v/>
      </c>
    </row>
    <row r="848" spans="1:20" x14ac:dyDescent="0.35">
      <c r="A848" s="11"/>
      <c r="B848" s="11"/>
      <c r="C848" s="11"/>
      <c r="D848" s="12"/>
      <c r="E848" s="11"/>
      <c r="F848" s="13"/>
      <c r="G848" s="13"/>
      <c r="H848" s="11"/>
      <c r="I848" s="12"/>
      <c r="J848" s="12"/>
      <c r="K848" s="13"/>
      <c r="L848" s="13"/>
      <c r="M848" s="13"/>
      <c r="N848" s="13"/>
      <c r="O848" s="13"/>
      <c r="P848" s="14" t="str">
        <f t="shared" si="52"/>
        <v/>
      </c>
      <c r="Q848" s="15" t="str">
        <f>IF(OR(J848="",H848=""),"",IFERROR(IF(ISNUMBER(N848),N848,IF(K848&lt;N(INDEX(Platforms!$G$5:$G$14,MATCH(H848,Lists!$A$2:$A$11,0))),N(INDEX(Platforms!$H$5:$H$14,MATCH(H848,Lists!$A$2:$A$11,0))),MAX(N(INDEX(Platforms!$F$5:$F$14,MATCH(H848,Lists!$A$2:$A$11,0))),N(INDEX(Platforms!$C$5:$C$14,MATCH(H848,Lists!$A$2:$A$11,0)))*(K848+IF(INDEX(Platforms!$E$5:$E$14,MATCH(H848,Lists!$A$2:$A$11,0))="Yes",N(L848),0))+N(INDEX(Platforms!$D$5:$D$14,MATCH(H848,Lists!$A$2:$A$11,0)))))),""))</f>
        <v/>
      </c>
      <c r="R848" s="16" t="str">
        <f t="shared" si="53"/>
        <v/>
      </c>
      <c r="S848" s="17" t="str">
        <f t="shared" si="54"/>
        <v/>
      </c>
      <c r="T848" s="18" t="str">
        <f t="shared" ca="1" si="55"/>
        <v/>
      </c>
    </row>
    <row r="849" spans="1:20" x14ac:dyDescent="0.35">
      <c r="A849" s="11"/>
      <c r="B849" s="11"/>
      <c r="C849" s="11"/>
      <c r="D849" s="12"/>
      <c r="E849" s="11"/>
      <c r="F849" s="13"/>
      <c r="G849" s="13"/>
      <c r="H849" s="11"/>
      <c r="I849" s="12"/>
      <c r="J849" s="12"/>
      <c r="K849" s="13"/>
      <c r="L849" s="13"/>
      <c r="M849" s="13"/>
      <c r="N849" s="13"/>
      <c r="O849" s="13"/>
      <c r="P849" s="14" t="str">
        <f t="shared" si="52"/>
        <v/>
      </c>
      <c r="Q849" s="15" t="str">
        <f>IF(OR(J849="",H849=""),"",IFERROR(IF(ISNUMBER(N849),N849,IF(K849&lt;N(INDEX(Platforms!$G$5:$G$14,MATCH(H849,Lists!$A$2:$A$11,0))),N(INDEX(Platforms!$H$5:$H$14,MATCH(H849,Lists!$A$2:$A$11,0))),MAX(N(INDEX(Platforms!$F$5:$F$14,MATCH(H849,Lists!$A$2:$A$11,0))),N(INDEX(Platforms!$C$5:$C$14,MATCH(H849,Lists!$A$2:$A$11,0)))*(K849+IF(INDEX(Platforms!$E$5:$E$14,MATCH(H849,Lists!$A$2:$A$11,0))="Yes",N(L849),0))+N(INDEX(Platforms!$D$5:$D$14,MATCH(H849,Lists!$A$2:$A$11,0)))))),""))</f>
        <v/>
      </c>
      <c r="R849" s="16" t="str">
        <f t="shared" si="53"/>
        <v/>
      </c>
      <c r="S849" s="17" t="str">
        <f t="shared" si="54"/>
        <v/>
      </c>
      <c r="T849" s="18" t="str">
        <f t="shared" ca="1" si="55"/>
        <v/>
      </c>
    </row>
    <row r="850" spans="1:20" x14ac:dyDescent="0.35">
      <c r="A850" s="11"/>
      <c r="B850" s="11"/>
      <c r="C850" s="11"/>
      <c r="D850" s="12"/>
      <c r="E850" s="11"/>
      <c r="F850" s="13"/>
      <c r="G850" s="13"/>
      <c r="H850" s="11"/>
      <c r="I850" s="12"/>
      <c r="J850" s="12"/>
      <c r="K850" s="13"/>
      <c r="L850" s="13"/>
      <c r="M850" s="13"/>
      <c r="N850" s="13"/>
      <c r="O850" s="13"/>
      <c r="P850" s="14" t="str">
        <f t="shared" si="52"/>
        <v/>
      </c>
      <c r="Q850" s="15" t="str">
        <f>IF(OR(J850="",H850=""),"",IFERROR(IF(ISNUMBER(N850),N850,IF(K850&lt;N(INDEX(Platforms!$G$5:$G$14,MATCH(H850,Lists!$A$2:$A$11,0))),N(INDEX(Platforms!$H$5:$H$14,MATCH(H850,Lists!$A$2:$A$11,0))),MAX(N(INDEX(Platforms!$F$5:$F$14,MATCH(H850,Lists!$A$2:$A$11,0))),N(INDEX(Platforms!$C$5:$C$14,MATCH(H850,Lists!$A$2:$A$11,0)))*(K850+IF(INDEX(Platforms!$E$5:$E$14,MATCH(H850,Lists!$A$2:$A$11,0))="Yes",N(L850),0))+N(INDEX(Platforms!$D$5:$D$14,MATCH(H850,Lists!$A$2:$A$11,0)))))),""))</f>
        <v/>
      </c>
      <c r="R850" s="16" t="str">
        <f t="shared" si="53"/>
        <v/>
      </c>
      <c r="S850" s="17" t="str">
        <f t="shared" si="54"/>
        <v/>
      </c>
      <c r="T850" s="18" t="str">
        <f t="shared" ca="1" si="55"/>
        <v/>
      </c>
    </row>
    <row r="851" spans="1:20" x14ac:dyDescent="0.35">
      <c r="A851" s="11"/>
      <c r="B851" s="11"/>
      <c r="C851" s="11"/>
      <c r="D851" s="12"/>
      <c r="E851" s="11"/>
      <c r="F851" s="13"/>
      <c r="G851" s="13"/>
      <c r="H851" s="11"/>
      <c r="I851" s="12"/>
      <c r="J851" s="12"/>
      <c r="K851" s="13"/>
      <c r="L851" s="13"/>
      <c r="M851" s="13"/>
      <c r="N851" s="13"/>
      <c r="O851" s="13"/>
      <c r="P851" s="14" t="str">
        <f t="shared" si="52"/>
        <v/>
      </c>
      <c r="Q851" s="15" t="str">
        <f>IF(OR(J851="",H851=""),"",IFERROR(IF(ISNUMBER(N851),N851,IF(K851&lt;N(INDEX(Platforms!$G$5:$G$14,MATCH(H851,Lists!$A$2:$A$11,0))),N(INDEX(Platforms!$H$5:$H$14,MATCH(H851,Lists!$A$2:$A$11,0))),MAX(N(INDEX(Platforms!$F$5:$F$14,MATCH(H851,Lists!$A$2:$A$11,0))),N(INDEX(Platforms!$C$5:$C$14,MATCH(H851,Lists!$A$2:$A$11,0)))*(K851+IF(INDEX(Platforms!$E$5:$E$14,MATCH(H851,Lists!$A$2:$A$11,0))="Yes",N(L851),0))+N(INDEX(Platforms!$D$5:$D$14,MATCH(H851,Lists!$A$2:$A$11,0)))))),""))</f>
        <v/>
      </c>
      <c r="R851" s="16" t="str">
        <f t="shared" si="53"/>
        <v/>
      </c>
      <c r="S851" s="17" t="str">
        <f t="shared" si="54"/>
        <v/>
      </c>
      <c r="T851" s="18" t="str">
        <f t="shared" ca="1" si="55"/>
        <v/>
      </c>
    </row>
    <row r="852" spans="1:20" x14ac:dyDescent="0.35">
      <c r="A852" s="11"/>
      <c r="B852" s="11"/>
      <c r="C852" s="11"/>
      <c r="D852" s="12"/>
      <c r="E852" s="11"/>
      <c r="F852" s="13"/>
      <c r="G852" s="13"/>
      <c r="H852" s="11"/>
      <c r="I852" s="12"/>
      <c r="J852" s="12"/>
      <c r="K852" s="13"/>
      <c r="L852" s="13"/>
      <c r="M852" s="13"/>
      <c r="N852" s="13"/>
      <c r="O852" s="13"/>
      <c r="P852" s="14" t="str">
        <f t="shared" si="52"/>
        <v/>
      </c>
      <c r="Q852" s="15" t="str">
        <f>IF(OR(J852="",H852=""),"",IFERROR(IF(ISNUMBER(N852),N852,IF(K852&lt;N(INDEX(Platforms!$G$5:$G$14,MATCH(H852,Lists!$A$2:$A$11,0))),N(INDEX(Platforms!$H$5:$H$14,MATCH(H852,Lists!$A$2:$A$11,0))),MAX(N(INDEX(Platforms!$F$5:$F$14,MATCH(H852,Lists!$A$2:$A$11,0))),N(INDEX(Platforms!$C$5:$C$14,MATCH(H852,Lists!$A$2:$A$11,0)))*(K852+IF(INDEX(Platforms!$E$5:$E$14,MATCH(H852,Lists!$A$2:$A$11,0))="Yes",N(L852),0))+N(INDEX(Platforms!$D$5:$D$14,MATCH(H852,Lists!$A$2:$A$11,0)))))),""))</f>
        <v/>
      </c>
      <c r="R852" s="16" t="str">
        <f t="shared" si="53"/>
        <v/>
      </c>
      <c r="S852" s="17" t="str">
        <f t="shared" si="54"/>
        <v/>
      </c>
      <c r="T852" s="18" t="str">
        <f t="shared" ca="1" si="55"/>
        <v/>
      </c>
    </row>
    <row r="853" spans="1:20" x14ac:dyDescent="0.35">
      <c r="A853" s="11"/>
      <c r="B853" s="11"/>
      <c r="C853" s="11"/>
      <c r="D853" s="12"/>
      <c r="E853" s="11"/>
      <c r="F853" s="13"/>
      <c r="G853" s="13"/>
      <c r="H853" s="11"/>
      <c r="I853" s="12"/>
      <c r="J853" s="12"/>
      <c r="K853" s="13"/>
      <c r="L853" s="13"/>
      <c r="M853" s="13"/>
      <c r="N853" s="13"/>
      <c r="O853" s="13"/>
      <c r="P853" s="14" t="str">
        <f t="shared" si="52"/>
        <v/>
      </c>
      <c r="Q853" s="15" t="str">
        <f>IF(OR(J853="",H853=""),"",IFERROR(IF(ISNUMBER(N853),N853,IF(K853&lt;N(INDEX(Platforms!$G$5:$G$14,MATCH(H853,Lists!$A$2:$A$11,0))),N(INDEX(Platforms!$H$5:$H$14,MATCH(H853,Lists!$A$2:$A$11,0))),MAX(N(INDEX(Platforms!$F$5:$F$14,MATCH(H853,Lists!$A$2:$A$11,0))),N(INDEX(Platforms!$C$5:$C$14,MATCH(H853,Lists!$A$2:$A$11,0)))*(K853+IF(INDEX(Platforms!$E$5:$E$14,MATCH(H853,Lists!$A$2:$A$11,0))="Yes",N(L853),0))+N(INDEX(Platforms!$D$5:$D$14,MATCH(H853,Lists!$A$2:$A$11,0)))))),""))</f>
        <v/>
      </c>
      <c r="R853" s="16" t="str">
        <f t="shared" si="53"/>
        <v/>
      </c>
      <c r="S853" s="17" t="str">
        <f t="shared" si="54"/>
        <v/>
      </c>
      <c r="T853" s="18" t="str">
        <f t="shared" ca="1" si="55"/>
        <v/>
      </c>
    </row>
    <row r="854" spans="1:20" x14ac:dyDescent="0.35">
      <c r="A854" s="11"/>
      <c r="B854" s="11"/>
      <c r="C854" s="11"/>
      <c r="D854" s="12"/>
      <c r="E854" s="11"/>
      <c r="F854" s="13"/>
      <c r="G854" s="13"/>
      <c r="H854" s="11"/>
      <c r="I854" s="12"/>
      <c r="J854" s="12"/>
      <c r="K854" s="13"/>
      <c r="L854" s="13"/>
      <c r="M854" s="13"/>
      <c r="N854" s="13"/>
      <c r="O854" s="13"/>
      <c r="P854" s="14" t="str">
        <f t="shared" si="52"/>
        <v/>
      </c>
      <c r="Q854" s="15" t="str">
        <f>IF(OR(J854="",H854=""),"",IFERROR(IF(ISNUMBER(N854),N854,IF(K854&lt;N(INDEX(Platforms!$G$5:$G$14,MATCH(H854,Lists!$A$2:$A$11,0))),N(INDEX(Platforms!$H$5:$H$14,MATCH(H854,Lists!$A$2:$A$11,0))),MAX(N(INDEX(Platforms!$F$5:$F$14,MATCH(H854,Lists!$A$2:$A$11,0))),N(INDEX(Platforms!$C$5:$C$14,MATCH(H854,Lists!$A$2:$A$11,0)))*(K854+IF(INDEX(Platforms!$E$5:$E$14,MATCH(H854,Lists!$A$2:$A$11,0))="Yes",N(L854),0))+N(INDEX(Platforms!$D$5:$D$14,MATCH(H854,Lists!$A$2:$A$11,0)))))),""))</f>
        <v/>
      </c>
      <c r="R854" s="16" t="str">
        <f t="shared" si="53"/>
        <v/>
      </c>
      <c r="S854" s="17" t="str">
        <f t="shared" si="54"/>
        <v/>
      </c>
      <c r="T854" s="18" t="str">
        <f t="shared" ca="1" si="55"/>
        <v/>
      </c>
    </row>
    <row r="855" spans="1:20" x14ac:dyDescent="0.35">
      <c r="A855" s="11"/>
      <c r="B855" s="11"/>
      <c r="C855" s="11"/>
      <c r="D855" s="12"/>
      <c r="E855" s="11"/>
      <c r="F855" s="13"/>
      <c r="G855" s="13"/>
      <c r="H855" s="11"/>
      <c r="I855" s="12"/>
      <c r="J855" s="12"/>
      <c r="K855" s="13"/>
      <c r="L855" s="13"/>
      <c r="M855" s="13"/>
      <c r="N855" s="13"/>
      <c r="O855" s="13"/>
      <c r="P855" s="14" t="str">
        <f t="shared" si="52"/>
        <v/>
      </c>
      <c r="Q855" s="15" t="str">
        <f>IF(OR(J855="",H855=""),"",IFERROR(IF(ISNUMBER(N855),N855,IF(K855&lt;N(INDEX(Platforms!$G$5:$G$14,MATCH(H855,Lists!$A$2:$A$11,0))),N(INDEX(Platforms!$H$5:$H$14,MATCH(H855,Lists!$A$2:$A$11,0))),MAX(N(INDEX(Platforms!$F$5:$F$14,MATCH(H855,Lists!$A$2:$A$11,0))),N(INDEX(Platforms!$C$5:$C$14,MATCH(H855,Lists!$A$2:$A$11,0)))*(K855+IF(INDEX(Platforms!$E$5:$E$14,MATCH(H855,Lists!$A$2:$A$11,0))="Yes",N(L855),0))+N(INDEX(Platforms!$D$5:$D$14,MATCH(H855,Lists!$A$2:$A$11,0)))))),""))</f>
        <v/>
      </c>
      <c r="R855" s="16" t="str">
        <f t="shared" si="53"/>
        <v/>
      </c>
      <c r="S855" s="17" t="str">
        <f t="shared" si="54"/>
        <v/>
      </c>
      <c r="T855" s="18" t="str">
        <f t="shared" ca="1" si="55"/>
        <v/>
      </c>
    </row>
    <row r="856" spans="1:20" x14ac:dyDescent="0.35">
      <c r="A856" s="11"/>
      <c r="B856" s="11"/>
      <c r="C856" s="11"/>
      <c r="D856" s="12"/>
      <c r="E856" s="11"/>
      <c r="F856" s="13"/>
      <c r="G856" s="13"/>
      <c r="H856" s="11"/>
      <c r="I856" s="12"/>
      <c r="J856" s="12"/>
      <c r="K856" s="13"/>
      <c r="L856" s="13"/>
      <c r="M856" s="13"/>
      <c r="N856" s="13"/>
      <c r="O856" s="13"/>
      <c r="P856" s="14" t="str">
        <f t="shared" si="52"/>
        <v/>
      </c>
      <c r="Q856" s="15" t="str">
        <f>IF(OR(J856="",H856=""),"",IFERROR(IF(ISNUMBER(N856),N856,IF(K856&lt;N(INDEX(Platforms!$G$5:$G$14,MATCH(H856,Lists!$A$2:$A$11,0))),N(INDEX(Platforms!$H$5:$H$14,MATCH(H856,Lists!$A$2:$A$11,0))),MAX(N(INDEX(Platforms!$F$5:$F$14,MATCH(H856,Lists!$A$2:$A$11,0))),N(INDEX(Platforms!$C$5:$C$14,MATCH(H856,Lists!$A$2:$A$11,0)))*(K856+IF(INDEX(Platforms!$E$5:$E$14,MATCH(H856,Lists!$A$2:$A$11,0))="Yes",N(L856),0))+N(INDEX(Platforms!$D$5:$D$14,MATCH(H856,Lists!$A$2:$A$11,0)))))),""))</f>
        <v/>
      </c>
      <c r="R856" s="16" t="str">
        <f t="shared" si="53"/>
        <v/>
      </c>
      <c r="S856" s="17" t="str">
        <f t="shared" si="54"/>
        <v/>
      </c>
      <c r="T856" s="18" t="str">
        <f t="shared" ca="1" si="55"/>
        <v/>
      </c>
    </row>
    <row r="857" spans="1:20" x14ac:dyDescent="0.35">
      <c r="A857" s="11"/>
      <c r="B857" s="11"/>
      <c r="C857" s="11"/>
      <c r="D857" s="12"/>
      <c r="E857" s="11"/>
      <c r="F857" s="13"/>
      <c r="G857" s="13"/>
      <c r="H857" s="11"/>
      <c r="I857" s="12"/>
      <c r="J857" s="12"/>
      <c r="K857" s="13"/>
      <c r="L857" s="13"/>
      <c r="M857" s="13"/>
      <c r="N857" s="13"/>
      <c r="O857" s="13"/>
      <c r="P857" s="14" t="str">
        <f t="shared" si="52"/>
        <v/>
      </c>
      <c r="Q857" s="15" t="str">
        <f>IF(OR(J857="",H857=""),"",IFERROR(IF(ISNUMBER(N857),N857,IF(K857&lt;N(INDEX(Platforms!$G$5:$G$14,MATCH(H857,Lists!$A$2:$A$11,0))),N(INDEX(Platforms!$H$5:$H$14,MATCH(H857,Lists!$A$2:$A$11,0))),MAX(N(INDEX(Platforms!$F$5:$F$14,MATCH(H857,Lists!$A$2:$A$11,0))),N(INDEX(Platforms!$C$5:$C$14,MATCH(H857,Lists!$A$2:$A$11,0)))*(K857+IF(INDEX(Platforms!$E$5:$E$14,MATCH(H857,Lists!$A$2:$A$11,0))="Yes",N(L857),0))+N(INDEX(Platforms!$D$5:$D$14,MATCH(H857,Lists!$A$2:$A$11,0)))))),""))</f>
        <v/>
      </c>
      <c r="R857" s="16" t="str">
        <f t="shared" si="53"/>
        <v/>
      </c>
      <c r="S857" s="17" t="str">
        <f t="shared" si="54"/>
        <v/>
      </c>
      <c r="T857" s="18" t="str">
        <f t="shared" ca="1" si="55"/>
        <v/>
      </c>
    </row>
    <row r="858" spans="1:20" x14ac:dyDescent="0.35">
      <c r="A858" s="11"/>
      <c r="B858" s="11"/>
      <c r="C858" s="11"/>
      <c r="D858" s="12"/>
      <c r="E858" s="11"/>
      <c r="F858" s="13"/>
      <c r="G858" s="13"/>
      <c r="H858" s="11"/>
      <c r="I858" s="12"/>
      <c r="J858" s="12"/>
      <c r="K858" s="13"/>
      <c r="L858" s="13"/>
      <c r="M858" s="13"/>
      <c r="N858" s="13"/>
      <c r="O858" s="13"/>
      <c r="P858" s="14" t="str">
        <f t="shared" si="52"/>
        <v/>
      </c>
      <c r="Q858" s="15" t="str">
        <f>IF(OR(J858="",H858=""),"",IFERROR(IF(ISNUMBER(N858),N858,IF(K858&lt;N(INDEX(Platforms!$G$5:$G$14,MATCH(H858,Lists!$A$2:$A$11,0))),N(INDEX(Platforms!$H$5:$H$14,MATCH(H858,Lists!$A$2:$A$11,0))),MAX(N(INDEX(Platforms!$F$5:$F$14,MATCH(H858,Lists!$A$2:$A$11,0))),N(INDEX(Platforms!$C$5:$C$14,MATCH(H858,Lists!$A$2:$A$11,0)))*(K858+IF(INDEX(Platforms!$E$5:$E$14,MATCH(H858,Lists!$A$2:$A$11,0))="Yes",N(L858),0))+N(INDEX(Platforms!$D$5:$D$14,MATCH(H858,Lists!$A$2:$A$11,0)))))),""))</f>
        <v/>
      </c>
      <c r="R858" s="16" t="str">
        <f t="shared" si="53"/>
        <v/>
      </c>
      <c r="S858" s="17" t="str">
        <f t="shared" si="54"/>
        <v/>
      </c>
      <c r="T858" s="18" t="str">
        <f t="shared" ca="1" si="55"/>
        <v/>
      </c>
    </row>
    <row r="859" spans="1:20" x14ac:dyDescent="0.35">
      <c r="A859" s="11"/>
      <c r="B859" s="11"/>
      <c r="C859" s="11"/>
      <c r="D859" s="12"/>
      <c r="E859" s="11"/>
      <c r="F859" s="13"/>
      <c r="G859" s="13"/>
      <c r="H859" s="11"/>
      <c r="I859" s="12"/>
      <c r="J859" s="12"/>
      <c r="K859" s="13"/>
      <c r="L859" s="13"/>
      <c r="M859" s="13"/>
      <c r="N859" s="13"/>
      <c r="O859" s="13"/>
      <c r="P859" s="14" t="str">
        <f t="shared" si="52"/>
        <v/>
      </c>
      <c r="Q859" s="15" t="str">
        <f>IF(OR(J859="",H859=""),"",IFERROR(IF(ISNUMBER(N859),N859,IF(K859&lt;N(INDEX(Platforms!$G$5:$G$14,MATCH(H859,Lists!$A$2:$A$11,0))),N(INDEX(Platforms!$H$5:$H$14,MATCH(H859,Lists!$A$2:$A$11,0))),MAX(N(INDEX(Platforms!$F$5:$F$14,MATCH(H859,Lists!$A$2:$A$11,0))),N(INDEX(Platforms!$C$5:$C$14,MATCH(H859,Lists!$A$2:$A$11,0)))*(K859+IF(INDEX(Platforms!$E$5:$E$14,MATCH(H859,Lists!$A$2:$A$11,0))="Yes",N(L859),0))+N(INDEX(Platforms!$D$5:$D$14,MATCH(H859,Lists!$A$2:$A$11,0)))))),""))</f>
        <v/>
      </c>
      <c r="R859" s="16" t="str">
        <f t="shared" si="53"/>
        <v/>
      </c>
      <c r="S859" s="17" t="str">
        <f t="shared" si="54"/>
        <v/>
      </c>
      <c r="T859" s="18" t="str">
        <f t="shared" ca="1" si="55"/>
        <v/>
      </c>
    </row>
    <row r="860" spans="1:20" x14ac:dyDescent="0.35">
      <c r="A860" s="11"/>
      <c r="B860" s="11"/>
      <c r="C860" s="11"/>
      <c r="D860" s="12"/>
      <c r="E860" s="11"/>
      <c r="F860" s="13"/>
      <c r="G860" s="13"/>
      <c r="H860" s="11"/>
      <c r="I860" s="12"/>
      <c r="J860" s="12"/>
      <c r="K860" s="13"/>
      <c r="L860" s="13"/>
      <c r="M860" s="13"/>
      <c r="N860" s="13"/>
      <c r="O860" s="13"/>
      <c r="P860" s="14" t="str">
        <f t="shared" si="52"/>
        <v/>
      </c>
      <c r="Q860" s="15" t="str">
        <f>IF(OR(J860="",H860=""),"",IFERROR(IF(ISNUMBER(N860),N860,IF(K860&lt;N(INDEX(Platforms!$G$5:$G$14,MATCH(H860,Lists!$A$2:$A$11,0))),N(INDEX(Platforms!$H$5:$H$14,MATCH(H860,Lists!$A$2:$A$11,0))),MAX(N(INDEX(Platforms!$F$5:$F$14,MATCH(H860,Lists!$A$2:$A$11,0))),N(INDEX(Platforms!$C$5:$C$14,MATCH(H860,Lists!$A$2:$A$11,0)))*(K860+IF(INDEX(Platforms!$E$5:$E$14,MATCH(H860,Lists!$A$2:$A$11,0))="Yes",N(L860),0))+N(INDEX(Platforms!$D$5:$D$14,MATCH(H860,Lists!$A$2:$A$11,0)))))),""))</f>
        <v/>
      </c>
      <c r="R860" s="16" t="str">
        <f t="shared" si="53"/>
        <v/>
      </c>
      <c r="S860" s="17" t="str">
        <f t="shared" si="54"/>
        <v/>
      </c>
      <c r="T860" s="18" t="str">
        <f t="shared" ca="1" si="55"/>
        <v/>
      </c>
    </row>
    <row r="861" spans="1:20" x14ac:dyDescent="0.35">
      <c r="A861" s="11"/>
      <c r="B861" s="11"/>
      <c r="C861" s="11"/>
      <c r="D861" s="12"/>
      <c r="E861" s="11"/>
      <c r="F861" s="13"/>
      <c r="G861" s="13"/>
      <c r="H861" s="11"/>
      <c r="I861" s="12"/>
      <c r="J861" s="12"/>
      <c r="K861" s="13"/>
      <c r="L861" s="13"/>
      <c r="M861" s="13"/>
      <c r="N861" s="13"/>
      <c r="O861" s="13"/>
      <c r="P861" s="14" t="str">
        <f t="shared" si="52"/>
        <v/>
      </c>
      <c r="Q861" s="15" t="str">
        <f>IF(OR(J861="",H861=""),"",IFERROR(IF(ISNUMBER(N861),N861,IF(K861&lt;N(INDEX(Platforms!$G$5:$G$14,MATCH(H861,Lists!$A$2:$A$11,0))),N(INDEX(Platforms!$H$5:$H$14,MATCH(H861,Lists!$A$2:$A$11,0))),MAX(N(INDEX(Platforms!$F$5:$F$14,MATCH(H861,Lists!$A$2:$A$11,0))),N(INDEX(Platforms!$C$5:$C$14,MATCH(H861,Lists!$A$2:$A$11,0)))*(K861+IF(INDEX(Platforms!$E$5:$E$14,MATCH(H861,Lists!$A$2:$A$11,0))="Yes",N(L861),0))+N(INDEX(Platforms!$D$5:$D$14,MATCH(H861,Lists!$A$2:$A$11,0)))))),""))</f>
        <v/>
      </c>
      <c r="R861" s="16" t="str">
        <f t="shared" si="53"/>
        <v/>
      </c>
      <c r="S861" s="17" t="str">
        <f t="shared" si="54"/>
        <v/>
      </c>
      <c r="T861" s="18" t="str">
        <f t="shared" ca="1" si="55"/>
        <v/>
      </c>
    </row>
    <row r="862" spans="1:20" x14ac:dyDescent="0.35">
      <c r="A862" s="11"/>
      <c r="B862" s="11"/>
      <c r="C862" s="11"/>
      <c r="D862" s="12"/>
      <c r="E862" s="11"/>
      <c r="F862" s="13"/>
      <c r="G862" s="13"/>
      <c r="H862" s="11"/>
      <c r="I862" s="12"/>
      <c r="J862" s="12"/>
      <c r="K862" s="13"/>
      <c r="L862" s="13"/>
      <c r="M862" s="13"/>
      <c r="N862" s="13"/>
      <c r="O862" s="13"/>
      <c r="P862" s="14" t="str">
        <f t="shared" si="52"/>
        <v/>
      </c>
      <c r="Q862" s="15" t="str">
        <f>IF(OR(J862="",H862=""),"",IFERROR(IF(ISNUMBER(N862),N862,IF(K862&lt;N(INDEX(Platforms!$G$5:$G$14,MATCH(H862,Lists!$A$2:$A$11,0))),N(INDEX(Platforms!$H$5:$H$14,MATCH(H862,Lists!$A$2:$A$11,0))),MAX(N(INDEX(Platforms!$F$5:$F$14,MATCH(H862,Lists!$A$2:$A$11,0))),N(INDEX(Platforms!$C$5:$C$14,MATCH(H862,Lists!$A$2:$A$11,0)))*(K862+IF(INDEX(Platforms!$E$5:$E$14,MATCH(H862,Lists!$A$2:$A$11,0))="Yes",N(L862),0))+N(INDEX(Platforms!$D$5:$D$14,MATCH(H862,Lists!$A$2:$A$11,0)))))),""))</f>
        <v/>
      </c>
      <c r="R862" s="16" t="str">
        <f t="shared" si="53"/>
        <v/>
      </c>
      <c r="S862" s="17" t="str">
        <f t="shared" si="54"/>
        <v/>
      </c>
      <c r="T862" s="18" t="str">
        <f t="shared" ca="1" si="55"/>
        <v/>
      </c>
    </row>
    <row r="863" spans="1:20" x14ac:dyDescent="0.35">
      <c r="A863" s="11"/>
      <c r="B863" s="11"/>
      <c r="C863" s="11"/>
      <c r="D863" s="12"/>
      <c r="E863" s="11"/>
      <c r="F863" s="13"/>
      <c r="G863" s="13"/>
      <c r="H863" s="11"/>
      <c r="I863" s="12"/>
      <c r="J863" s="12"/>
      <c r="K863" s="13"/>
      <c r="L863" s="13"/>
      <c r="M863" s="13"/>
      <c r="N863" s="13"/>
      <c r="O863" s="13"/>
      <c r="P863" s="14" t="str">
        <f t="shared" si="52"/>
        <v/>
      </c>
      <c r="Q863" s="15" t="str">
        <f>IF(OR(J863="",H863=""),"",IFERROR(IF(ISNUMBER(N863),N863,IF(K863&lt;N(INDEX(Platforms!$G$5:$G$14,MATCH(H863,Lists!$A$2:$A$11,0))),N(INDEX(Platforms!$H$5:$H$14,MATCH(H863,Lists!$A$2:$A$11,0))),MAX(N(INDEX(Platforms!$F$5:$F$14,MATCH(H863,Lists!$A$2:$A$11,0))),N(INDEX(Platforms!$C$5:$C$14,MATCH(H863,Lists!$A$2:$A$11,0)))*(K863+IF(INDEX(Platforms!$E$5:$E$14,MATCH(H863,Lists!$A$2:$A$11,0))="Yes",N(L863),0))+N(INDEX(Platforms!$D$5:$D$14,MATCH(H863,Lists!$A$2:$A$11,0)))))),""))</f>
        <v/>
      </c>
      <c r="R863" s="16" t="str">
        <f t="shared" si="53"/>
        <v/>
      </c>
      <c r="S863" s="17" t="str">
        <f t="shared" si="54"/>
        <v/>
      </c>
      <c r="T863" s="18" t="str">
        <f t="shared" ca="1" si="55"/>
        <v/>
      </c>
    </row>
    <row r="864" spans="1:20" x14ac:dyDescent="0.35">
      <c r="A864" s="11"/>
      <c r="B864" s="11"/>
      <c r="C864" s="11"/>
      <c r="D864" s="12"/>
      <c r="E864" s="11"/>
      <c r="F864" s="13"/>
      <c r="G864" s="13"/>
      <c r="H864" s="11"/>
      <c r="I864" s="12"/>
      <c r="J864" s="12"/>
      <c r="K864" s="13"/>
      <c r="L864" s="13"/>
      <c r="M864" s="13"/>
      <c r="N864" s="13"/>
      <c r="O864" s="13"/>
      <c r="P864" s="14" t="str">
        <f t="shared" si="52"/>
        <v/>
      </c>
      <c r="Q864" s="15" t="str">
        <f>IF(OR(J864="",H864=""),"",IFERROR(IF(ISNUMBER(N864),N864,IF(K864&lt;N(INDEX(Platforms!$G$5:$G$14,MATCH(H864,Lists!$A$2:$A$11,0))),N(INDEX(Platforms!$H$5:$H$14,MATCH(H864,Lists!$A$2:$A$11,0))),MAX(N(INDEX(Platforms!$F$5:$F$14,MATCH(H864,Lists!$A$2:$A$11,0))),N(INDEX(Platforms!$C$5:$C$14,MATCH(H864,Lists!$A$2:$A$11,0)))*(K864+IF(INDEX(Platforms!$E$5:$E$14,MATCH(H864,Lists!$A$2:$A$11,0))="Yes",N(L864),0))+N(INDEX(Platforms!$D$5:$D$14,MATCH(H864,Lists!$A$2:$A$11,0)))))),""))</f>
        <v/>
      </c>
      <c r="R864" s="16" t="str">
        <f t="shared" si="53"/>
        <v/>
      </c>
      <c r="S864" s="17" t="str">
        <f t="shared" si="54"/>
        <v/>
      </c>
      <c r="T864" s="18" t="str">
        <f t="shared" ca="1" si="55"/>
        <v/>
      </c>
    </row>
    <row r="865" spans="1:20" x14ac:dyDescent="0.35">
      <c r="A865" s="11"/>
      <c r="B865" s="11"/>
      <c r="C865" s="11"/>
      <c r="D865" s="12"/>
      <c r="E865" s="11"/>
      <c r="F865" s="13"/>
      <c r="G865" s="13"/>
      <c r="H865" s="11"/>
      <c r="I865" s="12"/>
      <c r="J865" s="12"/>
      <c r="K865" s="13"/>
      <c r="L865" s="13"/>
      <c r="M865" s="13"/>
      <c r="N865" s="13"/>
      <c r="O865" s="13"/>
      <c r="P865" s="14" t="str">
        <f t="shared" si="52"/>
        <v/>
      </c>
      <c r="Q865" s="15" t="str">
        <f>IF(OR(J865="",H865=""),"",IFERROR(IF(ISNUMBER(N865),N865,IF(K865&lt;N(INDEX(Platforms!$G$5:$G$14,MATCH(H865,Lists!$A$2:$A$11,0))),N(INDEX(Platforms!$H$5:$H$14,MATCH(H865,Lists!$A$2:$A$11,0))),MAX(N(INDEX(Platforms!$F$5:$F$14,MATCH(H865,Lists!$A$2:$A$11,0))),N(INDEX(Platforms!$C$5:$C$14,MATCH(H865,Lists!$A$2:$A$11,0)))*(K865+IF(INDEX(Platforms!$E$5:$E$14,MATCH(H865,Lists!$A$2:$A$11,0))="Yes",N(L865),0))+N(INDEX(Platforms!$D$5:$D$14,MATCH(H865,Lists!$A$2:$A$11,0)))))),""))</f>
        <v/>
      </c>
      <c r="R865" s="16" t="str">
        <f t="shared" si="53"/>
        <v/>
      </c>
      <c r="S865" s="17" t="str">
        <f t="shared" si="54"/>
        <v/>
      </c>
      <c r="T865" s="18" t="str">
        <f t="shared" ca="1" si="55"/>
        <v/>
      </c>
    </row>
    <row r="866" spans="1:20" x14ac:dyDescent="0.35">
      <c r="A866" s="11"/>
      <c r="B866" s="11"/>
      <c r="C866" s="11"/>
      <c r="D866" s="12"/>
      <c r="E866" s="11"/>
      <c r="F866" s="13"/>
      <c r="G866" s="13"/>
      <c r="H866" s="11"/>
      <c r="I866" s="12"/>
      <c r="J866" s="12"/>
      <c r="K866" s="13"/>
      <c r="L866" s="13"/>
      <c r="M866" s="13"/>
      <c r="N866" s="13"/>
      <c r="O866" s="13"/>
      <c r="P866" s="14" t="str">
        <f t="shared" si="52"/>
        <v/>
      </c>
      <c r="Q866" s="15" t="str">
        <f>IF(OR(J866="",H866=""),"",IFERROR(IF(ISNUMBER(N866),N866,IF(K866&lt;N(INDEX(Platforms!$G$5:$G$14,MATCH(H866,Lists!$A$2:$A$11,0))),N(INDEX(Platforms!$H$5:$H$14,MATCH(H866,Lists!$A$2:$A$11,0))),MAX(N(INDEX(Platforms!$F$5:$F$14,MATCH(H866,Lists!$A$2:$A$11,0))),N(INDEX(Platforms!$C$5:$C$14,MATCH(H866,Lists!$A$2:$A$11,0)))*(K866+IF(INDEX(Platforms!$E$5:$E$14,MATCH(H866,Lists!$A$2:$A$11,0))="Yes",N(L866),0))+N(INDEX(Platforms!$D$5:$D$14,MATCH(H866,Lists!$A$2:$A$11,0)))))),""))</f>
        <v/>
      </c>
      <c r="R866" s="16" t="str">
        <f t="shared" si="53"/>
        <v/>
      </c>
      <c r="S866" s="17" t="str">
        <f t="shared" si="54"/>
        <v/>
      </c>
      <c r="T866" s="18" t="str">
        <f t="shared" ca="1" si="55"/>
        <v/>
      </c>
    </row>
    <row r="867" spans="1:20" x14ac:dyDescent="0.35">
      <c r="A867" s="11"/>
      <c r="B867" s="11"/>
      <c r="C867" s="11"/>
      <c r="D867" s="12"/>
      <c r="E867" s="11"/>
      <c r="F867" s="13"/>
      <c r="G867" s="13"/>
      <c r="H867" s="11"/>
      <c r="I867" s="12"/>
      <c r="J867" s="12"/>
      <c r="K867" s="13"/>
      <c r="L867" s="13"/>
      <c r="M867" s="13"/>
      <c r="N867" s="13"/>
      <c r="O867" s="13"/>
      <c r="P867" s="14" t="str">
        <f t="shared" si="52"/>
        <v/>
      </c>
      <c r="Q867" s="15" t="str">
        <f>IF(OR(J867="",H867=""),"",IFERROR(IF(ISNUMBER(N867),N867,IF(K867&lt;N(INDEX(Platforms!$G$5:$G$14,MATCH(H867,Lists!$A$2:$A$11,0))),N(INDEX(Platforms!$H$5:$H$14,MATCH(H867,Lists!$A$2:$A$11,0))),MAX(N(INDEX(Platforms!$F$5:$F$14,MATCH(H867,Lists!$A$2:$A$11,0))),N(INDEX(Platforms!$C$5:$C$14,MATCH(H867,Lists!$A$2:$A$11,0)))*(K867+IF(INDEX(Platforms!$E$5:$E$14,MATCH(H867,Lists!$A$2:$A$11,0))="Yes",N(L867),0))+N(INDEX(Platforms!$D$5:$D$14,MATCH(H867,Lists!$A$2:$A$11,0)))))),""))</f>
        <v/>
      </c>
      <c r="R867" s="16" t="str">
        <f t="shared" si="53"/>
        <v/>
      </c>
      <c r="S867" s="17" t="str">
        <f t="shared" si="54"/>
        <v/>
      </c>
      <c r="T867" s="18" t="str">
        <f t="shared" ca="1" si="55"/>
        <v/>
      </c>
    </row>
    <row r="868" spans="1:20" x14ac:dyDescent="0.35">
      <c r="A868" s="11"/>
      <c r="B868" s="11"/>
      <c r="C868" s="11"/>
      <c r="D868" s="12"/>
      <c r="E868" s="11"/>
      <c r="F868" s="13"/>
      <c r="G868" s="13"/>
      <c r="H868" s="11"/>
      <c r="I868" s="12"/>
      <c r="J868" s="12"/>
      <c r="K868" s="13"/>
      <c r="L868" s="13"/>
      <c r="M868" s="13"/>
      <c r="N868" s="13"/>
      <c r="O868" s="13"/>
      <c r="P868" s="14" t="str">
        <f t="shared" si="52"/>
        <v/>
      </c>
      <c r="Q868" s="15" t="str">
        <f>IF(OR(J868="",H868=""),"",IFERROR(IF(ISNUMBER(N868),N868,IF(K868&lt;N(INDEX(Platforms!$G$5:$G$14,MATCH(H868,Lists!$A$2:$A$11,0))),N(INDEX(Platforms!$H$5:$H$14,MATCH(H868,Lists!$A$2:$A$11,0))),MAX(N(INDEX(Platforms!$F$5:$F$14,MATCH(H868,Lists!$A$2:$A$11,0))),N(INDEX(Platforms!$C$5:$C$14,MATCH(H868,Lists!$A$2:$A$11,0)))*(K868+IF(INDEX(Platforms!$E$5:$E$14,MATCH(H868,Lists!$A$2:$A$11,0))="Yes",N(L868),0))+N(INDEX(Platforms!$D$5:$D$14,MATCH(H868,Lists!$A$2:$A$11,0)))))),""))</f>
        <v/>
      </c>
      <c r="R868" s="16" t="str">
        <f t="shared" si="53"/>
        <v/>
      </c>
      <c r="S868" s="17" t="str">
        <f t="shared" si="54"/>
        <v/>
      </c>
      <c r="T868" s="18" t="str">
        <f t="shared" ca="1" si="55"/>
        <v/>
      </c>
    </row>
    <row r="869" spans="1:20" x14ac:dyDescent="0.35">
      <c r="A869" s="11"/>
      <c r="B869" s="11"/>
      <c r="C869" s="11"/>
      <c r="D869" s="12"/>
      <c r="E869" s="11"/>
      <c r="F869" s="13"/>
      <c r="G869" s="13"/>
      <c r="H869" s="11"/>
      <c r="I869" s="12"/>
      <c r="J869" s="12"/>
      <c r="K869" s="13"/>
      <c r="L869" s="13"/>
      <c r="M869" s="13"/>
      <c r="N869" s="13"/>
      <c r="O869" s="13"/>
      <c r="P869" s="14" t="str">
        <f t="shared" si="52"/>
        <v/>
      </c>
      <c r="Q869" s="15" t="str">
        <f>IF(OR(J869="",H869=""),"",IFERROR(IF(ISNUMBER(N869),N869,IF(K869&lt;N(INDEX(Platforms!$G$5:$G$14,MATCH(H869,Lists!$A$2:$A$11,0))),N(INDEX(Platforms!$H$5:$H$14,MATCH(H869,Lists!$A$2:$A$11,0))),MAX(N(INDEX(Platforms!$F$5:$F$14,MATCH(H869,Lists!$A$2:$A$11,0))),N(INDEX(Platforms!$C$5:$C$14,MATCH(H869,Lists!$A$2:$A$11,0)))*(K869+IF(INDEX(Platforms!$E$5:$E$14,MATCH(H869,Lists!$A$2:$A$11,0))="Yes",N(L869),0))+N(INDEX(Platforms!$D$5:$D$14,MATCH(H869,Lists!$A$2:$A$11,0)))))),""))</f>
        <v/>
      </c>
      <c r="R869" s="16" t="str">
        <f t="shared" si="53"/>
        <v/>
      </c>
      <c r="S869" s="17" t="str">
        <f t="shared" si="54"/>
        <v/>
      </c>
      <c r="T869" s="18" t="str">
        <f t="shared" ca="1" si="55"/>
        <v/>
      </c>
    </row>
    <row r="870" spans="1:20" x14ac:dyDescent="0.35">
      <c r="A870" s="11"/>
      <c r="B870" s="11"/>
      <c r="C870" s="11"/>
      <c r="D870" s="12"/>
      <c r="E870" s="11"/>
      <c r="F870" s="13"/>
      <c r="G870" s="13"/>
      <c r="H870" s="11"/>
      <c r="I870" s="12"/>
      <c r="J870" s="12"/>
      <c r="K870" s="13"/>
      <c r="L870" s="13"/>
      <c r="M870" s="13"/>
      <c r="N870" s="13"/>
      <c r="O870" s="13"/>
      <c r="P870" s="14" t="str">
        <f t="shared" si="52"/>
        <v/>
      </c>
      <c r="Q870" s="15" t="str">
        <f>IF(OR(J870="",H870=""),"",IFERROR(IF(ISNUMBER(N870),N870,IF(K870&lt;N(INDEX(Platforms!$G$5:$G$14,MATCH(H870,Lists!$A$2:$A$11,0))),N(INDEX(Platforms!$H$5:$H$14,MATCH(H870,Lists!$A$2:$A$11,0))),MAX(N(INDEX(Platforms!$F$5:$F$14,MATCH(H870,Lists!$A$2:$A$11,0))),N(INDEX(Platforms!$C$5:$C$14,MATCH(H870,Lists!$A$2:$A$11,0)))*(K870+IF(INDEX(Platforms!$E$5:$E$14,MATCH(H870,Lists!$A$2:$A$11,0))="Yes",N(L870),0))+N(INDEX(Platforms!$D$5:$D$14,MATCH(H870,Lists!$A$2:$A$11,0)))))),""))</f>
        <v/>
      </c>
      <c r="R870" s="16" t="str">
        <f t="shared" si="53"/>
        <v/>
      </c>
      <c r="S870" s="17" t="str">
        <f t="shared" si="54"/>
        <v/>
      </c>
      <c r="T870" s="18" t="str">
        <f t="shared" ca="1" si="55"/>
        <v/>
      </c>
    </row>
    <row r="871" spans="1:20" x14ac:dyDescent="0.35">
      <c r="A871" s="11"/>
      <c r="B871" s="11"/>
      <c r="C871" s="11"/>
      <c r="D871" s="12"/>
      <c r="E871" s="11"/>
      <c r="F871" s="13"/>
      <c r="G871" s="13"/>
      <c r="H871" s="11"/>
      <c r="I871" s="12"/>
      <c r="J871" s="12"/>
      <c r="K871" s="13"/>
      <c r="L871" s="13"/>
      <c r="M871" s="13"/>
      <c r="N871" s="13"/>
      <c r="O871" s="13"/>
      <c r="P871" s="14" t="str">
        <f t="shared" si="52"/>
        <v/>
      </c>
      <c r="Q871" s="15" t="str">
        <f>IF(OR(J871="",H871=""),"",IFERROR(IF(ISNUMBER(N871),N871,IF(K871&lt;N(INDEX(Platforms!$G$5:$G$14,MATCH(H871,Lists!$A$2:$A$11,0))),N(INDEX(Platforms!$H$5:$H$14,MATCH(H871,Lists!$A$2:$A$11,0))),MAX(N(INDEX(Platforms!$F$5:$F$14,MATCH(H871,Lists!$A$2:$A$11,0))),N(INDEX(Platforms!$C$5:$C$14,MATCH(H871,Lists!$A$2:$A$11,0)))*(K871+IF(INDEX(Platforms!$E$5:$E$14,MATCH(H871,Lists!$A$2:$A$11,0))="Yes",N(L871),0))+N(INDEX(Platforms!$D$5:$D$14,MATCH(H871,Lists!$A$2:$A$11,0)))))),""))</f>
        <v/>
      </c>
      <c r="R871" s="16" t="str">
        <f t="shared" si="53"/>
        <v/>
      </c>
      <c r="S871" s="17" t="str">
        <f t="shared" si="54"/>
        <v/>
      </c>
      <c r="T871" s="18" t="str">
        <f t="shared" ca="1" si="55"/>
        <v/>
      </c>
    </row>
    <row r="872" spans="1:20" x14ac:dyDescent="0.35">
      <c r="A872" s="11"/>
      <c r="B872" s="11"/>
      <c r="C872" s="11"/>
      <c r="D872" s="12"/>
      <c r="E872" s="11"/>
      <c r="F872" s="13"/>
      <c r="G872" s="13"/>
      <c r="H872" s="11"/>
      <c r="I872" s="12"/>
      <c r="J872" s="12"/>
      <c r="K872" s="13"/>
      <c r="L872" s="13"/>
      <c r="M872" s="13"/>
      <c r="N872" s="13"/>
      <c r="O872" s="13"/>
      <c r="P872" s="14" t="str">
        <f t="shared" si="52"/>
        <v/>
      </c>
      <c r="Q872" s="15" t="str">
        <f>IF(OR(J872="",H872=""),"",IFERROR(IF(ISNUMBER(N872),N872,IF(K872&lt;N(INDEX(Platforms!$G$5:$G$14,MATCH(H872,Lists!$A$2:$A$11,0))),N(INDEX(Platforms!$H$5:$H$14,MATCH(H872,Lists!$A$2:$A$11,0))),MAX(N(INDEX(Platforms!$F$5:$F$14,MATCH(H872,Lists!$A$2:$A$11,0))),N(INDEX(Platforms!$C$5:$C$14,MATCH(H872,Lists!$A$2:$A$11,0)))*(K872+IF(INDEX(Platforms!$E$5:$E$14,MATCH(H872,Lists!$A$2:$A$11,0))="Yes",N(L872),0))+N(INDEX(Platforms!$D$5:$D$14,MATCH(H872,Lists!$A$2:$A$11,0)))))),""))</f>
        <v/>
      </c>
      <c r="R872" s="16" t="str">
        <f t="shared" si="53"/>
        <v/>
      </c>
      <c r="S872" s="17" t="str">
        <f t="shared" si="54"/>
        <v/>
      </c>
      <c r="T872" s="18" t="str">
        <f t="shared" ca="1" si="55"/>
        <v/>
      </c>
    </row>
    <row r="873" spans="1:20" x14ac:dyDescent="0.35">
      <c r="A873" s="11"/>
      <c r="B873" s="11"/>
      <c r="C873" s="11"/>
      <c r="D873" s="12"/>
      <c r="E873" s="11"/>
      <c r="F873" s="13"/>
      <c r="G873" s="13"/>
      <c r="H873" s="11"/>
      <c r="I873" s="12"/>
      <c r="J873" s="12"/>
      <c r="K873" s="13"/>
      <c r="L873" s="13"/>
      <c r="M873" s="13"/>
      <c r="N873" s="13"/>
      <c r="O873" s="13"/>
      <c r="P873" s="14" t="str">
        <f t="shared" si="52"/>
        <v/>
      </c>
      <c r="Q873" s="15" t="str">
        <f>IF(OR(J873="",H873=""),"",IFERROR(IF(ISNUMBER(N873),N873,IF(K873&lt;N(INDEX(Platforms!$G$5:$G$14,MATCH(H873,Lists!$A$2:$A$11,0))),N(INDEX(Platforms!$H$5:$H$14,MATCH(H873,Lists!$A$2:$A$11,0))),MAX(N(INDEX(Platforms!$F$5:$F$14,MATCH(H873,Lists!$A$2:$A$11,0))),N(INDEX(Platforms!$C$5:$C$14,MATCH(H873,Lists!$A$2:$A$11,0)))*(K873+IF(INDEX(Platforms!$E$5:$E$14,MATCH(H873,Lists!$A$2:$A$11,0))="Yes",N(L873),0))+N(INDEX(Platforms!$D$5:$D$14,MATCH(H873,Lists!$A$2:$A$11,0)))))),""))</f>
        <v/>
      </c>
      <c r="R873" s="16" t="str">
        <f t="shared" si="53"/>
        <v/>
      </c>
      <c r="S873" s="17" t="str">
        <f t="shared" si="54"/>
        <v/>
      </c>
      <c r="T873" s="18" t="str">
        <f t="shared" ca="1" si="55"/>
        <v/>
      </c>
    </row>
    <row r="874" spans="1:20" x14ac:dyDescent="0.35">
      <c r="A874" s="11"/>
      <c r="B874" s="11"/>
      <c r="C874" s="11"/>
      <c r="D874" s="12"/>
      <c r="E874" s="11"/>
      <c r="F874" s="13"/>
      <c r="G874" s="13"/>
      <c r="H874" s="11"/>
      <c r="I874" s="12"/>
      <c r="J874" s="12"/>
      <c r="K874" s="13"/>
      <c r="L874" s="13"/>
      <c r="M874" s="13"/>
      <c r="N874" s="13"/>
      <c r="O874" s="13"/>
      <c r="P874" s="14" t="str">
        <f t="shared" si="52"/>
        <v/>
      </c>
      <c r="Q874" s="15" t="str">
        <f>IF(OR(J874="",H874=""),"",IFERROR(IF(ISNUMBER(N874),N874,IF(K874&lt;N(INDEX(Platforms!$G$5:$G$14,MATCH(H874,Lists!$A$2:$A$11,0))),N(INDEX(Platforms!$H$5:$H$14,MATCH(H874,Lists!$A$2:$A$11,0))),MAX(N(INDEX(Platforms!$F$5:$F$14,MATCH(H874,Lists!$A$2:$A$11,0))),N(INDEX(Platforms!$C$5:$C$14,MATCH(H874,Lists!$A$2:$A$11,0)))*(K874+IF(INDEX(Platforms!$E$5:$E$14,MATCH(H874,Lists!$A$2:$A$11,0))="Yes",N(L874),0))+N(INDEX(Platforms!$D$5:$D$14,MATCH(H874,Lists!$A$2:$A$11,0)))))),""))</f>
        <v/>
      </c>
      <c r="R874" s="16" t="str">
        <f t="shared" si="53"/>
        <v/>
      </c>
      <c r="S874" s="17" t="str">
        <f t="shared" si="54"/>
        <v/>
      </c>
      <c r="T874" s="18" t="str">
        <f t="shared" ca="1" si="55"/>
        <v/>
      </c>
    </row>
    <row r="875" spans="1:20" x14ac:dyDescent="0.35">
      <c r="A875" s="11"/>
      <c r="B875" s="11"/>
      <c r="C875" s="11"/>
      <c r="D875" s="12"/>
      <c r="E875" s="11"/>
      <c r="F875" s="13"/>
      <c r="G875" s="13"/>
      <c r="H875" s="11"/>
      <c r="I875" s="12"/>
      <c r="J875" s="12"/>
      <c r="K875" s="13"/>
      <c r="L875" s="13"/>
      <c r="M875" s="13"/>
      <c r="N875" s="13"/>
      <c r="O875" s="13"/>
      <c r="P875" s="14" t="str">
        <f t="shared" si="52"/>
        <v/>
      </c>
      <c r="Q875" s="15" t="str">
        <f>IF(OR(J875="",H875=""),"",IFERROR(IF(ISNUMBER(N875),N875,IF(K875&lt;N(INDEX(Platforms!$G$5:$G$14,MATCH(H875,Lists!$A$2:$A$11,0))),N(INDEX(Platforms!$H$5:$H$14,MATCH(H875,Lists!$A$2:$A$11,0))),MAX(N(INDEX(Platforms!$F$5:$F$14,MATCH(H875,Lists!$A$2:$A$11,0))),N(INDEX(Platforms!$C$5:$C$14,MATCH(H875,Lists!$A$2:$A$11,0)))*(K875+IF(INDEX(Platforms!$E$5:$E$14,MATCH(H875,Lists!$A$2:$A$11,0))="Yes",N(L875),0))+N(INDEX(Platforms!$D$5:$D$14,MATCH(H875,Lists!$A$2:$A$11,0)))))),""))</f>
        <v/>
      </c>
      <c r="R875" s="16" t="str">
        <f t="shared" si="53"/>
        <v/>
      </c>
      <c r="S875" s="17" t="str">
        <f t="shared" si="54"/>
        <v/>
      </c>
      <c r="T875" s="18" t="str">
        <f t="shared" ca="1" si="55"/>
        <v/>
      </c>
    </row>
    <row r="876" spans="1:20" x14ac:dyDescent="0.35">
      <c r="A876" s="11"/>
      <c r="B876" s="11"/>
      <c r="C876" s="11"/>
      <c r="D876" s="12"/>
      <c r="E876" s="11"/>
      <c r="F876" s="13"/>
      <c r="G876" s="13"/>
      <c r="H876" s="11"/>
      <c r="I876" s="12"/>
      <c r="J876" s="12"/>
      <c r="K876" s="13"/>
      <c r="L876" s="13"/>
      <c r="M876" s="13"/>
      <c r="N876" s="13"/>
      <c r="O876" s="13"/>
      <c r="P876" s="14" t="str">
        <f t="shared" si="52"/>
        <v/>
      </c>
      <c r="Q876" s="15" t="str">
        <f>IF(OR(J876="",H876=""),"",IFERROR(IF(ISNUMBER(N876),N876,IF(K876&lt;N(INDEX(Platforms!$G$5:$G$14,MATCH(H876,Lists!$A$2:$A$11,0))),N(INDEX(Platforms!$H$5:$H$14,MATCH(H876,Lists!$A$2:$A$11,0))),MAX(N(INDEX(Platforms!$F$5:$F$14,MATCH(H876,Lists!$A$2:$A$11,0))),N(INDEX(Platforms!$C$5:$C$14,MATCH(H876,Lists!$A$2:$A$11,0)))*(K876+IF(INDEX(Platforms!$E$5:$E$14,MATCH(H876,Lists!$A$2:$A$11,0))="Yes",N(L876),0))+N(INDEX(Platforms!$D$5:$D$14,MATCH(H876,Lists!$A$2:$A$11,0)))))),""))</f>
        <v/>
      </c>
      <c r="R876" s="16" t="str">
        <f t="shared" si="53"/>
        <v/>
      </c>
      <c r="S876" s="17" t="str">
        <f t="shared" si="54"/>
        <v/>
      </c>
      <c r="T876" s="18" t="str">
        <f t="shared" ca="1" si="55"/>
        <v/>
      </c>
    </row>
    <row r="877" spans="1:20" x14ac:dyDescent="0.35">
      <c r="A877" s="11"/>
      <c r="B877" s="11"/>
      <c r="C877" s="11"/>
      <c r="D877" s="12"/>
      <c r="E877" s="11"/>
      <c r="F877" s="13"/>
      <c r="G877" s="13"/>
      <c r="H877" s="11"/>
      <c r="I877" s="12"/>
      <c r="J877" s="12"/>
      <c r="K877" s="13"/>
      <c r="L877" s="13"/>
      <c r="M877" s="13"/>
      <c r="N877" s="13"/>
      <c r="O877" s="13"/>
      <c r="P877" s="14" t="str">
        <f t="shared" si="52"/>
        <v/>
      </c>
      <c r="Q877" s="15" t="str">
        <f>IF(OR(J877="",H877=""),"",IFERROR(IF(ISNUMBER(N877),N877,IF(K877&lt;N(INDEX(Platforms!$G$5:$G$14,MATCH(H877,Lists!$A$2:$A$11,0))),N(INDEX(Platforms!$H$5:$H$14,MATCH(H877,Lists!$A$2:$A$11,0))),MAX(N(INDEX(Platforms!$F$5:$F$14,MATCH(H877,Lists!$A$2:$A$11,0))),N(INDEX(Platforms!$C$5:$C$14,MATCH(H877,Lists!$A$2:$A$11,0)))*(K877+IF(INDEX(Platforms!$E$5:$E$14,MATCH(H877,Lists!$A$2:$A$11,0))="Yes",N(L877),0))+N(INDEX(Platforms!$D$5:$D$14,MATCH(H877,Lists!$A$2:$A$11,0)))))),""))</f>
        <v/>
      </c>
      <c r="R877" s="16" t="str">
        <f t="shared" si="53"/>
        <v/>
      </c>
      <c r="S877" s="17" t="str">
        <f t="shared" si="54"/>
        <v/>
      </c>
      <c r="T877" s="18" t="str">
        <f t="shared" ca="1" si="55"/>
        <v/>
      </c>
    </row>
    <row r="878" spans="1:20" x14ac:dyDescent="0.35">
      <c r="A878" s="11"/>
      <c r="B878" s="11"/>
      <c r="C878" s="11"/>
      <c r="D878" s="12"/>
      <c r="E878" s="11"/>
      <c r="F878" s="13"/>
      <c r="G878" s="13"/>
      <c r="H878" s="11"/>
      <c r="I878" s="12"/>
      <c r="J878" s="12"/>
      <c r="K878" s="13"/>
      <c r="L878" s="13"/>
      <c r="M878" s="13"/>
      <c r="N878" s="13"/>
      <c r="O878" s="13"/>
      <c r="P878" s="14" t="str">
        <f t="shared" si="52"/>
        <v/>
      </c>
      <c r="Q878" s="15" t="str">
        <f>IF(OR(J878="",H878=""),"",IFERROR(IF(ISNUMBER(N878),N878,IF(K878&lt;N(INDEX(Platforms!$G$5:$G$14,MATCH(H878,Lists!$A$2:$A$11,0))),N(INDEX(Platforms!$H$5:$H$14,MATCH(H878,Lists!$A$2:$A$11,0))),MAX(N(INDEX(Platforms!$F$5:$F$14,MATCH(H878,Lists!$A$2:$A$11,0))),N(INDEX(Platforms!$C$5:$C$14,MATCH(H878,Lists!$A$2:$A$11,0)))*(K878+IF(INDEX(Platforms!$E$5:$E$14,MATCH(H878,Lists!$A$2:$A$11,0))="Yes",N(L878),0))+N(INDEX(Platforms!$D$5:$D$14,MATCH(H878,Lists!$A$2:$A$11,0)))))),""))</f>
        <v/>
      </c>
      <c r="R878" s="16" t="str">
        <f t="shared" si="53"/>
        <v/>
      </c>
      <c r="S878" s="17" t="str">
        <f t="shared" si="54"/>
        <v/>
      </c>
      <c r="T878" s="18" t="str">
        <f t="shared" ca="1" si="55"/>
        <v/>
      </c>
    </row>
    <row r="879" spans="1:20" x14ac:dyDescent="0.35">
      <c r="A879" s="11"/>
      <c r="B879" s="11"/>
      <c r="C879" s="11"/>
      <c r="D879" s="12"/>
      <c r="E879" s="11"/>
      <c r="F879" s="13"/>
      <c r="G879" s="13"/>
      <c r="H879" s="11"/>
      <c r="I879" s="12"/>
      <c r="J879" s="12"/>
      <c r="K879" s="13"/>
      <c r="L879" s="13"/>
      <c r="M879" s="13"/>
      <c r="N879" s="13"/>
      <c r="O879" s="13"/>
      <c r="P879" s="14" t="str">
        <f t="shared" si="52"/>
        <v/>
      </c>
      <c r="Q879" s="15" t="str">
        <f>IF(OR(J879="",H879=""),"",IFERROR(IF(ISNUMBER(N879),N879,IF(K879&lt;N(INDEX(Platforms!$G$5:$G$14,MATCH(H879,Lists!$A$2:$A$11,0))),N(INDEX(Platforms!$H$5:$H$14,MATCH(H879,Lists!$A$2:$A$11,0))),MAX(N(INDEX(Platforms!$F$5:$F$14,MATCH(H879,Lists!$A$2:$A$11,0))),N(INDEX(Platforms!$C$5:$C$14,MATCH(H879,Lists!$A$2:$A$11,0)))*(K879+IF(INDEX(Platforms!$E$5:$E$14,MATCH(H879,Lists!$A$2:$A$11,0))="Yes",N(L879),0))+N(INDEX(Platforms!$D$5:$D$14,MATCH(H879,Lists!$A$2:$A$11,0)))))),""))</f>
        <v/>
      </c>
      <c r="R879" s="16" t="str">
        <f t="shared" si="53"/>
        <v/>
      </c>
      <c r="S879" s="17" t="str">
        <f t="shared" si="54"/>
        <v/>
      </c>
      <c r="T879" s="18" t="str">
        <f t="shared" ca="1" si="55"/>
        <v/>
      </c>
    </row>
    <row r="880" spans="1:20" x14ac:dyDescent="0.35">
      <c r="A880" s="11"/>
      <c r="B880" s="11"/>
      <c r="C880" s="11"/>
      <c r="D880" s="12"/>
      <c r="E880" s="11"/>
      <c r="F880" s="13"/>
      <c r="G880" s="13"/>
      <c r="H880" s="11"/>
      <c r="I880" s="12"/>
      <c r="J880" s="12"/>
      <c r="K880" s="13"/>
      <c r="L880" s="13"/>
      <c r="M880" s="13"/>
      <c r="N880" s="13"/>
      <c r="O880" s="13"/>
      <c r="P880" s="14" t="str">
        <f t="shared" si="52"/>
        <v/>
      </c>
      <c r="Q880" s="15" t="str">
        <f>IF(OR(J880="",H880=""),"",IFERROR(IF(ISNUMBER(N880),N880,IF(K880&lt;N(INDEX(Platforms!$G$5:$G$14,MATCH(H880,Lists!$A$2:$A$11,0))),N(INDEX(Platforms!$H$5:$H$14,MATCH(H880,Lists!$A$2:$A$11,0))),MAX(N(INDEX(Platforms!$F$5:$F$14,MATCH(H880,Lists!$A$2:$A$11,0))),N(INDEX(Platforms!$C$5:$C$14,MATCH(H880,Lists!$A$2:$A$11,0)))*(K880+IF(INDEX(Platforms!$E$5:$E$14,MATCH(H880,Lists!$A$2:$A$11,0))="Yes",N(L880),0))+N(INDEX(Platforms!$D$5:$D$14,MATCH(H880,Lists!$A$2:$A$11,0)))))),""))</f>
        <v/>
      </c>
      <c r="R880" s="16" t="str">
        <f t="shared" si="53"/>
        <v/>
      </c>
      <c r="S880" s="17" t="str">
        <f t="shared" si="54"/>
        <v/>
      </c>
      <c r="T880" s="18" t="str">
        <f t="shared" ca="1" si="55"/>
        <v/>
      </c>
    </row>
    <row r="881" spans="1:20" x14ac:dyDescent="0.35">
      <c r="A881" s="11"/>
      <c r="B881" s="11"/>
      <c r="C881" s="11"/>
      <c r="D881" s="12"/>
      <c r="E881" s="11"/>
      <c r="F881" s="13"/>
      <c r="G881" s="13"/>
      <c r="H881" s="11"/>
      <c r="I881" s="12"/>
      <c r="J881" s="12"/>
      <c r="K881" s="13"/>
      <c r="L881" s="13"/>
      <c r="M881" s="13"/>
      <c r="N881" s="13"/>
      <c r="O881" s="13"/>
      <c r="P881" s="14" t="str">
        <f t="shared" si="52"/>
        <v/>
      </c>
      <c r="Q881" s="15" t="str">
        <f>IF(OR(J881="",H881=""),"",IFERROR(IF(ISNUMBER(N881),N881,IF(K881&lt;N(INDEX(Platforms!$G$5:$G$14,MATCH(H881,Lists!$A$2:$A$11,0))),N(INDEX(Platforms!$H$5:$H$14,MATCH(H881,Lists!$A$2:$A$11,0))),MAX(N(INDEX(Platforms!$F$5:$F$14,MATCH(H881,Lists!$A$2:$A$11,0))),N(INDEX(Platforms!$C$5:$C$14,MATCH(H881,Lists!$A$2:$A$11,0)))*(K881+IF(INDEX(Platforms!$E$5:$E$14,MATCH(H881,Lists!$A$2:$A$11,0))="Yes",N(L881),0))+N(INDEX(Platforms!$D$5:$D$14,MATCH(H881,Lists!$A$2:$A$11,0)))))),""))</f>
        <v/>
      </c>
      <c r="R881" s="16" t="str">
        <f t="shared" si="53"/>
        <v/>
      </c>
      <c r="S881" s="17" t="str">
        <f t="shared" si="54"/>
        <v/>
      </c>
      <c r="T881" s="18" t="str">
        <f t="shared" ca="1" si="55"/>
        <v/>
      </c>
    </row>
    <row r="882" spans="1:20" x14ac:dyDescent="0.35">
      <c r="A882" s="11"/>
      <c r="B882" s="11"/>
      <c r="C882" s="11"/>
      <c r="D882" s="12"/>
      <c r="E882" s="11"/>
      <c r="F882" s="13"/>
      <c r="G882" s="13"/>
      <c r="H882" s="11"/>
      <c r="I882" s="12"/>
      <c r="J882" s="12"/>
      <c r="K882" s="13"/>
      <c r="L882" s="13"/>
      <c r="M882" s="13"/>
      <c r="N882" s="13"/>
      <c r="O882" s="13"/>
      <c r="P882" s="14" t="str">
        <f t="shared" si="52"/>
        <v/>
      </c>
      <c r="Q882" s="15" t="str">
        <f>IF(OR(J882="",H882=""),"",IFERROR(IF(ISNUMBER(N882),N882,IF(K882&lt;N(INDEX(Platforms!$G$5:$G$14,MATCH(H882,Lists!$A$2:$A$11,0))),N(INDEX(Platforms!$H$5:$H$14,MATCH(H882,Lists!$A$2:$A$11,0))),MAX(N(INDEX(Platforms!$F$5:$F$14,MATCH(H882,Lists!$A$2:$A$11,0))),N(INDEX(Platforms!$C$5:$C$14,MATCH(H882,Lists!$A$2:$A$11,0)))*(K882+IF(INDEX(Platforms!$E$5:$E$14,MATCH(H882,Lists!$A$2:$A$11,0))="Yes",N(L882),0))+N(INDEX(Platforms!$D$5:$D$14,MATCH(H882,Lists!$A$2:$A$11,0)))))),""))</f>
        <v/>
      </c>
      <c r="R882" s="16" t="str">
        <f t="shared" si="53"/>
        <v/>
      </c>
      <c r="S882" s="17" t="str">
        <f t="shared" si="54"/>
        <v/>
      </c>
      <c r="T882" s="18" t="str">
        <f t="shared" ca="1" si="55"/>
        <v/>
      </c>
    </row>
    <row r="883" spans="1:20" x14ac:dyDescent="0.35">
      <c r="A883" s="11"/>
      <c r="B883" s="11"/>
      <c r="C883" s="11"/>
      <c r="D883" s="12"/>
      <c r="E883" s="11"/>
      <c r="F883" s="13"/>
      <c r="G883" s="13"/>
      <c r="H883" s="11"/>
      <c r="I883" s="12"/>
      <c r="J883" s="12"/>
      <c r="K883" s="13"/>
      <c r="L883" s="13"/>
      <c r="M883" s="13"/>
      <c r="N883" s="13"/>
      <c r="O883" s="13"/>
      <c r="P883" s="14" t="str">
        <f t="shared" si="52"/>
        <v/>
      </c>
      <c r="Q883" s="15" t="str">
        <f>IF(OR(J883="",H883=""),"",IFERROR(IF(ISNUMBER(N883),N883,IF(K883&lt;N(INDEX(Platforms!$G$5:$G$14,MATCH(H883,Lists!$A$2:$A$11,0))),N(INDEX(Platforms!$H$5:$H$14,MATCH(H883,Lists!$A$2:$A$11,0))),MAX(N(INDEX(Platforms!$F$5:$F$14,MATCH(H883,Lists!$A$2:$A$11,0))),N(INDEX(Platforms!$C$5:$C$14,MATCH(H883,Lists!$A$2:$A$11,0)))*(K883+IF(INDEX(Platforms!$E$5:$E$14,MATCH(H883,Lists!$A$2:$A$11,0))="Yes",N(L883),0))+N(INDEX(Platforms!$D$5:$D$14,MATCH(H883,Lists!$A$2:$A$11,0)))))),""))</f>
        <v/>
      </c>
      <c r="R883" s="16" t="str">
        <f t="shared" si="53"/>
        <v/>
      </c>
      <c r="S883" s="17" t="str">
        <f t="shared" si="54"/>
        <v/>
      </c>
      <c r="T883" s="18" t="str">
        <f t="shared" ca="1" si="55"/>
        <v/>
      </c>
    </row>
    <row r="884" spans="1:20" x14ac:dyDescent="0.35">
      <c r="A884" s="11"/>
      <c r="B884" s="11"/>
      <c r="C884" s="11"/>
      <c r="D884" s="12"/>
      <c r="E884" s="11"/>
      <c r="F884" s="13"/>
      <c r="G884" s="13"/>
      <c r="H884" s="11"/>
      <c r="I884" s="12"/>
      <c r="J884" s="12"/>
      <c r="K884" s="13"/>
      <c r="L884" s="13"/>
      <c r="M884" s="13"/>
      <c r="N884" s="13"/>
      <c r="O884" s="13"/>
      <c r="P884" s="14" t="str">
        <f t="shared" si="52"/>
        <v/>
      </c>
      <c r="Q884" s="15" t="str">
        <f>IF(OR(J884="",H884=""),"",IFERROR(IF(ISNUMBER(N884),N884,IF(K884&lt;N(INDEX(Platforms!$G$5:$G$14,MATCH(H884,Lists!$A$2:$A$11,0))),N(INDEX(Platforms!$H$5:$H$14,MATCH(H884,Lists!$A$2:$A$11,0))),MAX(N(INDEX(Platforms!$F$5:$F$14,MATCH(H884,Lists!$A$2:$A$11,0))),N(INDEX(Platforms!$C$5:$C$14,MATCH(H884,Lists!$A$2:$A$11,0)))*(K884+IF(INDEX(Platforms!$E$5:$E$14,MATCH(H884,Lists!$A$2:$A$11,0))="Yes",N(L884),0))+N(INDEX(Platforms!$D$5:$D$14,MATCH(H884,Lists!$A$2:$A$11,0)))))),""))</f>
        <v/>
      </c>
      <c r="R884" s="16" t="str">
        <f t="shared" si="53"/>
        <v/>
      </c>
      <c r="S884" s="17" t="str">
        <f t="shared" si="54"/>
        <v/>
      </c>
      <c r="T884" s="18" t="str">
        <f t="shared" ca="1" si="55"/>
        <v/>
      </c>
    </row>
    <row r="885" spans="1:20" x14ac:dyDescent="0.35">
      <c r="A885" s="11"/>
      <c r="B885" s="11"/>
      <c r="C885" s="11"/>
      <c r="D885" s="12"/>
      <c r="E885" s="11"/>
      <c r="F885" s="13"/>
      <c r="G885" s="13"/>
      <c r="H885" s="11"/>
      <c r="I885" s="12"/>
      <c r="J885" s="12"/>
      <c r="K885" s="13"/>
      <c r="L885" s="13"/>
      <c r="M885" s="13"/>
      <c r="N885" s="13"/>
      <c r="O885" s="13"/>
      <c r="P885" s="14" t="str">
        <f t="shared" si="52"/>
        <v/>
      </c>
      <c r="Q885" s="15" t="str">
        <f>IF(OR(J885="",H885=""),"",IFERROR(IF(ISNUMBER(N885),N885,IF(K885&lt;N(INDEX(Platforms!$G$5:$G$14,MATCH(H885,Lists!$A$2:$A$11,0))),N(INDEX(Platforms!$H$5:$H$14,MATCH(H885,Lists!$A$2:$A$11,0))),MAX(N(INDEX(Platforms!$F$5:$F$14,MATCH(H885,Lists!$A$2:$A$11,0))),N(INDEX(Platforms!$C$5:$C$14,MATCH(H885,Lists!$A$2:$A$11,0)))*(K885+IF(INDEX(Platforms!$E$5:$E$14,MATCH(H885,Lists!$A$2:$A$11,0))="Yes",N(L885),0))+N(INDEX(Platforms!$D$5:$D$14,MATCH(H885,Lists!$A$2:$A$11,0)))))),""))</f>
        <v/>
      </c>
      <c r="R885" s="16" t="str">
        <f t="shared" si="53"/>
        <v/>
      </c>
      <c r="S885" s="17" t="str">
        <f t="shared" si="54"/>
        <v/>
      </c>
      <c r="T885" s="18" t="str">
        <f t="shared" ca="1" si="55"/>
        <v/>
      </c>
    </row>
    <row r="886" spans="1:20" x14ac:dyDescent="0.35">
      <c r="A886" s="11"/>
      <c r="B886" s="11"/>
      <c r="C886" s="11"/>
      <c r="D886" s="12"/>
      <c r="E886" s="11"/>
      <c r="F886" s="13"/>
      <c r="G886" s="13"/>
      <c r="H886" s="11"/>
      <c r="I886" s="12"/>
      <c r="J886" s="12"/>
      <c r="K886" s="13"/>
      <c r="L886" s="13"/>
      <c r="M886" s="13"/>
      <c r="N886" s="13"/>
      <c r="O886" s="13"/>
      <c r="P886" s="14" t="str">
        <f t="shared" si="52"/>
        <v/>
      </c>
      <c r="Q886" s="15" t="str">
        <f>IF(OR(J886="",H886=""),"",IFERROR(IF(ISNUMBER(N886),N886,IF(K886&lt;N(INDEX(Platforms!$G$5:$G$14,MATCH(H886,Lists!$A$2:$A$11,0))),N(INDEX(Platforms!$H$5:$H$14,MATCH(H886,Lists!$A$2:$A$11,0))),MAX(N(INDEX(Platforms!$F$5:$F$14,MATCH(H886,Lists!$A$2:$A$11,0))),N(INDEX(Platforms!$C$5:$C$14,MATCH(H886,Lists!$A$2:$A$11,0)))*(K886+IF(INDEX(Platforms!$E$5:$E$14,MATCH(H886,Lists!$A$2:$A$11,0))="Yes",N(L886),0))+N(INDEX(Platforms!$D$5:$D$14,MATCH(H886,Lists!$A$2:$A$11,0)))))),""))</f>
        <v/>
      </c>
      <c r="R886" s="16" t="str">
        <f t="shared" si="53"/>
        <v/>
      </c>
      <c r="S886" s="17" t="str">
        <f t="shared" si="54"/>
        <v/>
      </c>
      <c r="T886" s="18" t="str">
        <f t="shared" ca="1" si="55"/>
        <v/>
      </c>
    </row>
    <row r="887" spans="1:20" x14ac:dyDescent="0.35">
      <c r="A887" s="11"/>
      <c r="B887" s="11"/>
      <c r="C887" s="11"/>
      <c r="D887" s="12"/>
      <c r="E887" s="11"/>
      <c r="F887" s="13"/>
      <c r="G887" s="13"/>
      <c r="H887" s="11"/>
      <c r="I887" s="12"/>
      <c r="J887" s="12"/>
      <c r="K887" s="13"/>
      <c r="L887" s="13"/>
      <c r="M887" s="13"/>
      <c r="N887" s="13"/>
      <c r="O887" s="13"/>
      <c r="P887" s="14" t="str">
        <f t="shared" si="52"/>
        <v/>
      </c>
      <c r="Q887" s="15" t="str">
        <f>IF(OR(J887="",H887=""),"",IFERROR(IF(ISNUMBER(N887),N887,IF(K887&lt;N(INDEX(Platforms!$G$5:$G$14,MATCH(H887,Lists!$A$2:$A$11,0))),N(INDEX(Platforms!$H$5:$H$14,MATCH(H887,Lists!$A$2:$A$11,0))),MAX(N(INDEX(Platforms!$F$5:$F$14,MATCH(H887,Lists!$A$2:$A$11,0))),N(INDEX(Platforms!$C$5:$C$14,MATCH(H887,Lists!$A$2:$A$11,0)))*(K887+IF(INDEX(Platforms!$E$5:$E$14,MATCH(H887,Lists!$A$2:$A$11,0))="Yes",N(L887),0))+N(INDEX(Platforms!$D$5:$D$14,MATCH(H887,Lists!$A$2:$A$11,0)))))),""))</f>
        <v/>
      </c>
      <c r="R887" s="16" t="str">
        <f t="shared" si="53"/>
        <v/>
      </c>
      <c r="S887" s="17" t="str">
        <f t="shared" si="54"/>
        <v/>
      </c>
      <c r="T887" s="18" t="str">
        <f t="shared" ca="1" si="55"/>
        <v/>
      </c>
    </row>
    <row r="888" spans="1:20" x14ac:dyDescent="0.35">
      <c r="A888" s="11"/>
      <c r="B888" s="11"/>
      <c r="C888" s="11"/>
      <c r="D888" s="12"/>
      <c r="E888" s="11"/>
      <c r="F888" s="13"/>
      <c r="G888" s="13"/>
      <c r="H888" s="11"/>
      <c r="I888" s="12"/>
      <c r="J888" s="12"/>
      <c r="K888" s="13"/>
      <c r="L888" s="13"/>
      <c r="M888" s="13"/>
      <c r="N888" s="13"/>
      <c r="O888" s="13"/>
      <c r="P888" s="14" t="str">
        <f t="shared" si="52"/>
        <v/>
      </c>
      <c r="Q888" s="15" t="str">
        <f>IF(OR(J888="",H888=""),"",IFERROR(IF(ISNUMBER(N888),N888,IF(K888&lt;N(INDEX(Platforms!$G$5:$G$14,MATCH(H888,Lists!$A$2:$A$11,0))),N(INDEX(Platforms!$H$5:$H$14,MATCH(H888,Lists!$A$2:$A$11,0))),MAX(N(INDEX(Platforms!$F$5:$F$14,MATCH(H888,Lists!$A$2:$A$11,0))),N(INDEX(Platforms!$C$5:$C$14,MATCH(H888,Lists!$A$2:$A$11,0)))*(K888+IF(INDEX(Platforms!$E$5:$E$14,MATCH(H888,Lists!$A$2:$A$11,0))="Yes",N(L888),0))+N(INDEX(Platforms!$D$5:$D$14,MATCH(H888,Lists!$A$2:$A$11,0)))))),""))</f>
        <v/>
      </c>
      <c r="R888" s="16" t="str">
        <f t="shared" si="53"/>
        <v/>
      </c>
      <c r="S888" s="17" t="str">
        <f t="shared" si="54"/>
        <v/>
      </c>
      <c r="T888" s="18" t="str">
        <f t="shared" ca="1" si="55"/>
        <v/>
      </c>
    </row>
    <row r="889" spans="1:20" x14ac:dyDescent="0.35">
      <c r="A889" s="11"/>
      <c r="B889" s="11"/>
      <c r="C889" s="11"/>
      <c r="D889" s="12"/>
      <c r="E889" s="11"/>
      <c r="F889" s="13"/>
      <c r="G889" s="13"/>
      <c r="H889" s="11"/>
      <c r="I889" s="12"/>
      <c r="J889" s="12"/>
      <c r="K889" s="13"/>
      <c r="L889" s="13"/>
      <c r="M889" s="13"/>
      <c r="N889" s="13"/>
      <c r="O889" s="13"/>
      <c r="P889" s="14" t="str">
        <f t="shared" si="52"/>
        <v/>
      </c>
      <c r="Q889" s="15" t="str">
        <f>IF(OR(J889="",H889=""),"",IFERROR(IF(ISNUMBER(N889),N889,IF(K889&lt;N(INDEX(Platforms!$G$5:$G$14,MATCH(H889,Lists!$A$2:$A$11,0))),N(INDEX(Platforms!$H$5:$H$14,MATCH(H889,Lists!$A$2:$A$11,0))),MAX(N(INDEX(Platforms!$F$5:$F$14,MATCH(H889,Lists!$A$2:$A$11,0))),N(INDEX(Platforms!$C$5:$C$14,MATCH(H889,Lists!$A$2:$A$11,0)))*(K889+IF(INDEX(Platforms!$E$5:$E$14,MATCH(H889,Lists!$A$2:$A$11,0))="Yes",N(L889),0))+N(INDEX(Platforms!$D$5:$D$14,MATCH(H889,Lists!$A$2:$A$11,0)))))),""))</f>
        <v/>
      </c>
      <c r="R889" s="16" t="str">
        <f t="shared" si="53"/>
        <v/>
      </c>
      <c r="S889" s="17" t="str">
        <f t="shared" si="54"/>
        <v/>
      </c>
      <c r="T889" s="18" t="str">
        <f t="shared" ca="1" si="55"/>
        <v/>
      </c>
    </row>
    <row r="890" spans="1:20" x14ac:dyDescent="0.35">
      <c r="A890" s="11"/>
      <c r="B890" s="11"/>
      <c r="C890" s="11"/>
      <c r="D890" s="12"/>
      <c r="E890" s="11"/>
      <c r="F890" s="13"/>
      <c r="G890" s="13"/>
      <c r="H890" s="11"/>
      <c r="I890" s="12"/>
      <c r="J890" s="12"/>
      <c r="K890" s="13"/>
      <c r="L890" s="13"/>
      <c r="M890" s="13"/>
      <c r="N890" s="13"/>
      <c r="O890" s="13"/>
      <c r="P890" s="14" t="str">
        <f t="shared" si="52"/>
        <v/>
      </c>
      <c r="Q890" s="15" t="str">
        <f>IF(OR(J890="",H890=""),"",IFERROR(IF(ISNUMBER(N890),N890,IF(K890&lt;N(INDEX(Platforms!$G$5:$G$14,MATCH(H890,Lists!$A$2:$A$11,0))),N(INDEX(Platforms!$H$5:$H$14,MATCH(H890,Lists!$A$2:$A$11,0))),MAX(N(INDEX(Platforms!$F$5:$F$14,MATCH(H890,Lists!$A$2:$A$11,0))),N(INDEX(Platforms!$C$5:$C$14,MATCH(H890,Lists!$A$2:$A$11,0)))*(K890+IF(INDEX(Platforms!$E$5:$E$14,MATCH(H890,Lists!$A$2:$A$11,0))="Yes",N(L890),0))+N(INDEX(Platforms!$D$5:$D$14,MATCH(H890,Lists!$A$2:$A$11,0)))))),""))</f>
        <v/>
      </c>
      <c r="R890" s="16" t="str">
        <f t="shared" si="53"/>
        <v/>
      </c>
      <c r="S890" s="17" t="str">
        <f t="shared" si="54"/>
        <v/>
      </c>
      <c r="T890" s="18" t="str">
        <f t="shared" ca="1" si="55"/>
        <v/>
      </c>
    </row>
    <row r="891" spans="1:20" x14ac:dyDescent="0.35">
      <c r="A891" s="11"/>
      <c r="B891" s="11"/>
      <c r="C891" s="11"/>
      <c r="D891" s="12"/>
      <c r="E891" s="11"/>
      <c r="F891" s="13"/>
      <c r="G891" s="13"/>
      <c r="H891" s="11"/>
      <c r="I891" s="12"/>
      <c r="J891" s="12"/>
      <c r="K891" s="13"/>
      <c r="L891" s="13"/>
      <c r="M891" s="13"/>
      <c r="N891" s="13"/>
      <c r="O891" s="13"/>
      <c r="P891" s="14" t="str">
        <f t="shared" si="52"/>
        <v/>
      </c>
      <c r="Q891" s="15" t="str">
        <f>IF(OR(J891="",H891=""),"",IFERROR(IF(ISNUMBER(N891),N891,IF(K891&lt;N(INDEX(Platforms!$G$5:$G$14,MATCH(H891,Lists!$A$2:$A$11,0))),N(INDEX(Platforms!$H$5:$H$14,MATCH(H891,Lists!$A$2:$A$11,0))),MAX(N(INDEX(Platforms!$F$5:$F$14,MATCH(H891,Lists!$A$2:$A$11,0))),N(INDEX(Platforms!$C$5:$C$14,MATCH(H891,Lists!$A$2:$A$11,0)))*(K891+IF(INDEX(Platforms!$E$5:$E$14,MATCH(H891,Lists!$A$2:$A$11,0))="Yes",N(L891),0))+N(INDEX(Platforms!$D$5:$D$14,MATCH(H891,Lists!$A$2:$A$11,0)))))),""))</f>
        <v/>
      </c>
      <c r="R891" s="16" t="str">
        <f t="shared" si="53"/>
        <v/>
      </c>
      <c r="S891" s="17" t="str">
        <f t="shared" si="54"/>
        <v/>
      </c>
      <c r="T891" s="18" t="str">
        <f t="shared" ca="1" si="55"/>
        <v/>
      </c>
    </row>
    <row r="892" spans="1:20" x14ac:dyDescent="0.35">
      <c r="A892" s="11"/>
      <c r="B892" s="11"/>
      <c r="C892" s="11"/>
      <c r="D892" s="12"/>
      <c r="E892" s="11"/>
      <c r="F892" s="13"/>
      <c r="G892" s="13"/>
      <c r="H892" s="11"/>
      <c r="I892" s="12"/>
      <c r="J892" s="12"/>
      <c r="K892" s="13"/>
      <c r="L892" s="13"/>
      <c r="M892" s="13"/>
      <c r="N892" s="13"/>
      <c r="O892" s="13"/>
      <c r="P892" s="14" t="str">
        <f t="shared" si="52"/>
        <v/>
      </c>
      <c r="Q892" s="15" t="str">
        <f>IF(OR(J892="",H892=""),"",IFERROR(IF(ISNUMBER(N892),N892,IF(K892&lt;N(INDEX(Platforms!$G$5:$G$14,MATCH(H892,Lists!$A$2:$A$11,0))),N(INDEX(Platforms!$H$5:$H$14,MATCH(H892,Lists!$A$2:$A$11,0))),MAX(N(INDEX(Platforms!$F$5:$F$14,MATCH(H892,Lists!$A$2:$A$11,0))),N(INDEX(Platforms!$C$5:$C$14,MATCH(H892,Lists!$A$2:$A$11,0)))*(K892+IF(INDEX(Platforms!$E$5:$E$14,MATCH(H892,Lists!$A$2:$A$11,0))="Yes",N(L892),0))+N(INDEX(Platforms!$D$5:$D$14,MATCH(H892,Lists!$A$2:$A$11,0)))))),""))</f>
        <v/>
      </c>
      <c r="R892" s="16" t="str">
        <f t="shared" si="53"/>
        <v/>
      </c>
      <c r="S892" s="17" t="str">
        <f t="shared" si="54"/>
        <v/>
      </c>
      <c r="T892" s="18" t="str">
        <f t="shared" ca="1" si="55"/>
        <v/>
      </c>
    </row>
    <row r="893" spans="1:20" x14ac:dyDescent="0.35">
      <c r="A893" s="11"/>
      <c r="B893" s="11"/>
      <c r="C893" s="11"/>
      <c r="D893" s="12"/>
      <c r="E893" s="11"/>
      <c r="F893" s="13"/>
      <c r="G893" s="13"/>
      <c r="H893" s="11"/>
      <c r="I893" s="12"/>
      <c r="J893" s="12"/>
      <c r="K893" s="13"/>
      <c r="L893" s="13"/>
      <c r="M893" s="13"/>
      <c r="N893" s="13"/>
      <c r="O893" s="13"/>
      <c r="P893" s="14" t="str">
        <f t="shared" si="52"/>
        <v/>
      </c>
      <c r="Q893" s="15" t="str">
        <f>IF(OR(J893="",H893=""),"",IFERROR(IF(ISNUMBER(N893),N893,IF(K893&lt;N(INDEX(Platforms!$G$5:$G$14,MATCH(H893,Lists!$A$2:$A$11,0))),N(INDEX(Platforms!$H$5:$H$14,MATCH(H893,Lists!$A$2:$A$11,0))),MAX(N(INDEX(Platforms!$F$5:$F$14,MATCH(H893,Lists!$A$2:$A$11,0))),N(INDEX(Platforms!$C$5:$C$14,MATCH(H893,Lists!$A$2:$A$11,0)))*(K893+IF(INDEX(Platforms!$E$5:$E$14,MATCH(H893,Lists!$A$2:$A$11,0))="Yes",N(L893),0))+N(INDEX(Platforms!$D$5:$D$14,MATCH(H893,Lists!$A$2:$A$11,0)))))),""))</f>
        <v/>
      </c>
      <c r="R893" s="16" t="str">
        <f t="shared" si="53"/>
        <v/>
      </c>
      <c r="S893" s="17" t="str">
        <f t="shared" si="54"/>
        <v/>
      </c>
      <c r="T893" s="18" t="str">
        <f t="shared" ca="1" si="55"/>
        <v/>
      </c>
    </row>
    <row r="894" spans="1:20" x14ac:dyDescent="0.35">
      <c r="A894" s="11"/>
      <c r="B894" s="11"/>
      <c r="C894" s="11"/>
      <c r="D894" s="12"/>
      <c r="E894" s="11"/>
      <c r="F894" s="13"/>
      <c r="G894" s="13"/>
      <c r="H894" s="11"/>
      <c r="I894" s="12"/>
      <c r="J894" s="12"/>
      <c r="K894" s="13"/>
      <c r="L894" s="13"/>
      <c r="M894" s="13"/>
      <c r="N894" s="13"/>
      <c r="O894" s="13"/>
      <c r="P894" s="14" t="str">
        <f t="shared" si="52"/>
        <v/>
      </c>
      <c r="Q894" s="15" t="str">
        <f>IF(OR(J894="",H894=""),"",IFERROR(IF(ISNUMBER(N894),N894,IF(K894&lt;N(INDEX(Platforms!$G$5:$G$14,MATCH(H894,Lists!$A$2:$A$11,0))),N(INDEX(Platforms!$H$5:$H$14,MATCH(H894,Lists!$A$2:$A$11,0))),MAX(N(INDEX(Platforms!$F$5:$F$14,MATCH(H894,Lists!$A$2:$A$11,0))),N(INDEX(Platforms!$C$5:$C$14,MATCH(H894,Lists!$A$2:$A$11,0)))*(K894+IF(INDEX(Platforms!$E$5:$E$14,MATCH(H894,Lists!$A$2:$A$11,0))="Yes",N(L894),0))+N(INDEX(Platforms!$D$5:$D$14,MATCH(H894,Lists!$A$2:$A$11,0)))))),""))</f>
        <v/>
      </c>
      <c r="R894" s="16" t="str">
        <f t="shared" si="53"/>
        <v/>
      </c>
      <c r="S894" s="17" t="str">
        <f t="shared" si="54"/>
        <v/>
      </c>
      <c r="T894" s="18" t="str">
        <f t="shared" ca="1" si="55"/>
        <v/>
      </c>
    </row>
    <row r="895" spans="1:20" x14ac:dyDescent="0.35">
      <c r="A895" s="11"/>
      <c r="B895" s="11"/>
      <c r="C895" s="11"/>
      <c r="D895" s="12"/>
      <c r="E895" s="11"/>
      <c r="F895" s="13"/>
      <c r="G895" s="13"/>
      <c r="H895" s="11"/>
      <c r="I895" s="12"/>
      <c r="J895" s="12"/>
      <c r="K895" s="13"/>
      <c r="L895" s="13"/>
      <c r="M895" s="13"/>
      <c r="N895" s="13"/>
      <c r="O895" s="13"/>
      <c r="P895" s="14" t="str">
        <f t="shared" si="52"/>
        <v/>
      </c>
      <c r="Q895" s="15" t="str">
        <f>IF(OR(J895="",H895=""),"",IFERROR(IF(ISNUMBER(N895),N895,IF(K895&lt;N(INDEX(Platforms!$G$5:$G$14,MATCH(H895,Lists!$A$2:$A$11,0))),N(INDEX(Platforms!$H$5:$H$14,MATCH(H895,Lists!$A$2:$A$11,0))),MAX(N(INDEX(Platforms!$F$5:$F$14,MATCH(H895,Lists!$A$2:$A$11,0))),N(INDEX(Platforms!$C$5:$C$14,MATCH(H895,Lists!$A$2:$A$11,0)))*(K895+IF(INDEX(Platforms!$E$5:$E$14,MATCH(H895,Lists!$A$2:$A$11,0))="Yes",N(L895),0))+N(INDEX(Platforms!$D$5:$D$14,MATCH(H895,Lists!$A$2:$A$11,0)))))),""))</f>
        <v/>
      </c>
      <c r="R895" s="16" t="str">
        <f t="shared" si="53"/>
        <v/>
      </c>
      <c r="S895" s="17" t="str">
        <f t="shared" si="54"/>
        <v/>
      </c>
      <c r="T895" s="18" t="str">
        <f t="shared" ca="1" si="55"/>
        <v/>
      </c>
    </row>
    <row r="896" spans="1:20" x14ac:dyDescent="0.35">
      <c r="A896" s="11"/>
      <c r="B896" s="11"/>
      <c r="C896" s="11"/>
      <c r="D896" s="12"/>
      <c r="E896" s="11"/>
      <c r="F896" s="13"/>
      <c r="G896" s="13"/>
      <c r="H896" s="11"/>
      <c r="I896" s="12"/>
      <c r="J896" s="12"/>
      <c r="K896" s="13"/>
      <c r="L896" s="13"/>
      <c r="M896" s="13"/>
      <c r="N896" s="13"/>
      <c r="O896" s="13"/>
      <c r="P896" s="14" t="str">
        <f t="shared" si="52"/>
        <v/>
      </c>
      <c r="Q896" s="15" t="str">
        <f>IF(OR(J896="",H896=""),"",IFERROR(IF(ISNUMBER(N896),N896,IF(K896&lt;N(INDEX(Platforms!$G$5:$G$14,MATCH(H896,Lists!$A$2:$A$11,0))),N(INDEX(Platforms!$H$5:$H$14,MATCH(H896,Lists!$A$2:$A$11,0))),MAX(N(INDEX(Platforms!$F$5:$F$14,MATCH(H896,Lists!$A$2:$A$11,0))),N(INDEX(Platforms!$C$5:$C$14,MATCH(H896,Lists!$A$2:$A$11,0)))*(K896+IF(INDEX(Platforms!$E$5:$E$14,MATCH(H896,Lists!$A$2:$A$11,0))="Yes",N(L896),0))+N(INDEX(Platforms!$D$5:$D$14,MATCH(H896,Lists!$A$2:$A$11,0)))))),""))</f>
        <v/>
      </c>
      <c r="R896" s="16" t="str">
        <f t="shared" si="53"/>
        <v/>
      </c>
      <c r="S896" s="17" t="str">
        <f t="shared" si="54"/>
        <v/>
      </c>
      <c r="T896" s="18" t="str">
        <f t="shared" ca="1" si="55"/>
        <v/>
      </c>
    </row>
    <row r="897" spans="1:20" x14ac:dyDescent="0.35">
      <c r="A897" s="11"/>
      <c r="B897" s="11"/>
      <c r="C897" s="11"/>
      <c r="D897" s="12"/>
      <c r="E897" s="11"/>
      <c r="F897" s="13"/>
      <c r="G897" s="13"/>
      <c r="H897" s="11"/>
      <c r="I897" s="12"/>
      <c r="J897" s="12"/>
      <c r="K897" s="13"/>
      <c r="L897" s="13"/>
      <c r="M897" s="13"/>
      <c r="N897" s="13"/>
      <c r="O897" s="13"/>
      <c r="P897" s="14" t="str">
        <f t="shared" si="52"/>
        <v/>
      </c>
      <c r="Q897" s="15" t="str">
        <f>IF(OR(J897="",H897=""),"",IFERROR(IF(ISNUMBER(N897),N897,IF(K897&lt;N(INDEX(Platforms!$G$5:$G$14,MATCH(H897,Lists!$A$2:$A$11,0))),N(INDEX(Platforms!$H$5:$H$14,MATCH(H897,Lists!$A$2:$A$11,0))),MAX(N(INDEX(Platforms!$F$5:$F$14,MATCH(H897,Lists!$A$2:$A$11,0))),N(INDEX(Platforms!$C$5:$C$14,MATCH(H897,Lists!$A$2:$A$11,0)))*(K897+IF(INDEX(Platforms!$E$5:$E$14,MATCH(H897,Lists!$A$2:$A$11,0))="Yes",N(L897),0))+N(INDEX(Platforms!$D$5:$D$14,MATCH(H897,Lists!$A$2:$A$11,0)))))),""))</f>
        <v/>
      </c>
      <c r="R897" s="16" t="str">
        <f t="shared" si="53"/>
        <v/>
      </c>
      <c r="S897" s="17" t="str">
        <f t="shared" si="54"/>
        <v/>
      </c>
      <c r="T897" s="18" t="str">
        <f t="shared" ca="1" si="55"/>
        <v/>
      </c>
    </row>
    <row r="898" spans="1:20" x14ac:dyDescent="0.35">
      <c r="A898" s="11"/>
      <c r="B898" s="11"/>
      <c r="C898" s="11"/>
      <c r="D898" s="12"/>
      <c r="E898" s="11"/>
      <c r="F898" s="13"/>
      <c r="G898" s="13"/>
      <c r="H898" s="11"/>
      <c r="I898" s="12"/>
      <c r="J898" s="12"/>
      <c r="K898" s="13"/>
      <c r="L898" s="13"/>
      <c r="M898" s="13"/>
      <c r="N898" s="13"/>
      <c r="O898" s="13"/>
      <c r="P898" s="14" t="str">
        <f t="shared" si="52"/>
        <v/>
      </c>
      <c r="Q898" s="15" t="str">
        <f>IF(OR(J898="",H898=""),"",IFERROR(IF(ISNUMBER(N898),N898,IF(K898&lt;N(INDEX(Platforms!$G$5:$G$14,MATCH(H898,Lists!$A$2:$A$11,0))),N(INDEX(Platforms!$H$5:$H$14,MATCH(H898,Lists!$A$2:$A$11,0))),MAX(N(INDEX(Platforms!$F$5:$F$14,MATCH(H898,Lists!$A$2:$A$11,0))),N(INDEX(Platforms!$C$5:$C$14,MATCH(H898,Lists!$A$2:$A$11,0)))*(K898+IF(INDEX(Platforms!$E$5:$E$14,MATCH(H898,Lists!$A$2:$A$11,0))="Yes",N(L898),0))+N(INDEX(Platforms!$D$5:$D$14,MATCH(H898,Lists!$A$2:$A$11,0)))))),""))</f>
        <v/>
      </c>
      <c r="R898" s="16" t="str">
        <f t="shared" si="53"/>
        <v/>
      </c>
      <c r="S898" s="17" t="str">
        <f t="shared" si="54"/>
        <v/>
      </c>
      <c r="T898" s="18" t="str">
        <f t="shared" ca="1" si="55"/>
        <v/>
      </c>
    </row>
    <row r="899" spans="1:20" x14ac:dyDescent="0.35">
      <c r="A899" s="11"/>
      <c r="B899" s="11"/>
      <c r="C899" s="11"/>
      <c r="D899" s="12"/>
      <c r="E899" s="11"/>
      <c r="F899" s="13"/>
      <c r="G899" s="13"/>
      <c r="H899" s="11"/>
      <c r="I899" s="12"/>
      <c r="J899" s="12"/>
      <c r="K899" s="13"/>
      <c r="L899" s="13"/>
      <c r="M899" s="13"/>
      <c r="N899" s="13"/>
      <c r="O899" s="13"/>
      <c r="P899" s="14" t="str">
        <f t="shared" si="52"/>
        <v/>
      </c>
      <c r="Q899" s="15" t="str">
        <f>IF(OR(J899="",H899=""),"",IFERROR(IF(ISNUMBER(N899),N899,IF(K899&lt;N(INDEX(Platforms!$G$5:$G$14,MATCH(H899,Lists!$A$2:$A$11,0))),N(INDEX(Platforms!$H$5:$H$14,MATCH(H899,Lists!$A$2:$A$11,0))),MAX(N(INDEX(Platforms!$F$5:$F$14,MATCH(H899,Lists!$A$2:$A$11,0))),N(INDEX(Platforms!$C$5:$C$14,MATCH(H899,Lists!$A$2:$A$11,0)))*(K899+IF(INDEX(Platforms!$E$5:$E$14,MATCH(H899,Lists!$A$2:$A$11,0))="Yes",N(L899),0))+N(INDEX(Platforms!$D$5:$D$14,MATCH(H899,Lists!$A$2:$A$11,0)))))),""))</f>
        <v/>
      </c>
      <c r="R899" s="16" t="str">
        <f t="shared" si="53"/>
        <v/>
      </c>
      <c r="S899" s="17" t="str">
        <f t="shared" si="54"/>
        <v/>
      </c>
      <c r="T899" s="18" t="str">
        <f t="shared" ca="1" si="55"/>
        <v/>
      </c>
    </row>
    <row r="900" spans="1:20" x14ac:dyDescent="0.35">
      <c r="A900" s="11"/>
      <c r="B900" s="11"/>
      <c r="C900" s="11"/>
      <c r="D900" s="12"/>
      <c r="E900" s="11"/>
      <c r="F900" s="13"/>
      <c r="G900" s="13"/>
      <c r="H900" s="11"/>
      <c r="I900" s="12"/>
      <c r="J900" s="12"/>
      <c r="K900" s="13"/>
      <c r="L900" s="13"/>
      <c r="M900" s="13"/>
      <c r="N900" s="13"/>
      <c r="O900" s="13"/>
      <c r="P900" s="14" t="str">
        <f t="shared" si="52"/>
        <v/>
      </c>
      <c r="Q900" s="15" t="str">
        <f>IF(OR(J900="",H900=""),"",IFERROR(IF(ISNUMBER(N900),N900,IF(K900&lt;N(INDEX(Platforms!$G$5:$G$14,MATCH(H900,Lists!$A$2:$A$11,0))),N(INDEX(Platforms!$H$5:$H$14,MATCH(H900,Lists!$A$2:$A$11,0))),MAX(N(INDEX(Platforms!$F$5:$F$14,MATCH(H900,Lists!$A$2:$A$11,0))),N(INDEX(Platforms!$C$5:$C$14,MATCH(H900,Lists!$A$2:$A$11,0)))*(K900+IF(INDEX(Platforms!$E$5:$E$14,MATCH(H900,Lists!$A$2:$A$11,0))="Yes",N(L900),0))+N(INDEX(Platforms!$D$5:$D$14,MATCH(H900,Lists!$A$2:$A$11,0)))))),""))</f>
        <v/>
      </c>
      <c r="R900" s="16" t="str">
        <f t="shared" si="53"/>
        <v/>
      </c>
      <c r="S900" s="17" t="str">
        <f t="shared" si="54"/>
        <v/>
      </c>
      <c r="T900" s="18" t="str">
        <f t="shared" ca="1" si="55"/>
        <v/>
      </c>
    </row>
    <row r="901" spans="1:20" x14ac:dyDescent="0.35">
      <c r="A901" s="11"/>
      <c r="B901" s="11"/>
      <c r="C901" s="11"/>
      <c r="D901" s="12"/>
      <c r="E901" s="11"/>
      <c r="F901" s="13"/>
      <c r="G901" s="13"/>
      <c r="H901" s="11"/>
      <c r="I901" s="12"/>
      <c r="J901" s="12"/>
      <c r="K901" s="13"/>
      <c r="L901" s="13"/>
      <c r="M901" s="13"/>
      <c r="N901" s="13"/>
      <c r="O901" s="13"/>
      <c r="P901" s="14" t="str">
        <f t="shared" ref="P901:P964" si="56">IF(OR(B901&lt;&gt;"",F901&lt;&gt;"",H901&lt;&gt;"",J901&lt;&gt;"",K901&lt;&gt;""),IF(J901&lt;&gt;"","Sold",IF(I901&lt;&gt;"","Listed","In stock")),"")</f>
        <v/>
      </c>
      <c r="Q901" s="15" t="str">
        <f>IF(OR(J901="",H901=""),"",IFERROR(IF(ISNUMBER(N901),N901,IF(K901&lt;N(INDEX(Platforms!$G$5:$G$14,MATCH(H901,Lists!$A$2:$A$11,0))),N(INDEX(Platforms!$H$5:$H$14,MATCH(H901,Lists!$A$2:$A$11,0))),MAX(N(INDEX(Platforms!$F$5:$F$14,MATCH(H901,Lists!$A$2:$A$11,0))),N(INDEX(Platforms!$C$5:$C$14,MATCH(H901,Lists!$A$2:$A$11,0)))*(K901+IF(INDEX(Platforms!$E$5:$E$14,MATCH(H901,Lists!$A$2:$A$11,0))="Yes",N(L901),0))+N(INDEX(Platforms!$D$5:$D$14,MATCH(H901,Lists!$A$2:$A$11,0)))))),""))</f>
        <v/>
      </c>
      <c r="R901" s="16" t="str">
        <f t="shared" ref="R901:R964" si="57">IF(J901="","",IFERROR(K901+N(L901)-N(O901)-Q901-N(M901)-N(F901)-N(G901),""))</f>
        <v/>
      </c>
      <c r="S901" s="17" t="str">
        <f t="shared" ref="S901:S964" si="58">IF(OR(R901="",N(F901)+N(G901)=0),"",R901/(N(F901)+N(G901)))</f>
        <v/>
      </c>
      <c r="T901" s="18" t="str">
        <f t="shared" ref="T901:T964" ca="1" si="59">IFERROR(IF(ISNUMBER(D901),IF(ISNUMBER(J901),J901,IF(J901="",TODAY(),""))-D901,""),"")</f>
        <v/>
      </c>
    </row>
    <row r="902" spans="1:20" x14ac:dyDescent="0.35">
      <c r="A902" s="11"/>
      <c r="B902" s="11"/>
      <c r="C902" s="11"/>
      <c r="D902" s="12"/>
      <c r="E902" s="11"/>
      <c r="F902" s="13"/>
      <c r="G902" s="13"/>
      <c r="H902" s="11"/>
      <c r="I902" s="12"/>
      <c r="J902" s="12"/>
      <c r="K902" s="13"/>
      <c r="L902" s="13"/>
      <c r="M902" s="13"/>
      <c r="N902" s="13"/>
      <c r="O902" s="13"/>
      <c r="P902" s="14" t="str">
        <f t="shared" si="56"/>
        <v/>
      </c>
      <c r="Q902" s="15" t="str">
        <f>IF(OR(J902="",H902=""),"",IFERROR(IF(ISNUMBER(N902),N902,IF(K902&lt;N(INDEX(Platforms!$G$5:$G$14,MATCH(H902,Lists!$A$2:$A$11,0))),N(INDEX(Platforms!$H$5:$H$14,MATCH(H902,Lists!$A$2:$A$11,0))),MAX(N(INDEX(Platforms!$F$5:$F$14,MATCH(H902,Lists!$A$2:$A$11,0))),N(INDEX(Platforms!$C$5:$C$14,MATCH(H902,Lists!$A$2:$A$11,0)))*(K902+IF(INDEX(Platforms!$E$5:$E$14,MATCH(H902,Lists!$A$2:$A$11,0))="Yes",N(L902),0))+N(INDEX(Platforms!$D$5:$D$14,MATCH(H902,Lists!$A$2:$A$11,0)))))),""))</f>
        <v/>
      </c>
      <c r="R902" s="16" t="str">
        <f t="shared" si="57"/>
        <v/>
      </c>
      <c r="S902" s="17" t="str">
        <f t="shared" si="58"/>
        <v/>
      </c>
      <c r="T902" s="18" t="str">
        <f t="shared" ca="1" si="59"/>
        <v/>
      </c>
    </row>
    <row r="903" spans="1:20" x14ac:dyDescent="0.35">
      <c r="A903" s="11"/>
      <c r="B903" s="11"/>
      <c r="C903" s="11"/>
      <c r="D903" s="12"/>
      <c r="E903" s="11"/>
      <c r="F903" s="13"/>
      <c r="G903" s="13"/>
      <c r="H903" s="11"/>
      <c r="I903" s="12"/>
      <c r="J903" s="12"/>
      <c r="K903" s="13"/>
      <c r="L903" s="13"/>
      <c r="M903" s="13"/>
      <c r="N903" s="13"/>
      <c r="O903" s="13"/>
      <c r="P903" s="14" t="str">
        <f t="shared" si="56"/>
        <v/>
      </c>
      <c r="Q903" s="15" t="str">
        <f>IF(OR(J903="",H903=""),"",IFERROR(IF(ISNUMBER(N903),N903,IF(K903&lt;N(INDEX(Platforms!$G$5:$G$14,MATCH(H903,Lists!$A$2:$A$11,0))),N(INDEX(Platforms!$H$5:$H$14,MATCH(H903,Lists!$A$2:$A$11,0))),MAX(N(INDEX(Platforms!$F$5:$F$14,MATCH(H903,Lists!$A$2:$A$11,0))),N(INDEX(Platforms!$C$5:$C$14,MATCH(H903,Lists!$A$2:$A$11,0)))*(K903+IF(INDEX(Platforms!$E$5:$E$14,MATCH(H903,Lists!$A$2:$A$11,0))="Yes",N(L903),0))+N(INDEX(Platforms!$D$5:$D$14,MATCH(H903,Lists!$A$2:$A$11,0)))))),""))</f>
        <v/>
      </c>
      <c r="R903" s="16" t="str">
        <f t="shared" si="57"/>
        <v/>
      </c>
      <c r="S903" s="17" t="str">
        <f t="shared" si="58"/>
        <v/>
      </c>
      <c r="T903" s="18" t="str">
        <f t="shared" ca="1" si="59"/>
        <v/>
      </c>
    </row>
    <row r="904" spans="1:20" x14ac:dyDescent="0.35">
      <c r="A904" s="11"/>
      <c r="B904" s="11"/>
      <c r="C904" s="11"/>
      <c r="D904" s="12"/>
      <c r="E904" s="11"/>
      <c r="F904" s="13"/>
      <c r="G904" s="13"/>
      <c r="H904" s="11"/>
      <c r="I904" s="12"/>
      <c r="J904" s="12"/>
      <c r="K904" s="13"/>
      <c r="L904" s="13"/>
      <c r="M904" s="13"/>
      <c r="N904" s="13"/>
      <c r="O904" s="13"/>
      <c r="P904" s="14" t="str">
        <f t="shared" si="56"/>
        <v/>
      </c>
      <c r="Q904" s="15" t="str">
        <f>IF(OR(J904="",H904=""),"",IFERROR(IF(ISNUMBER(N904),N904,IF(K904&lt;N(INDEX(Platforms!$G$5:$G$14,MATCH(H904,Lists!$A$2:$A$11,0))),N(INDEX(Platforms!$H$5:$H$14,MATCH(H904,Lists!$A$2:$A$11,0))),MAX(N(INDEX(Platforms!$F$5:$F$14,MATCH(H904,Lists!$A$2:$A$11,0))),N(INDEX(Platforms!$C$5:$C$14,MATCH(H904,Lists!$A$2:$A$11,0)))*(K904+IF(INDEX(Platforms!$E$5:$E$14,MATCH(H904,Lists!$A$2:$A$11,0))="Yes",N(L904),0))+N(INDEX(Platforms!$D$5:$D$14,MATCH(H904,Lists!$A$2:$A$11,0)))))),""))</f>
        <v/>
      </c>
      <c r="R904" s="16" t="str">
        <f t="shared" si="57"/>
        <v/>
      </c>
      <c r="S904" s="17" t="str">
        <f t="shared" si="58"/>
        <v/>
      </c>
      <c r="T904" s="18" t="str">
        <f t="shared" ca="1" si="59"/>
        <v/>
      </c>
    </row>
    <row r="905" spans="1:20" x14ac:dyDescent="0.35">
      <c r="A905" s="11"/>
      <c r="B905" s="11"/>
      <c r="C905" s="11"/>
      <c r="D905" s="12"/>
      <c r="E905" s="11"/>
      <c r="F905" s="13"/>
      <c r="G905" s="13"/>
      <c r="H905" s="11"/>
      <c r="I905" s="12"/>
      <c r="J905" s="12"/>
      <c r="K905" s="13"/>
      <c r="L905" s="13"/>
      <c r="M905" s="13"/>
      <c r="N905" s="13"/>
      <c r="O905" s="13"/>
      <c r="P905" s="14" t="str">
        <f t="shared" si="56"/>
        <v/>
      </c>
      <c r="Q905" s="15" t="str">
        <f>IF(OR(J905="",H905=""),"",IFERROR(IF(ISNUMBER(N905),N905,IF(K905&lt;N(INDEX(Platforms!$G$5:$G$14,MATCH(H905,Lists!$A$2:$A$11,0))),N(INDEX(Platforms!$H$5:$H$14,MATCH(H905,Lists!$A$2:$A$11,0))),MAX(N(INDEX(Platforms!$F$5:$F$14,MATCH(H905,Lists!$A$2:$A$11,0))),N(INDEX(Platforms!$C$5:$C$14,MATCH(H905,Lists!$A$2:$A$11,0)))*(K905+IF(INDEX(Platforms!$E$5:$E$14,MATCH(H905,Lists!$A$2:$A$11,0))="Yes",N(L905),0))+N(INDEX(Platforms!$D$5:$D$14,MATCH(H905,Lists!$A$2:$A$11,0)))))),""))</f>
        <v/>
      </c>
      <c r="R905" s="16" t="str">
        <f t="shared" si="57"/>
        <v/>
      </c>
      <c r="S905" s="17" t="str">
        <f t="shared" si="58"/>
        <v/>
      </c>
      <c r="T905" s="18" t="str">
        <f t="shared" ca="1" si="59"/>
        <v/>
      </c>
    </row>
    <row r="906" spans="1:20" x14ac:dyDescent="0.35">
      <c r="A906" s="11"/>
      <c r="B906" s="11"/>
      <c r="C906" s="11"/>
      <c r="D906" s="12"/>
      <c r="E906" s="11"/>
      <c r="F906" s="13"/>
      <c r="G906" s="13"/>
      <c r="H906" s="11"/>
      <c r="I906" s="12"/>
      <c r="J906" s="12"/>
      <c r="K906" s="13"/>
      <c r="L906" s="13"/>
      <c r="M906" s="13"/>
      <c r="N906" s="13"/>
      <c r="O906" s="13"/>
      <c r="P906" s="14" t="str">
        <f t="shared" si="56"/>
        <v/>
      </c>
      <c r="Q906" s="15" t="str">
        <f>IF(OR(J906="",H906=""),"",IFERROR(IF(ISNUMBER(N906),N906,IF(K906&lt;N(INDEX(Platforms!$G$5:$G$14,MATCH(H906,Lists!$A$2:$A$11,0))),N(INDEX(Platforms!$H$5:$H$14,MATCH(H906,Lists!$A$2:$A$11,0))),MAX(N(INDEX(Platforms!$F$5:$F$14,MATCH(H906,Lists!$A$2:$A$11,0))),N(INDEX(Platforms!$C$5:$C$14,MATCH(H906,Lists!$A$2:$A$11,0)))*(K906+IF(INDEX(Platforms!$E$5:$E$14,MATCH(H906,Lists!$A$2:$A$11,0))="Yes",N(L906),0))+N(INDEX(Platforms!$D$5:$D$14,MATCH(H906,Lists!$A$2:$A$11,0)))))),""))</f>
        <v/>
      </c>
      <c r="R906" s="16" t="str">
        <f t="shared" si="57"/>
        <v/>
      </c>
      <c r="S906" s="17" t="str">
        <f t="shared" si="58"/>
        <v/>
      </c>
      <c r="T906" s="18" t="str">
        <f t="shared" ca="1" si="59"/>
        <v/>
      </c>
    </row>
    <row r="907" spans="1:20" x14ac:dyDescent="0.35">
      <c r="A907" s="11"/>
      <c r="B907" s="11"/>
      <c r="C907" s="11"/>
      <c r="D907" s="12"/>
      <c r="E907" s="11"/>
      <c r="F907" s="13"/>
      <c r="G907" s="13"/>
      <c r="H907" s="11"/>
      <c r="I907" s="12"/>
      <c r="J907" s="12"/>
      <c r="K907" s="13"/>
      <c r="L907" s="13"/>
      <c r="M907" s="13"/>
      <c r="N907" s="13"/>
      <c r="O907" s="13"/>
      <c r="P907" s="14" t="str">
        <f t="shared" si="56"/>
        <v/>
      </c>
      <c r="Q907" s="15" t="str">
        <f>IF(OR(J907="",H907=""),"",IFERROR(IF(ISNUMBER(N907),N907,IF(K907&lt;N(INDEX(Platforms!$G$5:$G$14,MATCH(H907,Lists!$A$2:$A$11,0))),N(INDEX(Platforms!$H$5:$H$14,MATCH(H907,Lists!$A$2:$A$11,0))),MAX(N(INDEX(Platforms!$F$5:$F$14,MATCH(H907,Lists!$A$2:$A$11,0))),N(INDEX(Platforms!$C$5:$C$14,MATCH(H907,Lists!$A$2:$A$11,0)))*(K907+IF(INDEX(Platforms!$E$5:$E$14,MATCH(H907,Lists!$A$2:$A$11,0))="Yes",N(L907),0))+N(INDEX(Platforms!$D$5:$D$14,MATCH(H907,Lists!$A$2:$A$11,0)))))),""))</f>
        <v/>
      </c>
      <c r="R907" s="16" t="str">
        <f t="shared" si="57"/>
        <v/>
      </c>
      <c r="S907" s="17" t="str">
        <f t="shared" si="58"/>
        <v/>
      </c>
      <c r="T907" s="18" t="str">
        <f t="shared" ca="1" si="59"/>
        <v/>
      </c>
    </row>
    <row r="908" spans="1:20" x14ac:dyDescent="0.35">
      <c r="A908" s="11"/>
      <c r="B908" s="11"/>
      <c r="C908" s="11"/>
      <c r="D908" s="12"/>
      <c r="E908" s="11"/>
      <c r="F908" s="13"/>
      <c r="G908" s="13"/>
      <c r="H908" s="11"/>
      <c r="I908" s="12"/>
      <c r="J908" s="12"/>
      <c r="K908" s="13"/>
      <c r="L908" s="13"/>
      <c r="M908" s="13"/>
      <c r="N908" s="13"/>
      <c r="O908" s="13"/>
      <c r="P908" s="14" t="str">
        <f t="shared" si="56"/>
        <v/>
      </c>
      <c r="Q908" s="15" t="str">
        <f>IF(OR(J908="",H908=""),"",IFERROR(IF(ISNUMBER(N908),N908,IF(K908&lt;N(INDEX(Platforms!$G$5:$G$14,MATCH(H908,Lists!$A$2:$A$11,0))),N(INDEX(Platforms!$H$5:$H$14,MATCH(H908,Lists!$A$2:$A$11,0))),MAX(N(INDEX(Platforms!$F$5:$F$14,MATCH(H908,Lists!$A$2:$A$11,0))),N(INDEX(Platforms!$C$5:$C$14,MATCH(H908,Lists!$A$2:$A$11,0)))*(K908+IF(INDEX(Platforms!$E$5:$E$14,MATCH(H908,Lists!$A$2:$A$11,0))="Yes",N(L908),0))+N(INDEX(Platforms!$D$5:$D$14,MATCH(H908,Lists!$A$2:$A$11,0)))))),""))</f>
        <v/>
      </c>
      <c r="R908" s="16" t="str">
        <f t="shared" si="57"/>
        <v/>
      </c>
      <c r="S908" s="17" t="str">
        <f t="shared" si="58"/>
        <v/>
      </c>
      <c r="T908" s="18" t="str">
        <f t="shared" ca="1" si="59"/>
        <v/>
      </c>
    </row>
    <row r="909" spans="1:20" x14ac:dyDescent="0.35">
      <c r="A909" s="11"/>
      <c r="B909" s="11"/>
      <c r="C909" s="11"/>
      <c r="D909" s="12"/>
      <c r="E909" s="11"/>
      <c r="F909" s="13"/>
      <c r="G909" s="13"/>
      <c r="H909" s="11"/>
      <c r="I909" s="12"/>
      <c r="J909" s="12"/>
      <c r="K909" s="13"/>
      <c r="L909" s="13"/>
      <c r="M909" s="13"/>
      <c r="N909" s="13"/>
      <c r="O909" s="13"/>
      <c r="P909" s="14" t="str">
        <f t="shared" si="56"/>
        <v/>
      </c>
      <c r="Q909" s="15" t="str">
        <f>IF(OR(J909="",H909=""),"",IFERROR(IF(ISNUMBER(N909),N909,IF(K909&lt;N(INDEX(Platforms!$G$5:$G$14,MATCH(H909,Lists!$A$2:$A$11,0))),N(INDEX(Platforms!$H$5:$H$14,MATCH(H909,Lists!$A$2:$A$11,0))),MAX(N(INDEX(Platforms!$F$5:$F$14,MATCH(H909,Lists!$A$2:$A$11,0))),N(INDEX(Platforms!$C$5:$C$14,MATCH(H909,Lists!$A$2:$A$11,0)))*(K909+IF(INDEX(Platforms!$E$5:$E$14,MATCH(H909,Lists!$A$2:$A$11,0))="Yes",N(L909),0))+N(INDEX(Platforms!$D$5:$D$14,MATCH(H909,Lists!$A$2:$A$11,0)))))),""))</f>
        <v/>
      </c>
      <c r="R909" s="16" t="str">
        <f t="shared" si="57"/>
        <v/>
      </c>
      <c r="S909" s="17" t="str">
        <f t="shared" si="58"/>
        <v/>
      </c>
      <c r="T909" s="18" t="str">
        <f t="shared" ca="1" si="59"/>
        <v/>
      </c>
    </row>
    <row r="910" spans="1:20" x14ac:dyDescent="0.35">
      <c r="A910" s="11"/>
      <c r="B910" s="11"/>
      <c r="C910" s="11"/>
      <c r="D910" s="12"/>
      <c r="E910" s="11"/>
      <c r="F910" s="13"/>
      <c r="G910" s="13"/>
      <c r="H910" s="11"/>
      <c r="I910" s="12"/>
      <c r="J910" s="12"/>
      <c r="K910" s="13"/>
      <c r="L910" s="13"/>
      <c r="M910" s="13"/>
      <c r="N910" s="13"/>
      <c r="O910" s="13"/>
      <c r="P910" s="14" t="str">
        <f t="shared" si="56"/>
        <v/>
      </c>
      <c r="Q910" s="15" t="str">
        <f>IF(OR(J910="",H910=""),"",IFERROR(IF(ISNUMBER(N910),N910,IF(K910&lt;N(INDEX(Platforms!$G$5:$G$14,MATCH(H910,Lists!$A$2:$A$11,0))),N(INDEX(Platforms!$H$5:$H$14,MATCH(H910,Lists!$A$2:$A$11,0))),MAX(N(INDEX(Platforms!$F$5:$F$14,MATCH(H910,Lists!$A$2:$A$11,0))),N(INDEX(Platforms!$C$5:$C$14,MATCH(H910,Lists!$A$2:$A$11,0)))*(K910+IF(INDEX(Platforms!$E$5:$E$14,MATCH(H910,Lists!$A$2:$A$11,0))="Yes",N(L910),0))+N(INDEX(Platforms!$D$5:$D$14,MATCH(H910,Lists!$A$2:$A$11,0)))))),""))</f>
        <v/>
      </c>
      <c r="R910" s="16" t="str">
        <f t="shared" si="57"/>
        <v/>
      </c>
      <c r="S910" s="17" t="str">
        <f t="shared" si="58"/>
        <v/>
      </c>
      <c r="T910" s="18" t="str">
        <f t="shared" ca="1" si="59"/>
        <v/>
      </c>
    </row>
    <row r="911" spans="1:20" x14ac:dyDescent="0.35">
      <c r="A911" s="11"/>
      <c r="B911" s="11"/>
      <c r="C911" s="11"/>
      <c r="D911" s="12"/>
      <c r="E911" s="11"/>
      <c r="F911" s="13"/>
      <c r="G911" s="13"/>
      <c r="H911" s="11"/>
      <c r="I911" s="12"/>
      <c r="J911" s="12"/>
      <c r="K911" s="13"/>
      <c r="L911" s="13"/>
      <c r="M911" s="13"/>
      <c r="N911" s="13"/>
      <c r="O911" s="13"/>
      <c r="P911" s="14" t="str">
        <f t="shared" si="56"/>
        <v/>
      </c>
      <c r="Q911" s="15" t="str">
        <f>IF(OR(J911="",H911=""),"",IFERROR(IF(ISNUMBER(N911),N911,IF(K911&lt;N(INDEX(Platforms!$G$5:$G$14,MATCH(H911,Lists!$A$2:$A$11,0))),N(INDEX(Platforms!$H$5:$H$14,MATCH(H911,Lists!$A$2:$A$11,0))),MAX(N(INDEX(Platforms!$F$5:$F$14,MATCH(H911,Lists!$A$2:$A$11,0))),N(INDEX(Platforms!$C$5:$C$14,MATCH(H911,Lists!$A$2:$A$11,0)))*(K911+IF(INDEX(Platforms!$E$5:$E$14,MATCH(H911,Lists!$A$2:$A$11,0))="Yes",N(L911),0))+N(INDEX(Platforms!$D$5:$D$14,MATCH(H911,Lists!$A$2:$A$11,0)))))),""))</f>
        <v/>
      </c>
      <c r="R911" s="16" t="str">
        <f t="shared" si="57"/>
        <v/>
      </c>
      <c r="S911" s="17" t="str">
        <f t="shared" si="58"/>
        <v/>
      </c>
      <c r="T911" s="18" t="str">
        <f t="shared" ca="1" si="59"/>
        <v/>
      </c>
    </row>
    <row r="912" spans="1:20" x14ac:dyDescent="0.35">
      <c r="A912" s="11"/>
      <c r="B912" s="11"/>
      <c r="C912" s="11"/>
      <c r="D912" s="12"/>
      <c r="E912" s="11"/>
      <c r="F912" s="13"/>
      <c r="G912" s="13"/>
      <c r="H912" s="11"/>
      <c r="I912" s="12"/>
      <c r="J912" s="12"/>
      <c r="K912" s="13"/>
      <c r="L912" s="13"/>
      <c r="M912" s="13"/>
      <c r="N912" s="13"/>
      <c r="O912" s="13"/>
      <c r="P912" s="14" t="str">
        <f t="shared" si="56"/>
        <v/>
      </c>
      <c r="Q912" s="15" t="str">
        <f>IF(OR(J912="",H912=""),"",IFERROR(IF(ISNUMBER(N912),N912,IF(K912&lt;N(INDEX(Platforms!$G$5:$G$14,MATCH(H912,Lists!$A$2:$A$11,0))),N(INDEX(Platforms!$H$5:$H$14,MATCH(H912,Lists!$A$2:$A$11,0))),MAX(N(INDEX(Platforms!$F$5:$F$14,MATCH(H912,Lists!$A$2:$A$11,0))),N(INDEX(Platforms!$C$5:$C$14,MATCH(H912,Lists!$A$2:$A$11,0)))*(K912+IF(INDEX(Platforms!$E$5:$E$14,MATCH(H912,Lists!$A$2:$A$11,0))="Yes",N(L912),0))+N(INDEX(Platforms!$D$5:$D$14,MATCH(H912,Lists!$A$2:$A$11,0)))))),""))</f>
        <v/>
      </c>
      <c r="R912" s="16" t="str">
        <f t="shared" si="57"/>
        <v/>
      </c>
      <c r="S912" s="17" t="str">
        <f t="shared" si="58"/>
        <v/>
      </c>
      <c r="T912" s="18" t="str">
        <f t="shared" ca="1" si="59"/>
        <v/>
      </c>
    </row>
    <row r="913" spans="1:20" x14ac:dyDescent="0.35">
      <c r="A913" s="11"/>
      <c r="B913" s="11"/>
      <c r="C913" s="11"/>
      <c r="D913" s="12"/>
      <c r="E913" s="11"/>
      <c r="F913" s="13"/>
      <c r="G913" s="13"/>
      <c r="H913" s="11"/>
      <c r="I913" s="12"/>
      <c r="J913" s="12"/>
      <c r="K913" s="13"/>
      <c r="L913" s="13"/>
      <c r="M913" s="13"/>
      <c r="N913" s="13"/>
      <c r="O913" s="13"/>
      <c r="P913" s="14" t="str">
        <f t="shared" si="56"/>
        <v/>
      </c>
      <c r="Q913" s="15" t="str">
        <f>IF(OR(J913="",H913=""),"",IFERROR(IF(ISNUMBER(N913),N913,IF(K913&lt;N(INDEX(Platforms!$G$5:$G$14,MATCH(H913,Lists!$A$2:$A$11,0))),N(INDEX(Platforms!$H$5:$H$14,MATCH(H913,Lists!$A$2:$A$11,0))),MAX(N(INDEX(Platforms!$F$5:$F$14,MATCH(H913,Lists!$A$2:$A$11,0))),N(INDEX(Platforms!$C$5:$C$14,MATCH(H913,Lists!$A$2:$A$11,0)))*(K913+IF(INDEX(Platforms!$E$5:$E$14,MATCH(H913,Lists!$A$2:$A$11,0))="Yes",N(L913),0))+N(INDEX(Platforms!$D$5:$D$14,MATCH(H913,Lists!$A$2:$A$11,0)))))),""))</f>
        <v/>
      </c>
      <c r="R913" s="16" t="str">
        <f t="shared" si="57"/>
        <v/>
      </c>
      <c r="S913" s="17" t="str">
        <f t="shared" si="58"/>
        <v/>
      </c>
      <c r="T913" s="18" t="str">
        <f t="shared" ca="1" si="59"/>
        <v/>
      </c>
    </row>
    <row r="914" spans="1:20" x14ac:dyDescent="0.35">
      <c r="A914" s="11"/>
      <c r="B914" s="11"/>
      <c r="C914" s="11"/>
      <c r="D914" s="12"/>
      <c r="E914" s="11"/>
      <c r="F914" s="13"/>
      <c r="G914" s="13"/>
      <c r="H914" s="11"/>
      <c r="I914" s="12"/>
      <c r="J914" s="12"/>
      <c r="K914" s="13"/>
      <c r="L914" s="13"/>
      <c r="M914" s="13"/>
      <c r="N914" s="13"/>
      <c r="O914" s="13"/>
      <c r="P914" s="14" t="str">
        <f t="shared" si="56"/>
        <v/>
      </c>
      <c r="Q914" s="15" t="str">
        <f>IF(OR(J914="",H914=""),"",IFERROR(IF(ISNUMBER(N914),N914,IF(K914&lt;N(INDEX(Platforms!$G$5:$G$14,MATCH(H914,Lists!$A$2:$A$11,0))),N(INDEX(Platforms!$H$5:$H$14,MATCH(H914,Lists!$A$2:$A$11,0))),MAX(N(INDEX(Platforms!$F$5:$F$14,MATCH(H914,Lists!$A$2:$A$11,0))),N(INDEX(Platforms!$C$5:$C$14,MATCH(H914,Lists!$A$2:$A$11,0)))*(K914+IF(INDEX(Platforms!$E$5:$E$14,MATCH(H914,Lists!$A$2:$A$11,0))="Yes",N(L914),0))+N(INDEX(Platforms!$D$5:$D$14,MATCH(H914,Lists!$A$2:$A$11,0)))))),""))</f>
        <v/>
      </c>
      <c r="R914" s="16" t="str">
        <f t="shared" si="57"/>
        <v/>
      </c>
      <c r="S914" s="17" t="str">
        <f t="shared" si="58"/>
        <v/>
      </c>
      <c r="T914" s="18" t="str">
        <f t="shared" ca="1" si="59"/>
        <v/>
      </c>
    </row>
    <row r="915" spans="1:20" x14ac:dyDescent="0.35">
      <c r="A915" s="11"/>
      <c r="B915" s="11"/>
      <c r="C915" s="11"/>
      <c r="D915" s="12"/>
      <c r="E915" s="11"/>
      <c r="F915" s="13"/>
      <c r="G915" s="13"/>
      <c r="H915" s="11"/>
      <c r="I915" s="12"/>
      <c r="J915" s="12"/>
      <c r="K915" s="13"/>
      <c r="L915" s="13"/>
      <c r="M915" s="13"/>
      <c r="N915" s="13"/>
      <c r="O915" s="13"/>
      <c r="P915" s="14" t="str">
        <f t="shared" si="56"/>
        <v/>
      </c>
      <c r="Q915" s="15" t="str">
        <f>IF(OR(J915="",H915=""),"",IFERROR(IF(ISNUMBER(N915),N915,IF(K915&lt;N(INDEX(Platforms!$G$5:$G$14,MATCH(H915,Lists!$A$2:$A$11,0))),N(INDEX(Platforms!$H$5:$H$14,MATCH(H915,Lists!$A$2:$A$11,0))),MAX(N(INDEX(Platforms!$F$5:$F$14,MATCH(H915,Lists!$A$2:$A$11,0))),N(INDEX(Platforms!$C$5:$C$14,MATCH(H915,Lists!$A$2:$A$11,0)))*(K915+IF(INDEX(Platforms!$E$5:$E$14,MATCH(H915,Lists!$A$2:$A$11,0))="Yes",N(L915),0))+N(INDEX(Platforms!$D$5:$D$14,MATCH(H915,Lists!$A$2:$A$11,0)))))),""))</f>
        <v/>
      </c>
      <c r="R915" s="16" t="str">
        <f t="shared" si="57"/>
        <v/>
      </c>
      <c r="S915" s="17" t="str">
        <f t="shared" si="58"/>
        <v/>
      </c>
      <c r="T915" s="18" t="str">
        <f t="shared" ca="1" si="59"/>
        <v/>
      </c>
    </row>
    <row r="916" spans="1:20" x14ac:dyDescent="0.35">
      <c r="A916" s="11"/>
      <c r="B916" s="11"/>
      <c r="C916" s="11"/>
      <c r="D916" s="12"/>
      <c r="E916" s="11"/>
      <c r="F916" s="13"/>
      <c r="G916" s="13"/>
      <c r="H916" s="11"/>
      <c r="I916" s="12"/>
      <c r="J916" s="12"/>
      <c r="K916" s="13"/>
      <c r="L916" s="13"/>
      <c r="M916" s="13"/>
      <c r="N916" s="13"/>
      <c r="O916" s="13"/>
      <c r="P916" s="14" t="str">
        <f t="shared" si="56"/>
        <v/>
      </c>
      <c r="Q916" s="15" t="str">
        <f>IF(OR(J916="",H916=""),"",IFERROR(IF(ISNUMBER(N916),N916,IF(K916&lt;N(INDEX(Platforms!$G$5:$G$14,MATCH(H916,Lists!$A$2:$A$11,0))),N(INDEX(Platforms!$H$5:$H$14,MATCH(H916,Lists!$A$2:$A$11,0))),MAX(N(INDEX(Platforms!$F$5:$F$14,MATCH(H916,Lists!$A$2:$A$11,0))),N(INDEX(Platforms!$C$5:$C$14,MATCH(H916,Lists!$A$2:$A$11,0)))*(K916+IF(INDEX(Platforms!$E$5:$E$14,MATCH(H916,Lists!$A$2:$A$11,0))="Yes",N(L916),0))+N(INDEX(Platforms!$D$5:$D$14,MATCH(H916,Lists!$A$2:$A$11,0)))))),""))</f>
        <v/>
      </c>
      <c r="R916" s="16" t="str">
        <f t="shared" si="57"/>
        <v/>
      </c>
      <c r="S916" s="17" t="str">
        <f t="shared" si="58"/>
        <v/>
      </c>
      <c r="T916" s="18" t="str">
        <f t="shared" ca="1" si="59"/>
        <v/>
      </c>
    </row>
    <row r="917" spans="1:20" x14ac:dyDescent="0.35">
      <c r="A917" s="11"/>
      <c r="B917" s="11"/>
      <c r="C917" s="11"/>
      <c r="D917" s="12"/>
      <c r="E917" s="11"/>
      <c r="F917" s="13"/>
      <c r="G917" s="13"/>
      <c r="H917" s="11"/>
      <c r="I917" s="12"/>
      <c r="J917" s="12"/>
      <c r="K917" s="13"/>
      <c r="L917" s="13"/>
      <c r="M917" s="13"/>
      <c r="N917" s="13"/>
      <c r="O917" s="13"/>
      <c r="P917" s="14" t="str">
        <f t="shared" si="56"/>
        <v/>
      </c>
      <c r="Q917" s="15" t="str">
        <f>IF(OR(J917="",H917=""),"",IFERROR(IF(ISNUMBER(N917),N917,IF(K917&lt;N(INDEX(Platforms!$G$5:$G$14,MATCH(H917,Lists!$A$2:$A$11,0))),N(INDEX(Platforms!$H$5:$H$14,MATCH(H917,Lists!$A$2:$A$11,0))),MAX(N(INDEX(Platforms!$F$5:$F$14,MATCH(H917,Lists!$A$2:$A$11,0))),N(INDEX(Platforms!$C$5:$C$14,MATCH(H917,Lists!$A$2:$A$11,0)))*(K917+IF(INDEX(Platforms!$E$5:$E$14,MATCH(H917,Lists!$A$2:$A$11,0))="Yes",N(L917),0))+N(INDEX(Platforms!$D$5:$D$14,MATCH(H917,Lists!$A$2:$A$11,0)))))),""))</f>
        <v/>
      </c>
      <c r="R917" s="16" t="str">
        <f t="shared" si="57"/>
        <v/>
      </c>
      <c r="S917" s="17" t="str">
        <f t="shared" si="58"/>
        <v/>
      </c>
      <c r="T917" s="18" t="str">
        <f t="shared" ca="1" si="59"/>
        <v/>
      </c>
    </row>
    <row r="918" spans="1:20" x14ac:dyDescent="0.35">
      <c r="A918" s="11"/>
      <c r="B918" s="11"/>
      <c r="C918" s="11"/>
      <c r="D918" s="12"/>
      <c r="E918" s="11"/>
      <c r="F918" s="13"/>
      <c r="G918" s="13"/>
      <c r="H918" s="11"/>
      <c r="I918" s="12"/>
      <c r="J918" s="12"/>
      <c r="K918" s="13"/>
      <c r="L918" s="13"/>
      <c r="M918" s="13"/>
      <c r="N918" s="13"/>
      <c r="O918" s="13"/>
      <c r="P918" s="14" t="str">
        <f t="shared" si="56"/>
        <v/>
      </c>
      <c r="Q918" s="15" t="str">
        <f>IF(OR(J918="",H918=""),"",IFERROR(IF(ISNUMBER(N918),N918,IF(K918&lt;N(INDEX(Platforms!$G$5:$G$14,MATCH(H918,Lists!$A$2:$A$11,0))),N(INDEX(Platforms!$H$5:$H$14,MATCH(H918,Lists!$A$2:$A$11,0))),MAX(N(INDEX(Platforms!$F$5:$F$14,MATCH(H918,Lists!$A$2:$A$11,0))),N(INDEX(Platforms!$C$5:$C$14,MATCH(H918,Lists!$A$2:$A$11,0)))*(K918+IF(INDEX(Platforms!$E$5:$E$14,MATCH(H918,Lists!$A$2:$A$11,0))="Yes",N(L918),0))+N(INDEX(Platforms!$D$5:$D$14,MATCH(H918,Lists!$A$2:$A$11,0)))))),""))</f>
        <v/>
      </c>
      <c r="R918" s="16" t="str">
        <f t="shared" si="57"/>
        <v/>
      </c>
      <c r="S918" s="17" t="str">
        <f t="shared" si="58"/>
        <v/>
      </c>
      <c r="T918" s="18" t="str">
        <f t="shared" ca="1" si="59"/>
        <v/>
      </c>
    </row>
    <row r="919" spans="1:20" x14ac:dyDescent="0.35">
      <c r="A919" s="11"/>
      <c r="B919" s="11"/>
      <c r="C919" s="11"/>
      <c r="D919" s="12"/>
      <c r="E919" s="11"/>
      <c r="F919" s="13"/>
      <c r="G919" s="13"/>
      <c r="H919" s="11"/>
      <c r="I919" s="12"/>
      <c r="J919" s="12"/>
      <c r="K919" s="13"/>
      <c r="L919" s="13"/>
      <c r="M919" s="13"/>
      <c r="N919" s="13"/>
      <c r="O919" s="13"/>
      <c r="P919" s="14" t="str">
        <f t="shared" si="56"/>
        <v/>
      </c>
      <c r="Q919" s="15" t="str">
        <f>IF(OR(J919="",H919=""),"",IFERROR(IF(ISNUMBER(N919),N919,IF(K919&lt;N(INDEX(Platforms!$G$5:$G$14,MATCH(H919,Lists!$A$2:$A$11,0))),N(INDEX(Platforms!$H$5:$H$14,MATCH(H919,Lists!$A$2:$A$11,0))),MAX(N(INDEX(Platforms!$F$5:$F$14,MATCH(H919,Lists!$A$2:$A$11,0))),N(INDEX(Platforms!$C$5:$C$14,MATCH(H919,Lists!$A$2:$A$11,0)))*(K919+IF(INDEX(Platforms!$E$5:$E$14,MATCH(H919,Lists!$A$2:$A$11,0))="Yes",N(L919),0))+N(INDEX(Platforms!$D$5:$D$14,MATCH(H919,Lists!$A$2:$A$11,0)))))),""))</f>
        <v/>
      </c>
      <c r="R919" s="16" t="str">
        <f t="shared" si="57"/>
        <v/>
      </c>
      <c r="S919" s="17" t="str">
        <f t="shared" si="58"/>
        <v/>
      </c>
      <c r="T919" s="18" t="str">
        <f t="shared" ca="1" si="59"/>
        <v/>
      </c>
    </row>
    <row r="920" spans="1:20" x14ac:dyDescent="0.35">
      <c r="A920" s="11"/>
      <c r="B920" s="11"/>
      <c r="C920" s="11"/>
      <c r="D920" s="12"/>
      <c r="E920" s="11"/>
      <c r="F920" s="13"/>
      <c r="G920" s="13"/>
      <c r="H920" s="11"/>
      <c r="I920" s="12"/>
      <c r="J920" s="12"/>
      <c r="K920" s="13"/>
      <c r="L920" s="13"/>
      <c r="M920" s="13"/>
      <c r="N920" s="13"/>
      <c r="O920" s="13"/>
      <c r="P920" s="14" t="str">
        <f t="shared" si="56"/>
        <v/>
      </c>
      <c r="Q920" s="15" t="str">
        <f>IF(OR(J920="",H920=""),"",IFERROR(IF(ISNUMBER(N920),N920,IF(K920&lt;N(INDEX(Platforms!$G$5:$G$14,MATCH(H920,Lists!$A$2:$A$11,0))),N(INDEX(Platforms!$H$5:$H$14,MATCH(H920,Lists!$A$2:$A$11,0))),MAX(N(INDEX(Platforms!$F$5:$F$14,MATCH(H920,Lists!$A$2:$A$11,0))),N(INDEX(Platforms!$C$5:$C$14,MATCH(H920,Lists!$A$2:$A$11,0)))*(K920+IF(INDEX(Platforms!$E$5:$E$14,MATCH(H920,Lists!$A$2:$A$11,0))="Yes",N(L920),0))+N(INDEX(Platforms!$D$5:$D$14,MATCH(H920,Lists!$A$2:$A$11,0)))))),""))</f>
        <v/>
      </c>
      <c r="R920" s="16" t="str">
        <f t="shared" si="57"/>
        <v/>
      </c>
      <c r="S920" s="17" t="str">
        <f t="shared" si="58"/>
        <v/>
      </c>
      <c r="T920" s="18" t="str">
        <f t="shared" ca="1" si="59"/>
        <v/>
      </c>
    </row>
    <row r="921" spans="1:20" x14ac:dyDescent="0.35">
      <c r="A921" s="11"/>
      <c r="B921" s="11"/>
      <c r="C921" s="11"/>
      <c r="D921" s="12"/>
      <c r="E921" s="11"/>
      <c r="F921" s="13"/>
      <c r="G921" s="13"/>
      <c r="H921" s="11"/>
      <c r="I921" s="12"/>
      <c r="J921" s="12"/>
      <c r="K921" s="13"/>
      <c r="L921" s="13"/>
      <c r="M921" s="13"/>
      <c r="N921" s="13"/>
      <c r="O921" s="13"/>
      <c r="P921" s="14" t="str">
        <f t="shared" si="56"/>
        <v/>
      </c>
      <c r="Q921" s="15" t="str">
        <f>IF(OR(J921="",H921=""),"",IFERROR(IF(ISNUMBER(N921),N921,IF(K921&lt;N(INDEX(Platforms!$G$5:$G$14,MATCH(H921,Lists!$A$2:$A$11,0))),N(INDEX(Platforms!$H$5:$H$14,MATCH(H921,Lists!$A$2:$A$11,0))),MAX(N(INDEX(Platforms!$F$5:$F$14,MATCH(H921,Lists!$A$2:$A$11,0))),N(INDEX(Platforms!$C$5:$C$14,MATCH(H921,Lists!$A$2:$A$11,0)))*(K921+IF(INDEX(Platforms!$E$5:$E$14,MATCH(H921,Lists!$A$2:$A$11,0))="Yes",N(L921),0))+N(INDEX(Platforms!$D$5:$D$14,MATCH(H921,Lists!$A$2:$A$11,0)))))),""))</f>
        <v/>
      </c>
      <c r="R921" s="16" t="str">
        <f t="shared" si="57"/>
        <v/>
      </c>
      <c r="S921" s="17" t="str">
        <f t="shared" si="58"/>
        <v/>
      </c>
      <c r="T921" s="18" t="str">
        <f t="shared" ca="1" si="59"/>
        <v/>
      </c>
    </row>
    <row r="922" spans="1:20" x14ac:dyDescent="0.35">
      <c r="A922" s="11"/>
      <c r="B922" s="11"/>
      <c r="C922" s="11"/>
      <c r="D922" s="12"/>
      <c r="E922" s="11"/>
      <c r="F922" s="13"/>
      <c r="G922" s="13"/>
      <c r="H922" s="11"/>
      <c r="I922" s="12"/>
      <c r="J922" s="12"/>
      <c r="K922" s="13"/>
      <c r="L922" s="13"/>
      <c r="M922" s="13"/>
      <c r="N922" s="13"/>
      <c r="O922" s="13"/>
      <c r="P922" s="14" t="str">
        <f t="shared" si="56"/>
        <v/>
      </c>
      <c r="Q922" s="15" t="str">
        <f>IF(OR(J922="",H922=""),"",IFERROR(IF(ISNUMBER(N922),N922,IF(K922&lt;N(INDEX(Platforms!$G$5:$G$14,MATCH(H922,Lists!$A$2:$A$11,0))),N(INDEX(Platforms!$H$5:$H$14,MATCH(H922,Lists!$A$2:$A$11,0))),MAX(N(INDEX(Platforms!$F$5:$F$14,MATCH(H922,Lists!$A$2:$A$11,0))),N(INDEX(Platforms!$C$5:$C$14,MATCH(H922,Lists!$A$2:$A$11,0)))*(K922+IF(INDEX(Platforms!$E$5:$E$14,MATCH(H922,Lists!$A$2:$A$11,0))="Yes",N(L922),0))+N(INDEX(Platforms!$D$5:$D$14,MATCH(H922,Lists!$A$2:$A$11,0)))))),""))</f>
        <v/>
      </c>
      <c r="R922" s="16" t="str">
        <f t="shared" si="57"/>
        <v/>
      </c>
      <c r="S922" s="17" t="str">
        <f t="shared" si="58"/>
        <v/>
      </c>
      <c r="T922" s="18" t="str">
        <f t="shared" ca="1" si="59"/>
        <v/>
      </c>
    </row>
    <row r="923" spans="1:20" x14ac:dyDescent="0.35">
      <c r="A923" s="11"/>
      <c r="B923" s="11"/>
      <c r="C923" s="11"/>
      <c r="D923" s="12"/>
      <c r="E923" s="11"/>
      <c r="F923" s="13"/>
      <c r="G923" s="13"/>
      <c r="H923" s="11"/>
      <c r="I923" s="12"/>
      <c r="J923" s="12"/>
      <c r="K923" s="13"/>
      <c r="L923" s="13"/>
      <c r="M923" s="13"/>
      <c r="N923" s="13"/>
      <c r="O923" s="13"/>
      <c r="P923" s="14" t="str">
        <f t="shared" si="56"/>
        <v/>
      </c>
      <c r="Q923" s="15" t="str">
        <f>IF(OR(J923="",H923=""),"",IFERROR(IF(ISNUMBER(N923),N923,IF(K923&lt;N(INDEX(Platforms!$G$5:$G$14,MATCH(H923,Lists!$A$2:$A$11,0))),N(INDEX(Platforms!$H$5:$H$14,MATCH(H923,Lists!$A$2:$A$11,0))),MAX(N(INDEX(Platforms!$F$5:$F$14,MATCH(H923,Lists!$A$2:$A$11,0))),N(INDEX(Platforms!$C$5:$C$14,MATCH(H923,Lists!$A$2:$A$11,0)))*(K923+IF(INDEX(Platforms!$E$5:$E$14,MATCH(H923,Lists!$A$2:$A$11,0))="Yes",N(L923),0))+N(INDEX(Platforms!$D$5:$D$14,MATCH(H923,Lists!$A$2:$A$11,0)))))),""))</f>
        <v/>
      </c>
      <c r="R923" s="16" t="str">
        <f t="shared" si="57"/>
        <v/>
      </c>
      <c r="S923" s="17" t="str">
        <f t="shared" si="58"/>
        <v/>
      </c>
      <c r="T923" s="18" t="str">
        <f t="shared" ca="1" si="59"/>
        <v/>
      </c>
    </row>
    <row r="924" spans="1:20" x14ac:dyDescent="0.35">
      <c r="A924" s="11"/>
      <c r="B924" s="11"/>
      <c r="C924" s="11"/>
      <c r="D924" s="12"/>
      <c r="E924" s="11"/>
      <c r="F924" s="13"/>
      <c r="G924" s="13"/>
      <c r="H924" s="11"/>
      <c r="I924" s="12"/>
      <c r="J924" s="12"/>
      <c r="K924" s="13"/>
      <c r="L924" s="13"/>
      <c r="M924" s="13"/>
      <c r="N924" s="13"/>
      <c r="O924" s="13"/>
      <c r="P924" s="14" t="str">
        <f t="shared" si="56"/>
        <v/>
      </c>
      <c r="Q924" s="15" t="str">
        <f>IF(OR(J924="",H924=""),"",IFERROR(IF(ISNUMBER(N924),N924,IF(K924&lt;N(INDEX(Platforms!$G$5:$G$14,MATCH(H924,Lists!$A$2:$A$11,0))),N(INDEX(Platforms!$H$5:$H$14,MATCH(H924,Lists!$A$2:$A$11,0))),MAX(N(INDEX(Platforms!$F$5:$F$14,MATCH(H924,Lists!$A$2:$A$11,0))),N(INDEX(Platforms!$C$5:$C$14,MATCH(H924,Lists!$A$2:$A$11,0)))*(K924+IF(INDEX(Platforms!$E$5:$E$14,MATCH(H924,Lists!$A$2:$A$11,0))="Yes",N(L924),0))+N(INDEX(Platforms!$D$5:$D$14,MATCH(H924,Lists!$A$2:$A$11,0)))))),""))</f>
        <v/>
      </c>
      <c r="R924" s="16" t="str">
        <f t="shared" si="57"/>
        <v/>
      </c>
      <c r="S924" s="17" t="str">
        <f t="shared" si="58"/>
        <v/>
      </c>
      <c r="T924" s="18" t="str">
        <f t="shared" ca="1" si="59"/>
        <v/>
      </c>
    </row>
    <row r="925" spans="1:20" x14ac:dyDescent="0.35">
      <c r="A925" s="11"/>
      <c r="B925" s="11"/>
      <c r="C925" s="11"/>
      <c r="D925" s="12"/>
      <c r="E925" s="11"/>
      <c r="F925" s="13"/>
      <c r="G925" s="13"/>
      <c r="H925" s="11"/>
      <c r="I925" s="12"/>
      <c r="J925" s="12"/>
      <c r="K925" s="13"/>
      <c r="L925" s="13"/>
      <c r="M925" s="13"/>
      <c r="N925" s="13"/>
      <c r="O925" s="13"/>
      <c r="P925" s="14" t="str">
        <f t="shared" si="56"/>
        <v/>
      </c>
      <c r="Q925" s="15" t="str">
        <f>IF(OR(J925="",H925=""),"",IFERROR(IF(ISNUMBER(N925),N925,IF(K925&lt;N(INDEX(Platforms!$G$5:$G$14,MATCH(H925,Lists!$A$2:$A$11,0))),N(INDEX(Platforms!$H$5:$H$14,MATCH(H925,Lists!$A$2:$A$11,0))),MAX(N(INDEX(Platforms!$F$5:$F$14,MATCH(H925,Lists!$A$2:$A$11,0))),N(INDEX(Platforms!$C$5:$C$14,MATCH(H925,Lists!$A$2:$A$11,0)))*(K925+IF(INDEX(Platforms!$E$5:$E$14,MATCH(H925,Lists!$A$2:$A$11,0))="Yes",N(L925),0))+N(INDEX(Platforms!$D$5:$D$14,MATCH(H925,Lists!$A$2:$A$11,0)))))),""))</f>
        <v/>
      </c>
      <c r="R925" s="16" t="str">
        <f t="shared" si="57"/>
        <v/>
      </c>
      <c r="S925" s="17" t="str">
        <f t="shared" si="58"/>
        <v/>
      </c>
      <c r="T925" s="18" t="str">
        <f t="shared" ca="1" si="59"/>
        <v/>
      </c>
    </row>
    <row r="926" spans="1:20" x14ac:dyDescent="0.35">
      <c r="A926" s="11"/>
      <c r="B926" s="11"/>
      <c r="C926" s="11"/>
      <c r="D926" s="12"/>
      <c r="E926" s="11"/>
      <c r="F926" s="13"/>
      <c r="G926" s="13"/>
      <c r="H926" s="11"/>
      <c r="I926" s="12"/>
      <c r="J926" s="12"/>
      <c r="K926" s="13"/>
      <c r="L926" s="13"/>
      <c r="M926" s="13"/>
      <c r="N926" s="13"/>
      <c r="O926" s="13"/>
      <c r="P926" s="14" t="str">
        <f t="shared" si="56"/>
        <v/>
      </c>
      <c r="Q926" s="15" t="str">
        <f>IF(OR(J926="",H926=""),"",IFERROR(IF(ISNUMBER(N926),N926,IF(K926&lt;N(INDEX(Platforms!$G$5:$G$14,MATCH(H926,Lists!$A$2:$A$11,0))),N(INDEX(Platforms!$H$5:$H$14,MATCH(H926,Lists!$A$2:$A$11,0))),MAX(N(INDEX(Platforms!$F$5:$F$14,MATCH(H926,Lists!$A$2:$A$11,0))),N(INDEX(Platforms!$C$5:$C$14,MATCH(H926,Lists!$A$2:$A$11,0)))*(K926+IF(INDEX(Platforms!$E$5:$E$14,MATCH(H926,Lists!$A$2:$A$11,0))="Yes",N(L926),0))+N(INDEX(Platforms!$D$5:$D$14,MATCH(H926,Lists!$A$2:$A$11,0)))))),""))</f>
        <v/>
      </c>
      <c r="R926" s="16" t="str">
        <f t="shared" si="57"/>
        <v/>
      </c>
      <c r="S926" s="17" t="str">
        <f t="shared" si="58"/>
        <v/>
      </c>
      <c r="T926" s="18" t="str">
        <f t="shared" ca="1" si="59"/>
        <v/>
      </c>
    </row>
    <row r="927" spans="1:20" x14ac:dyDescent="0.35">
      <c r="A927" s="11"/>
      <c r="B927" s="11"/>
      <c r="C927" s="11"/>
      <c r="D927" s="12"/>
      <c r="E927" s="11"/>
      <c r="F927" s="13"/>
      <c r="G927" s="13"/>
      <c r="H927" s="11"/>
      <c r="I927" s="12"/>
      <c r="J927" s="12"/>
      <c r="K927" s="13"/>
      <c r="L927" s="13"/>
      <c r="M927" s="13"/>
      <c r="N927" s="13"/>
      <c r="O927" s="13"/>
      <c r="P927" s="14" t="str">
        <f t="shared" si="56"/>
        <v/>
      </c>
      <c r="Q927" s="15" t="str">
        <f>IF(OR(J927="",H927=""),"",IFERROR(IF(ISNUMBER(N927),N927,IF(K927&lt;N(INDEX(Platforms!$G$5:$G$14,MATCH(H927,Lists!$A$2:$A$11,0))),N(INDEX(Platforms!$H$5:$H$14,MATCH(H927,Lists!$A$2:$A$11,0))),MAX(N(INDEX(Platforms!$F$5:$F$14,MATCH(H927,Lists!$A$2:$A$11,0))),N(INDEX(Platforms!$C$5:$C$14,MATCH(H927,Lists!$A$2:$A$11,0)))*(K927+IF(INDEX(Platforms!$E$5:$E$14,MATCH(H927,Lists!$A$2:$A$11,0))="Yes",N(L927),0))+N(INDEX(Platforms!$D$5:$D$14,MATCH(H927,Lists!$A$2:$A$11,0)))))),""))</f>
        <v/>
      </c>
      <c r="R927" s="16" t="str">
        <f t="shared" si="57"/>
        <v/>
      </c>
      <c r="S927" s="17" t="str">
        <f t="shared" si="58"/>
        <v/>
      </c>
      <c r="T927" s="18" t="str">
        <f t="shared" ca="1" si="59"/>
        <v/>
      </c>
    </row>
    <row r="928" spans="1:20" x14ac:dyDescent="0.35">
      <c r="A928" s="11"/>
      <c r="B928" s="11"/>
      <c r="C928" s="11"/>
      <c r="D928" s="12"/>
      <c r="E928" s="11"/>
      <c r="F928" s="13"/>
      <c r="G928" s="13"/>
      <c r="H928" s="11"/>
      <c r="I928" s="12"/>
      <c r="J928" s="12"/>
      <c r="K928" s="13"/>
      <c r="L928" s="13"/>
      <c r="M928" s="13"/>
      <c r="N928" s="13"/>
      <c r="O928" s="13"/>
      <c r="P928" s="14" t="str">
        <f t="shared" si="56"/>
        <v/>
      </c>
      <c r="Q928" s="15" t="str">
        <f>IF(OR(J928="",H928=""),"",IFERROR(IF(ISNUMBER(N928),N928,IF(K928&lt;N(INDEX(Platforms!$G$5:$G$14,MATCH(H928,Lists!$A$2:$A$11,0))),N(INDEX(Platforms!$H$5:$H$14,MATCH(H928,Lists!$A$2:$A$11,0))),MAX(N(INDEX(Platforms!$F$5:$F$14,MATCH(H928,Lists!$A$2:$A$11,0))),N(INDEX(Platforms!$C$5:$C$14,MATCH(H928,Lists!$A$2:$A$11,0)))*(K928+IF(INDEX(Platforms!$E$5:$E$14,MATCH(H928,Lists!$A$2:$A$11,0))="Yes",N(L928),0))+N(INDEX(Platforms!$D$5:$D$14,MATCH(H928,Lists!$A$2:$A$11,0)))))),""))</f>
        <v/>
      </c>
      <c r="R928" s="16" t="str">
        <f t="shared" si="57"/>
        <v/>
      </c>
      <c r="S928" s="17" t="str">
        <f t="shared" si="58"/>
        <v/>
      </c>
      <c r="T928" s="18" t="str">
        <f t="shared" ca="1" si="59"/>
        <v/>
      </c>
    </row>
    <row r="929" spans="1:20" x14ac:dyDescent="0.35">
      <c r="A929" s="11"/>
      <c r="B929" s="11"/>
      <c r="C929" s="11"/>
      <c r="D929" s="12"/>
      <c r="E929" s="11"/>
      <c r="F929" s="13"/>
      <c r="G929" s="13"/>
      <c r="H929" s="11"/>
      <c r="I929" s="12"/>
      <c r="J929" s="12"/>
      <c r="K929" s="13"/>
      <c r="L929" s="13"/>
      <c r="M929" s="13"/>
      <c r="N929" s="13"/>
      <c r="O929" s="13"/>
      <c r="P929" s="14" t="str">
        <f t="shared" si="56"/>
        <v/>
      </c>
      <c r="Q929" s="15" t="str">
        <f>IF(OR(J929="",H929=""),"",IFERROR(IF(ISNUMBER(N929),N929,IF(K929&lt;N(INDEX(Platforms!$G$5:$G$14,MATCH(H929,Lists!$A$2:$A$11,0))),N(INDEX(Platforms!$H$5:$H$14,MATCH(H929,Lists!$A$2:$A$11,0))),MAX(N(INDEX(Platforms!$F$5:$F$14,MATCH(H929,Lists!$A$2:$A$11,0))),N(INDEX(Platforms!$C$5:$C$14,MATCH(H929,Lists!$A$2:$A$11,0)))*(K929+IF(INDEX(Platforms!$E$5:$E$14,MATCH(H929,Lists!$A$2:$A$11,0))="Yes",N(L929),0))+N(INDEX(Platforms!$D$5:$D$14,MATCH(H929,Lists!$A$2:$A$11,0)))))),""))</f>
        <v/>
      </c>
      <c r="R929" s="16" t="str">
        <f t="shared" si="57"/>
        <v/>
      </c>
      <c r="S929" s="17" t="str">
        <f t="shared" si="58"/>
        <v/>
      </c>
      <c r="T929" s="18" t="str">
        <f t="shared" ca="1" si="59"/>
        <v/>
      </c>
    </row>
    <row r="930" spans="1:20" x14ac:dyDescent="0.35">
      <c r="A930" s="11"/>
      <c r="B930" s="11"/>
      <c r="C930" s="11"/>
      <c r="D930" s="12"/>
      <c r="E930" s="11"/>
      <c r="F930" s="13"/>
      <c r="G930" s="13"/>
      <c r="H930" s="11"/>
      <c r="I930" s="12"/>
      <c r="J930" s="12"/>
      <c r="K930" s="13"/>
      <c r="L930" s="13"/>
      <c r="M930" s="13"/>
      <c r="N930" s="13"/>
      <c r="O930" s="13"/>
      <c r="P930" s="14" t="str">
        <f t="shared" si="56"/>
        <v/>
      </c>
      <c r="Q930" s="15" t="str">
        <f>IF(OR(J930="",H930=""),"",IFERROR(IF(ISNUMBER(N930),N930,IF(K930&lt;N(INDEX(Platforms!$G$5:$G$14,MATCH(H930,Lists!$A$2:$A$11,0))),N(INDEX(Platforms!$H$5:$H$14,MATCH(H930,Lists!$A$2:$A$11,0))),MAX(N(INDEX(Platforms!$F$5:$F$14,MATCH(H930,Lists!$A$2:$A$11,0))),N(INDEX(Platforms!$C$5:$C$14,MATCH(H930,Lists!$A$2:$A$11,0)))*(K930+IF(INDEX(Platforms!$E$5:$E$14,MATCH(H930,Lists!$A$2:$A$11,0))="Yes",N(L930),0))+N(INDEX(Platforms!$D$5:$D$14,MATCH(H930,Lists!$A$2:$A$11,0)))))),""))</f>
        <v/>
      </c>
      <c r="R930" s="16" t="str">
        <f t="shared" si="57"/>
        <v/>
      </c>
      <c r="S930" s="17" t="str">
        <f t="shared" si="58"/>
        <v/>
      </c>
      <c r="T930" s="18" t="str">
        <f t="shared" ca="1" si="59"/>
        <v/>
      </c>
    </row>
    <row r="931" spans="1:20" x14ac:dyDescent="0.35">
      <c r="A931" s="11"/>
      <c r="B931" s="11"/>
      <c r="C931" s="11"/>
      <c r="D931" s="12"/>
      <c r="E931" s="11"/>
      <c r="F931" s="13"/>
      <c r="G931" s="13"/>
      <c r="H931" s="11"/>
      <c r="I931" s="12"/>
      <c r="J931" s="12"/>
      <c r="K931" s="13"/>
      <c r="L931" s="13"/>
      <c r="M931" s="13"/>
      <c r="N931" s="13"/>
      <c r="O931" s="13"/>
      <c r="P931" s="14" t="str">
        <f t="shared" si="56"/>
        <v/>
      </c>
      <c r="Q931" s="15" t="str">
        <f>IF(OR(J931="",H931=""),"",IFERROR(IF(ISNUMBER(N931),N931,IF(K931&lt;N(INDEX(Platforms!$G$5:$G$14,MATCH(H931,Lists!$A$2:$A$11,0))),N(INDEX(Platforms!$H$5:$H$14,MATCH(H931,Lists!$A$2:$A$11,0))),MAX(N(INDEX(Platforms!$F$5:$F$14,MATCH(H931,Lists!$A$2:$A$11,0))),N(INDEX(Platforms!$C$5:$C$14,MATCH(H931,Lists!$A$2:$A$11,0)))*(K931+IF(INDEX(Platforms!$E$5:$E$14,MATCH(H931,Lists!$A$2:$A$11,0))="Yes",N(L931),0))+N(INDEX(Platforms!$D$5:$D$14,MATCH(H931,Lists!$A$2:$A$11,0)))))),""))</f>
        <v/>
      </c>
      <c r="R931" s="16" t="str">
        <f t="shared" si="57"/>
        <v/>
      </c>
      <c r="S931" s="17" t="str">
        <f t="shared" si="58"/>
        <v/>
      </c>
      <c r="T931" s="18" t="str">
        <f t="shared" ca="1" si="59"/>
        <v/>
      </c>
    </row>
    <row r="932" spans="1:20" x14ac:dyDescent="0.35">
      <c r="A932" s="11"/>
      <c r="B932" s="11"/>
      <c r="C932" s="11"/>
      <c r="D932" s="12"/>
      <c r="E932" s="11"/>
      <c r="F932" s="13"/>
      <c r="G932" s="13"/>
      <c r="H932" s="11"/>
      <c r="I932" s="12"/>
      <c r="J932" s="12"/>
      <c r="K932" s="13"/>
      <c r="L932" s="13"/>
      <c r="M932" s="13"/>
      <c r="N932" s="13"/>
      <c r="O932" s="13"/>
      <c r="P932" s="14" t="str">
        <f t="shared" si="56"/>
        <v/>
      </c>
      <c r="Q932" s="15" t="str">
        <f>IF(OR(J932="",H932=""),"",IFERROR(IF(ISNUMBER(N932),N932,IF(K932&lt;N(INDEX(Platforms!$G$5:$G$14,MATCH(H932,Lists!$A$2:$A$11,0))),N(INDEX(Platforms!$H$5:$H$14,MATCH(H932,Lists!$A$2:$A$11,0))),MAX(N(INDEX(Platforms!$F$5:$F$14,MATCH(H932,Lists!$A$2:$A$11,0))),N(INDEX(Platforms!$C$5:$C$14,MATCH(H932,Lists!$A$2:$A$11,0)))*(K932+IF(INDEX(Platforms!$E$5:$E$14,MATCH(H932,Lists!$A$2:$A$11,0))="Yes",N(L932),0))+N(INDEX(Platforms!$D$5:$D$14,MATCH(H932,Lists!$A$2:$A$11,0)))))),""))</f>
        <v/>
      </c>
      <c r="R932" s="16" t="str">
        <f t="shared" si="57"/>
        <v/>
      </c>
      <c r="S932" s="17" t="str">
        <f t="shared" si="58"/>
        <v/>
      </c>
      <c r="T932" s="18" t="str">
        <f t="shared" ca="1" si="59"/>
        <v/>
      </c>
    </row>
    <row r="933" spans="1:20" x14ac:dyDescent="0.35">
      <c r="A933" s="11"/>
      <c r="B933" s="11"/>
      <c r="C933" s="11"/>
      <c r="D933" s="12"/>
      <c r="E933" s="11"/>
      <c r="F933" s="13"/>
      <c r="G933" s="13"/>
      <c r="H933" s="11"/>
      <c r="I933" s="12"/>
      <c r="J933" s="12"/>
      <c r="K933" s="13"/>
      <c r="L933" s="13"/>
      <c r="M933" s="13"/>
      <c r="N933" s="13"/>
      <c r="O933" s="13"/>
      <c r="P933" s="14" t="str">
        <f t="shared" si="56"/>
        <v/>
      </c>
      <c r="Q933" s="15" t="str">
        <f>IF(OR(J933="",H933=""),"",IFERROR(IF(ISNUMBER(N933),N933,IF(K933&lt;N(INDEX(Platforms!$G$5:$G$14,MATCH(H933,Lists!$A$2:$A$11,0))),N(INDEX(Platforms!$H$5:$H$14,MATCH(H933,Lists!$A$2:$A$11,0))),MAX(N(INDEX(Platforms!$F$5:$F$14,MATCH(H933,Lists!$A$2:$A$11,0))),N(INDEX(Platforms!$C$5:$C$14,MATCH(H933,Lists!$A$2:$A$11,0)))*(K933+IF(INDEX(Platforms!$E$5:$E$14,MATCH(H933,Lists!$A$2:$A$11,0))="Yes",N(L933),0))+N(INDEX(Platforms!$D$5:$D$14,MATCH(H933,Lists!$A$2:$A$11,0)))))),""))</f>
        <v/>
      </c>
      <c r="R933" s="16" t="str">
        <f t="shared" si="57"/>
        <v/>
      </c>
      <c r="S933" s="17" t="str">
        <f t="shared" si="58"/>
        <v/>
      </c>
      <c r="T933" s="18" t="str">
        <f t="shared" ca="1" si="59"/>
        <v/>
      </c>
    </row>
    <row r="934" spans="1:20" x14ac:dyDescent="0.35">
      <c r="A934" s="11"/>
      <c r="B934" s="11"/>
      <c r="C934" s="11"/>
      <c r="D934" s="12"/>
      <c r="E934" s="11"/>
      <c r="F934" s="13"/>
      <c r="G934" s="13"/>
      <c r="H934" s="11"/>
      <c r="I934" s="12"/>
      <c r="J934" s="12"/>
      <c r="K934" s="13"/>
      <c r="L934" s="13"/>
      <c r="M934" s="13"/>
      <c r="N934" s="13"/>
      <c r="O934" s="13"/>
      <c r="P934" s="14" t="str">
        <f t="shared" si="56"/>
        <v/>
      </c>
      <c r="Q934" s="15" t="str">
        <f>IF(OR(J934="",H934=""),"",IFERROR(IF(ISNUMBER(N934),N934,IF(K934&lt;N(INDEX(Platforms!$G$5:$G$14,MATCH(H934,Lists!$A$2:$A$11,0))),N(INDEX(Platforms!$H$5:$H$14,MATCH(H934,Lists!$A$2:$A$11,0))),MAX(N(INDEX(Platforms!$F$5:$F$14,MATCH(H934,Lists!$A$2:$A$11,0))),N(INDEX(Platforms!$C$5:$C$14,MATCH(H934,Lists!$A$2:$A$11,0)))*(K934+IF(INDEX(Platforms!$E$5:$E$14,MATCH(H934,Lists!$A$2:$A$11,0))="Yes",N(L934),0))+N(INDEX(Platforms!$D$5:$D$14,MATCH(H934,Lists!$A$2:$A$11,0)))))),""))</f>
        <v/>
      </c>
      <c r="R934" s="16" t="str">
        <f t="shared" si="57"/>
        <v/>
      </c>
      <c r="S934" s="17" t="str">
        <f t="shared" si="58"/>
        <v/>
      </c>
      <c r="T934" s="18" t="str">
        <f t="shared" ca="1" si="59"/>
        <v/>
      </c>
    </row>
    <row r="935" spans="1:20" x14ac:dyDescent="0.35">
      <c r="A935" s="11"/>
      <c r="B935" s="11"/>
      <c r="C935" s="11"/>
      <c r="D935" s="12"/>
      <c r="E935" s="11"/>
      <c r="F935" s="13"/>
      <c r="G935" s="13"/>
      <c r="H935" s="11"/>
      <c r="I935" s="12"/>
      <c r="J935" s="12"/>
      <c r="K935" s="13"/>
      <c r="L935" s="13"/>
      <c r="M935" s="13"/>
      <c r="N935" s="13"/>
      <c r="O935" s="13"/>
      <c r="P935" s="14" t="str">
        <f t="shared" si="56"/>
        <v/>
      </c>
      <c r="Q935" s="15" t="str">
        <f>IF(OR(J935="",H935=""),"",IFERROR(IF(ISNUMBER(N935),N935,IF(K935&lt;N(INDEX(Platforms!$G$5:$G$14,MATCH(H935,Lists!$A$2:$A$11,0))),N(INDEX(Platforms!$H$5:$H$14,MATCH(H935,Lists!$A$2:$A$11,0))),MAX(N(INDEX(Platforms!$F$5:$F$14,MATCH(H935,Lists!$A$2:$A$11,0))),N(INDEX(Platforms!$C$5:$C$14,MATCH(H935,Lists!$A$2:$A$11,0)))*(K935+IF(INDEX(Platforms!$E$5:$E$14,MATCH(H935,Lists!$A$2:$A$11,0))="Yes",N(L935),0))+N(INDEX(Platforms!$D$5:$D$14,MATCH(H935,Lists!$A$2:$A$11,0)))))),""))</f>
        <v/>
      </c>
      <c r="R935" s="16" t="str">
        <f t="shared" si="57"/>
        <v/>
      </c>
      <c r="S935" s="17" t="str">
        <f t="shared" si="58"/>
        <v/>
      </c>
      <c r="T935" s="18" t="str">
        <f t="shared" ca="1" si="59"/>
        <v/>
      </c>
    </row>
    <row r="936" spans="1:20" x14ac:dyDescent="0.35">
      <c r="A936" s="11"/>
      <c r="B936" s="11"/>
      <c r="C936" s="11"/>
      <c r="D936" s="12"/>
      <c r="E936" s="11"/>
      <c r="F936" s="13"/>
      <c r="G936" s="13"/>
      <c r="H936" s="11"/>
      <c r="I936" s="12"/>
      <c r="J936" s="12"/>
      <c r="K936" s="13"/>
      <c r="L936" s="13"/>
      <c r="M936" s="13"/>
      <c r="N936" s="13"/>
      <c r="O936" s="13"/>
      <c r="P936" s="14" t="str">
        <f t="shared" si="56"/>
        <v/>
      </c>
      <c r="Q936" s="15" t="str">
        <f>IF(OR(J936="",H936=""),"",IFERROR(IF(ISNUMBER(N936),N936,IF(K936&lt;N(INDEX(Platforms!$G$5:$G$14,MATCH(H936,Lists!$A$2:$A$11,0))),N(INDEX(Platforms!$H$5:$H$14,MATCH(H936,Lists!$A$2:$A$11,0))),MAX(N(INDEX(Platforms!$F$5:$F$14,MATCH(H936,Lists!$A$2:$A$11,0))),N(INDEX(Platforms!$C$5:$C$14,MATCH(H936,Lists!$A$2:$A$11,0)))*(K936+IF(INDEX(Platforms!$E$5:$E$14,MATCH(H936,Lists!$A$2:$A$11,0))="Yes",N(L936),0))+N(INDEX(Platforms!$D$5:$D$14,MATCH(H936,Lists!$A$2:$A$11,0)))))),""))</f>
        <v/>
      </c>
      <c r="R936" s="16" t="str">
        <f t="shared" si="57"/>
        <v/>
      </c>
      <c r="S936" s="17" t="str">
        <f t="shared" si="58"/>
        <v/>
      </c>
      <c r="T936" s="18" t="str">
        <f t="shared" ca="1" si="59"/>
        <v/>
      </c>
    </row>
    <row r="937" spans="1:20" x14ac:dyDescent="0.35">
      <c r="A937" s="11"/>
      <c r="B937" s="11"/>
      <c r="C937" s="11"/>
      <c r="D937" s="12"/>
      <c r="E937" s="11"/>
      <c r="F937" s="13"/>
      <c r="G937" s="13"/>
      <c r="H937" s="11"/>
      <c r="I937" s="12"/>
      <c r="J937" s="12"/>
      <c r="K937" s="13"/>
      <c r="L937" s="13"/>
      <c r="M937" s="13"/>
      <c r="N937" s="13"/>
      <c r="O937" s="13"/>
      <c r="P937" s="14" t="str">
        <f t="shared" si="56"/>
        <v/>
      </c>
      <c r="Q937" s="15" t="str">
        <f>IF(OR(J937="",H937=""),"",IFERROR(IF(ISNUMBER(N937),N937,IF(K937&lt;N(INDEX(Platforms!$G$5:$G$14,MATCH(H937,Lists!$A$2:$A$11,0))),N(INDEX(Platforms!$H$5:$H$14,MATCH(H937,Lists!$A$2:$A$11,0))),MAX(N(INDEX(Platforms!$F$5:$F$14,MATCH(H937,Lists!$A$2:$A$11,0))),N(INDEX(Platforms!$C$5:$C$14,MATCH(H937,Lists!$A$2:$A$11,0)))*(K937+IF(INDEX(Platforms!$E$5:$E$14,MATCH(H937,Lists!$A$2:$A$11,0))="Yes",N(L937),0))+N(INDEX(Platforms!$D$5:$D$14,MATCH(H937,Lists!$A$2:$A$11,0)))))),""))</f>
        <v/>
      </c>
      <c r="R937" s="16" t="str">
        <f t="shared" si="57"/>
        <v/>
      </c>
      <c r="S937" s="17" t="str">
        <f t="shared" si="58"/>
        <v/>
      </c>
      <c r="T937" s="18" t="str">
        <f t="shared" ca="1" si="59"/>
        <v/>
      </c>
    </row>
    <row r="938" spans="1:20" x14ac:dyDescent="0.35">
      <c r="A938" s="11"/>
      <c r="B938" s="11"/>
      <c r="C938" s="11"/>
      <c r="D938" s="12"/>
      <c r="E938" s="11"/>
      <c r="F938" s="13"/>
      <c r="G938" s="13"/>
      <c r="H938" s="11"/>
      <c r="I938" s="12"/>
      <c r="J938" s="12"/>
      <c r="K938" s="13"/>
      <c r="L938" s="13"/>
      <c r="M938" s="13"/>
      <c r="N938" s="13"/>
      <c r="O938" s="13"/>
      <c r="P938" s="14" t="str">
        <f t="shared" si="56"/>
        <v/>
      </c>
      <c r="Q938" s="15" t="str">
        <f>IF(OR(J938="",H938=""),"",IFERROR(IF(ISNUMBER(N938),N938,IF(K938&lt;N(INDEX(Platforms!$G$5:$G$14,MATCH(H938,Lists!$A$2:$A$11,0))),N(INDEX(Platforms!$H$5:$H$14,MATCH(H938,Lists!$A$2:$A$11,0))),MAX(N(INDEX(Platforms!$F$5:$F$14,MATCH(H938,Lists!$A$2:$A$11,0))),N(INDEX(Platforms!$C$5:$C$14,MATCH(H938,Lists!$A$2:$A$11,0)))*(K938+IF(INDEX(Platforms!$E$5:$E$14,MATCH(H938,Lists!$A$2:$A$11,0))="Yes",N(L938),0))+N(INDEX(Platforms!$D$5:$D$14,MATCH(H938,Lists!$A$2:$A$11,0)))))),""))</f>
        <v/>
      </c>
      <c r="R938" s="16" t="str">
        <f t="shared" si="57"/>
        <v/>
      </c>
      <c r="S938" s="17" t="str">
        <f t="shared" si="58"/>
        <v/>
      </c>
      <c r="T938" s="18" t="str">
        <f t="shared" ca="1" si="59"/>
        <v/>
      </c>
    </row>
    <row r="939" spans="1:20" x14ac:dyDescent="0.35">
      <c r="A939" s="11"/>
      <c r="B939" s="11"/>
      <c r="C939" s="11"/>
      <c r="D939" s="12"/>
      <c r="E939" s="11"/>
      <c r="F939" s="13"/>
      <c r="G939" s="13"/>
      <c r="H939" s="11"/>
      <c r="I939" s="12"/>
      <c r="J939" s="12"/>
      <c r="K939" s="13"/>
      <c r="L939" s="13"/>
      <c r="M939" s="13"/>
      <c r="N939" s="13"/>
      <c r="O939" s="13"/>
      <c r="P939" s="14" t="str">
        <f t="shared" si="56"/>
        <v/>
      </c>
      <c r="Q939" s="15" t="str">
        <f>IF(OR(J939="",H939=""),"",IFERROR(IF(ISNUMBER(N939),N939,IF(K939&lt;N(INDEX(Platforms!$G$5:$G$14,MATCH(H939,Lists!$A$2:$A$11,0))),N(INDEX(Platforms!$H$5:$H$14,MATCH(H939,Lists!$A$2:$A$11,0))),MAX(N(INDEX(Platforms!$F$5:$F$14,MATCH(H939,Lists!$A$2:$A$11,0))),N(INDEX(Platforms!$C$5:$C$14,MATCH(H939,Lists!$A$2:$A$11,0)))*(K939+IF(INDEX(Platforms!$E$5:$E$14,MATCH(H939,Lists!$A$2:$A$11,0))="Yes",N(L939),0))+N(INDEX(Platforms!$D$5:$D$14,MATCH(H939,Lists!$A$2:$A$11,0)))))),""))</f>
        <v/>
      </c>
      <c r="R939" s="16" t="str">
        <f t="shared" si="57"/>
        <v/>
      </c>
      <c r="S939" s="17" t="str">
        <f t="shared" si="58"/>
        <v/>
      </c>
      <c r="T939" s="18" t="str">
        <f t="shared" ca="1" si="59"/>
        <v/>
      </c>
    </row>
    <row r="940" spans="1:20" x14ac:dyDescent="0.35">
      <c r="A940" s="11"/>
      <c r="B940" s="11"/>
      <c r="C940" s="11"/>
      <c r="D940" s="12"/>
      <c r="E940" s="11"/>
      <c r="F940" s="13"/>
      <c r="G940" s="13"/>
      <c r="H940" s="11"/>
      <c r="I940" s="12"/>
      <c r="J940" s="12"/>
      <c r="K940" s="13"/>
      <c r="L940" s="13"/>
      <c r="M940" s="13"/>
      <c r="N940" s="13"/>
      <c r="O940" s="13"/>
      <c r="P940" s="14" t="str">
        <f t="shared" si="56"/>
        <v/>
      </c>
      <c r="Q940" s="15" t="str">
        <f>IF(OR(J940="",H940=""),"",IFERROR(IF(ISNUMBER(N940),N940,IF(K940&lt;N(INDEX(Platforms!$G$5:$G$14,MATCH(H940,Lists!$A$2:$A$11,0))),N(INDEX(Platforms!$H$5:$H$14,MATCH(H940,Lists!$A$2:$A$11,0))),MAX(N(INDEX(Platforms!$F$5:$F$14,MATCH(H940,Lists!$A$2:$A$11,0))),N(INDEX(Platforms!$C$5:$C$14,MATCH(H940,Lists!$A$2:$A$11,0)))*(K940+IF(INDEX(Platforms!$E$5:$E$14,MATCH(H940,Lists!$A$2:$A$11,0))="Yes",N(L940),0))+N(INDEX(Platforms!$D$5:$D$14,MATCH(H940,Lists!$A$2:$A$11,0)))))),""))</f>
        <v/>
      </c>
      <c r="R940" s="16" t="str">
        <f t="shared" si="57"/>
        <v/>
      </c>
      <c r="S940" s="17" t="str">
        <f t="shared" si="58"/>
        <v/>
      </c>
      <c r="T940" s="18" t="str">
        <f t="shared" ca="1" si="59"/>
        <v/>
      </c>
    </row>
    <row r="941" spans="1:20" x14ac:dyDescent="0.35">
      <c r="A941" s="11"/>
      <c r="B941" s="11"/>
      <c r="C941" s="11"/>
      <c r="D941" s="12"/>
      <c r="E941" s="11"/>
      <c r="F941" s="13"/>
      <c r="G941" s="13"/>
      <c r="H941" s="11"/>
      <c r="I941" s="12"/>
      <c r="J941" s="12"/>
      <c r="K941" s="13"/>
      <c r="L941" s="13"/>
      <c r="M941" s="13"/>
      <c r="N941" s="13"/>
      <c r="O941" s="13"/>
      <c r="P941" s="14" t="str">
        <f t="shared" si="56"/>
        <v/>
      </c>
      <c r="Q941" s="15" t="str">
        <f>IF(OR(J941="",H941=""),"",IFERROR(IF(ISNUMBER(N941),N941,IF(K941&lt;N(INDEX(Platforms!$G$5:$G$14,MATCH(H941,Lists!$A$2:$A$11,0))),N(INDEX(Platforms!$H$5:$H$14,MATCH(H941,Lists!$A$2:$A$11,0))),MAX(N(INDEX(Platforms!$F$5:$F$14,MATCH(H941,Lists!$A$2:$A$11,0))),N(INDEX(Platforms!$C$5:$C$14,MATCH(H941,Lists!$A$2:$A$11,0)))*(K941+IF(INDEX(Platforms!$E$5:$E$14,MATCH(H941,Lists!$A$2:$A$11,0))="Yes",N(L941),0))+N(INDEX(Platforms!$D$5:$D$14,MATCH(H941,Lists!$A$2:$A$11,0)))))),""))</f>
        <v/>
      </c>
      <c r="R941" s="16" t="str">
        <f t="shared" si="57"/>
        <v/>
      </c>
      <c r="S941" s="17" t="str">
        <f t="shared" si="58"/>
        <v/>
      </c>
      <c r="T941" s="18" t="str">
        <f t="shared" ca="1" si="59"/>
        <v/>
      </c>
    </row>
    <row r="942" spans="1:20" x14ac:dyDescent="0.35">
      <c r="A942" s="11"/>
      <c r="B942" s="11"/>
      <c r="C942" s="11"/>
      <c r="D942" s="12"/>
      <c r="E942" s="11"/>
      <c r="F942" s="13"/>
      <c r="G942" s="13"/>
      <c r="H942" s="11"/>
      <c r="I942" s="12"/>
      <c r="J942" s="12"/>
      <c r="K942" s="13"/>
      <c r="L942" s="13"/>
      <c r="M942" s="13"/>
      <c r="N942" s="13"/>
      <c r="O942" s="13"/>
      <c r="P942" s="14" t="str">
        <f t="shared" si="56"/>
        <v/>
      </c>
      <c r="Q942" s="15" t="str">
        <f>IF(OR(J942="",H942=""),"",IFERROR(IF(ISNUMBER(N942),N942,IF(K942&lt;N(INDEX(Platforms!$G$5:$G$14,MATCH(H942,Lists!$A$2:$A$11,0))),N(INDEX(Platforms!$H$5:$H$14,MATCH(H942,Lists!$A$2:$A$11,0))),MAX(N(INDEX(Platforms!$F$5:$F$14,MATCH(H942,Lists!$A$2:$A$11,0))),N(INDEX(Platforms!$C$5:$C$14,MATCH(H942,Lists!$A$2:$A$11,0)))*(K942+IF(INDEX(Platforms!$E$5:$E$14,MATCH(H942,Lists!$A$2:$A$11,0))="Yes",N(L942),0))+N(INDEX(Platforms!$D$5:$D$14,MATCH(H942,Lists!$A$2:$A$11,0)))))),""))</f>
        <v/>
      </c>
      <c r="R942" s="16" t="str">
        <f t="shared" si="57"/>
        <v/>
      </c>
      <c r="S942" s="17" t="str">
        <f t="shared" si="58"/>
        <v/>
      </c>
      <c r="T942" s="18" t="str">
        <f t="shared" ca="1" si="59"/>
        <v/>
      </c>
    </row>
    <row r="943" spans="1:20" x14ac:dyDescent="0.35">
      <c r="A943" s="11"/>
      <c r="B943" s="11"/>
      <c r="C943" s="11"/>
      <c r="D943" s="12"/>
      <c r="E943" s="11"/>
      <c r="F943" s="13"/>
      <c r="G943" s="13"/>
      <c r="H943" s="11"/>
      <c r="I943" s="12"/>
      <c r="J943" s="12"/>
      <c r="K943" s="13"/>
      <c r="L943" s="13"/>
      <c r="M943" s="13"/>
      <c r="N943" s="13"/>
      <c r="O943" s="13"/>
      <c r="P943" s="14" t="str">
        <f t="shared" si="56"/>
        <v/>
      </c>
      <c r="Q943" s="15" t="str">
        <f>IF(OR(J943="",H943=""),"",IFERROR(IF(ISNUMBER(N943),N943,IF(K943&lt;N(INDEX(Platforms!$G$5:$G$14,MATCH(H943,Lists!$A$2:$A$11,0))),N(INDEX(Platforms!$H$5:$H$14,MATCH(H943,Lists!$A$2:$A$11,0))),MAX(N(INDEX(Platforms!$F$5:$F$14,MATCH(H943,Lists!$A$2:$A$11,0))),N(INDEX(Platforms!$C$5:$C$14,MATCH(H943,Lists!$A$2:$A$11,0)))*(K943+IF(INDEX(Platforms!$E$5:$E$14,MATCH(H943,Lists!$A$2:$A$11,0))="Yes",N(L943),0))+N(INDEX(Platforms!$D$5:$D$14,MATCH(H943,Lists!$A$2:$A$11,0)))))),""))</f>
        <v/>
      </c>
      <c r="R943" s="16" t="str">
        <f t="shared" si="57"/>
        <v/>
      </c>
      <c r="S943" s="17" t="str">
        <f t="shared" si="58"/>
        <v/>
      </c>
      <c r="T943" s="18" t="str">
        <f t="shared" ca="1" si="59"/>
        <v/>
      </c>
    </row>
    <row r="944" spans="1:20" x14ac:dyDescent="0.35">
      <c r="A944" s="11"/>
      <c r="B944" s="11"/>
      <c r="C944" s="11"/>
      <c r="D944" s="12"/>
      <c r="E944" s="11"/>
      <c r="F944" s="13"/>
      <c r="G944" s="13"/>
      <c r="H944" s="11"/>
      <c r="I944" s="12"/>
      <c r="J944" s="12"/>
      <c r="K944" s="13"/>
      <c r="L944" s="13"/>
      <c r="M944" s="13"/>
      <c r="N944" s="13"/>
      <c r="O944" s="13"/>
      <c r="P944" s="14" t="str">
        <f t="shared" si="56"/>
        <v/>
      </c>
      <c r="Q944" s="15" t="str">
        <f>IF(OR(J944="",H944=""),"",IFERROR(IF(ISNUMBER(N944),N944,IF(K944&lt;N(INDEX(Platforms!$G$5:$G$14,MATCH(H944,Lists!$A$2:$A$11,0))),N(INDEX(Platforms!$H$5:$H$14,MATCH(H944,Lists!$A$2:$A$11,0))),MAX(N(INDEX(Platforms!$F$5:$F$14,MATCH(H944,Lists!$A$2:$A$11,0))),N(INDEX(Platforms!$C$5:$C$14,MATCH(H944,Lists!$A$2:$A$11,0)))*(K944+IF(INDEX(Platforms!$E$5:$E$14,MATCH(H944,Lists!$A$2:$A$11,0))="Yes",N(L944),0))+N(INDEX(Platforms!$D$5:$D$14,MATCH(H944,Lists!$A$2:$A$11,0)))))),""))</f>
        <v/>
      </c>
      <c r="R944" s="16" t="str">
        <f t="shared" si="57"/>
        <v/>
      </c>
      <c r="S944" s="17" t="str">
        <f t="shared" si="58"/>
        <v/>
      </c>
      <c r="T944" s="18" t="str">
        <f t="shared" ca="1" si="59"/>
        <v/>
      </c>
    </row>
    <row r="945" spans="1:20" x14ac:dyDescent="0.35">
      <c r="A945" s="11"/>
      <c r="B945" s="11"/>
      <c r="C945" s="11"/>
      <c r="D945" s="12"/>
      <c r="E945" s="11"/>
      <c r="F945" s="13"/>
      <c r="G945" s="13"/>
      <c r="H945" s="11"/>
      <c r="I945" s="12"/>
      <c r="J945" s="12"/>
      <c r="K945" s="13"/>
      <c r="L945" s="13"/>
      <c r="M945" s="13"/>
      <c r="N945" s="13"/>
      <c r="O945" s="13"/>
      <c r="P945" s="14" t="str">
        <f t="shared" si="56"/>
        <v/>
      </c>
      <c r="Q945" s="15" t="str">
        <f>IF(OR(J945="",H945=""),"",IFERROR(IF(ISNUMBER(N945),N945,IF(K945&lt;N(INDEX(Platforms!$G$5:$G$14,MATCH(H945,Lists!$A$2:$A$11,0))),N(INDEX(Platforms!$H$5:$H$14,MATCH(H945,Lists!$A$2:$A$11,0))),MAX(N(INDEX(Platforms!$F$5:$F$14,MATCH(H945,Lists!$A$2:$A$11,0))),N(INDEX(Platforms!$C$5:$C$14,MATCH(H945,Lists!$A$2:$A$11,0)))*(K945+IF(INDEX(Platforms!$E$5:$E$14,MATCH(H945,Lists!$A$2:$A$11,0))="Yes",N(L945),0))+N(INDEX(Platforms!$D$5:$D$14,MATCH(H945,Lists!$A$2:$A$11,0)))))),""))</f>
        <v/>
      </c>
      <c r="R945" s="16" t="str">
        <f t="shared" si="57"/>
        <v/>
      </c>
      <c r="S945" s="17" t="str">
        <f t="shared" si="58"/>
        <v/>
      </c>
      <c r="T945" s="18" t="str">
        <f t="shared" ca="1" si="59"/>
        <v/>
      </c>
    </row>
    <row r="946" spans="1:20" x14ac:dyDescent="0.35">
      <c r="A946" s="11"/>
      <c r="B946" s="11"/>
      <c r="C946" s="11"/>
      <c r="D946" s="12"/>
      <c r="E946" s="11"/>
      <c r="F946" s="13"/>
      <c r="G946" s="13"/>
      <c r="H946" s="11"/>
      <c r="I946" s="12"/>
      <c r="J946" s="12"/>
      <c r="K946" s="13"/>
      <c r="L946" s="13"/>
      <c r="M946" s="13"/>
      <c r="N946" s="13"/>
      <c r="O946" s="13"/>
      <c r="P946" s="14" t="str">
        <f t="shared" si="56"/>
        <v/>
      </c>
      <c r="Q946" s="15" t="str">
        <f>IF(OR(J946="",H946=""),"",IFERROR(IF(ISNUMBER(N946),N946,IF(K946&lt;N(INDEX(Platforms!$G$5:$G$14,MATCH(H946,Lists!$A$2:$A$11,0))),N(INDEX(Platforms!$H$5:$H$14,MATCH(H946,Lists!$A$2:$A$11,0))),MAX(N(INDEX(Platforms!$F$5:$F$14,MATCH(H946,Lists!$A$2:$A$11,0))),N(INDEX(Platforms!$C$5:$C$14,MATCH(H946,Lists!$A$2:$A$11,0)))*(K946+IF(INDEX(Platforms!$E$5:$E$14,MATCH(H946,Lists!$A$2:$A$11,0))="Yes",N(L946),0))+N(INDEX(Platforms!$D$5:$D$14,MATCH(H946,Lists!$A$2:$A$11,0)))))),""))</f>
        <v/>
      </c>
      <c r="R946" s="16" t="str">
        <f t="shared" si="57"/>
        <v/>
      </c>
      <c r="S946" s="17" t="str">
        <f t="shared" si="58"/>
        <v/>
      </c>
      <c r="T946" s="18" t="str">
        <f t="shared" ca="1" si="59"/>
        <v/>
      </c>
    </row>
    <row r="947" spans="1:20" x14ac:dyDescent="0.35">
      <c r="A947" s="11"/>
      <c r="B947" s="11"/>
      <c r="C947" s="11"/>
      <c r="D947" s="12"/>
      <c r="E947" s="11"/>
      <c r="F947" s="13"/>
      <c r="G947" s="13"/>
      <c r="H947" s="11"/>
      <c r="I947" s="12"/>
      <c r="J947" s="12"/>
      <c r="K947" s="13"/>
      <c r="L947" s="13"/>
      <c r="M947" s="13"/>
      <c r="N947" s="13"/>
      <c r="O947" s="13"/>
      <c r="P947" s="14" t="str">
        <f t="shared" si="56"/>
        <v/>
      </c>
      <c r="Q947" s="15" t="str">
        <f>IF(OR(J947="",H947=""),"",IFERROR(IF(ISNUMBER(N947),N947,IF(K947&lt;N(INDEX(Platforms!$G$5:$G$14,MATCH(H947,Lists!$A$2:$A$11,0))),N(INDEX(Platforms!$H$5:$H$14,MATCH(H947,Lists!$A$2:$A$11,0))),MAX(N(INDEX(Platforms!$F$5:$F$14,MATCH(H947,Lists!$A$2:$A$11,0))),N(INDEX(Platforms!$C$5:$C$14,MATCH(H947,Lists!$A$2:$A$11,0)))*(K947+IF(INDEX(Platforms!$E$5:$E$14,MATCH(H947,Lists!$A$2:$A$11,0))="Yes",N(L947),0))+N(INDEX(Platforms!$D$5:$D$14,MATCH(H947,Lists!$A$2:$A$11,0)))))),""))</f>
        <v/>
      </c>
      <c r="R947" s="16" t="str">
        <f t="shared" si="57"/>
        <v/>
      </c>
      <c r="S947" s="17" t="str">
        <f t="shared" si="58"/>
        <v/>
      </c>
      <c r="T947" s="18" t="str">
        <f t="shared" ca="1" si="59"/>
        <v/>
      </c>
    </row>
    <row r="948" spans="1:20" x14ac:dyDescent="0.35">
      <c r="A948" s="11"/>
      <c r="B948" s="11"/>
      <c r="C948" s="11"/>
      <c r="D948" s="12"/>
      <c r="E948" s="11"/>
      <c r="F948" s="13"/>
      <c r="G948" s="13"/>
      <c r="H948" s="11"/>
      <c r="I948" s="12"/>
      <c r="J948" s="12"/>
      <c r="K948" s="13"/>
      <c r="L948" s="13"/>
      <c r="M948" s="13"/>
      <c r="N948" s="13"/>
      <c r="O948" s="13"/>
      <c r="P948" s="14" t="str">
        <f t="shared" si="56"/>
        <v/>
      </c>
      <c r="Q948" s="15" t="str">
        <f>IF(OR(J948="",H948=""),"",IFERROR(IF(ISNUMBER(N948),N948,IF(K948&lt;N(INDEX(Platforms!$G$5:$G$14,MATCH(H948,Lists!$A$2:$A$11,0))),N(INDEX(Platforms!$H$5:$H$14,MATCH(H948,Lists!$A$2:$A$11,0))),MAX(N(INDEX(Platforms!$F$5:$F$14,MATCH(H948,Lists!$A$2:$A$11,0))),N(INDEX(Platforms!$C$5:$C$14,MATCH(H948,Lists!$A$2:$A$11,0)))*(K948+IF(INDEX(Platforms!$E$5:$E$14,MATCH(H948,Lists!$A$2:$A$11,0))="Yes",N(L948),0))+N(INDEX(Platforms!$D$5:$D$14,MATCH(H948,Lists!$A$2:$A$11,0)))))),""))</f>
        <v/>
      </c>
      <c r="R948" s="16" t="str">
        <f t="shared" si="57"/>
        <v/>
      </c>
      <c r="S948" s="17" t="str">
        <f t="shared" si="58"/>
        <v/>
      </c>
      <c r="T948" s="18" t="str">
        <f t="shared" ca="1" si="59"/>
        <v/>
      </c>
    </row>
    <row r="949" spans="1:20" x14ac:dyDescent="0.35">
      <c r="A949" s="11"/>
      <c r="B949" s="11"/>
      <c r="C949" s="11"/>
      <c r="D949" s="12"/>
      <c r="E949" s="11"/>
      <c r="F949" s="13"/>
      <c r="G949" s="13"/>
      <c r="H949" s="11"/>
      <c r="I949" s="12"/>
      <c r="J949" s="12"/>
      <c r="K949" s="13"/>
      <c r="L949" s="13"/>
      <c r="M949" s="13"/>
      <c r="N949" s="13"/>
      <c r="O949" s="13"/>
      <c r="P949" s="14" t="str">
        <f t="shared" si="56"/>
        <v/>
      </c>
      <c r="Q949" s="15" t="str">
        <f>IF(OR(J949="",H949=""),"",IFERROR(IF(ISNUMBER(N949),N949,IF(K949&lt;N(INDEX(Platforms!$G$5:$G$14,MATCH(H949,Lists!$A$2:$A$11,0))),N(INDEX(Platforms!$H$5:$H$14,MATCH(H949,Lists!$A$2:$A$11,0))),MAX(N(INDEX(Platforms!$F$5:$F$14,MATCH(H949,Lists!$A$2:$A$11,0))),N(INDEX(Platforms!$C$5:$C$14,MATCH(H949,Lists!$A$2:$A$11,0)))*(K949+IF(INDEX(Platforms!$E$5:$E$14,MATCH(H949,Lists!$A$2:$A$11,0))="Yes",N(L949),0))+N(INDEX(Platforms!$D$5:$D$14,MATCH(H949,Lists!$A$2:$A$11,0)))))),""))</f>
        <v/>
      </c>
      <c r="R949" s="16" t="str">
        <f t="shared" si="57"/>
        <v/>
      </c>
      <c r="S949" s="17" t="str">
        <f t="shared" si="58"/>
        <v/>
      </c>
      <c r="T949" s="18" t="str">
        <f t="shared" ca="1" si="59"/>
        <v/>
      </c>
    </row>
    <row r="950" spans="1:20" x14ac:dyDescent="0.35">
      <c r="A950" s="11"/>
      <c r="B950" s="11"/>
      <c r="C950" s="11"/>
      <c r="D950" s="12"/>
      <c r="E950" s="11"/>
      <c r="F950" s="13"/>
      <c r="G950" s="13"/>
      <c r="H950" s="11"/>
      <c r="I950" s="12"/>
      <c r="J950" s="12"/>
      <c r="K950" s="13"/>
      <c r="L950" s="13"/>
      <c r="M950" s="13"/>
      <c r="N950" s="13"/>
      <c r="O950" s="13"/>
      <c r="P950" s="14" t="str">
        <f t="shared" si="56"/>
        <v/>
      </c>
      <c r="Q950" s="15" t="str">
        <f>IF(OR(J950="",H950=""),"",IFERROR(IF(ISNUMBER(N950),N950,IF(K950&lt;N(INDEX(Platforms!$G$5:$G$14,MATCH(H950,Lists!$A$2:$A$11,0))),N(INDEX(Platforms!$H$5:$H$14,MATCH(H950,Lists!$A$2:$A$11,0))),MAX(N(INDEX(Platforms!$F$5:$F$14,MATCH(H950,Lists!$A$2:$A$11,0))),N(INDEX(Platforms!$C$5:$C$14,MATCH(H950,Lists!$A$2:$A$11,0)))*(K950+IF(INDEX(Platforms!$E$5:$E$14,MATCH(H950,Lists!$A$2:$A$11,0))="Yes",N(L950),0))+N(INDEX(Platforms!$D$5:$D$14,MATCH(H950,Lists!$A$2:$A$11,0)))))),""))</f>
        <v/>
      </c>
      <c r="R950" s="16" t="str">
        <f t="shared" si="57"/>
        <v/>
      </c>
      <c r="S950" s="17" t="str">
        <f t="shared" si="58"/>
        <v/>
      </c>
      <c r="T950" s="18" t="str">
        <f t="shared" ca="1" si="59"/>
        <v/>
      </c>
    </row>
    <row r="951" spans="1:20" x14ac:dyDescent="0.35">
      <c r="A951" s="11"/>
      <c r="B951" s="11"/>
      <c r="C951" s="11"/>
      <c r="D951" s="12"/>
      <c r="E951" s="11"/>
      <c r="F951" s="13"/>
      <c r="G951" s="13"/>
      <c r="H951" s="11"/>
      <c r="I951" s="12"/>
      <c r="J951" s="12"/>
      <c r="K951" s="13"/>
      <c r="L951" s="13"/>
      <c r="M951" s="13"/>
      <c r="N951" s="13"/>
      <c r="O951" s="13"/>
      <c r="P951" s="14" t="str">
        <f t="shared" si="56"/>
        <v/>
      </c>
      <c r="Q951" s="15" t="str">
        <f>IF(OR(J951="",H951=""),"",IFERROR(IF(ISNUMBER(N951),N951,IF(K951&lt;N(INDEX(Platforms!$G$5:$G$14,MATCH(H951,Lists!$A$2:$A$11,0))),N(INDEX(Platforms!$H$5:$H$14,MATCH(H951,Lists!$A$2:$A$11,0))),MAX(N(INDEX(Platforms!$F$5:$F$14,MATCH(H951,Lists!$A$2:$A$11,0))),N(INDEX(Platforms!$C$5:$C$14,MATCH(H951,Lists!$A$2:$A$11,0)))*(K951+IF(INDEX(Platforms!$E$5:$E$14,MATCH(H951,Lists!$A$2:$A$11,0))="Yes",N(L951),0))+N(INDEX(Platforms!$D$5:$D$14,MATCH(H951,Lists!$A$2:$A$11,0)))))),""))</f>
        <v/>
      </c>
      <c r="R951" s="16" t="str">
        <f t="shared" si="57"/>
        <v/>
      </c>
      <c r="S951" s="17" t="str">
        <f t="shared" si="58"/>
        <v/>
      </c>
      <c r="T951" s="18" t="str">
        <f t="shared" ca="1" si="59"/>
        <v/>
      </c>
    </row>
    <row r="952" spans="1:20" x14ac:dyDescent="0.35">
      <c r="A952" s="11"/>
      <c r="B952" s="11"/>
      <c r="C952" s="11"/>
      <c r="D952" s="12"/>
      <c r="E952" s="11"/>
      <c r="F952" s="13"/>
      <c r="G952" s="13"/>
      <c r="H952" s="11"/>
      <c r="I952" s="12"/>
      <c r="J952" s="12"/>
      <c r="K952" s="13"/>
      <c r="L952" s="13"/>
      <c r="M952" s="13"/>
      <c r="N952" s="13"/>
      <c r="O952" s="13"/>
      <c r="P952" s="14" t="str">
        <f t="shared" si="56"/>
        <v/>
      </c>
      <c r="Q952" s="15" t="str">
        <f>IF(OR(J952="",H952=""),"",IFERROR(IF(ISNUMBER(N952),N952,IF(K952&lt;N(INDEX(Platforms!$G$5:$G$14,MATCH(H952,Lists!$A$2:$A$11,0))),N(INDEX(Platforms!$H$5:$H$14,MATCH(H952,Lists!$A$2:$A$11,0))),MAX(N(INDEX(Platforms!$F$5:$F$14,MATCH(H952,Lists!$A$2:$A$11,0))),N(INDEX(Platforms!$C$5:$C$14,MATCH(H952,Lists!$A$2:$A$11,0)))*(K952+IF(INDEX(Platforms!$E$5:$E$14,MATCH(H952,Lists!$A$2:$A$11,0))="Yes",N(L952),0))+N(INDEX(Platforms!$D$5:$D$14,MATCH(H952,Lists!$A$2:$A$11,0)))))),""))</f>
        <v/>
      </c>
      <c r="R952" s="16" t="str">
        <f t="shared" si="57"/>
        <v/>
      </c>
      <c r="S952" s="17" t="str">
        <f t="shared" si="58"/>
        <v/>
      </c>
      <c r="T952" s="18" t="str">
        <f t="shared" ca="1" si="59"/>
        <v/>
      </c>
    </row>
    <row r="953" spans="1:20" x14ac:dyDescent="0.35">
      <c r="A953" s="11"/>
      <c r="B953" s="11"/>
      <c r="C953" s="11"/>
      <c r="D953" s="12"/>
      <c r="E953" s="11"/>
      <c r="F953" s="13"/>
      <c r="G953" s="13"/>
      <c r="H953" s="11"/>
      <c r="I953" s="12"/>
      <c r="J953" s="12"/>
      <c r="K953" s="13"/>
      <c r="L953" s="13"/>
      <c r="M953" s="13"/>
      <c r="N953" s="13"/>
      <c r="O953" s="13"/>
      <c r="P953" s="14" t="str">
        <f t="shared" si="56"/>
        <v/>
      </c>
      <c r="Q953" s="15" t="str">
        <f>IF(OR(J953="",H953=""),"",IFERROR(IF(ISNUMBER(N953),N953,IF(K953&lt;N(INDEX(Platforms!$G$5:$G$14,MATCH(H953,Lists!$A$2:$A$11,0))),N(INDEX(Platforms!$H$5:$H$14,MATCH(H953,Lists!$A$2:$A$11,0))),MAX(N(INDEX(Platforms!$F$5:$F$14,MATCH(H953,Lists!$A$2:$A$11,0))),N(INDEX(Platforms!$C$5:$C$14,MATCH(H953,Lists!$A$2:$A$11,0)))*(K953+IF(INDEX(Platforms!$E$5:$E$14,MATCH(H953,Lists!$A$2:$A$11,0))="Yes",N(L953),0))+N(INDEX(Platforms!$D$5:$D$14,MATCH(H953,Lists!$A$2:$A$11,0)))))),""))</f>
        <v/>
      </c>
      <c r="R953" s="16" t="str">
        <f t="shared" si="57"/>
        <v/>
      </c>
      <c r="S953" s="17" t="str">
        <f t="shared" si="58"/>
        <v/>
      </c>
      <c r="T953" s="18" t="str">
        <f t="shared" ca="1" si="59"/>
        <v/>
      </c>
    </row>
    <row r="954" spans="1:20" x14ac:dyDescent="0.35">
      <c r="A954" s="11"/>
      <c r="B954" s="11"/>
      <c r="C954" s="11"/>
      <c r="D954" s="12"/>
      <c r="E954" s="11"/>
      <c r="F954" s="13"/>
      <c r="G954" s="13"/>
      <c r="H954" s="11"/>
      <c r="I954" s="12"/>
      <c r="J954" s="12"/>
      <c r="K954" s="13"/>
      <c r="L954" s="13"/>
      <c r="M954" s="13"/>
      <c r="N954" s="13"/>
      <c r="O954" s="13"/>
      <c r="P954" s="14" t="str">
        <f t="shared" si="56"/>
        <v/>
      </c>
      <c r="Q954" s="15" t="str">
        <f>IF(OR(J954="",H954=""),"",IFERROR(IF(ISNUMBER(N954),N954,IF(K954&lt;N(INDEX(Platforms!$G$5:$G$14,MATCH(H954,Lists!$A$2:$A$11,0))),N(INDEX(Platforms!$H$5:$H$14,MATCH(H954,Lists!$A$2:$A$11,0))),MAX(N(INDEX(Platforms!$F$5:$F$14,MATCH(H954,Lists!$A$2:$A$11,0))),N(INDEX(Platforms!$C$5:$C$14,MATCH(H954,Lists!$A$2:$A$11,0)))*(K954+IF(INDEX(Platforms!$E$5:$E$14,MATCH(H954,Lists!$A$2:$A$11,0))="Yes",N(L954),0))+N(INDEX(Platforms!$D$5:$D$14,MATCH(H954,Lists!$A$2:$A$11,0)))))),""))</f>
        <v/>
      </c>
      <c r="R954" s="16" t="str">
        <f t="shared" si="57"/>
        <v/>
      </c>
      <c r="S954" s="17" t="str">
        <f t="shared" si="58"/>
        <v/>
      </c>
      <c r="T954" s="18" t="str">
        <f t="shared" ca="1" si="59"/>
        <v/>
      </c>
    </row>
    <row r="955" spans="1:20" x14ac:dyDescent="0.35">
      <c r="A955" s="11"/>
      <c r="B955" s="11"/>
      <c r="C955" s="11"/>
      <c r="D955" s="12"/>
      <c r="E955" s="11"/>
      <c r="F955" s="13"/>
      <c r="G955" s="13"/>
      <c r="H955" s="11"/>
      <c r="I955" s="12"/>
      <c r="J955" s="12"/>
      <c r="K955" s="13"/>
      <c r="L955" s="13"/>
      <c r="M955" s="13"/>
      <c r="N955" s="13"/>
      <c r="O955" s="13"/>
      <c r="P955" s="14" t="str">
        <f t="shared" si="56"/>
        <v/>
      </c>
      <c r="Q955" s="15" t="str">
        <f>IF(OR(J955="",H955=""),"",IFERROR(IF(ISNUMBER(N955),N955,IF(K955&lt;N(INDEX(Platforms!$G$5:$G$14,MATCH(H955,Lists!$A$2:$A$11,0))),N(INDEX(Platforms!$H$5:$H$14,MATCH(H955,Lists!$A$2:$A$11,0))),MAX(N(INDEX(Platforms!$F$5:$F$14,MATCH(H955,Lists!$A$2:$A$11,0))),N(INDEX(Platforms!$C$5:$C$14,MATCH(H955,Lists!$A$2:$A$11,0)))*(K955+IF(INDEX(Platforms!$E$5:$E$14,MATCH(H955,Lists!$A$2:$A$11,0))="Yes",N(L955),0))+N(INDEX(Platforms!$D$5:$D$14,MATCH(H955,Lists!$A$2:$A$11,0)))))),""))</f>
        <v/>
      </c>
      <c r="R955" s="16" t="str">
        <f t="shared" si="57"/>
        <v/>
      </c>
      <c r="S955" s="17" t="str">
        <f t="shared" si="58"/>
        <v/>
      </c>
      <c r="T955" s="18" t="str">
        <f t="shared" ca="1" si="59"/>
        <v/>
      </c>
    </row>
    <row r="956" spans="1:20" x14ac:dyDescent="0.35">
      <c r="A956" s="11"/>
      <c r="B956" s="11"/>
      <c r="C956" s="11"/>
      <c r="D956" s="12"/>
      <c r="E956" s="11"/>
      <c r="F956" s="13"/>
      <c r="G956" s="13"/>
      <c r="H956" s="11"/>
      <c r="I956" s="12"/>
      <c r="J956" s="12"/>
      <c r="K956" s="13"/>
      <c r="L956" s="13"/>
      <c r="M956" s="13"/>
      <c r="N956" s="13"/>
      <c r="O956" s="13"/>
      <c r="P956" s="14" t="str">
        <f t="shared" si="56"/>
        <v/>
      </c>
      <c r="Q956" s="15" t="str">
        <f>IF(OR(J956="",H956=""),"",IFERROR(IF(ISNUMBER(N956),N956,IF(K956&lt;N(INDEX(Platforms!$G$5:$G$14,MATCH(H956,Lists!$A$2:$A$11,0))),N(INDEX(Platforms!$H$5:$H$14,MATCH(H956,Lists!$A$2:$A$11,0))),MAX(N(INDEX(Platforms!$F$5:$F$14,MATCH(H956,Lists!$A$2:$A$11,0))),N(INDEX(Platforms!$C$5:$C$14,MATCH(H956,Lists!$A$2:$A$11,0)))*(K956+IF(INDEX(Platforms!$E$5:$E$14,MATCH(H956,Lists!$A$2:$A$11,0))="Yes",N(L956),0))+N(INDEX(Platforms!$D$5:$D$14,MATCH(H956,Lists!$A$2:$A$11,0)))))),""))</f>
        <v/>
      </c>
      <c r="R956" s="16" t="str">
        <f t="shared" si="57"/>
        <v/>
      </c>
      <c r="S956" s="17" t="str">
        <f t="shared" si="58"/>
        <v/>
      </c>
      <c r="T956" s="18" t="str">
        <f t="shared" ca="1" si="59"/>
        <v/>
      </c>
    </row>
    <row r="957" spans="1:20" x14ac:dyDescent="0.35">
      <c r="A957" s="11"/>
      <c r="B957" s="11"/>
      <c r="C957" s="11"/>
      <c r="D957" s="12"/>
      <c r="E957" s="11"/>
      <c r="F957" s="13"/>
      <c r="G957" s="13"/>
      <c r="H957" s="11"/>
      <c r="I957" s="12"/>
      <c r="J957" s="12"/>
      <c r="K957" s="13"/>
      <c r="L957" s="13"/>
      <c r="M957" s="13"/>
      <c r="N957" s="13"/>
      <c r="O957" s="13"/>
      <c r="P957" s="14" t="str">
        <f t="shared" si="56"/>
        <v/>
      </c>
      <c r="Q957" s="15" t="str">
        <f>IF(OR(J957="",H957=""),"",IFERROR(IF(ISNUMBER(N957),N957,IF(K957&lt;N(INDEX(Platforms!$G$5:$G$14,MATCH(H957,Lists!$A$2:$A$11,0))),N(INDEX(Platforms!$H$5:$H$14,MATCH(H957,Lists!$A$2:$A$11,0))),MAX(N(INDEX(Platforms!$F$5:$F$14,MATCH(H957,Lists!$A$2:$A$11,0))),N(INDEX(Platforms!$C$5:$C$14,MATCH(H957,Lists!$A$2:$A$11,0)))*(K957+IF(INDEX(Platforms!$E$5:$E$14,MATCH(H957,Lists!$A$2:$A$11,0))="Yes",N(L957),0))+N(INDEX(Platforms!$D$5:$D$14,MATCH(H957,Lists!$A$2:$A$11,0)))))),""))</f>
        <v/>
      </c>
      <c r="R957" s="16" t="str">
        <f t="shared" si="57"/>
        <v/>
      </c>
      <c r="S957" s="17" t="str">
        <f t="shared" si="58"/>
        <v/>
      </c>
      <c r="T957" s="18" t="str">
        <f t="shared" ca="1" si="59"/>
        <v/>
      </c>
    </row>
    <row r="958" spans="1:20" x14ac:dyDescent="0.35">
      <c r="A958" s="11"/>
      <c r="B958" s="11"/>
      <c r="C958" s="11"/>
      <c r="D958" s="12"/>
      <c r="E958" s="11"/>
      <c r="F958" s="13"/>
      <c r="G958" s="13"/>
      <c r="H958" s="11"/>
      <c r="I958" s="12"/>
      <c r="J958" s="12"/>
      <c r="K958" s="13"/>
      <c r="L958" s="13"/>
      <c r="M958" s="13"/>
      <c r="N958" s="13"/>
      <c r="O958" s="13"/>
      <c r="P958" s="14" t="str">
        <f t="shared" si="56"/>
        <v/>
      </c>
      <c r="Q958" s="15" t="str">
        <f>IF(OR(J958="",H958=""),"",IFERROR(IF(ISNUMBER(N958),N958,IF(K958&lt;N(INDEX(Platforms!$G$5:$G$14,MATCH(H958,Lists!$A$2:$A$11,0))),N(INDEX(Platforms!$H$5:$H$14,MATCH(H958,Lists!$A$2:$A$11,0))),MAX(N(INDEX(Platforms!$F$5:$F$14,MATCH(H958,Lists!$A$2:$A$11,0))),N(INDEX(Platforms!$C$5:$C$14,MATCH(H958,Lists!$A$2:$A$11,0)))*(K958+IF(INDEX(Platforms!$E$5:$E$14,MATCH(H958,Lists!$A$2:$A$11,0))="Yes",N(L958),0))+N(INDEX(Platforms!$D$5:$D$14,MATCH(H958,Lists!$A$2:$A$11,0)))))),""))</f>
        <v/>
      </c>
      <c r="R958" s="16" t="str">
        <f t="shared" si="57"/>
        <v/>
      </c>
      <c r="S958" s="17" t="str">
        <f t="shared" si="58"/>
        <v/>
      </c>
      <c r="T958" s="18" t="str">
        <f t="shared" ca="1" si="59"/>
        <v/>
      </c>
    </row>
    <row r="959" spans="1:20" x14ac:dyDescent="0.35">
      <c r="A959" s="11"/>
      <c r="B959" s="11"/>
      <c r="C959" s="11"/>
      <c r="D959" s="12"/>
      <c r="E959" s="11"/>
      <c r="F959" s="13"/>
      <c r="G959" s="13"/>
      <c r="H959" s="11"/>
      <c r="I959" s="12"/>
      <c r="J959" s="12"/>
      <c r="K959" s="13"/>
      <c r="L959" s="13"/>
      <c r="M959" s="13"/>
      <c r="N959" s="13"/>
      <c r="O959" s="13"/>
      <c r="P959" s="14" t="str">
        <f t="shared" si="56"/>
        <v/>
      </c>
      <c r="Q959" s="15" t="str">
        <f>IF(OR(J959="",H959=""),"",IFERROR(IF(ISNUMBER(N959),N959,IF(K959&lt;N(INDEX(Platforms!$G$5:$G$14,MATCH(H959,Lists!$A$2:$A$11,0))),N(INDEX(Platforms!$H$5:$H$14,MATCH(H959,Lists!$A$2:$A$11,0))),MAX(N(INDEX(Platforms!$F$5:$F$14,MATCH(H959,Lists!$A$2:$A$11,0))),N(INDEX(Platforms!$C$5:$C$14,MATCH(H959,Lists!$A$2:$A$11,0)))*(K959+IF(INDEX(Platforms!$E$5:$E$14,MATCH(H959,Lists!$A$2:$A$11,0))="Yes",N(L959),0))+N(INDEX(Platforms!$D$5:$D$14,MATCH(H959,Lists!$A$2:$A$11,0)))))),""))</f>
        <v/>
      </c>
      <c r="R959" s="16" t="str">
        <f t="shared" si="57"/>
        <v/>
      </c>
      <c r="S959" s="17" t="str">
        <f t="shared" si="58"/>
        <v/>
      </c>
      <c r="T959" s="18" t="str">
        <f t="shared" ca="1" si="59"/>
        <v/>
      </c>
    </row>
    <row r="960" spans="1:20" x14ac:dyDescent="0.35">
      <c r="A960" s="11"/>
      <c r="B960" s="11"/>
      <c r="C960" s="11"/>
      <c r="D960" s="12"/>
      <c r="E960" s="11"/>
      <c r="F960" s="13"/>
      <c r="G960" s="13"/>
      <c r="H960" s="11"/>
      <c r="I960" s="12"/>
      <c r="J960" s="12"/>
      <c r="K960" s="13"/>
      <c r="L960" s="13"/>
      <c r="M960" s="13"/>
      <c r="N960" s="13"/>
      <c r="O960" s="13"/>
      <c r="P960" s="14" t="str">
        <f t="shared" si="56"/>
        <v/>
      </c>
      <c r="Q960" s="15" t="str">
        <f>IF(OR(J960="",H960=""),"",IFERROR(IF(ISNUMBER(N960),N960,IF(K960&lt;N(INDEX(Platforms!$G$5:$G$14,MATCH(H960,Lists!$A$2:$A$11,0))),N(INDEX(Platforms!$H$5:$H$14,MATCH(H960,Lists!$A$2:$A$11,0))),MAX(N(INDEX(Platforms!$F$5:$F$14,MATCH(H960,Lists!$A$2:$A$11,0))),N(INDEX(Platforms!$C$5:$C$14,MATCH(H960,Lists!$A$2:$A$11,0)))*(K960+IF(INDEX(Platforms!$E$5:$E$14,MATCH(H960,Lists!$A$2:$A$11,0))="Yes",N(L960),0))+N(INDEX(Platforms!$D$5:$D$14,MATCH(H960,Lists!$A$2:$A$11,0)))))),""))</f>
        <v/>
      </c>
      <c r="R960" s="16" t="str">
        <f t="shared" si="57"/>
        <v/>
      </c>
      <c r="S960" s="17" t="str">
        <f t="shared" si="58"/>
        <v/>
      </c>
      <c r="T960" s="18" t="str">
        <f t="shared" ca="1" si="59"/>
        <v/>
      </c>
    </row>
    <row r="961" spans="1:20" x14ac:dyDescent="0.35">
      <c r="A961" s="11"/>
      <c r="B961" s="11"/>
      <c r="C961" s="11"/>
      <c r="D961" s="12"/>
      <c r="E961" s="11"/>
      <c r="F961" s="13"/>
      <c r="G961" s="13"/>
      <c r="H961" s="11"/>
      <c r="I961" s="12"/>
      <c r="J961" s="12"/>
      <c r="K961" s="13"/>
      <c r="L961" s="13"/>
      <c r="M961" s="13"/>
      <c r="N961" s="13"/>
      <c r="O961" s="13"/>
      <c r="P961" s="14" t="str">
        <f t="shared" si="56"/>
        <v/>
      </c>
      <c r="Q961" s="15" t="str">
        <f>IF(OR(J961="",H961=""),"",IFERROR(IF(ISNUMBER(N961),N961,IF(K961&lt;N(INDEX(Platforms!$G$5:$G$14,MATCH(H961,Lists!$A$2:$A$11,0))),N(INDEX(Platforms!$H$5:$H$14,MATCH(H961,Lists!$A$2:$A$11,0))),MAX(N(INDEX(Platforms!$F$5:$F$14,MATCH(H961,Lists!$A$2:$A$11,0))),N(INDEX(Platforms!$C$5:$C$14,MATCH(H961,Lists!$A$2:$A$11,0)))*(K961+IF(INDEX(Platforms!$E$5:$E$14,MATCH(H961,Lists!$A$2:$A$11,0))="Yes",N(L961),0))+N(INDEX(Platforms!$D$5:$D$14,MATCH(H961,Lists!$A$2:$A$11,0)))))),""))</f>
        <v/>
      </c>
      <c r="R961" s="16" t="str">
        <f t="shared" si="57"/>
        <v/>
      </c>
      <c r="S961" s="17" t="str">
        <f t="shared" si="58"/>
        <v/>
      </c>
      <c r="T961" s="18" t="str">
        <f t="shared" ca="1" si="59"/>
        <v/>
      </c>
    </row>
    <row r="962" spans="1:20" x14ac:dyDescent="0.35">
      <c r="A962" s="11"/>
      <c r="B962" s="11"/>
      <c r="C962" s="11"/>
      <c r="D962" s="12"/>
      <c r="E962" s="11"/>
      <c r="F962" s="13"/>
      <c r="G962" s="13"/>
      <c r="H962" s="11"/>
      <c r="I962" s="12"/>
      <c r="J962" s="12"/>
      <c r="K962" s="13"/>
      <c r="L962" s="13"/>
      <c r="M962" s="13"/>
      <c r="N962" s="13"/>
      <c r="O962" s="13"/>
      <c r="P962" s="14" t="str">
        <f t="shared" si="56"/>
        <v/>
      </c>
      <c r="Q962" s="15" t="str">
        <f>IF(OR(J962="",H962=""),"",IFERROR(IF(ISNUMBER(N962),N962,IF(K962&lt;N(INDEX(Platforms!$G$5:$G$14,MATCH(H962,Lists!$A$2:$A$11,0))),N(INDEX(Platforms!$H$5:$H$14,MATCH(H962,Lists!$A$2:$A$11,0))),MAX(N(INDEX(Platforms!$F$5:$F$14,MATCH(H962,Lists!$A$2:$A$11,0))),N(INDEX(Platforms!$C$5:$C$14,MATCH(H962,Lists!$A$2:$A$11,0)))*(K962+IF(INDEX(Platforms!$E$5:$E$14,MATCH(H962,Lists!$A$2:$A$11,0))="Yes",N(L962),0))+N(INDEX(Platforms!$D$5:$D$14,MATCH(H962,Lists!$A$2:$A$11,0)))))),""))</f>
        <v/>
      </c>
      <c r="R962" s="16" t="str">
        <f t="shared" si="57"/>
        <v/>
      </c>
      <c r="S962" s="17" t="str">
        <f t="shared" si="58"/>
        <v/>
      </c>
      <c r="T962" s="18" t="str">
        <f t="shared" ca="1" si="59"/>
        <v/>
      </c>
    </row>
    <row r="963" spans="1:20" x14ac:dyDescent="0.35">
      <c r="A963" s="11"/>
      <c r="B963" s="11"/>
      <c r="C963" s="11"/>
      <c r="D963" s="12"/>
      <c r="E963" s="11"/>
      <c r="F963" s="13"/>
      <c r="G963" s="13"/>
      <c r="H963" s="11"/>
      <c r="I963" s="12"/>
      <c r="J963" s="12"/>
      <c r="K963" s="13"/>
      <c r="L963" s="13"/>
      <c r="M963" s="13"/>
      <c r="N963" s="13"/>
      <c r="O963" s="13"/>
      <c r="P963" s="14" t="str">
        <f t="shared" si="56"/>
        <v/>
      </c>
      <c r="Q963" s="15" t="str">
        <f>IF(OR(J963="",H963=""),"",IFERROR(IF(ISNUMBER(N963),N963,IF(K963&lt;N(INDEX(Platforms!$G$5:$G$14,MATCH(H963,Lists!$A$2:$A$11,0))),N(INDEX(Platforms!$H$5:$H$14,MATCH(H963,Lists!$A$2:$A$11,0))),MAX(N(INDEX(Platforms!$F$5:$F$14,MATCH(H963,Lists!$A$2:$A$11,0))),N(INDEX(Platforms!$C$5:$C$14,MATCH(H963,Lists!$A$2:$A$11,0)))*(K963+IF(INDEX(Platforms!$E$5:$E$14,MATCH(H963,Lists!$A$2:$A$11,0))="Yes",N(L963),0))+N(INDEX(Platforms!$D$5:$D$14,MATCH(H963,Lists!$A$2:$A$11,0)))))),""))</f>
        <v/>
      </c>
      <c r="R963" s="16" t="str">
        <f t="shared" si="57"/>
        <v/>
      </c>
      <c r="S963" s="17" t="str">
        <f t="shared" si="58"/>
        <v/>
      </c>
      <c r="T963" s="18" t="str">
        <f t="shared" ca="1" si="59"/>
        <v/>
      </c>
    </row>
    <row r="964" spans="1:20" x14ac:dyDescent="0.35">
      <c r="A964" s="11"/>
      <c r="B964" s="11"/>
      <c r="C964" s="11"/>
      <c r="D964" s="12"/>
      <c r="E964" s="11"/>
      <c r="F964" s="13"/>
      <c r="G964" s="13"/>
      <c r="H964" s="11"/>
      <c r="I964" s="12"/>
      <c r="J964" s="12"/>
      <c r="K964" s="13"/>
      <c r="L964" s="13"/>
      <c r="M964" s="13"/>
      <c r="N964" s="13"/>
      <c r="O964" s="13"/>
      <c r="P964" s="14" t="str">
        <f t="shared" si="56"/>
        <v/>
      </c>
      <c r="Q964" s="15" t="str">
        <f>IF(OR(J964="",H964=""),"",IFERROR(IF(ISNUMBER(N964),N964,IF(K964&lt;N(INDEX(Platforms!$G$5:$G$14,MATCH(H964,Lists!$A$2:$A$11,0))),N(INDEX(Platforms!$H$5:$H$14,MATCH(H964,Lists!$A$2:$A$11,0))),MAX(N(INDEX(Platforms!$F$5:$F$14,MATCH(H964,Lists!$A$2:$A$11,0))),N(INDEX(Platforms!$C$5:$C$14,MATCH(H964,Lists!$A$2:$A$11,0)))*(K964+IF(INDEX(Platforms!$E$5:$E$14,MATCH(H964,Lists!$A$2:$A$11,0))="Yes",N(L964),0))+N(INDEX(Platforms!$D$5:$D$14,MATCH(H964,Lists!$A$2:$A$11,0)))))),""))</f>
        <v/>
      </c>
      <c r="R964" s="16" t="str">
        <f t="shared" si="57"/>
        <v/>
      </c>
      <c r="S964" s="17" t="str">
        <f t="shared" si="58"/>
        <v/>
      </c>
      <c r="T964" s="18" t="str">
        <f t="shared" ca="1" si="59"/>
        <v/>
      </c>
    </row>
    <row r="965" spans="1:20" x14ac:dyDescent="0.35">
      <c r="A965" s="11"/>
      <c r="B965" s="11"/>
      <c r="C965" s="11"/>
      <c r="D965" s="12"/>
      <c r="E965" s="11"/>
      <c r="F965" s="13"/>
      <c r="G965" s="13"/>
      <c r="H965" s="11"/>
      <c r="I965" s="12"/>
      <c r="J965" s="12"/>
      <c r="K965" s="13"/>
      <c r="L965" s="13"/>
      <c r="M965" s="13"/>
      <c r="N965" s="13"/>
      <c r="O965" s="13"/>
      <c r="P965" s="14" t="str">
        <f t="shared" ref="P965:P1028" si="60">IF(OR(B965&lt;&gt;"",F965&lt;&gt;"",H965&lt;&gt;"",J965&lt;&gt;"",K965&lt;&gt;""),IF(J965&lt;&gt;"","Sold",IF(I965&lt;&gt;"","Listed","In stock")),"")</f>
        <v/>
      </c>
      <c r="Q965" s="15" t="str">
        <f>IF(OR(J965="",H965=""),"",IFERROR(IF(ISNUMBER(N965),N965,IF(K965&lt;N(INDEX(Platforms!$G$5:$G$14,MATCH(H965,Lists!$A$2:$A$11,0))),N(INDEX(Platforms!$H$5:$H$14,MATCH(H965,Lists!$A$2:$A$11,0))),MAX(N(INDEX(Platforms!$F$5:$F$14,MATCH(H965,Lists!$A$2:$A$11,0))),N(INDEX(Platforms!$C$5:$C$14,MATCH(H965,Lists!$A$2:$A$11,0)))*(K965+IF(INDEX(Platforms!$E$5:$E$14,MATCH(H965,Lists!$A$2:$A$11,0))="Yes",N(L965),0))+N(INDEX(Platforms!$D$5:$D$14,MATCH(H965,Lists!$A$2:$A$11,0)))))),""))</f>
        <v/>
      </c>
      <c r="R965" s="16" t="str">
        <f t="shared" ref="R965:R1028" si="61">IF(J965="","",IFERROR(K965+N(L965)-N(O965)-Q965-N(M965)-N(F965)-N(G965),""))</f>
        <v/>
      </c>
      <c r="S965" s="17" t="str">
        <f t="shared" ref="S965:S1028" si="62">IF(OR(R965="",N(F965)+N(G965)=0),"",R965/(N(F965)+N(G965)))</f>
        <v/>
      </c>
      <c r="T965" s="18" t="str">
        <f t="shared" ref="T965:T1028" ca="1" si="63">IFERROR(IF(ISNUMBER(D965),IF(ISNUMBER(J965),J965,IF(J965="",TODAY(),""))-D965,""),"")</f>
        <v/>
      </c>
    </row>
    <row r="966" spans="1:20" x14ac:dyDescent="0.35">
      <c r="A966" s="11"/>
      <c r="B966" s="11"/>
      <c r="C966" s="11"/>
      <c r="D966" s="12"/>
      <c r="E966" s="11"/>
      <c r="F966" s="13"/>
      <c r="G966" s="13"/>
      <c r="H966" s="11"/>
      <c r="I966" s="12"/>
      <c r="J966" s="12"/>
      <c r="K966" s="13"/>
      <c r="L966" s="13"/>
      <c r="M966" s="13"/>
      <c r="N966" s="13"/>
      <c r="O966" s="13"/>
      <c r="P966" s="14" t="str">
        <f t="shared" si="60"/>
        <v/>
      </c>
      <c r="Q966" s="15" t="str">
        <f>IF(OR(J966="",H966=""),"",IFERROR(IF(ISNUMBER(N966),N966,IF(K966&lt;N(INDEX(Platforms!$G$5:$G$14,MATCH(H966,Lists!$A$2:$A$11,0))),N(INDEX(Platforms!$H$5:$H$14,MATCH(H966,Lists!$A$2:$A$11,0))),MAX(N(INDEX(Platforms!$F$5:$F$14,MATCH(H966,Lists!$A$2:$A$11,0))),N(INDEX(Platforms!$C$5:$C$14,MATCH(H966,Lists!$A$2:$A$11,0)))*(K966+IF(INDEX(Platforms!$E$5:$E$14,MATCH(H966,Lists!$A$2:$A$11,0))="Yes",N(L966),0))+N(INDEX(Platforms!$D$5:$D$14,MATCH(H966,Lists!$A$2:$A$11,0)))))),""))</f>
        <v/>
      </c>
      <c r="R966" s="16" t="str">
        <f t="shared" si="61"/>
        <v/>
      </c>
      <c r="S966" s="17" t="str">
        <f t="shared" si="62"/>
        <v/>
      </c>
      <c r="T966" s="18" t="str">
        <f t="shared" ca="1" si="63"/>
        <v/>
      </c>
    </row>
    <row r="967" spans="1:20" x14ac:dyDescent="0.35">
      <c r="A967" s="11"/>
      <c r="B967" s="11"/>
      <c r="C967" s="11"/>
      <c r="D967" s="12"/>
      <c r="E967" s="11"/>
      <c r="F967" s="13"/>
      <c r="G967" s="13"/>
      <c r="H967" s="11"/>
      <c r="I967" s="12"/>
      <c r="J967" s="12"/>
      <c r="K967" s="13"/>
      <c r="L967" s="13"/>
      <c r="M967" s="13"/>
      <c r="N967" s="13"/>
      <c r="O967" s="13"/>
      <c r="P967" s="14" t="str">
        <f t="shared" si="60"/>
        <v/>
      </c>
      <c r="Q967" s="15" t="str">
        <f>IF(OR(J967="",H967=""),"",IFERROR(IF(ISNUMBER(N967),N967,IF(K967&lt;N(INDEX(Platforms!$G$5:$G$14,MATCH(H967,Lists!$A$2:$A$11,0))),N(INDEX(Platforms!$H$5:$H$14,MATCH(H967,Lists!$A$2:$A$11,0))),MAX(N(INDEX(Platforms!$F$5:$F$14,MATCH(H967,Lists!$A$2:$A$11,0))),N(INDEX(Platforms!$C$5:$C$14,MATCH(H967,Lists!$A$2:$A$11,0)))*(K967+IF(INDEX(Platforms!$E$5:$E$14,MATCH(H967,Lists!$A$2:$A$11,0))="Yes",N(L967),0))+N(INDEX(Platforms!$D$5:$D$14,MATCH(H967,Lists!$A$2:$A$11,0)))))),""))</f>
        <v/>
      </c>
      <c r="R967" s="16" t="str">
        <f t="shared" si="61"/>
        <v/>
      </c>
      <c r="S967" s="17" t="str">
        <f t="shared" si="62"/>
        <v/>
      </c>
      <c r="T967" s="18" t="str">
        <f t="shared" ca="1" si="63"/>
        <v/>
      </c>
    </row>
    <row r="968" spans="1:20" x14ac:dyDescent="0.35">
      <c r="A968" s="11"/>
      <c r="B968" s="11"/>
      <c r="C968" s="11"/>
      <c r="D968" s="12"/>
      <c r="E968" s="11"/>
      <c r="F968" s="13"/>
      <c r="G968" s="13"/>
      <c r="H968" s="11"/>
      <c r="I968" s="12"/>
      <c r="J968" s="12"/>
      <c r="K968" s="13"/>
      <c r="L968" s="13"/>
      <c r="M968" s="13"/>
      <c r="N968" s="13"/>
      <c r="O968" s="13"/>
      <c r="P968" s="14" t="str">
        <f t="shared" si="60"/>
        <v/>
      </c>
      <c r="Q968" s="15" t="str">
        <f>IF(OR(J968="",H968=""),"",IFERROR(IF(ISNUMBER(N968),N968,IF(K968&lt;N(INDEX(Platforms!$G$5:$G$14,MATCH(H968,Lists!$A$2:$A$11,0))),N(INDEX(Platforms!$H$5:$H$14,MATCH(H968,Lists!$A$2:$A$11,0))),MAX(N(INDEX(Platforms!$F$5:$F$14,MATCH(H968,Lists!$A$2:$A$11,0))),N(INDEX(Platforms!$C$5:$C$14,MATCH(H968,Lists!$A$2:$A$11,0)))*(K968+IF(INDEX(Platforms!$E$5:$E$14,MATCH(H968,Lists!$A$2:$A$11,0))="Yes",N(L968),0))+N(INDEX(Platforms!$D$5:$D$14,MATCH(H968,Lists!$A$2:$A$11,0)))))),""))</f>
        <v/>
      </c>
      <c r="R968" s="16" t="str">
        <f t="shared" si="61"/>
        <v/>
      </c>
      <c r="S968" s="17" t="str">
        <f t="shared" si="62"/>
        <v/>
      </c>
      <c r="T968" s="18" t="str">
        <f t="shared" ca="1" si="63"/>
        <v/>
      </c>
    </row>
    <row r="969" spans="1:20" x14ac:dyDescent="0.35">
      <c r="A969" s="11"/>
      <c r="B969" s="11"/>
      <c r="C969" s="11"/>
      <c r="D969" s="12"/>
      <c r="E969" s="11"/>
      <c r="F969" s="13"/>
      <c r="G969" s="13"/>
      <c r="H969" s="11"/>
      <c r="I969" s="12"/>
      <c r="J969" s="12"/>
      <c r="K969" s="13"/>
      <c r="L969" s="13"/>
      <c r="M969" s="13"/>
      <c r="N969" s="13"/>
      <c r="O969" s="13"/>
      <c r="P969" s="14" t="str">
        <f t="shared" si="60"/>
        <v/>
      </c>
      <c r="Q969" s="15" t="str">
        <f>IF(OR(J969="",H969=""),"",IFERROR(IF(ISNUMBER(N969),N969,IF(K969&lt;N(INDEX(Platforms!$G$5:$G$14,MATCH(H969,Lists!$A$2:$A$11,0))),N(INDEX(Platforms!$H$5:$H$14,MATCH(H969,Lists!$A$2:$A$11,0))),MAX(N(INDEX(Platforms!$F$5:$F$14,MATCH(H969,Lists!$A$2:$A$11,0))),N(INDEX(Platforms!$C$5:$C$14,MATCH(H969,Lists!$A$2:$A$11,0)))*(K969+IF(INDEX(Platforms!$E$5:$E$14,MATCH(H969,Lists!$A$2:$A$11,0))="Yes",N(L969),0))+N(INDEX(Platforms!$D$5:$D$14,MATCH(H969,Lists!$A$2:$A$11,0)))))),""))</f>
        <v/>
      </c>
      <c r="R969" s="16" t="str">
        <f t="shared" si="61"/>
        <v/>
      </c>
      <c r="S969" s="17" t="str">
        <f t="shared" si="62"/>
        <v/>
      </c>
      <c r="T969" s="18" t="str">
        <f t="shared" ca="1" si="63"/>
        <v/>
      </c>
    </row>
    <row r="970" spans="1:20" x14ac:dyDescent="0.35">
      <c r="A970" s="11"/>
      <c r="B970" s="11"/>
      <c r="C970" s="11"/>
      <c r="D970" s="12"/>
      <c r="E970" s="11"/>
      <c r="F970" s="13"/>
      <c r="G970" s="13"/>
      <c r="H970" s="11"/>
      <c r="I970" s="12"/>
      <c r="J970" s="12"/>
      <c r="K970" s="13"/>
      <c r="L970" s="13"/>
      <c r="M970" s="13"/>
      <c r="N970" s="13"/>
      <c r="O970" s="13"/>
      <c r="P970" s="14" t="str">
        <f t="shared" si="60"/>
        <v/>
      </c>
      <c r="Q970" s="15" t="str">
        <f>IF(OR(J970="",H970=""),"",IFERROR(IF(ISNUMBER(N970),N970,IF(K970&lt;N(INDEX(Platforms!$G$5:$G$14,MATCH(H970,Lists!$A$2:$A$11,0))),N(INDEX(Platforms!$H$5:$H$14,MATCH(H970,Lists!$A$2:$A$11,0))),MAX(N(INDEX(Platforms!$F$5:$F$14,MATCH(H970,Lists!$A$2:$A$11,0))),N(INDEX(Platforms!$C$5:$C$14,MATCH(H970,Lists!$A$2:$A$11,0)))*(K970+IF(INDEX(Platforms!$E$5:$E$14,MATCH(H970,Lists!$A$2:$A$11,0))="Yes",N(L970),0))+N(INDEX(Platforms!$D$5:$D$14,MATCH(H970,Lists!$A$2:$A$11,0)))))),""))</f>
        <v/>
      </c>
      <c r="R970" s="16" t="str">
        <f t="shared" si="61"/>
        <v/>
      </c>
      <c r="S970" s="17" t="str">
        <f t="shared" si="62"/>
        <v/>
      </c>
      <c r="T970" s="18" t="str">
        <f t="shared" ca="1" si="63"/>
        <v/>
      </c>
    </row>
    <row r="971" spans="1:20" x14ac:dyDescent="0.35">
      <c r="A971" s="11"/>
      <c r="B971" s="11"/>
      <c r="C971" s="11"/>
      <c r="D971" s="12"/>
      <c r="E971" s="11"/>
      <c r="F971" s="13"/>
      <c r="G971" s="13"/>
      <c r="H971" s="11"/>
      <c r="I971" s="12"/>
      <c r="J971" s="12"/>
      <c r="K971" s="13"/>
      <c r="L971" s="13"/>
      <c r="M971" s="13"/>
      <c r="N971" s="13"/>
      <c r="O971" s="13"/>
      <c r="P971" s="14" t="str">
        <f t="shared" si="60"/>
        <v/>
      </c>
      <c r="Q971" s="15" t="str">
        <f>IF(OR(J971="",H971=""),"",IFERROR(IF(ISNUMBER(N971),N971,IF(K971&lt;N(INDEX(Platforms!$G$5:$G$14,MATCH(H971,Lists!$A$2:$A$11,0))),N(INDEX(Platforms!$H$5:$H$14,MATCH(H971,Lists!$A$2:$A$11,0))),MAX(N(INDEX(Platforms!$F$5:$F$14,MATCH(H971,Lists!$A$2:$A$11,0))),N(INDEX(Platforms!$C$5:$C$14,MATCH(H971,Lists!$A$2:$A$11,0)))*(K971+IF(INDEX(Platforms!$E$5:$E$14,MATCH(H971,Lists!$A$2:$A$11,0))="Yes",N(L971),0))+N(INDEX(Platforms!$D$5:$D$14,MATCH(H971,Lists!$A$2:$A$11,0)))))),""))</f>
        <v/>
      </c>
      <c r="R971" s="16" t="str">
        <f t="shared" si="61"/>
        <v/>
      </c>
      <c r="S971" s="17" t="str">
        <f t="shared" si="62"/>
        <v/>
      </c>
      <c r="T971" s="18" t="str">
        <f t="shared" ca="1" si="63"/>
        <v/>
      </c>
    </row>
    <row r="972" spans="1:20" x14ac:dyDescent="0.35">
      <c r="A972" s="11"/>
      <c r="B972" s="11"/>
      <c r="C972" s="11"/>
      <c r="D972" s="12"/>
      <c r="E972" s="11"/>
      <c r="F972" s="13"/>
      <c r="G972" s="13"/>
      <c r="H972" s="11"/>
      <c r="I972" s="12"/>
      <c r="J972" s="12"/>
      <c r="K972" s="13"/>
      <c r="L972" s="13"/>
      <c r="M972" s="13"/>
      <c r="N972" s="13"/>
      <c r="O972" s="13"/>
      <c r="P972" s="14" t="str">
        <f t="shared" si="60"/>
        <v/>
      </c>
      <c r="Q972" s="15" t="str">
        <f>IF(OR(J972="",H972=""),"",IFERROR(IF(ISNUMBER(N972),N972,IF(K972&lt;N(INDEX(Platforms!$G$5:$G$14,MATCH(H972,Lists!$A$2:$A$11,0))),N(INDEX(Platforms!$H$5:$H$14,MATCH(H972,Lists!$A$2:$A$11,0))),MAX(N(INDEX(Platforms!$F$5:$F$14,MATCH(H972,Lists!$A$2:$A$11,0))),N(INDEX(Platforms!$C$5:$C$14,MATCH(H972,Lists!$A$2:$A$11,0)))*(K972+IF(INDEX(Platforms!$E$5:$E$14,MATCH(H972,Lists!$A$2:$A$11,0))="Yes",N(L972),0))+N(INDEX(Platforms!$D$5:$D$14,MATCH(H972,Lists!$A$2:$A$11,0)))))),""))</f>
        <v/>
      </c>
      <c r="R972" s="16" t="str">
        <f t="shared" si="61"/>
        <v/>
      </c>
      <c r="S972" s="17" t="str">
        <f t="shared" si="62"/>
        <v/>
      </c>
      <c r="T972" s="18" t="str">
        <f t="shared" ca="1" si="63"/>
        <v/>
      </c>
    </row>
    <row r="973" spans="1:20" x14ac:dyDescent="0.35">
      <c r="A973" s="11"/>
      <c r="B973" s="11"/>
      <c r="C973" s="11"/>
      <c r="D973" s="12"/>
      <c r="E973" s="11"/>
      <c r="F973" s="13"/>
      <c r="G973" s="13"/>
      <c r="H973" s="11"/>
      <c r="I973" s="12"/>
      <c r="J973" s="12"/>
      <c r="K973" s="13"/>
      <c r="L973" s="13"/>
      <c r="M973" s="13"/>
      <c r="N973" s="13"/>
      <c r="O973" s="13"/>
      <c r="P973" s="14" t="str">
        <f t="shared" si="60"/>
        <v/>
      </c>
      <c r="Q973" s="15" t="str">
        <f>IF(OR(J973="",H973=""),"",IFERROR(IF(ISNUMBER(N973),N973,IF(K973&lt;N(INDEX(Platforms!$G$5:$G$14,MATCH(H973,Lists!$A$2:$A$11,0))),N(INDEX(Platforms!$H$5:$H$14,MATCH(H973,Lists!$A$2:$A$11,0))),MAX(N(INDEX(Platforms!$F$5:$F$14,MATCH(H973,Lists!$A$2:$A$11,0))),N(INDEX(Platforms!$C$5:$C$14,MATCH(H973,Lists!$A$2:$A$11,0)))*(K973+IF(INDEX(Platforms!$E$5:$E$14,MATCH(H973,Lists!$A$2:$A$11,0))="Yes",N(L973),0))+N(INDEX(Platforms!$D$5:$D$14,MATCH(H973,Lists!$A$2:$A$11,0)))))),""))</f>
        <v/>
      </c>
      <c r="R973" s="16" t="str">
        <f t="shared" si="61"/>
        <v/>
      </c>
      <c r="S973" s="17" t="str">
        <f t="shared" si="62"/>
        <v/>
      </c>
      <c r="T973" s="18" t="str">
        <f t="shared" ca="1" si="63"/>
        <v/>
      </c>
    </row>
    <row r="974" spans="1:20" x14ac:dyDescent="0.35">
      <c r="A974" s="11"/>
      <c r="B974" s="11"/>
      <c r="C974" s="11"/>
      <c r="D974" s="12"/>
      <c r="E974" s="11"/>
      <c r="F974" s="13"/>
      <c r="G974" s="13"/>
      <c r="H974" s="11"/>
      <c r="I974" s="12"/>
      <c r="J974" s="12"/>
      <c r="K974" s="13"/>
      <c r="L974" s="13"/>
      <c r="M974" s="13"/>
      <c r="N974" s="13"/>
      <c r="O974" s="13"/>
      <c r="P974" s="14" t="str">
        <f t="shared" si="60"/>
        <v/>
      </c>
      <c r="Q974" s="15" t="str">
        <f>IF(OR(J974="",H974=""),"",IFERROR(IF(ISNUMBER(N974),N974,IF(K974&lt;N(INDEX(Platforms!$G$5:$G$14,MATCH(H974,Lists!$A$2:$A$11,0))),N(INDEX(Platforms!$H$5:$H$14,MATCH(H974,Lists!$A$2:$A$11,0))),MAX(N(INDEX(Platforms!$F$5:$F$14,MATCH(H974,Lists!$A$2:$A$11,0))),N(INDEX(Platforms!$C$5:$C$14,MATCH(H974,Lists!$A$2:$A$11,0)))*(K974+IF(INDEX(Platforms!$E$5:$E$14,MATCH(H974,Lists!$A$2:$A$11,0))="Yes",N(L974),0))+N(INDEX(Platforms!$D$5:$D$14,MATCH(H974,Lists!$A$2:$A$11,0)))))),""))</f>
        <v/>
      </c>
      <c r="R974" s="16" t="str">
        <f t="shared" si="61"/>
        <v/>
      </c>
      <c r="S974" s="17" t="str">
        <f t="shared" si="62"/>
        <v/>
      </c>
      <c r="T974" s="18" t="str">
        <f t="shared" ca="1" si="63"/>
        <v/>
      </c>
    </row>
    <row r="975" spans="1:20" x14ac:dyDescent="0.35">
      <c r="A975" s="11"/>
      <c r="B975" s="11"/>
      <c r="C975" s="11"/>
      <c r="D975" s="12"/>
      <c r="E975" s="11"/>
      <c r="F975" s="13"/>
      <c r="G975" s="13"/>
      <c r="H975" s="11"/>
      <c r="I975" s="12"/>
      <c r="J975" s="12"/>
      <c r="K975" s="13"/>
      <c r="L975" s="13"/>
      <c r="M975" s="13"/>
      <c r="N975" s="13"/>
      <c r="O975" s="13"/>
      <c r="P975" s="14" t="str">
        <f t="shared" si="60"/>
        <v/>
      </c>
      <c r="Q975" s="15" t="str">
        <f>IF(OR(J975="",H975=""),"",IFERROR(IF(ISNUMBER(N975),N975,IF(K975&lt;N(INDEX(Platforms!$G$5:$G$14,MATCH(H975,Lists!$A$2:$A$11,0))),N(INDEX(Platforms!$H$5:$H$14,MATCH(H975,Lists!$A$2:$A$11,0))),MAX(N(INDEX(Platforms!$F$5:$F$14,MATCH(H975,Lists!$A$2:$A$11,0))),N(INDEX(Platforms!$C$5:$C$14,MATCH(H975,Lists!$A$2:$A$11,0)))*(K975+IF(INDEX(Platforms!$E$5:$E$14,MATCH(H975,Lists!$A$2:$A$11,0))="Yes",N(L975),0))+N(INDEX(Platforms!$D$5:$D$14,MATCH(H975,Lists!$A$2:$A$11,0)))))),""))</f>
        <v/>
      </c>
      <c r="R975" s="16" t="str">
        <f t="shared" si="61"/>
        <v/>
      </c>
      <c r="S975" s="17" t="str">
        <f t="shared" si="62"/>
        <v/>
      </c>
      <c r="T975" s="18" t="str">
        <f t="shared" ca="1" si="63"/>
        <v/>
      </c>
    </row>
    <row r="976" spans="1:20" x14ac:dyDescent="0.35">
      <c r="A976" s="11"/>
      <c r="B976" s="11"/>
      <c r="C976" s="11"/>
      <c r="D976" s="12"/>
      <c r="E976" s="11"/>
      <c r="F976" s="13"/>
      <c r="G976" s="13"/>
      <c r="H976" s="11"/>
      <c r="I976" s="12"/>
      <c r="J976" s="12"/>
      <c r="K976" s="13"/>
      <c r="L976" s="13"/>
      <c r="M976" s="13"/>
      <c r="N976" s="13"/>
      <c r="O976" s="13"/>
      <c r="P976" s="14" t="str">
        <f t="shared" si="60"/>
        <v/>
      </c>
      <c r="Q976" s="15" t="str">
        <f>IF(OR(J976="",H976=""),"",IFERROR(IF(ISNUMBER(N976),N976,IF(K976&lt;N(INDEX(Platforms!$G$5:$G$14,MATCH(H976,Lists!$A$2:$A$11,0))),N(INDEX(Platforms!$H$5:$H$14,MATCH(H976,Lists!$A$2:$A$11,0))),MAX(N(INDEX(Platforms!$F$5:$F$14,MATCH(H976,Lists!$A$2:$A$11,0))),N(INDEX(Platforms!$C$5:$C$14,MATCH(H976,Lists!$A$2:$A$11,0)))*(K976+IF(INDEX(Platforms!$E$5:$E$14,MATCH(H976,Lists!$A$2:$A$11,0))="Yes",N(L976),0))+N(INDEX(Platforms!$D$5:$D$14,MATCH(H976,Lists!$A$2:$A$11,0)))))),""))</f>
        <v/>
      </c>
      <c r="R976" s="16" t="str">
        <f t="shared" si="61"/>
        <v/>
      </c>
      <c r="S976" s="17" t="str">
        <f t="shared" si="62"/>
        <v/>
      </c>
      <c r="T976" s="18" t="str">
        <f t="shared" ca="1" si="63"/>
        <v/>
      </c>
    </row>
    <row r="977" spans="1:20" x14ac:dyDescent="0.35">
      <c r="A977" s="11"/>
      <c r="B977" s="11"/>
      <c r="C977" s="11"/>
      <c r="D977" s="12"/>
      <c r="E977" s="11"/>
      <c r="F977" s="13"/>
      <c r="G977" s="13"/>
      <c r="H977" s="11"/>
      <c r="I977" s="12"/>
      <c r="J977" s="12"/>
      <c r="K977" s="13"/>
      <c r="L977" s="13"/>
      <c r="M977" s="13"/>
      <c r="N977" s="13"/>
      <c r="O977" s="13"/>
      <c r="P977" s="14" t="str">
        <f t="shared" si="60"/>
        <v/>
      </c>
      <c r="Q977" s="15" t="str">
        <f>IF(OR(J977="",H977=""),"",IFERROR(IF(ISNUMBER(N977),N977,IF(K977&lt;N(INDEX(Platforms!$G$5:$G$14,MATCH(H977,Lists!$A$2:$A$11,0))),N(INDEX(Platforms!$H$5:$H$14,MATCH(H977,Lists!$A$2:$A$11,0))),MAX(N(INDEX(Platforms!$F$5:$F$14,MATCH(H977,Lists!$A$2:$A$11,0))),N(INDEX(Platforms!$C$5:$C$14,MATCH(H977,Lists!$A$2:$A$11,0)))*(K977+IF(INDEX(Platforms!$E$5:$E$14,MATCH(H977,Lists!$A$2:$A$11,0))="Yes",N(L977),0))+N(INDEX(Platforms!$D$5:$D$14,MATCH(H977,Lists!$A$2:$A$11,0)))))),""))</f>
        <v/>
      </c>
      <c r="R977" s="16" t="str">
        <f t="shared" si="61"/>
        <v/>
      </c>
      <c r="S977" s="17" t="str">
        <f t="shared" si="62"/>
        <v/>
      </c>
      <c r="T977" s="18" t="str">
        <f t="shared" ca="1" si="63"/>
        <v/>
      </c>
    </row>
    <row r="978" spans="1:20" x14ac:dyDescent="0.35">
      <c r="A978" s="11"/>
      <c r="B978" s="11"/>
      <c r="C978" s="11"/>
      <c r="D978" s="12"/>
      <c r="E978" s="11"/>
      <c r="F978" s="13"/>
      <c r="G978" s="13"/>
      <c r="H978" s="11"/>
      <c r="I978" s="12"/>
      <c r="J978" s="12"/>
      <c r="K978" s="13"/>
      <c r="L978" s="13"/>
      <c r="M978" s="13"/>
      <c r="N978" s="13"/>
      <c r="O978" s="13"/>
      <c r="P978" s="14" t="str">
        <f t="shared" si="60"/>
        <v/>
      </c>
      <c r="Q978" s="15" t="str">
        <f>IF(OR(J978="",H978=""),"",IFERROR(IF(ISNUMBER(N978),N978,IF(K978&lt;N(INDEX(Platforms!$G$5:$G$14,MATCH(H978,Lists!$A$2:$A$11,0))),N(INDEX(Platforms!$H$5:$H$14,MATCH(H978,Lists!$A$2:$A$11,0))),MAX(N(INDEX(Platforms!$F$5:$F$14,MATCH(H978,Lists!$A$2:$A$11,0))),N(INDEX(Platforms!$C$5:$C$14,MATCH(H978,Lists!$A$2:$A$11,0)))*(K978+IF(INDEX(Platforms!$E$5:$E$14,MATCH(H978,Lists!$A$2:$A$11,0))="Yes",N(L978),0))+N(INDEX(Platforms!$D$5:$D$14,MATCH(H978,Lists!$A$2:$A$11,0)))))),""))</f>
        <v/>
      </c>
      <c r="R978" s="16" t="str">
        <f t="shared" si="61"/>
        <v/>
      </c>
      <c r="S978" s="17" t="str">
        <f t="shared" si="62"/>
        <v/>
      </c>
      <c r="T978" s="18" t="str">
        <f t="shared" ca="1" si="63"/>
        <v/>
      </c>
    </row>
    <row r="979" spans="1:20" x14ac:dyDescent="0.35">
      <c r="A979" s="11"/>
      <c r="B979" s="11"/>
      <c r="C979" s="11"/>
      <c r="D979" s="12"/>
      <c r="E979" s="11"/>
      <c r="F979" s="13"/>
      <c r="G979" s="13"/>
      <c r="H979" s="11"/>
      <c r="I979" s="12"/>
      <c r="J979" s="12"/>
      <c r="K979" s="13"/>
      <c r="L979" s="13"/>
      <c r="M979" s="13"/>
      <c r="N979" s="13"/>
      <c r="O979" s="13"/>
      <c r="P979" s="14" t="str">
        <f t="shared" si="60"/>
        <v/>
      </c>
      <c r="Q979" s="15" t="str">
        <f>IF(OR(J979="",H979=""),"",IFERROR(IF(ISNUMBER(N979),N979,IF(K979&lt;N(INDEX(Platforms!$G$5:$G$14,MATCH(H979,Lists!$A$2:$A$11,0))),N(INDEX(Platforms!$H$5:$H$14,MATCH(H979,Lists!$A$2:$A$11,0))),MAX(N(INDEX(Platforms!$F$5:$F$14,MATCH(H979,Lists!$A$2:$A$11,0))),N(INDEX(Platforms!$C$5:$C$14,MATCH(H979,Lists!$A$2:$A$11,0)))*(K979+IF(INDEX(Platforms!$E$5:$E$14,MATCH(H979,Lists!$A$2:$A$11,0))="Yes",N(L979),0))+N(INDEX(Platforms!$D$5:$D$14,MATCH(H979,Lists!$A$2:$A$11,0)))))),""))</f>
        <v/>
      </c>
      <c r="R979" s="16" t="str">
        <f t="shared" si="61"/>
        <v/>
      </c>
      <c r="S979" s="17" t="str">
        <f t="shared" si="62"/>
        <v/>
      </c>
      <c r="T979" s="18" t="str">
        <f t="shared" ca="1" si="63"/>
        <v/>
      </c>
    </row>
    <row r="980" spans="1:20" x14ac:dyDescent="0.35">
      <c r="A980" s="11"/>
      <c r="B980" s="11"/>
      <c r="C980" s="11"/>
      <c r="D980" s="12"/>
      <c r="E980" s="11"/>
      <c r="F980" s="13"/>
      <c r="G980" s="13"/>
      <c r="H980" s="11"/>
      <c r="I980" s="12"/>
      <c r="J980" s="12"/>
      <c r="K980" s="13"/>
      <c r="L980" s="13"/>
      <c r="M980" s="13"/>
      <c r="N980" s="13"/>
      <c r="O980" s="13"/>
      <c r="P980" s="14" t="str">
        <f t="shared" si="60"/>
        <v/>
      </c>
      <c r="Q980" s="15" t="str">
        <f>IF(OR(J980="",H980=""),"",IFERROR(IF(ISNUMBER(N980),N980,IF(K980&lt;N(INDEX(Platforms!$G$5:$G$14,MATCH(H980,Lists!$A$2:$A$11,0))),N(INDEX(Platforms!$H$5:$H$14,MATCH(H980,Lists!$A$2:$A$11,0))),MAX(N(INDEX(Platforms!$F$5:$F$14,MATCH(H980,Lists!$A$2:$A$11,0))),N(INDEX(Platforms!$C$5:$C$14,MATCH(H980,Lists!$A$2:$A$11,0)))*(K980+IF(INDEX(Platforms!$E$5:$E$14,MATCH(H980,Lists!$A$2:$A$11,0))="Yes",N(L980),0))+N(INDEX(Platforms!$D$5:$D$14,MATCH(H980,Lists!$A$2:$A$11,0)))))),""))</f>
        <v/>
      </c>
      <c r="R980" s="16" t="str">
        <f t="shared" si="61"/>
        <v/>
      </c>
      <c r="S980" s="17" t="str">
        <f t="shared" si="62"/>
        <v/>
      </c>
      <c r="T980" s="18" t="str">
        <f t="shared" ca="1" si="63"/>
        <v/>
      </c>
    </row>
    <row r="981" spans="1:20" x14ac:dyDescent="0.35">
      <c r="A981" s="11"/>
      <c r="B981" s="11"/>
      <c r="C981" s="11"/>
      <c r="D981" s="12"/>
      <c r="E981" s="11"/>
      <c r="F981" s="13"/>
      <c r="G981" s="13"/>
      <c r="H981" s="11"/>
      <c r="I981" s="12"/>
      <c r="J981" s="12"/>
      <c r="K981" s="13"/>
      <c r="L981" s="13"/>
      <c r="M981" s="13"/>
      <c r="N981" s="13"/>
      <c r="O981" s="13"/>
      <c r="P981" s="14" t="str">
        <f t="shared" si="60"/>
        <v/>
      </c>
      <c r="Q981" s="15" t="str">
        <f>IF(OR(J981="",H981=""),"",IFERROR(IF(ISNUMBER(N981),N981,IF(K981&lt;N(INDEX(Platforms!$G$5:$G$14,MATCH(H981,Lists!$A$2:$A$11,0))),N(INDEX(Platforms!$H$5:$H$14,MATCH(H981,Lists!$A$2:$A$11,0))),MAX(N(INDEX(Platforms!$F$5:$F$14,MATCH(H981,Lists!$A$2:$A$11,0))),N(INDEX(Platforms!$C$5:$C$14,MATCH(H981,Lists!$A$2:$A$11,0)))*(K981+IF(INDEX(Platforms!$E$5:$E$14,MATCH(H981,Lists!$A$2:$A$11,0))="Yes",N(L981),0))+N(INDEX(Platforms!$D$5:$D$14,MATCH(H981,Lists!$A$2:$A$11,0)))))),""))</f>
        <v/>
      </c>
      <c r="R981" s="16" t="str">
        <f t="shared" si="61"/>
        <v/>
      </c>
      <c r="S981" s="17" t="str">
        <f t="shared" si="62"/>
        <v/>
      </c>
      <c r="T981" s="18" t="str">
        <f t="shared" ca="1" si="63"/>
        <v/>
      </c>
    </row>
    <row r="982" spans="1:20" x14ac:dyDescent="0.35">
      <c r="A982" s="11"/>
      <c r="B982" s="11"/>
      <c r="C982" s="11"/>
      <c r="D982" s="12"/>
      <c r="E982" s="11"/>
      <c r="F982" s="13"/>
      <c r="G982" s="13"/>
      <c r="H982" s="11"/>
      <c r="I982" s="12"/>
      <c r="J982" s="12"/>
      <c r="K982" s="13"/>
      <c r="L982" s="13"/>
      <c r="M982" s="13"/>
      <c r="N982" s="13"/>
      <c r="O982" s="13"/>
      <c r="P982" s="14" t="str">
        <f t="shared" si="60"/>
        <v/>
      </c>
      <c r="Q982" s="15" t="str">
        <f>IF(OR(J982="",H982=""),"",IFERROR(IF(ISNUMBER(N982),N982,IF(K982&lt;N(INDEX(Platforms!$G$5:$G$14,MATCH(H982,Lists!$A$2:$A$11,0))),N(INDEX(Platforms!$H$5:$H$14,MATCH(H982,Lists!$A$2:$A$11,0))),MAX(N(INDEX(Platforms!$F$5:$F$14,MATCH(H982,Lists!$A$2:$A$11,0))),N(INDEX(Platforms!$C$5:$C$14,MATCH(H982,Lists!$A$2:$A$11,0)))*(K982+IF(INDEX(Platforms!$E$5:$E$14,MATCH(H982,Lists!$A$2:$A$11,0))="Yes",N(L982),0))+N(INDEX(Platforms!$D$5:$D$14,MATCH(H982,Lists!$A$2:$A$11,0)))))),""))</f>
        <v/>
      </c>
      <c r="R982" s="16" t="str">
        <f t="shared" si="61"/>
        <v/>
      </c>
      <c r="S982" s="17" t="str">
        <f t="shared" si="62"/>
        <v/>
      </c>
      <c r="T982" s="18" t="str">
        <f t="shared" ca="1" si="63"/>
        <v/>
      </c>
    </row>
    <row r="983" spans="1:20" x14ac:dyDescent="0.35">
      <c r="A983" s="11"/>
      <c r="B983" s="11"/>
      <c r="C983" s="11"/>
      <c r="D983" s="12"/>
      <c r="E983" s="11"/>
      <c r="F983" s="13"/>
      <c r="G983" s="13"/>
      <c r="H983" s="11"/>
      <c r="I983" s="12"/>
      <c r="J983" s="12"/>
      <c r="K983" s="13"/>
      <c r="L983" s="13"/>
      <c r="M983" s="13"/>
      <c r="N983" s="13"/>
      <c r="O983" s="13"/>
      <c r="P983" s="14" t="str">
        <f t="shared" si="60"/>
        <v/>
      </c>
      <c r="Q983" s="15" t="str">
        <f>IF(OR(J983="",H983=""),"",IFERROR(IF(ISNUMBER(N983),N983,IF(K983&lt;N(INDEX(Platforms!$G$5:$G$14,MATCH(H983,Lists!$A$2:$A$11,0))),N(INDEX(Platforms!$H$5:$H$14,MATCH(H983,Lists!$A$2:$A$11,0))),MAX(N(INDEX(Platforms!$F$5:$F$14,MATCH(H983,Lists!$A$2:$A$11,0))),N(INDEX(Platforms!$C$5:$C$14,MATCH(H983,Lists!$A$2:$A$11,0)))*(K983+IF(INDEX(Platforms!$E$5:$E$14,MATCH(H983,Lists!$A$2:$A$11,0))="Yes",N(L983),0))+N(INDEX(Platforms!$D$5:$D$14,MATCH(H983,Lists!$A$2:$A$11,0)))))),""))</f>
        <v/>
      </c>
      <c r="R983" s="16" t="str">
        <f t="shared" si="61"/>
        <v/>
      </c>
      <c r="S983" s="17" t="str">
        <f t="shared" si="62"/>
        <v/>
      </c>
      <c r="T983" s="18" t="str">
        <f t="shared" ca="1" si="63"/>
        <v/>
      </c>
    </row>
    <row r="984" spans="1:20" x14ac:dyDescent="0.35">
      <c r="A984" s="11"/>
      <c r="B984" s="11"/>
      <c r="C984" s="11"/>
      <c r="D984" s="12"/>
      <c r="E984" s="11"/>
      <c r="F984" s="13"/>
      <c r="G984" s="13"/>
      <c r="H984" s="11"/>
      <c r="I984" s="12"/>
      <c r="J984" s="12"/>
      <c r="K984" s="13"/>
      <c r="L984" s="13"/>
      <c r="M984" s="13"/>
      <c r="N984" s="13"/>
      <c r="O984" s="13"/>
      <c r="P984" s="14" t="str">
        <f t="shared" si="60"/>
        <v/>
      </c>
      <c r="Q984" s="15" t="str">
        <f>IF(OR(J984="",H984=""),"",IFERROR(IF(ISNUMBER(N984),N984,IF(K984&lt;N(INDEX(Platforms!$G$5:$G$14,MATCH(H984,Lists!$A$2:$A$11,0))),N(INDEX(Platforms!$H$5:$H$14,MATCH(H984,Lists!$A$2:$A$11,0))),MAX(N(INDEX(Platforms!$F$5:$F$14,MATCH(H984,Lists!$A$2:$A$11,0))),N(INDEX(Platforms!$C$5:$C$14,MATCH(H984,Lists!$A$2:$A$11,0)))*(K984+IF(INDEX(Platforms!$E$5:$E$14,MATCH(H984,Lists!$A$2:$A$11,0))="Yes",N(L984),0))+N(INDEX(Platforms!$D$5:$D$14,MATCH(H984,Lists!$A$2:$A$11,0)))))),""))</f>
        <v/>
      </c>
      <c r="R984" s="16" t="str">
        <f t="shared" si="61"/>
        <v/>
      </c>
      <c r="S984" s="17" t="str">
        <f t="shared" si="62"/>
        <v/>
      </c>
      <c r="T984" s="18" t="str">
        <f t="shared" ca="1" si="63"/>
        <v/>
      </c>
    </row>
    <row r="985" spans="1:20" x14ac:dyDescent="0.35">
      <c r="A985" s="11"/>
      <c r="B985" s="11"/>
      <c r="C985" s="11"/>
      <c r="D985" s="12"/>
      <c r="E985" s="11"/>
      <c r="F985" s="13"/>
      <c r="G985" s="13"/>
      <c r="H985" s="11"/>
      <c r="I985" s="12"/>
      <c r="J985" s="12"/>
      <c r="K985" s="13"/>
      <c r="L985" s="13"/>
      <c r="M985" s="13"/>
      <c r="N985" s="13"/>
      <c r="O985" s="13"/>
      <c r="P985" s="14" t="str">
        <f t="shared" si="60"/>
        <v/>
      </c>
      <c r="Q985" s="15" t="str">
        <f>IF(OR(J985="",H985=""),"",IFERROR(IF(ISNUMBER(N985),N985,IF(K985&lt;N(INDEX(Platforms!$G$5:$G$14,MATCH(H985,Lists!$A$2:$A$11,0))),N(INDEX(Platforms!$H$5:$H$14,MATCH(H985,Lists!$A$2:$A$11,0))),MAX(N(INDEX(Platforms!$F$5:$F$14,MATCH(H985,Lists!$A$2:$A$11,0))),N(INDEX(Platforms!$C$5:$C$14,MATCH(H985,Lists!$A$2:$A$11,0)))*(K985+IF(INDEX(Platforms!$E$5:$E$14,MATCH(H985,Lists!$A$2:$A$11,0))="Yes",N(L985),0))+N(INDEX(Platforms!$D$5:$D$14,MATCH(H985,Lists!$A$2:$A$11,0)))))),""))</f>
        <v/>
      </c>
      <c r="R985" s="16" t="str">
        <f t="shared" si="61"/>
        <v/>
      </c>
      <c r="S985" s="17" t="str">
        <f t="shared" si="62"/>
        <v/>
      </c>
      <c r="T985" s="18" t="str">
        <f t="shared" ca="1" si="63"/>
        <v/>
      </c>
    </row>
    <row r="986" spans="1:20" x14ac:dyDescent="0.35">
      <c r="A986" s="11"/>
      <c r="B986" s="11"/>
      <c r="C986" s="11"/>
      <c r="D986" s="12"/>
      <c r="E986" s="11"/>
      <c r="F986" s="13"/>
      <c r="G986" s="13"/>
      <c r="H986" s="11"/>
      <c r="I986" s="12"/>
      <c r="J986" s="12"/>
      <c r="K986" s="13"/>
      <c r="L986" s="13"/>
      <c r="M986" s="13"/>
      <c r="N986" s="13"/>
      <c r="O986" s="13"/>
      <c r="P986" s="14" t="str">
        <f t="shared" si="60"/>
        <v/>
      </c>
      <c r="Q986" s="15" t="str">
        <f>IF(OR(J986="",H986=""),"",IFERROR(IF(ISNUMBER(N986),N986,IF(K986&lt;N(INDEX(Platforms!$G$5:$G$14,MATCH(H986,Lists!$A$2:$A$11,0))),N(INDEX(Platforms!$H$5:$H$14,MATCH(H986,Lists!$A$2:$A$11,0))),MAX(N(INDEX(Platforms!$F$5:$F$14,MATCH(H986,Lists!$A$2:$A$11,0))),N(INDEX(Platforms!$C$5:$C$14,MATCH(H986,Lists!$A$2:$A$11,0)))*(K986+IF(INDEX(Platforms!$E$5:$E$14,MATCH(H986,Lists!$A$2:$A$11,0))="Yes",N(L986),0))+N(INDEX(Platforms!$D$5:$D$14,MATCH(H986,Lists!$A$2:$A$11,0)))))),""))</f>
        <v/>
      </c>
      <c r="R986" s="16" t="str">
        <f t="shared" si="61"/>
        <v/>
      </c>
      <c r="S986" s="17" t="str">
        <f t="shared" si="62"/>
        <v/>
      </c>
      <c r="T986" s="18" t="str">
        <f t="shared" ca="1" si="63"/>
        <v/>
      </c>
    </row>
    <row r="987" spans="1:20" x14ac:dyDescent="0.35">
      <c r="A987" s="11"/>
      <c r="B987" s="11"/>
      <c r="C987" s="11"/>
      <c r="D987" s="12"/>
      <c r="E987" s="11"/>
      <c r="F987" s="13"/>
      <c r="G987" s="13"/>
      <c r="H987" s="11"/>
      <c r="I987" s="12"/>
      <c r="J987" s="12"/>
      <c r="K987" s="13"/>
      <c r="L987" s="13"/>
      <c r="M987" s="13"/>
      <c r="N987" s="13"/>
      <c r="O987" s="13"/>
      <c r="P987" s="14" t="str">
        <f t="shared" si="60"/>
        <v/>
      </c>
      <c r="Q987" s="15" t="str">
        <f>IF(OR(J987="",H987=""),"",IFERROR(IF(ISNUMBER(N987),N987,IF(K987&lt;N(INDEX(Platforms!$G$5:$G$14,MATCH(H987,Lists!$A$2:$A$11,0))),N(INDEX(Platforms!$H$5:$H$14,MATCH(H987,Lists!$A$2:$A$11,0))),MAX(N(INDEX(Platforms!$F$5:$F$14,MATCH(H987,Lists!$A$2:$A$11,0))),N(INDEX(Platforms!$C$5:$C$14,MATCH(H987,Lists!$A$2:$A$11,0)))*(K987+IF(INDEX(Platforms!$E$5:$E$14,MATCH(H987,Lists!$A$2:$A$11,0))="Yes",N(L987),0))+N(INDEX(Platforms!$D$5:$D$14,MATCH(H987,Lists!$A$2:$A$11,0)))))),""))</f>
        <v/>
      </c>
      <c r="R987" s="16" t="str">
        <f t="shared" si="61"/>
        <v/>
      </c>
      <c r="S987" s="17" t="str">
        <f t="shared" si="62"/>
        <v/>
      </c>
      <c r="T987" s="18" t="str">
        <f t="shared" ca="1" si="63"/>
        <v/>
      </c>
    </row>
    <row r="988" spans="1:20" x14ac:dyDescent="0.35">
      <c r="A988" s="11"/>
      <c r="B988" s="11"/>
      <c r="C988" s="11"/>
      <c r="D988" s="12"/>
      <c r="E988" s="11"/>
      <c r="F988" s="13"/>
      <c r="G988" s="13"/>
      <c r="H988" s="11"/>
      <c r="I988" s="12"/>
      <c r="J988" s="12"/>
      <c r="K988" s="13"/>
      <c r="L988" s="13"/>
      <c r="M988" s="13"/>
      <c r="N988" s="13"/>
      <c r="O988" s="13"/>
      <c r="P988" s="14" t="str">
        <f t="shared" si="60"/>
        <v/>
      </c>
      <c r="Q988" s="15" t="str">
        <f>IF(OR(J988="",H988=""),"",IFERROR(IF(ISNUMBER(N988),N988,IF(K988&lt;N(INDEX(Platforms!$G$5:$G$14,MATCH(H988,Lists!$A$2:$A$11,0))),N(INDEX(Platforms!$H$5:$H$14,MATCH(H988,Lists!$A$2:$A$11,0))),MAX(N(INDEX(Platforms!$F$5:$F$14,MATCH(H988,Lists!$A$2:$A$11,0))),N(INDEX(Platforms!$C$5:$C$14,MATCH(H988,Lists!$A$2:$A$11,0)))*(K988+IF(INDEX(Platforms!$E$5:$E$14,MATCH(H988,Lists!$A$2:$A$11,0))="Yes",N(L988),0))+N(INDEX(Platforms!$D$5:$D$14,MATCH(H988,Lists!$A$2:$A$11,0)))))),""))</f>
        <v/>
      </c>
      <c r="R988" s="16" t="str">
        <f t="shared" si="61"/>
        <v/>
      </c>
      <c r="S988" s="17" t="str">
        <f t="shared" si="62"/>
        <v/>
      </c>
      <c r="T988" s="18" t="str">
        <f t="shared" ca="1" si="63"/>
        <v/>
      </c>
    </row>
    <row r="989" spans="1:20" x14ac:dyDescent="0.35">
      <c r="A989" s="11"/>
      <c r="B989" s="11"/>
      <c r="C989" s="11"/>
      <c r="D989" s="12"/>
      <c r="E989" s="11"/>
      <c r="F989" s="13"/>
      <c r="G989" s="13"/>
      <c r="H989" s="11"/>
      <c r="I989" s="12"/>
      <c r="J989" s="12"/>
      <c r="K989" s="13"/>
      <c r="L989" s="13"/>
      <c r="M989" s="13"/>
      <c r="N989" s="13"/>
      <c r="O989" s="13"/>
      <c r="P989" s="14" t="str">
        <f t="shared" si="60"/>
        <v/>
      </c>
      <c r="Q989" s="15" t="str">
        <f>IF(OR(J989="",H989=""),"",IFERROR(IF(ISNUMBER(N989),N989,IF(K989&lt;N(INDEX(Platforms!$G$5:$G$14,MATCH(H989,Lists!$A$2:$A$11,0))),N(INDEX(Platforms!$H$5:$H$14,MATCH(H989,Lists!$A$2:$A$11,0))),MAX(N(INDEX(Platforms!$F$5:$F$14,MATCH(H989,Lists!$A$2:$A$11,0))),N(INDEX(Platforms!$C$5:$C$14,MATCH(H989,Lists!$A$2:$A$11,0)))*(K989+IF(INDEX(Platforms!$E$5:$E$14,MATCH(H989,Lists!$A$2:$A$11,0))="Yes",N(L989),0))+N(INDEX(Platforms!$D$5:$D$14,MATCH(H989,Lists!$A$2:$A$11,0)))))),""))</f>
        <v/>
      </c>
      <c r="R989" s="16" t="str">
        <f t="shared" si="61"/>
        <v/>
      </c>
      <c r="S989" s="17" t="str">
        <f t="shared" si="62"/>
        <v/>
      </c>
      <c r="T989" s="18" t="str">
        <f t="shared" ca="1" si="63"/>
        <v/>
      </c>
    </row>
    <row r="990" spans="1:20" x14ac:dyDescent="0.35">
      <c r="A990" s="11"/>
      <c r="B990" s="11"/>
      <c r="C990" s="11"/>
      <c r="D990" s="12"/>
      <c r="E990" s="11"/>
      <c r="F990" s="13"/>
      <c r="G990" s="13"/>
      <c r="H990" s="11"/>
      <c r="I990" s="12"/>
      <c r="J990" s="12"/>
      <c r="K990" s="13"/>
      <c r="L990" s="13"/>
      <c r="M990" s="13"/>
      <c r="N990" s="13"/>
      <c r="O990" s="13"/>
      <c r="P990" s="14" t="str">
        <f t="shared" si="60"/>
        <v/>
      </c>
      <c r="Q990" s="15" t="str">
        <f>IF(OR(J990="",H990=""),"",IFERROR(IF(ISNUMBER(N990),N990,IF(K990&lt;N(INDEX(Platforms!$G$5:$G$14,MATCH(H990,Lists!$A$2:$A$11,0))),N(INDEX(Platforms!$H$5:$H$14,MATCH(H990,Lists!$A$2:$A$11,0))),MAX(N(INDEX(Platforms!$F$5:$F$14,MATCH(H990,Lists!$A$2:$A$11,0))),N(INDEX(Platforms!$C$5:$C$14,MATCH(H990,Lists!$A$2:$A$11,0)))*(K990+IF(INDEX(Platforms!$E$5:$E$14,MATCH(H990,Lists!$A$2:$A$11,0))="Yes",N(L990),0))+N(INDEX(Platforms!$D$5:$D$14,MATCH(H990,Lists!$A$2:$A$11,0)))))),""))</f>
        <v/>
      </c>
      <c r="R990" s="16" t="str">
        <f t="shared" si="61"/>
        <v/>
      </c>
      <c r="S990" s="17" t="str">
        <f t="shared" si="62"/>
        <v/>
      </c>
      <c r="T990" s="18" t="str">
        <f t="shared" ca="1" si="63"/>
        <v/>
      </c>
    </row>
    <row r="991" spans="1:20" x14ac:dyDescent="0.35">
      <c r="A991" s="11"/>
      <c r="B991" s="11"/>
      <c r="C991" s="11"/>
      <c r="D991" s="12"/>
      <c r="E991" s="11"/>
      <c r="F991" s="13"/>
      <c r="G991" s="13"/>
      <c r="H991" s="11"/>
      <c r="I991" s="12"/>
      <c r="J991" s="12"/>
      <c r="K991" s="13"/>
      <c r="L991" s="13"/>
      <c r="M991" s="13"/>
      <c r="N991" s="13"/>
      <c r="O991" s="13"/>
      <c r="P991" s="14" t="str">
        <f t="shared" si="60"/>
        <v/>
      </c>
      <c r="Q991" s="15" t="str">
        <f>IF(OR(J991="",H991=""),"",IFERROR(IF(ISNUMBER(N991),N991,IF(K991&lt;N(INDEX(Platforms!$G$5:$G$14,MATCH(H991,Lists!$A$2:$A$11,0))),N(INDEX(Platforms!$H$5:$H$14,MATCH(H991,Lists!$A$2:$A$11,0))),MAX(N(INDEX(Platforms!$F$5:$F$14,MATCH(H991,Lists!$A$2:$A$11,0))),N(INDEX(Platforms!$C$5:$C$14,MATCH(H991,Lists!$A$2:$A$11,0)))*(K991+IF(INDEX(Platforms!$E$5:$E$14,MATCH(H991,Lists!$A$2:$A$11,0))="Yes",N(L991),0))+N(INDEX(Platforms!$D$5:$D$14,MATCH(H991,Lists!$A$2:$A$11,0)))))),""))</f>
        <v/>
      </c>
      <c r="R991" s="16" t="str">
        <f t="shared" si="61"/>
        <v/>
      </c>
      <c r="S991" s="17" t="str">
        <f t="shared" si="62"/>
        <v/>
      </c>
      <c r="T991" s="18" t="str">
        <f t="shared" ca="1" si="63"/>
        <v/>
      </c>
    </row>
    <row r="992" spans="1:20" x14ac:dyDescent="0.35">
      <c r="A992" s="11"/>
      <c r="B992" s="11"/>
      <c r="C992" s="11"/>
      <c r="D992" s="12"/>
      <c r="E992" s="11"/>
      <c r="F992" s="13"/>
      <c r="G992" s="13"/>
      <c r="H992" s="11"/>
      <c r="I992" s="12"/>
      <c r="J992" s="12"/>
      <c r="K992" s="13"/>
      <c r="L992" s="13"/>
      <c r="M992" s="13"/>
      <c r="N992" s="13"/>
      <c r="O992" s="13"/>
      <c r="P992" s="14" t="str">
        <f t="shared" si="60"/>
        <v/>
      </c>
      <c r="Q992" s="15" t="str">
        <f>IF(OR(J992="",H992=""),"",IFERROR(IF(ISNUMBER(N992),N992,IF(K992&lt;N(INDEX(Platforms!$G$5:$G$14,MATCH(H992,Lists!$A$2:$A$11,0))),N(INDEX(Platforms!$H$5:$H$14,MATCH(H992,Lists!$A$2:$A$11,0))),MAX(N(INDEX(Platforms!$F$5:$F$14,MATCH(H992,Lists!$A$2:$A$11,0))),N(INDEX(Platforms!$C$5:$C$14,MATCH(H992,Lists!$A$2:$A$11,0)))*(K992+IF(INDEX(Platforms!$E$5:$E$14,MATCH(H992,Lists!$A$2:$A$11,0))="Yes",N(L992),0))+N(INDEX(Platforms!$D$5:$D$14,MATCH(H992,Lists!$A$2:$A$11,0)))))),""))</f>
        <v/>
      </c>
      <c r="R992" s="16" t="str">
        <f t="shared" si="61"/>
        <v/>
      </c>
      <c r="S992" s="17" t="str">
        <f t="shared" si="62"/>
        <v/>
      </c>
      <c r="T992" s="18" t="str">
        <f t="shared" ca="1" si="63"/>
        <v/>
      </c>
    </row>
    <row r="993" spans="1:20" x14ac:dyDescent="0.35">
      <c r="A993" s="11"/>
      <c r="B993" s="11"/>
      <c r="C993" s="11"/>
      <c r="D993" s="12"/>
      <c r="E993" s="11"/>
      <c r="F993" s="13"/>
      <c r="G993" s="13"/>
      <c r="H993" s="11"/>
      <c r="I993" s="12"/>
      <c r="J993" s="12"/>
      <c r="K993" s="13"/>
      <c r="L993" s="13"/>
      <c r="M993" s="13"/>
      <c r="N993" s="13"/>
      <c r="O993" s="13"/>
      <c r="P993" s="14" t="str">
        <f t="shared" si="60"/>
        <v/>
      </c>
      <c r="Q993" s="15" t="str">
        <f>IF(OR(J993="",H993=""),"",IFERROR(IF(ISNUMBER(N993),N993,IF(K993&lt;N(INDEX(Platforms!$G$5:$G$14,MATCH(H993,Lists!$A$2:$A$11,0))),N(INDEX(Platforms!$H$5:$H$14,MATCH(H993,Lists!$A$2:$A$11,0))),MAX(N(INDEX(Platforms!$F$5:$F$14,MATCH(H993,Lists!$A$2:$A$11,0))),N(INDEX(Platforms!$C$5:$C$14,MATCH(H993,Lists!$A$2:$A$11,0)))*(K993+IF(INDEX(Platforms!$E$5:$E$14,MATCH(H993,Lists!$A$2:$A$11,0))="Yes",N(L993),0))+N(INDEX(Platforms!$D$5:$D$14,MATCH(H993,Lists!$A$2:$A$11,0)))))),""))</f>
        <v/>
      </c>
      <c r="R993" s="16" t="str">
        <f t="shared" si="61"/>
        <v/>
      </c>
      <c r="S993" s="17" t="str">
        <f t="shared" si="62"/>
        <v/>
      </c>
      <c r="T993" s="18" t="str">
        <f t="shared" ca="1" si="63"/>
        <v/>
      </c>
    </row>
    <row r="994" spans="1:20" x14ac:dyDescent="0.35">
      <c r="A994" s="11"/>
      <c r="B994" s="11"/>
      <c r="C994" s="11"/>
      <c r="D994" s="12"/>
      <c r="E994" s="11"/>
      <c r="F994" s="13"/>
      <c r="G994" s="13"/>
      <c r="H994" s="11"/>
      <c r="I994" s="12"/>
      <c r="J994" s="12"/>
      <c r="K994" s="13"/>
      <c r="L994" s="13"/>
      <c r="M994" s="13"/>
      <c r="N994" s="13"/>
      <c r="O994" s="13"/>
      <c r="P994" s="14" t="str">
        <f t="shared" si="60"/>
        <v/>
      </c>
      <c r="Q994" s="15" t="str">
        <f>IF(OR(J994="",H994=""),"",IFERROR(IF(ISNUMBER(N994),N994,IF(K994&lt;N(INDEX(Platforms!$G$5:$G$14,MATCH(H994,Lists!$A$2:$A$11,0))),N(INDEX(Platforms!$H$5:$H$14,MATCH(H994,Lists!$A$2:$A$11,0))),MAX(N(INDEX(Platforms!$F$5:$F$14,MATCH(H994,Lists!$A$2:$A$11,0))),N(INDEX(Platforms!$C$5:$C$14,MATCH(H994,Lists!$A$2:$A$11,0)))*(K994+IF(INDEX(Platforms!$E$5:$E$14,MATCH(H994,Lists!$A$2:$A$11,0))="Yes",N(L994),0))+N(INDEX(Platforms!$D$5:$D$14,MATCH(H994,Lists!$A$2:$A$11,0)))))),""))</f>
        <v/>
      </c>
      <c r="R994" s="16" t="str">
        <f t="shared" si="61"/>
        <v/>
      </c>
      <c r="S994" s="17" t="str">
        <f t="shared" si="62"/>
        <v/>
      </c>
      <c r="T994" s="18" t="str">
        <f t="shared" ca="1" si="63"/>
        <v/>
      </c>
    </row>
    <row r="995" spans="1:20" x14ac:dyDescent="0.35">
      <c r="A995" s="11"/>
      <c r="B995" s="11"/>
      <c r="C995" s="11"/>
      <c r="D995" s="12"/>
      <c r="E995" s="11"/>
      <c r="F995" s="13"/>
      <c r="G995" s="13"/>
      <c r="H995" s="11"/>
      <c r="I995" s="12"/>
      <c r="J995" s="12"/>
      <c r="K995" s="13"/>
      <c r="L995" s="13"/>
      <c r="M995" s="13"/>
      <c r="N995" s="13"/>
      <c r="O995" s="13"/>
      <c r="P995" s="14" t="str">
        <f t="shared" si="60"/>
        <v/>
      </c>
      <c r="Q995" s="15" t="str">
        <f>IF(OR(J995="",H995=""),"",IFERROR(IF(ISNUMBER(N995),N995,IF(K995&lt;N(INDEX(Platforms!$G$5:$G$14,MATCH(H995,Lists!$A$2:$A$11,0))),N(INDEX(Platforms!$H$5:$H$14,MATCH(H995,Lists!$A$2:$A$11,0))),MAX(N(INDEX(Platforms!$F$5:$F$14,MATCH(H995,Lists!$A$2:$A$11,0))),N(INDEX(Platforms!$C$5:$C$14,MATCH(H995,Lists!$A$2:$A$11,0)))*(K995+IF(INDEX(Platforms!$E$5:$E$14,MATCH(H995,Lists!$A$2:$A$11,0))="Yes",N(L995),0))+N(INDEX(Platforms!$D$5:$D$14,MATCH(H995,Lists!$A$2:$A$11,0)))))),""))</f>
        <v/>
      </c>
      <c r="R995" s="16" t="str">
        <f t="shared" si="61"/>
        <v/>
      </c>
      <c r="S995" s="17" t="str">
        <f t="shared" si="62"/>
        <v/>
      </c>
      <c r="T995" s="18" t="str">
        <f t="shared" ca="1" si="63"/>
        <v/>
      </c>
    </row>
    <row r="996" spans="1:20" x14ac:dyDescent="0.35">
      <c r="A996" s="11"/>
      <c r="B996" s="11"/>
      <c r="C996" s="11"/>
      <c r="D996" s="12"/>
      <c r="E996" s="11"/>
      <c r="F996" s="13"/>
      <c r="G996" s="13"/>
      <c r="H996" s="11"/>
      <c r="I996" s="12"/>
      <c r="J996" s="12"/>
      <c r="K996" s="13"/>
      <c r="L996" s="13"/>
      <c r="M996" s="13"/>
      <c r="N996" s="13"/>
      <c r="O996" s="13"/>
      <c r="P996" s="14" t="str">
        <f t="shared" si="60"/>
        <v/>
      </c>
      <c r="Q996" s="15" t="str">
        <f>IF(OR(J996="",H996=""),"",IFERROR(IF(ISNUMBER(N996),N996,IF(K996&lt;N(INDEX(Platforms!$G$5:$G$14,MATCH(H996,Lists!$A$2:$A$11,0))),N(INDEX(Platforms!$H$5:$H$14,MATCH(H996,Lists!$A$2:$A$11,0))),MAX(N(INDEX(Platforms!$F$5:$F$14,MATCH(H996,Lists!$A$2:$A$11,0))),N(INDEX(Platforms!$C$5:$C$14,MATCH(H996,Lists!$A$2:$A$11,0)))*(K996+IF(INDEX(Platforms!$E$5:$E$14,MATCH(H996,Lists!$A$2:$A$11,0))="Yes",N(L996),0))+N(INDEX(Platforms!$D$5:$D$14,MATCH(H996,Lists!$A$2:$A$11,0)))))),""))</f>
        <v/>
      </c>
      <c r="R996" s="16" t="str">
        <f t="shared" si="61"/>
        <v/>
      </c>
      <c r="S996" s="17" t="str">
        <f t="shared" si="62"/>
        <v/>
      </c>
      <c r="T996" s="18" t="str">
        <f t="shared" ca="1" si="63"/>
        <v/>
      </c>
    </row>
    <row r="997" spans="1:20" x14ac:dyDescent="0.35">
      <c r="A997" s="11"/>
      <c r="B997" s="11"/>
      <c r="C997" s="11"/>
      <c r="D997" s="12"/>
      <c r="E997" s="11"/>
      <c r="F997" s="13"/>
      <c r="G997" s="13"/>
      <c r="H997" s="11"/>
      <c r="I997" s="12"/>
      <c r="J997" s="12"/>
      <c r="K997" s="13"/>
      <c r="L997" s="13"/>
      <c r="M997" s="13"/>
      <c r="N997" s="13"/>
      <c r="O997" s="13"/>
      <c r="P997" s="14" t="str">
        <f t="shared" si="60"/>
        <v/>
      </c>
      <c r="Q997" s="15" t="str">
        <f>IF(OR(J997="",H997=""),"",IFERROR(IF(ISNUMBER(N997),N997,IF(K997&lt;N(INDEX(Platforms!$G$5:$G$14,MATCH(H997,Lists!$A$2:$A$11,0))),N(INDEX(Platforms!$H$5:$H$14,MATCH(H997,Lists!$A$2:$A$11,0))),MAX(N(INDEX(Platforms!$F$5:$F$14,MATCH(H997,Lists!$A$2:$A$11,0))),N(INDEX(Platforms!$C$5:$C$14,MATCH(H997,Lists!$A$2:$A$11,0)))*(K997+IF(INDEX(Platforms!$E$5:$E$14,MATCH(H997,Lists!$A$2:$A$11,0))="Yes",N(L997),0))+N(INDEX(Platforms!$D$5:$D$14,MATCH(H997,Lists!$A$2:$A$11,0)))))),""))</f>
        <v/>
      </c>
      <c r="R997" s="16" t="str">
        <f t="shared" si="61"/>
        <v/>
      </c>
      <c r="S997" s="17" t="str">
        <f t="shared" si="62"/>
        <v/>
      </c>
      <c r="T997" s="18" t="str">
        <f t="shared" ca="1" si="63"/>
        <v/>
      </c>
    </row>
    <row r="998" spans="1:20" x14ac:dyDescent="0.35">
      <c r="A998" s="11"/>
      <c r="B998" s="11"/>
      <c r="C998" s="11"/>
      <c r="D998" s="12"/>
      <c r="E998" s="11"/>
      <c r="F998" s="13"/>
      <c r="G998" s="13"/>
      <c r="H998" s="11"/>
      <c r="I998" s="12"/>
      <c r="J998" s="12"/>
      <c r="K998" s="13"/>
      <c r="L998" s="13"/>
      <c r="M998" s="13"/>
      <c r="N998" s="13"/>
      <c r="O998" s="13"/>
      <c r="P998" s="14" t="str">
        <f t="shared" si="60"/>
        <v/>
      </c>
      <c r="Q998" s="15" t="str">
        <f>IF(OR(J998="",H998=""),"",IFERROR(IF(ISNUMBER(N998),N998,IF(K998&lt;N(INDEX(Platforms!$G$5:$G$14,MATCH(H998,Lists!$A$2:$A$11,0))),N(INDEX(Platforms!$H$5:$H$14,MATCH(H998,Lists!$A$2:$A$11,0))),MAX(N(INDEX(Platforms!$F$5:$F$14,MATCH(H998,Lists!$A$2:$A$11,0))),N(INDEX(Platforms!$C$5:$C$14,MATCH(H998,Lists!$A$2:$A$11,0)))*(K998+IF(INDEX(Platforms!$E$5:$E$14,MATCH(H998,Lists!$A$2:$A$11,0))="Yes",N(L998),0))+N(INDEX(Platforms!$D$5:$D$14,MATCH(H998,Lists!$A$2:$A$11,0)))))),""))</f>
        <v/>
      </c>
      <c r="R998" s="16" t="str">
        <f t="shared" si="61"/>
        <v/>
      </c>
      <c r="S998" s="17" t="str">
        <f t="shared" si="62"/>
        <v/>
      </c>
      <c r="T998" s="18" t="str">
        <f t="shared" ca="1" si="63"/>
        <v/>
      </c>
    </row>
    <row r="999" spans="1:20" x14ac:dyDescent="0.35">
      <c r="A999" s="11"/>
      <c r="B999" s="11"/>
      <c r="C999" s="11"/>
      <c r="D999" s="12"/>
      <c r="E999" s="11"/>
      <c r="F999" s="13"/>
      <c r="G999" s="13"/>
      <c r="H999" s="11"/>
      <c r="I999" s="12"/>
      <c r="J999" s="12"/>
      <c r="K999" s="13"/>
      <c r="L999" s="13"/>
      <c r="M999" s="13"/>
      <c r="N999" s="13"/>
      <c r="O999" s="13"/>
      <c r="P999" s="14" t="str">
        <f t="shared" si="60"/>
        <v/>
      </c>
      <c r="Q999" s="15" t="str">
        <f>IF(OR(J999="",H999=""),"",IFERROR(IF(ISNUMBER(N999),N999,IF(K999&lt;N(INDEX(Platforms!$G$5:$G$14,MATCH(H999,Lists!$A$2:$A$11,0))),N(INDEX(Platforms!$H$5:$H$14,MATCH(H999,Lists!$A$2:$A$11,0))),MAX(N(INDEX(Platforms!$F$5:$F$14,MATCH(H999,Lists!$A$2:$A$11,0))),N(INDEX(Platforms!$C$5:$C$14,MATCH(H999,Lists!$A$2:$A$11,0)))*(K999+IF(INDEX(Platforms!$E$5:$E$14,MATCH(H999,Lists!$A$2:$A$11,0))="Yes",N(L999),0))+N(INDEX(Platforms!$D$5:$D$14,MATCH(H999,Lists!$A$2:$A$11,0)))))),""))</f>
        <v/>
      </c>
      <c r="R999" s="16" t="str">
        <f t="shared" si="61"/>
        <v/>
      </c>
      <c r="S999" s="17" t="str">
        <f t="shared" si="62"/>
        <v/>
      </c>
      <c r="T999" s="18" t="str">
        <f t="shared" ca="1" si="63"/>
        <v/>
      </c>
    </row>
    <row r="1000" spans="1:20" x14ac:dyDescent="0.35">
      <c r="A1000" s="11"/>
      <c r="B1000" s="11"/>
      <c r="C1000" s="11"/>
      <c r="D1000" s="12"/>
      <c r="E1000" s="11"/>
      <c r="F1000" s="13"/>
      <c r="G1000" s="13"/>
      <c r="H1000" s="11"/>
      <c r="I1000" s="12"/>
      <c r="J1000" s="12"/>
      <c r="K1000" s="13"/>
      <c r="L1000" s="13"/>
      <c r="M1000" s="13"/>
      <c r="N1000" s="13"/>
      <c r="O1000" s="13"/>
      <c r="P1000" s="14" t="str">
        <f t="shared" si="60"/>
        <v/>
      </c>
      <c r="Q1000" s="15" t="str">
        <f>IF(OR(J1000="",H1000=""),"",IFERROR(IF(ISNUMBER(N1000),N1000,IF(K1000&lt;N(INDEX(Platforms!$G$5:$G$14,MATCH(H1000,Lists!$A$2:$A$11,0))),N(INDEX(Platforms!$H$5:$H$14,MATCH(H1000,Lists!$A$2:$A$11,0))),MAX(N(INDEX(Platforms!$F$5:$F$14,MATCH(H1000,Lists!$A$2:$A$11,0))),N(INDEX(Platforms!$C$5:$C$14,MATCH(H1000,Lists!$A$2:$A$11,0)))*(K1000+IF(INDEX(Platforms!$E$5:$E$14,MATCH(H1000,Lists!$A$2:$A$11,0))="Yes",N(L1000),0))+N(INDEX(Platforms!$D$5:$D$14,MATCH(H1000,Lists!$A$2:$A$11,0)))))),""))</f>
        <v/>
      </c>
      <c r="R1000" s="16" t="str">
        <f t="shared" si="61"/>
        <v/>
      </c>
      <c r="S1000" s="17" t="str">
        <f t="shared" si="62"/>
        <v/>
      </c>
      <c r="T1000" s="18" t="str">
        <f t="shared" ca="1" si="63"/>
        <v/>
      </c>
    </row>
    <row r="1001" spans="1:20" x14ac:dyDescent="0.35">
      <c r="A1001" s="11"/>
      <c r="B1001" s="11"/>
      <c r="C1001" s="11"/>
      <c r="D1001" s="12"/>
      <c r="E1001" s="11"/>
      <c r="F1001" s="13"/>
      <c r="G1001" s="13"/>
      <c r="H1001" s="11"/>
      <c r="I1001" s="12"/>
      <c r="J1001" s="12"/>
      <c r="K1001" s="13"/>
      <c r="L1001" s="13"/>
      <c r="M1001" s="13"/>
      <c r="N1001" s="13"/>
      <c r="O1001" s="13"/>
      <c r="P1001" s="14" t="str">
        <f t="shared" si="60"/>
        <v/>
      </c>
      <c r="Q1001" s="15" t="str">
        <f>IF(OR(J1001="",H1001=""),"",IFERROR(IF(ISNUMBER(N1001),N1001,IF(K1001&lt;N(INDEX(Platforms!$G$5:$G$14,MATCH(H1001,Lists!$A$2:$A$11,0))),N(INDEX(Platforms!$H$5:$H$14,MATCH(H1001,Lists!$A$2:$A$11,0))),MAX(N(INDEX(Platforms!$F$5:$F$14,MATCH(H1001,Lists!$A$2:$A$11,0))),N(INDEX(Platforms!$C$5:$C$14,MATCH(H1001,Lists!$A$2:$A$11,0)))*(K1001+IF(INDEX(Platforms!$E$5:$E$14,MATCH(H1001,Lists!$A$2:$A$11,0))="Yes",N(L1001),0))+N(INDEX(Platforms!$D$5:$D$14,MATCH(H1001,Lists!$A$2:$A$11,0)))))),""))</f>
        <v/>
      </c>
      <c r="R1001" s="16" t="str">
        <f t="shared" si="61"/>
        <v/>
      </c>
      <c r="S1001" s="17" t="str">
        <f t="shared" si="62"/>
        <v/>
      </c>
      <c r="T1001" s="18" t="str">
        <f t="shared" ca="1" si="63"/>
        <v/>
      </c>
    </row>
    <row r="1002" spans="1:20" x14ac:dyDescent="0.35">
      <c r="A1002" s="11"/>
      <c r="B1002" s="11"/>
      <c r="C1002" s="11"/>
      <c r="D1002" s="12"/>
      <c r="E1002" s="11"/>
      <c r="F1002" s="13"/>
      <c r="G1002" s="13"/>
      <c r="H1002" s="11"/>
      <c r="I1002" s="12"/>
      <c r="J1002" s="12"/>
      <c r="K1002" s="13"/>
      <c r="L1002" s="13"/>
      <c r="M1002" s="13"/>
      <c r="N1002" s="13"/>
      <c r="O1002" s="13"/>
      <c r="P1002" s="14" t="str">
        <f t="shared" si="60"/>
        <v/>
      </c>
      <c r="Q1002" s="15" t="str">
        <f>IF(OR(J1002="",H1002=""),"",IFERROR(IF(ISNUMBER(N1002),N1002,IF(K1002&lt;N(INDEX(Platforms!$G$5:$G$14,MATCH(H1002,Lists!$A$2:$A$11,0))),N(INDEX(Platforms!$H$5:$H$14,MATCH(H1002,Lists!$A$2:$A$11,0))),MAX(N(INDEX(Platforms!$F$5:$F$14,MATCH(H1002,Lists!$A$2:$A$11,0))),N(INDEX(Platforms!$C$5:$C$14,MATCH(H1002,Lists!$A$2:$A$11,0)))*(K1002+IF(INDEX(Platforms!$E$5:$E$14,MATCH(H1002,Lists!$A$2:$A$11,0))="Yes",N(L1002),0))+N(INDEX(Platforms!$D$5:$D$14,MATCH(H1002,Lists!$A$2:$A$11,0)))))),""))</f>
        <v/>
      </c>
      <c r="R1002" s="16" t="str">
        <f t="shared" si="61"/>
        <v/>
      </c>
      <c r="S1002" s="17" t="str">
        <f t="shared" si="62"/>
        <v/>
      </c>
      <c r="T1002" s="18" t="str">
        <f t="shared" ca="1" si="63"/>
        <v/>
      </c>
    </row>
    <row r="1003" spans="1:20" x14ac:dyDescent="0.35">
      <c r="A1003" s="11"/>
      <c r="B1003" s="11"/>
      <c r="C1003" s="11"/>
      <c r="D1003" s="12"/>
      <c r="E1003" s="11"/>
      <c r="F1003" s="13"/>
      <c r="G1003" s="13"/>
      <c r="H1003" s="11"/>
      <c r="I1003" s="12"/>
      <c r="J1003" s="12"/>
      <c r="K1003" s="13"/>
      <c r="L1003" s="13"/>
      <c r="M1003" s="13"/>
      <c r="N1003" s="13"/>
      <c r="O1003" s="13"/>
      <c r="P1003" s="14" t="str">
        <f t="shared" si="60"/>
        <v/>
      </c>
      <c r="Q1003" s="15" t="str">
        <f>IF(OR(J1003="",H1003=""),"",IFERROR(IF(ISNUMBER(N1003),N1003,IF(K1003&lt;N(INDEX(Platforms!$G$5:$G$14,MATCH(H1003,Lists!$A$2:$A$11,0))),N(INDEX(Platforms!$H$5:$H$14,MATCH(H1003,Lists!$A$2:$A$11,0))),MAX(N(INDEX(Platforms!$F$5:$F$14,MATCH(H1003,Lists!$A$2:$A$11,0))),N(INDEX(Platforms!$C$5:$C$14,MATCH(H1003,Lists!$A$2:$A$11,0)))*(K1003+IF(INDEX(Platforms!$E$5:$E$14,MATCH(H1003,Lists!$A$2:$A$11,0))="Yes",N(L1003),0))+N(INDEX(Platforms!$D$5:$D$14,MATCH(H1003,Lists!$A$2:$A$11,0)))))),""))</f>
        <v/>
      </c>
      <c r="R1003" s="16" t="str">
        <f t="shared" si="61"/>
        <v/>
      </c>
      <c r="S1003" s="17" t="str">
        <f t="shared" si="62"/>
        <v/>
      </c>
      <c r="T1003" s="18" t="str">
        <f t="shared" ca="1" si="63"/>
        <v/>
      </c>
    </row>
    <row r="1004" spans="1:20" x14ac:dyDescent="0.35">
      <c r="A1004" s="11"/>
      <c r="B1004" s="11"/>
      <c r="C1004" s="11"/>
      <c r="D1004" s="12"/>
      <c r="E1004" s="11"/>
      <c r="F1004" s="13"/>
      <c r="G1004" s="13"/>
      <c r="H1004" s="11"/>
      <c r="I1004" s="12"/>
      <c r="J1004" s="12"/>
      <c r="K1004" s="13"/>
      <c r="L1004" s="13"/>
      <c r="M1004" s="13"/>
      <c r="N1004" s="13"/>
      <c r="O1004" s="13"/>
      <c r="P1004" s="14" t="str">
        <f t="shared" si="60"/>
        <v/>
      </c>
      <c r="Q1004" s="15" t="str">
        <f>IF(OR(J1004="",H1004=""),"",IFERROR(IF(ISNUMBER(N1004),N1004,IF(K1004&lt;N(INDEX(Platforms!$G$5:$G$14,MATCH(H1004,Lists!$A$2:$A$11,0))),N(INDEX(Platforms!$H$5:$H$14,MATCH(H1004,Lists!$A$2:$A$11,0))),MAX(N(INDEX(Platforms!$F$5:$F$14,MATCH(H1004,Lists!$A$2:$A$11,0))),N(INDEX(Platforms!$C$5:$C$14,MATCH(H1004,Lists!$A$2:$A$11,0)))*(K1004+IF(INDEX(Platforms!$E$5:$E$14,MATCH(H1004,Lists!$A$2:$A$11,0))="Yes",N(L1004),0))+N(INDEX(Platforms!$D$5:$D$14,MATCH(H1004,Lists!$A$2:$A$11,0)))))),""))</f>
        <v/>
      </c>
      <c r="R1004" s="16" t="str">
        <f t="shared" si="61"/>
        <v/>
      </c>
      <c r="S1004" s="17" t="str">
        <f t="shared" si="62"/>
        <v/>
      </c>
      <c r="T1004" s="18" t="str">
        <f t="shared" ca="1" si="63"/>
        <v/>
      </c>
    </row>
    <row r="1005" spans="1:20" x14ac:dyDescent="0.35">
      <c r="A1005" s="11"/>
      <c r="B1005" s="11"/>
      <c r="C1005" s="11"/>
      <c r="D1005" s="12"/>
      <c r="E1005" s="11"/>
      <c r="F1005" s="13"/>
      <c r="G1005" s="13"/>
      <c r="H1005" s="11"/>
      <c r="I1005" s="12"/>
      <c r="J1005" s="12"/>
      <c r="K1005" s="13"/>
      <c r="L1005" s="13"/>
      <c r="M1005" s="13"/>
      <c r="N1005" s="13"/>
      <c r="O1005" s="13"/>
      <c r="P1005" s="14" t="str">
        <f t="shared" si="60"/>
        <v/>
      </c>
      <c r="Q1005" s="15" t="str">
        <f>IF(OR(J1005="",H1005=""),"",IFERROR(IF(ISNUMBER(N1005),N1005,IF(K1005&lt;N(INDEX(Platforms!$G$5:$G$14,MATCH(H1005,Lists!$A$2:$A$11,0))),N(INDEX(Platforms!$H$5:$H$14,MATCH(H1005,Lists!$A$2:$A$11,0))),MAX(N(INDEX(Platforms!$F$5:$F$14,MATCH(H1005,Lists!$A$2:$A$11,0))),N(INDEX(Platforms!$C$5:$C$14,MATCH(H1005,Lists!$A$2:$A$11,0)))*(K1005+IF(INDEX(Platforms!$E$5:$E$14,MATCH(H1005,Lists!$A$2:$A$11,0))="Yes",N(L1005),0))+N(INDEX(Platforms!$D$5:$D$14,MATCH(H1005,Lists!$A$2:$A$11,0)))))),""))</f>
        <v/>
      </c>
      <c r="R1005" s="16" t="str">
        <f t="shared" si="61"/>
        <v/>
      </c>
      <c r="S1005" s="17" t="str">
        <f t="shared" si="62"/>
        <v/>
      </c>
      <c r="T1005" s="18" t="str">
        <f t="shared" ca="1" si="63"/>
        <v/>
      </c>
    </row>
    <row r="1006" spans="1:20" x14ac:dyDescent="0.35">
      <c r="A1006" s="11"/>
      <c r="B1006" s="11"/>
      <c r="C1006" s="11"/>
      <c r="D1006" s="12"/>
      <c r="E1006" s="11"/>
      <c r="F1006" s="13"/>
      <c r="G1006" s="13"/>
      <c r="H1006" s="11"/>
      <c r="I1006" s="12"/>
      <c r="J1006" s="12"/>
      <c r="K1006" s="13"/>
      <c r="L1006" s="13"/>
      <c r="M1006" s="13"/>
      <c r="N1006" s="13"/>
      <c r="O1006" s="13"/>
      <c r="P1006" s="14" t="str">
        <f t="shared" si="60"/>
        <v/>
      </c>
      <c r="Q1006" s="15" t="str">
        <f>IF(OR(J1006="",H1006=""),"",IFERROR(IF(ISNUMBER(N1006),N1006,IF(K1006&lt;N(INDEX(Platforms!$G$5:$G$14,MATCH(H1006,Lists!$A$2:$A$11,0))),N(INDEX(Platforms!$H$5:$H$14,MATCH(H1006,Lists!$A$2:$A$11,0))),MAX(N(INDEX(Platforms!$F$5:$F$14,MATCH(H1006,Lists!$A$2:$A$11,0))),N(INDEX(Platforms!$C$5:$C$14,MATCH(H1006,Lists!$A$2:$A$11,0)))*(K1006+IF(INDEX(Platforms!$E$5:$E$14,MATCH(H1006,Lists!$A$2:$A$11,0))="Yes",N(L1006),0))+N(INDEX(Platforms!$D$5:$D$14,MATCH(H1006,Lists!$A$2:$A$11,0)))))),""))</f>
        <v/>
      </c>
      <c r="R1006" s="16" t="str">
        <f t="shared" si="61"/>
        <v/>
      </c>
      <c r="S1006" s="17" t="str">
        <f t="shared" si="62"/>
        <v/>
      </c>
      <c r="T1006" s="18" t="str">
        <f t="shared" ca="1" si="63"/>
        <v/>
      </c>
    </row>
    <row r="1007" spans="1:20" x14ac:dyDescent="0.35">
      <c r="A1007" s="11"/>
      <c r="B1007" s="11"/>
      <c r="C1007" s="11"/>
      <c r="D1007" s="12"/>
      <c r="E1007" s="11"/>
      <c r="F1007" s="13"/>
      <c r="G1007" s="13"/>
      <c r="H1007" s="11"/>
      <c r="I1007" s="12"/>
      <c r="J1007" s="12"/>
      <c r="K1007" s="13"/>
      <c r="L1007" s="13"/>
      <c r="M1007" s="13"/>
      <c r="N1007" s="13"/>
      <c r="O1007" s="13"/>
      <c r="P1007" s="14" t="str">
        <f t="shared" si="60"/>
        <v/>
      </c>
      <c r="Q1007" s="15" t="str">
        <f>IF(OR(J1007="",H1007=""),"",IFERROR(IF(ISNUMBER(N1007),N1007,IF(K1007&lt;N(INDEX(Platforms!$G$5:$G$14,MATCH(H1007,Lists!$A$2:$A$11,0))),N(INDEX(Platforms!$H$5:$H$14,MATCH(H1007,Lists!$A$2:$A$11,0))),MAX(N(INDEX(Platforms!$F$5:$F$14,MATCH(H1007,Lists!$A$2:$A$11,0))),N(INDEX(Platforms!$C$5:$C$14,MATCH(H1007,Lists!$A$2:$A$11,0)))*(K1007+IF(INDEX(Platforms!$E$5:$E$14,MATCH(H1007,Lists!$A$2:$A$11,0))="Yes",N(L1007),0))+N(INDEX(Platforms!$D$5:$D$14,MATCH(H1007,Lists!$A$2:$A$11,0)))))),""))</f>
        <v/>
      </c>
      <c r="R1007" s="16" t="str">
        <f t="shared" si="61"/>
        <v/>
      </c>
      <c r="S1007" s="17" t="str">
        <f t="shared" si="62"/>
        <v/>
      </c>
      <c r="T1007" s="18" t="str">
        <f t="shared" ca="1" si="63"/>
        <v/>
      </c>
    </row>
    <row r="1008" spans="1:20" x14ac:dyDescent="0.35">
      <c r="A1008" s="11"/>
      <c r="B1008" s="11"/>
      <c r="C1008" s="11"/>
      <c r="D1008" s="12"/>
      <c r="E1008" s="11"/>
      <c r="F1008" s="13"/>
      <c r="G1008" s="13"/>
      <c r="H1008" s="11"/>
      <c r="I1008" s="12"/>
      <c r="J1008" s="12"/>
      <c r="K1008" s="13"/>
      <c r="L1008" s="13"/>
      <c r="M1008" s="13"/>
      <c r="N1008" s="13"/>
      <c r="O1008" s="13"/>
      <c r="P1008" s="14" t="str">
        <f t="shared" si="60"/>
        <v/>
      </c>
      <c r="Q1008" s="15" t="str">
        <f>IF(OR(J1008="",H1008=""),"",IFERROR(IF(ISNUMBER(N1008),N1008,IF(K1008&lt;N(INDEX(Platforms!$G$5:$G$14,MATCH(H1008,Lists!$A$2:$A$11,0))),N(INDEX(Platforms!$H$5:$H$14,MATCH(H1008,Lists!$A$2:$A$11,0))),MAX(N(INDEX(Platforms!$F$5:$F$14,MATCH(H1008,Lists!$A$2:$A$11,0))),N(INDEX(Platforms!$C$5:$C$14,MATCH(H1008,Lists!$A$2:$A$11,0)))*(K1008+IF(INDEX(Platforms!$E$5:$E$14,MATCH(H1008,Lists!$A$2:$A$11,0))="Yes",N(L1008),0))+N(INDEX(Platforms!$D$5:$D$14,MATCH(H1008,Lists!$A$2:$A$11,0)))))),""))</f>
        <v/>
      </c>
      <c r="R1008" s="16" t="str">
        <f t="shared" si="61"/>
        <v/>
      </c>
      <c r="S1008" s="17" t="str">
        <f t="shared" si="62"/>
        <v/>
      </c>
      <c r="T1008" s="18" t="str">
        <f t="shared" ca="1" si="63"/>
        <v/>
      </c>
    </row>
    <row r="1009" spans="1:20" x14ac:dyDescent="0.35">
      <c r="A1009" s="11"/>
      <c r="B1009" s="11"/>
      <c r="C1009" s="11"/>
      <c r="D1009" s="12"/>
      <c r="E1009" s="11"/>
      <c r="F1009" s="13"/>
      <c r="G1009" s="13"/>
      <c r="H1009" s="11"/>
      <c r="I1009" s="12"/>
      <c r="J1009" s="12"/>
      <c r="K1009" s="13"/>
      <c r="L1009" s="13"/>
      <c r="M1009" s="13"/>
      <c r="N1009" s="13"/>
      <c r="O1009" s="13"/>
      <c r="P1009" s="14" t="str">
        <f t="shared" si="60"/>
        <v/>
      </c>
      <c r="Q1009" s="15" t="str">
        <f>IF(OR(J1009="",H1009=""),"",IFERROR(IF(ISNUMBER(N1009),N1009,IF(K1009&lt;N(INDEX(Platforms!$G$5:$G$14,MATCH(H1009,Lists!$A$2:$A$11,0))),N(INDEX(Platforms!$H$5:$H$14,MATCH(H1009,Lists!$A$2:$A$11,0))),MAX(N(INDEX(Platforms!$F$5:$F$14,MATCH(H1009,Lists!$A$2:$A$11,0))),N(INDEX(Platforms!$C$5:$C$14,MATCH(H1009,Lists!$A$2:$A$11,0)))*(K1009+IF(INDEX(Platforms!$E$5:$E$14,MATCH(H1009,Lists!$A$2:$A$11,0))="Yes",N(L1009),0))+N(INDEX(Platforms!$D$5:$D$14,MATCH(H1009,Lists!$A$2:$A$11,0)))))),""))</f>
        <v/>
      </c>
      <c r="R1009" s="16" t="str">
        <f t="shared" si="61"/>
        <v/>
      </c>
      <c r="S1009" s="17" t="str">
        <f t="shared" si="62"/>
        <v/>
      </c>
      <c r="T1009" s="18" t="str">
        <f t="shared" ca="1" si="63"/>
        <v/>
      </c>
    </row>
    <row r="1010" spans="1:20" x14ac:dyDescent="0.35">
      <c r="A1010" s="11"/>
      <c r="B1010" s="11"/>
      <c r="C1010" s="11"/>
      <c r="D1010" s="12"/>
      <c r="E1010" s="11"/>
      <c r="F1010" s="13"/>
      <c r="G1010" s="13"/>
      <c r="H1010" s="11"/>
      <c r="I1010" s="12"/>
      <c r="J1010" s="12"/>
      <c r="K1010" s="13"/>
      <c r="L1010" s="13"/>
      <c r="M1010" s="13"/>
      <c r="N1010" s="13"/>
      <c r="O1010" s="13"/>
      <c r="P1010" s="14" t="str">
        <f t="shared" si="60"/>
        <v/>
      </c>
      <c r="Q1010" s="15" t="str">
        <f>IF(OR(J1010="",H1010=""),"",IFERROR(IF(ISNUMBER(N1010),N1010,IF(K1010&lt;N(INDEX(Platforms!$G$5:$G$14,MATCH(H1010,Lists!$A$2:$A$11,0))),N(INDEX(Platforms!$H$5:$H$14,MATCH(H1010,Lists!$A$2:$A$11,0))),MAX(N(INDEX(Platforms!$F$5:$F$14,MATCH(H1010,Lists!$A$2:$A$11,0))),N(INDEX(Platforms!$C$5:$C$14,MATCH(H1010,Lists!$A$2:$A$11,0)))*(K1010+IF(INDEX(Platforms!$E$5:$E$14,MATCH(H1010,Lists!$A$2:$A$11,0))="Yes",N(L1010),0))+N(INDEX(Platforms!$D$5:$D$14,MATCH(H1010,Lists!$A$2:$A$11,0)))))),""))</f>
        <v/>
      </c>
      <c r="R1010" s="16" t="str">
        <f t="shared" si="61"/>
        <v/>
      </c>
      <c r="S1010" s="17" t="str">
        <f t="shared" si="62"/>
        <v/>
      </c>
      <c r="T1010" s="18" t="str">
        <f t="shared" ca="1" si="63"/>
        <v/>
      </c>
    </row>
    <row r="1011" spans="1:20" x14ac:dyDescent="0.35">
      <c r="A1011" s="11"/>
      <c r="B1011" s="11"/>
      <c r="C1011" s="11"/>
      <c r="D1011" s="12"/>
      <c r="E1011" s="11"/>
      <c r="F1011" s="13"/>
      <c r="G1011" s="13"/>
      <c r="H1011" s="11"/>
      <c r="I1011" s="12"/>
      <c r="J1011" s="12"/>
      <c r="K1011" s="13"/>
      <c r="L1011" s="13"/>
      <c r="M1011" s="13"/>
      <c r="N1011" s="13"/>
      <c r="O1011" s="13"/>
      <c r="P1011" s="14" t="str">
        <f t="shared" si="60"/>
        <v/>
      </c>
      <c r="Q1011" s="15" t="str">
        <f>IF(OR(J1011="",H1011=""),"",IFERROR(IF(ISNUMBER(N1011),N1011,IF(K1011&lt;N(INDEX(Platforms!$G$5:$G$14,MATCH(H1011,Lists!$A$2:$A$11,0))),N(INDEX(Platforms!$H$5:$H$14,MATCH(H1011,Lists!$A$2:$A$11,0))),MAX(N(INDEX(Platforms!$F$5:$F$14,MATCH(H1011,Lists!$A$2:$A$11,0))),N(INDEX(Platforms!$C$5:$C$14,MATCH(H1011,Lists!$A$2:$A$11,0)))*(K1011+IF(INDEX(Platforms!$E$5:$E$14,MATCH(H1011,Lists!$A$2:$A$11,0))="Yes",N(L1011),0))+N(INDEX(Platforms!$D$5:$D$14,MATCH(H1011,Lists!$A$2:$A$11,0)))))),""))</f>
        <v/>
      </c>
      <c r="R1011" s="16" t="str">
        <f t="shared" si="61"/>
        <v/>
      </c>
      <c r="S1011" s="17" t="str">
        <f t="shared" si="62"/>
        <v/>
      </c>
      <c r="T1011" s="18" t="str">
        <f t="shared" ca="1" si="63"/>
        <v/>
      </c>
    </row>
    <row r="1012" spans="1:20" x14ac:dyDescent="0.35">
      <c r="A1012" s="11"/>
      <c r="B1012" s="11"/>
      <c r="C1012" s="11"/>
      <c r="D1012" s="12"/>
      <c r="E1012" s="11"/>
      <c r="F1012" s="13"/>
      <c r="G1012" s="13"/>
      <c r="H1012" s="11"/>
      <c r="I1012" s="12"/>
      <c r="J1012" s="12"/>
      <c r="K1012" s="13"/>
      <c r="L1012" s="13"/>
      <c r="M1012" s="13"/>
      <c r="N1012" s="13"/>
      <c r="O1012" s="13"/>
      <c r="P1012" s="14" t="str">
        <f t="shared" si="60"/>
        <v/>
      </c>
      <c r="Q1012" s="15" t="str">
        <f>IF(OR(J1012="",H1012=""),"",IFERROR(IF(ISNUMBER(N1012),N1012,IF(K1012&lt;N(INDEX(Platforms!$G$5:$G$14,MATCH(H1012,Lists!$A$2:$A$11,0))),N(INDEX(Platforms!$H$5:$H$14,MATCH(H1012,Lists!$A$2:$A$11,0))),MAX(N(INDEX(Platforms!$F$5:$F$14,MATCH(H1012,Lists!$A$2:$A$11,0))),N(INDEX(Platforms!$C$5:$C$14,MATCH(H1012,Lists!$A$2:$A$11,0)))*(K1012+IF(INDEX(Platforms!$E$5:$E$14,MATCH(H1012,Lists!$A$2:$A$11,0))="Yes",N(L1012),0))+N(INDEX(Platforms!$D$5:$D$14,MATCH(H1012,Lists!$A$2:$A$11,0)))))),""))</f>
        <v/>
      </c>
      <c r="R1012" s="16" t="str">
        <f t="shared" si="61"/>
        <v/>
      </c>
      <c r="S1012" s="17" t="str">
        <f t="shared" si="62"/>
        <v/>
      </c>
      <c r="T1012" s="18" t="str">
        <f t="shared" ca="1" si="63"/>
        <v/>
      </c>
    </row>
    <row r="1013" spans="1:20" x14ac:dyDescent="0.35">
      <c r="A1013" s="11"/>
      <c r="B1013" s="11"/>
      <c r="C1013" s="11"/>
      <c r="D1013" s="12"/>
      <c r="E1013" s="11"/>
      <c r="F1013" s="13"/>
      <c r="G1013" s="13"/>
      <c r="H1013" s="11"/>
      <c r="I1013" s="12"/>
      <c r="J1013" s="12"/>
      <c r="K1013" s="13"/>
      <c r="L1013" s="13"/>
      <c r="M1013" s="13"/>
      <c r="N1013" s="13"/>
      <c r="O1013" s="13"/>
      <c r="P1013" s="14" t="str">
        <f t="shared" si="60"/>
        <v/>
      </c>
      <c r="Q1013" s="15" t="str">
        <f>IF(OR(J1013="",H1013=""),"",IFERROR(IF(ISNUMBER(N1013),N1013,IF(K1013&lt;N(INDEX(Platforms!$G$5:$G$14,MATCH(H1013,Lists!$A$2:$A$11,0))),N(INDEX(Platforms!$H$5:$H$14,MATCH(H1013,Lists!$A$2:$A$11,0))),MAX(N(INDEX(Platforms!$F$5:$F$14,MATCH(H1013,Lists!$A$2:$A$11,0))),N(INDEX(Platforms!$C$5:$C$14,MATCH(H1013,Lists!$A$2:$A$11,0)))*(K1013+IF(INDEX(Platforms!$E$5:$E$14,MATCH(H1013,Lists!$A$2:$A$11,0))="Yes",N(L1013),0))+N(INDEX(Platforms!$D$5:$D$14,MATCH(H1013,Lists!$A$2:$A$11,0)))))),""))</f>
        <v/>
      </c>
      <c r="R1013" s="16" t="str">
        <f t="shared" si="61"/>
        <v/>
      </c>
      <c r="S1013" s="17" t="str">
        <f t="shared" si="62"/>
        <v/>
      </c>
      <c r="T1013" s="18" t="str">
        <f t="shared" ca="1" si="63"/>
        <v/>
      </c>
    </row>
    <row r="1014" spans="1:20" x14ac:dyDescent="0.35">
      <c r="A1014" s="11"/>
      <c r="B1014" s="11"/>
      <c r="C1014" s="11"/>
      <c r="D1014" s="12"/>
      <c r="E1014" s="11"/>
      <c r="F1014" s="13"/>
      <c r="G1014" s="13"/>
      <c r="H1014" s="11"/>
      <c r="I1014" s="12"/>
      <c r="J1014" s="12"/>
      <c r="K1014" s="13"/>
      <c r="L1014" s="13"/>
      <c r="M1014" s="13"/>
      <c r="N1014" s="13"/>
      <c r="O1014" s="13"/>
      <c r="P1014" s="14" t="str">
        <f t="shared" si="60"/>
        <v/>
      </c>
      <c r="Q1014" s="15" t="str">
        <f>IF(OR(J1014="",H1014=""),"",IFERROR(IF(ISNUMBER(N1014),N1014,IF(K1014&lt;N(INDEX(Platforms!$G$5:$G$14,MATCH(H1014,Lists!$A$2:$A$11,0))),N(INDEX(Platforms!$H$5:$H$14,MATCH(H1014,Lists!$A$2:$A$11,0))),MAX(N(INDEX(Platforms!$F$5:$F$14,MATCH(H1014,Lists!$A$2:$A$11,0))),N(INDEX(Platforms!$C$5:$C$14,MATCH(H1014,Lists!$A$2:$A$11,0)))*(K1014+IF(INDEX(Platforms!$E$5:$E$14,MATCH(H1014,Lists!$A$2:$A$11,0))="Yes",N(L1014),0))+N(INDEX(Platforms!$D$5:$D$14,MATCH(H1014,Lists!$A$2:$A$11,0)))))),""))</f>
        <v/>
      </c>
      <c r="R1014" s="16" t="str">
        <f t="shared" si="61"/>
        <v/>
      </c>
      <c r="S1014" s="17" t="str">
        <f t="shared" si="62"/>
        <v/>
      </c>
      <c r="T1014" s="18" t="str">
        <f t="shared" ca="1" si="63"/>
        <v/>
      </c>
    </row>
    <row r="1015" spans="1:20" x14ac:dyDescent="0.35">
      <c r="A1015" s="11"/>
      <c r="B1015" s="11"/>
      <c r="C1015" s="11"/>
      <c r="D1015" s="12"/>
      <c r="E1015" s="11"/>
      <c r="F1015" s="13"/>
      <c r="G1015" s="13"/>
      <c r="H1015" s="11"/>
      <c r="I1015" s="12"/>
      <c r="J1015" s="12"/>
      <c r="K1015" s="13"/>
      <c r="L1015" s="13"/>
      <c r="M1015" s="13"/>
      <c r="N1015" s="13"/>
      <c r="O1015" s="13"/>
      <c r="P1015" s="14" t="str">
        <f t="shared" si="60"/>
        <v/>
      </c>
      <c r="Q1015" s="15" t="str">
        <f>IF(OR(J1015="",H1015=""),"",IFERROR(IF(ISNUMBER(N1015),N1015,IF(K1015&lt;N(INDEX(Platforms!$G$5:$G$14,MATCH(H1015,Lists!$A$2:$A$11,0))),N(INDEX(Platforms!$H$5:$H$14,MATCH(H1015,Lists!$A$2:$A$11,0))),MAX(N(INDEX(Platforms!$F$5:$F$14,MATCH(H1015,Lists!$A$2:$A$11,0))),N(INDEX(Platforms!$C$5:$C$14,MATCH(H1015,Lists!$A$2:$A$11,0)))*(K1015+IF(INDEX(Platforms!$E$5:$E$14,MATCH(H1015,Lists!$A$2:$A$11,0))="Yes",N(L1015),0))+N(INDEX(Platforms!$D$5:$D$14,MATCH(H1015,Lists!$A$2:$A$11,0)))))),""))</f>
        <v/>
      </c>
      <c r="R1015" s="16" t="str">
        <f t="shared" si="61"/>
        <v/>
      </c>
      <c r="S1015" s="17" t="str">
        <f t="shared" si="62"/>
        <v/>
      </c>
      <c r="T1015" s="18" t="str">
        <f t="shared" ca="1" si="63"/>
        <v/>
      </c>
    </row>
    <row r="1016" spans="1:20" x14ac:dyDescent="0.35">
      <c r="A1016" s="11"/>
      <c r="B1016" s="11"/>
      <c r="C1016" s="11"/>
      <c r="D1016" s="12"/>
      <c r="E1016" s="11"/>
      <c r="F1016" s="13"/>
      <c r="G1016" s="13"/>
      <c r="H1016" s="11"/>
      <c r="I1016" s="12"/>
      <c r="J1016" s="12"/>
      <c r="K1016" s="13"/>
      <c r="L1016" s="13"/>
      <c r="M1016" s="13"/>
      <c r="N1016" s="13"/>
      <c r="O1016" s="13"/>
      <c r="P1016" s="14" t="str">
        <f t="shared" si="60"/>
        <v/>
      </c>
      <c r="Q1016" s="15" t="str">
        <f>IF(OR(J1016="",H1016=""),"",IFERROR(IF(ISNUMBER(N1016),N1016,IF(K1016&lt;N(INDEX(Platforms!$G$5:$G$14,MATCH(H1016,Lists!$A$2:$A$11,0))),N(INDEX(Platforms!$H$5:$H$14,MATCH(H1016,Lists!$A$2:$A$11,0))),MAX(N(INDEX(Platforms!$F$5:$F$14,MATCH(H1016,Lists!$A$2:$A$11,0))),N(INDEX(Platforms!$C$5:$C$14,MATCH(H1016,Lists!$A$2:$A$11,0)))*(K1016+IF(INDEX(Platforms!$E$5:$E$14,MATCH(H1016,Lists!$A$2:$A$11,0))="Yes",N(L1016),0))+N(INDEX(Platforms!$D$5:$D$14,MATCH(H1016,Lists!$A$2:$A$11,0)))))),""))</f>
        <v/>
      </c>
      <c r="R1016" s="16" t="str">
        <f t="shared" si="61"/>
        <v/>
      </c>
      <c r="S1016" s="17" t="str">
        <f t="shared" si="62"/>
        <v/>
      </c>
      <c r="T1016" s="18" t="str">
        <f t="shared" ca="1" si="63"/>
        <v/>
      </c>
    </row>
    <row r="1017" spans="1:20" x14ac:dyDescent="0.35">
      <c r="A1017" s="11"/>
      <c r="B1017" s="11"/>
      <c r="C1017" s="11"/>
      <c r="D1017" s="12"/>
      <c r="E1017" s="11"/>
      <c r="F1017" s="13"/>
      <c r="G1017" s="13"/>
      <c r="H1017" s="11"/>
      <c r="I1017" s="12"/>
      <c r="J1017" s="12"/>
      <c r="K1017" s="13"/>
      <c r="L1017" s="13"/>
      <c r="M1017" s="13"/>
      <c r="N1017" s="13"/>
      <c r="O1017" s="13"/>
      <c r="P1017" s="14" t="str">
        <f t="shared" si="60"/>
        <v/>
      </c>
      <c r="Q1017" s="15" t="str">
        <f>IF(OR(J1017="",H1017=""),"",IFERROR(IF(ISNUMBER(N1017),N1017,IF(K1017&lt;N(INDEX(Platforms!$G$5:$G$14,MATCH(H1017,Lists!$A$2:$A$11,0))),N(INDEX(Platforms!$H$5:$H$14,MATCH(H1017,Lists!$A$2:$A$11,0))),MAX(N(INDEX(Platforms!$F$5:$F$14,MATCH(H1017,Lists!$A$2:$A$11,0))),N(INDEX(Platforms!$C$5:$C$14,MATCH(H1017,Lists!$A$2:$A$11,0)))*(K1017+IF(INDEX(Platforms!$E$5:$E$14,MATCH(H1017,Lists!$A$2:$A$11,0))="Yes",N(L1017),0))+N(INDEX(Platforms!$D$5:$D$14,MATCH(H1017,Lists!$A$2:$A$11,0)))))),""))</f>
        <v/>
      </c>
      <c r="R1017" s="16" t="str">
        <f t="shared" si="61"/>
        <v/>
      </c>
      <c r="S1017" s="17" t="str">
        <f t="shared" si="62"/>
        <v/>
      </c>
      <c r="T1017" s="18" t="str">
        <f t="shared" ca="1" si="63"/>
        <v/>
      </c>
    </row>
    <row r="1018" spans="1:20" x14ac:dyDescent="0.35">
      <c r="A1018" s="11"/>
      <c r="B1018" s="11"/>
      <c r="C1018" s="11"/>
      <c r="D1018" s="12"/>
      <c r="E1018" s="11"/>
      <c r="F1018" s="13"/>
      <c r="G1018" s="13"/>
      <c r="H1018" s="11"/>
      <c r="I1018" s="12"/>
      <c r="J1018" s="12"/>
      <c r="K1018" s="13"/>
      <c r="L1018" s="13"/>
      <c r="M1018" s="13"/>
      <c r="N1018" s="13"/>
      <c r="O1018" s="13"/>
      <c r="P1018" s="14" t="str">
        <f t="shared" si="60"/>
        <v/>
      </c>
      <c r="Q1018" s="15" t="str">
        <f>IF(OR(J1018="",H1018=""),"",IFERROR(IF(ISNUMBER(N1018),N1018,IF(K1018&lt;N(INDEX(Platforms!$G$5:$G$14,MATCH(H1018,Lists!$A$2:$A$11,0))),N(INDEX(Platforms!$H$5:$H$14,MATCH(H1018,Lists!$A$2:$A$11,0))),MAX(N(INDEX(Platforms!$F$5:$F$14,MATCH(H1018,Lists!$A$2:$A$11,0))),N(INDEX(Platforms!$C$5:$C$14,MATCH(H1018,Lists!$A$2:$A$11,0)))*(K1018+IF(INDEX(Platforms!$E$5:$E$14,MATCH(H1018,Lists!$A$2:$A$11,0))="Yes",N(L1018),0))+N(INDEX(Platforms!$D$5:$D$14,MATCH(H1018,Lists!$A$2:$A$11,0)))))),""))</f>
        <v/>
      </c>
      <c r="R1018" s="16" t="str">
        <f t="shared" si="61"/>
        <v/>
      </c>
      <c r="S1018" s="17" t="str">
        <f t="shared" si="62"/>
        <v/>
      </c>
      <c r="T1018" s="18" t="str">
        <f t="shared" ca="1" si="63"/>
        <v/>
      </c>
    </row>
    <row r="1019" spans="1:20" x14ac:dyDescent="0.35">
      <c r="A1019" s="11"/>
      <c r="B1019" s="11"/>
      <c r="C1019" s="11"/>
      <c r="D1019" s="12"/>
      <c r="E1019" s="11"/>
      <c r="F1019" s="13"/>
      <c r="G1019" s="13"/>
      <c r="H1019" s="11"/>
      <c r="I1019" s="12"/>
      <c r="J1019" s="12"/>
      <c r="K1019" s="13"/>
      <c r="L1019" s="13"/>
      <c r="M1019" s="13"/>
      <c r="N1019" s="13"/>
      <c r="O1019" s="13"/>
      <c r="P1019" s="14" t="str">
        <f t="shared" si="60"/>
        <v/>
      </c>
      <c r="Q1019" s="15" t="str">
        <f>IF(OR(J1019="",H1019=""),"",IFERROR(IF(ISNUMBER(N1019),N1019,IF(K1019&lt;N(INDEX(Platforms!$G$5:$G$14,MATCH(H1019,Lists!$A$2:$A$11,0))),N(INDEX(Platforms!$H$5:$H$14,MATCH(H1019,Lists!$A$2:$A$11,0))),MAX(N(INDEX(Platforms!$F$5:$F$14,MATCH(H1019,Lists!$A$2:$A$11,0))),N(INDEX(Platforms!$C$5:$C$14,MATCH(H1019,Lists!$A$2:$A$11,0)))*(K1019+IF(INDEX(Platforms!$E$5:$E$14,MATCH(H1019,Lists!$A$2:$A$11,0))="Yes",N(L1019),0))+N(INDEX(Platforms!$D$5:$D$14,MATCH(H1019,Lists!$A$2:$A$11,0)))))),""))</f>
        <v/>
      </c>
      <c r="R1019" s="16" t="str">
        <f t="shared" si="61"/>
        <v/>
      </c>
      <c r="S1019" s="17" t="str">
        <f t="shared" si="62"/>
        <v/>
      </c>
      <c r="T1019" s="18" t="str">
        <f t="shared" ca="1" si="63"/>
        <v/>
      </c>
    </row>
    <row r="1020" spans="1:20" x14ac:dyDescent="0.35">
      <c r="A1020" s="11"/>
      <c r="B1020" s="11"/>
      <c r="C1020" s="11"/>
      <c r="D1020" s="12"/>
      <c r="E1020" s="11"/>
      <c r="F1020" s="13"/>
      <c r="G1020" s="13"/>
      <c r="H1020" s="11"/>
      <c r="I1020" s="12"/>
      <c r="J1020" s="12"/>
      <c r="K1020" s="13"/>
      <c r="L1020" s="13"/>
      <c r="M1020" s="13"/>
      <c r="N1020" s="13"/>
      <c r="O1020" s="13"/>
      <c r="P1020" s="14" t="str">
        <f t="shared" si="60"/>
        <v/>
      </c>
      <c r="Q1020" s="15" t="str">
        <f>IF(OR(J1020="",H1020=""),"",IFERROR(IF(ISNUMBER(N1020),N1020,IF(K1020&lt;N(INDEX(Platforms!$G$5:$G$14,MATCH(H1020,Lists!$A$2:$A$11,0))),N(INDEX(Platforms!$H$5:$H$14,MATCH(H1020,Lists!$A$2:$A$11,0))),MAX(N(INDEX(Platforms!$F$5:$F$14,MATCH(H1020,Lists!$A$2:$A$11,0))),N(INDEX(Platforms!$C$5:$C$14,MATCH(H1020,Lists!$A$2:$A$11,0)))*(K1020+IF(INDEX(Platforms!$E$5:$E$14,MATCH(H1020,Lists!$A$2:$A$11,0))="Yes",N(L1020),0))+N(INDEX(Platforms!$D$5:$D$14,MATCH(H1020,Lists!$A$2:$A$11,0)))))),""))</f>
        <v/>
      </c>
      <c r="R1020" s="16" t="str">
        <f t="shared" si="61"/>
        <v/>
      </c>
      <c r="S1020" s="17" t="str">
        <f t="shared" si="62"/>
        <v/>
      </c>
      <c r="T1020" s="18" t="str">
        <f t="shared" ca="1" si="63"/>
        <v/>
      </c>
    </row>
    <row r="1021" spans="1:20" x14ac:dyDescent="0.35">
      <c r="A1021" s="11"/>
      <c r="B1021" s="11"/>
      <c r="C1021" s="11"/>
      <c r="D1021" s="12"/>
      <c r="E1021" s="11"/>
      <c r="F1021" s="13"/>
      <c r="G1021" s="13"/>
      <c r="H1021" s="11"/>
      <c r="I1021" s="12"/>
      <c r="J1021" s="12"/>
      <c r="K1021" s="13"/>
      <c r="L1021" s="13"/>
      <c r="M1021" s="13"/>
      <c r="N1021" s="13"/>
      <c r="O1021" s="13"/>
      <c r="P1021" s="14" t="str">
        <f t="shared" si="60"/>
        <v/>
      </c>
      <c r="Q1021" s="15" t="str">
        <f>IF(OR(J1021="",H1021=""),"",IFERROR(IF(ISNUMBER(N1021),N1021,IF(K1021&lt;N(INDEX(Platforms!$G$5:$G$14,MATCH(H1021,Lists!$A$2:$A$11,0))),N(INDEX(Platforms!$H$5:$H$14,MATCH(H1021,Lists!$A$2:$A$11,0))),MAX(N(INDEX(Platforms!$F$5:$F$14,MATCH(H1021,Lists!$A$2:$A$11,0))),N(INDEX(Platforms!$C$5:$C$14,MATCH(H1021,Lists!$A$2:$A$11,0)))*(K1021+IF(INDEX(Platforms!$E$5:$E$14,MATCH(H1021,Lists!$A$2:$A$11,0))="Yes",N(L1021),0))+N(INDEX(Platforms!$D$5:$D$14,MATCH(H1021,Lists!$A$2:$A$11,0)))))),""))</f>
        <v/>
      </c>
      <c r="R1021" s="16" t="str">
        <f t="shared" si="61"/>
        <v/>
      </c>
      <c r="S1021" s="17" t="str">
        <f t="shared" si="62"/>
        <v/>
      </c>
      <c r="T1021" s="18" t="str">
        <f t="shared" ca="1" si="63"/>
        <v/>
      </c>
    </row>
    <row r="1022" spans="1:20" x14ac:dyDescent="0.35">
      <c r="A1022" s="11"/>
      <c r="B1022" s="11"/>
      <c r="C1022" s="11"/>
      <c r="D1022" s="12"/>
      <c r="E1022" s="11"/>
      <c r="F1022" s="13"/>
      <c r="G1022" s="13"/>
      <c r="H1022" s="11"/>
      <c r="I1022" s="12"/>
      <c r="J1022" s="12"/>
      <c r="K1022" s="13"/>
      <c r="L1022" s="13"/>
      <c r="M1022" s="13"/>
      <c r="N1022" s="13"/>
      <c r="O1022" s="13"/>
      <c r="P1022" s="14" t="str">
        <f t="shared" si="60"/>
        <v/>
      </c>
      <c r="Q1022" s="15" t="str">
        <f>IF(OR(J1022="",H1022=""),"",IFERROR(IF(ISNUMBER(N1022),N1022,IF(K1022&lt;N(INDEX(Platforms!$G$5:$G$14,MATCH(H1022,Lists!$A$2:$A$11,0))),N(INDEX(Platforms!$H$5:$H$14,MATCH(H1022,Lists!$A$2:$A$11,0))),MAX(N(INDEX(Platforms!$F$5:$F$14,MATCH(H1022,Lists!$A$2:$A$11,0))),N(INDEX(Platforms!$C$5:$C$14,MATCH(H1022,Lists!$A$2:$A$11,0)))*(K1022+IF(INDEX(Platforms!$E$5:$E$14,MATCH(H1022,Lists!$A$2:$A$11,0))="Yes",N(L1022),0))+N(INDEX(Platforms!$D$5:$D$14,MATCH(H1022,Lists!$A$2:$A$11,0)))))),""))</f>
        <v/>
      </c>
      <c r="R1022" s="16" t="str">
        <f t="shared" si="61"/>
        <v/>
      </c>
      <c r="S1022" s="17" t="str">
        <f t="shared" si="62"/>
        <v/>
      </c>
      <c r="T1022" s="18" t="str">
        <f t="shared" ca="1" si="63"/>
        <v/>
      </c>
    </row>
    <row r="1023" spans="1:20" x14ac:dyDescent="0.35">
      <c r="A1023" s="11"/>
      <c r="B1023" s="11"/>
      <c r="C1023" s="11"/>
      <c r="D1023" s="12"/>
      <c r="E1023" s="11"/>
      <c r="F1023" s="13"/>
      <c r="G1023" s="13"/>
      <c r="H1023" s="11"/>
      <c r="I1023" s="12"/>
      <c r="J1023" s="12"/>
      <c r="K1023" s="13"/>
      <c r="L1023" s="13"/>
      <c r="M1023" s="13"/>
      <c r="N1023" s="13"/>
      <c r="O1023" s="13"/>
      <c r="P1023" s="14" t="str">
        <f t="shared" si="60"/>
        <v/>
      </c>
      <c r="Q1023" s="15" t="str">
        <f>IF(OR(J1023="",H1023=""),"",IFERROR(IF(ISNUMBER(N1023),N1023,IF(K1023&lt;N(INDEX(Platforms!$G$5:$G$14,MATCH(H1023,Lists!$A$2:$A$11,0))),N(INDEX(Platforms!$H$5:$H$14,MATCH(H1023,Lists!$A$2:$A$11,0))),MAX(N(INDEX(Platforms!$F$5:$F$14,MATCH(H1023,Lists!$A$2:$A$11,0))),N(INDEX(Platforms!$C$5:$C$14,MATCH(H1023,Lists!$A$2:$A$11,0)))*(K1023+IF(INDEX(Platforms!$E$5:$E$14,MATCH(H1023,Lists!$A$2:$A$11,0))="Yes",N(L1023),0))+N(INDEX(Platforms!$D$5:$D$14,MATCH(H1023,Lists!$A$2:$A$11,0)))))),""))</f>
        <v/>
      </c>
      <c r="R1023" s="16" t="str">
        <f t="shared" si="61"/>
        <v/>
      </c>
      <c r="S1023" s="17" t="str">
        <f t="shared" si="62"/>
        <v/>
      </c>
      <c r="T1023" s="18" t="str">
        <f t="shared" ca="1" si="63"/>
        <v/>
      </c>
    </row>
    <row r="1024" spans="1:20" x14ac:dyDescent="0.35">
      <c r="A1024" s="11"/>
      <c r="B1024" s="11"/>
      <c r="C1024" s="11"/>
      <c r="D1024" s="12"/>
      <c r="E1024" s="11"/>
      <c r="F1024" s="13"/>
      <c r="G1024" s="13"/>
      <c r="H1024" s="11"/>
      <c r="I1024" s="12"/>
      <c r="J1024" s="12"/>
      <c r="K1024" s="13"/>
      <c r="L1024" s="13"/>
      <c r="M1024" s="13"/>
      <c r="N1024" s="13"/>
      <c r="O1024" s="13"/>
      <c r="P1024" s="14" t="str">
        <f t="shared" si="60"/>
        <v/>
      </c>
      <c r="Q1024" s="15" t="str">
        <f>IF(OR(J1024="",H1024=""),"",IFERROR(IF(ISNUMBER(N1024),N1024,IF(K1024&lt;N(INDEX(Platforms!$G$5:$G$14,MATCH(H1024,Lists!$A$2:$A$11,0))),N(INDEX(Platforms!$H$5:$H$14,MATCH(H1024,Lists!$A$2:$A$11,0))),MAX(N(INDEX(Platforms!$F$5:$F$14,MATCH(H1024,Lists!$A$2:$A$11,0))),N(INDEX(Platforms!$C$5:$C$14,MATCH(H1024,Lists!$A$2:$A$11,0)))*(K1024+IF(INDEX(Platforms!$E$5:$E$14,MATCH(H1024,Lists!$A$2:$A$11,0))="Yes",N(L1024),0))+N(INDEX(Platforms!$D$5:$D$14,MATCH(H1024,Lists!$A$2:$A$11,0)))))),""))</f>
        <v/>
      </c>
      <c r="R1024" s="16" t="str">
        <f t="shared" si="61"/>
        <v/>
      </c>
      <c r="S1024" s="17" t="str">
        <f t="shared" si="62"/>
        <v/>
      </c>
      <c r="T1024" s="18" t="str">
        <f t="shared" ca="1" si="63"/>
        <v/>
      </c>
    </row>
    <row r="1025" spans="1:20" x14ac:dyDescent="0.35">
      <c r="A1025" s="11"/>
      <c r="B1025" s="11"/>
      <c r="C1025" s="11"/>
      <c r="D1025" s="12"/>
      <c r="E1025" s="11"/>
      <c r="F1025" s="13"/>
      <c r="G1025" s="13"/>
      <c r="H1025" s="11"/>
      <c r="I1025" s="12"/>
      <c r="J1025" s="12"/>
      <c r="K1025" s="13"/>
      <c r="L1025" s="13"/>
      <c r="M1025" s="13"/>
      <c r="N1025" s="13"/>
      <c r="O1025" s="13"/>
      <c r="P1025" s="14" t="str">
        <f t="shared" si="60"/>
        <v/>
      </c>
      <c r="Q1025" s="15" t="str">
        <f>IF(OR(J1025="",H1025=""),"",IFERROR(IF(ISNUMBER(N1025),N1025,IF(K1025&lt;N(INDEX(Platforms!$G$5:$G$14,MATCH(H1025,Lists!$A$2:$A$11,0))),N(INDEX(Platforms!$H$5:$H$14,MATCH(H1025,Lists!$A$2:$A$11,0))),MAX(N(INDEX(Platforms!$F$5:$F$14,MATCH(H1025,Lists!$A$2:$A$11,0))),N(INDEX(Platforms!$C$5:$C$14,MATCH(H1025,Lists!$A$2:$A$11,0)))*(K1025+IF(INDEX(Platforms!$E$5:$E$14,MATCH(H1025,Lists!$A$2:$A$11,0))="Yes",N(L1025),0))+N(INDEX(Platforms!$D$5:$D$14,MATCH(H1025,Lists!$A$2:$A$11,0)))))),""))</f>
        <v/>
      </c>
      <c r="R1025" s="16" t="str">
        <f t="shared" si="61"/>
        <v/>
      </c>
      <c r="S1025" s="17" t="str">
        <f t="shared" si="62"/>
        <v/>
      </c>
      <c r="T1025" s="18" t="str">
        <f t="shared" ca="1" si="63"/>
        <v/>
      </c>
    </row>
    <row r="1026" spans="1:20" x14ac:dyDescent="0.35">
      <c r="A1026" s="11"/>
      <c r="B1026" s="11"/>
      <c r="C1026" s="11"/>
      <c r="D1026" s="12"/>
      <c r="E1026" s="11"/>
      <c r="F1026" s="13"/>
      <c r="G1026" s="13"/>
      <c r="H1026" s="11"/>
      <c r="I1026" s="12"/>
      <c r="J1026" s="12"/>
      <c r="K1026" s="13"/>
      <c r="L1026" s="13"/>
      <c r="M1026" s="13"/>
      <c r="N1026" s="13"/>
      <c r="O1026" s="13"/>
      <c r="P1026" s="14" t="str">
        <f t="shared" si="60"/>
        <v/>
      </c>
      <c r="Q1026" s="15" t="str">
        <f>IF(OR(J1026="",H1026=""),"",IFERROR(IF(ISNUMBER(N1026),N1026,IF(K1026&lt;N(INDEX(Platforms!$G$5:$G$14,MATCH(H1026,Lists!$A$2:$A$11,0))),N(INDEX(Platforms!$H$5:$H$14,MATCH(H1026,Lists!$A$2:$A$11,0))),MAX(N(INDEX(Platforms!$F$5:$F$14,MATCH(H1026,Lists!$A$2:$A$11,0))),N(INDEX(Platforms!$C$5:$C$14,MATCH(H1026,Lists!$A$2:$A$11,0)))*(K1026+IF(INDEX(Platforms!$E$5:$E$14,MATCH(H1026,Lists!$A$2:$A$11,0))="Yes",N(L1026),0))+N(INDEX(Platforms!$D$5:$D$14,MATCH(H1026,Lists!$A$2:$A$11,0)))))),""))</f>
        <v/>
      </c>
      <c r="R1026" s="16" t="str">
        <f t="shared" si="61"/>
        <v/>
      </c>
      <c r="S1026" s="17" t="str">
        <f t="shared" si="62"/>
        <v/>
      </c>
      <c r="T1026" s="18" t="str">
        <f t="shared" ca="1" si="63"/>
        <v/>
      </c>
    </row>
    <row r="1027" spans="1:20" x14ac:dyDescent="0.35">
      <c r="A1027" s="11"/>
      <c r="B1027" s="11"/>
      <c r="C1027" s="11"/>
      <c r="D1027" s="12"/>
      <c r="E1027" s="11"/>
      <c r="F1027" s="13"/>
      <c r="G1027" s="13"/>
      <c r="H1027" s="11"/>
      <c r="I1027" s="12"/>
      <c r="J1027" s="12"/>
      <c r="K1027" s="13"/>
      <c r="L1027" s="13"/>
      <c r="M1027" s="13"/>
      <c r="N1027" s="13"/>
      <c r="O1027" s="13"/>
      <c r="P1027" s="14" t="str">
        <f t="shared" si="60"/>
        <v/>
      </c>
      <c r="Q1027" s="15" t="str">
        <f>IF(OR(J1027="",H1027=""),"",IFERROR(IF(ISNUMBER(N1027),N1027,IF(K1027&lt;N(INDEX(Platforms!$G$5:$G$14,MATCH(H1027,Lists!$A$2:$A$11,0))),N(INDEX(Platforms!$H$5:$H$14,MATCH(H1027,Lists!$A$2:$A$11,0))),MAX(N(INDEX(Platforms!$F$5:$F$14,MATCH(H1027,Lists!$A$2:$A$11,0))),N(INDEX(Platforms!$C$5:$C$14,MATCH(H1027,Lists!$A$2:$A$11,0)))*(K1027+IF(INDEX(Platforms!$E$5:$E$14,MATCH(H1027,Lists!$A$2:$A$11,0))="Yes",N(L1027),0))+N(INDEX(Platforms!$D$5:$D$14,MATCH(H1027,Lists!$A$2:$A$11,0)))))),""))</f>
        <v/>
      </c>
      <c r="R1027" s="16" t="str">
        <f t="shared" si="61"/>
        <v/>
      </c>
      <c r="S1027" s="17" t="str">
        <f t="shared" si="62"/>
        <v/>
      </c>
      <c r="T1027" s="18" t="str">
        <f t="shared" ca="1" si="63"/>
        <v/>
      </c>
    </row>
    <row r="1028" spans="1:20" x14ac:dyDescent="0.35">
      <c r="A1028" s="11"/>
      <c r="B1028" s="11"/>
      <c r="C1028" s="11"/>
      <c r="D1028" s="12"/>
      <c r="E1028" s="11"/>
      <c r="F1028" s="13"/>
      <c r="G1028" s="13"/>
      <c r="H1028" s="11"/>
      <c r="I1028" s="12"/>
      <c r="J1028" s="12"/>
      <c r="K1028" s="13"/>
      <c r="L1028" s="13"/>
      <c r="M1028" s="13"/>
      <c r="N1028" s="13"/>
      <c r="O1028" s="13"/>
      <c r="P1028" s="14" t="str">
        <f t="shared" si="60"/>
        <v/>
      </c>
      <c r="Q1028" s="15" t="str">
        <f>IF(OR(J1028="",H1028=""),"",IFERROR(IF(ISNUMBER(N1028),N1028,IF(K1028&lt;N(INDEX(Platforms!$G$5:$G$14,MATCH(H1028,Lists!$A$2:$A$11,0))),N(INDEX(Platforms!$H$5:$H$14,MATCH(H1028,Lists!$A$2:$A$11,0))),MAX(N(INDEX(Platforms!$F$5:$F$14,MATCH(H1028,Lists!$A$2:$A$11,0))),N(INDEX(Platforms!$C$5:$C$14,MATCH(H1028,Lists!$A$2:$A$11,0)))*(K1028+IF(INDEX(Platforms!$E$5:$E$14,MATCH(H1028,Lists!$A$2:$A$11,0))="Yes",N(L1028),0))+N(INDEX(Platforms!$D$5:$D$14,MATCH(H1028,Lists!$A$2:$A$11,0)))))),""))</f>
        <v/>
      </c>
      <c r="R1028" s="16" t="str">
        <f t="shared" si="61"/>
        <v/>
      </c>
      <c r="S1028" s="17" t="str">
        <f t="shared" si="62"/>
        <v/>
      </c>
      <c r="T1028" s="18" t="str">
        <f t="shared" ca="1" si="63"/>
        <v/>
      </c>
    </row>
    <row r="1029" spans="1:20" x14ac:dyDescent="0.35">
      <c r="A1029" s="11"/>
      <c r="B1029" s="11"/>
      <c r="C1029" s="11"/>
      <c r="D1029" s="12"/>
      <c r="E1029" s="11"/>
      <c r="F1029" s="13"/>
      <c r="G1029" s="13"/>
      <c r="H1029" s="11"/>
      <c r="I1029" s="12"/>
      <c r="J1029" s="12"/>
      <c r="K1029" s="13"/>
      <c r="L1029" s="13"/>
      <c r="M1029" s="13"/>
      <c r="N1029" s="13"/>
      <c r="O1029" s="13"/>
      <c r="P1029" s="14" t="str">
        <f t="shared" ref="P1029:P1092" si="64">IF(OR(B1029&lt;&gt;"",F1029&lt;&gt;"",H1029&lt;&gt;"",J1029&lt;&gt;"",K1029&lt;&gt;""),IF(J1029&lt;&gt;"","Sold",IF(I1029&lt;&gt;"","Listed","In stock")),"")</f>
        <v/>
      </c>
      <c r="Q1029" s="15" t="str">
        <f>IF(OR(J1029="",H1029=""),"",IFERROR(IF(ISNUMBER(N1029),N1029,IF(K1029&lt;N(INDEX(Platforms!$G$5:$G$14,MATCH(H1029,Lists!$A$2:$A$11,0))),N(INDEX(Platforms!$H$5:$H$14,MATCH(H1029,Lists!$A$2:$A$11,0))),MAX(N(INDEX(Platforms!$F$5:$F$14,MATCH(H1029,Lists!$A$2:$A$11,0))),N(INDEX(Platforms!$C$5:$C$14,MATCH(H1029,Lists!$A$2:$A$11,0)))*(K1029+IF(INDEX(Platforms!$E$5:$E$14,MATCH(H1029,Lists!$A$2:$A$11,0))="Yes",N(L1029),0))+N(INDEX(Platforms!$D$5:$D$14,MATCH(H1029,Lists!$A$2:$A$11,0)))))),""))</f>
        <v/>
      </c>
      <c r="R1029" s="16" t="str">
        <f t="shared" ref="R1029:R1092" si="65">IF(J1029="","",IFERROR(K1029+N(L1029)-N(O1029)-Q1029-N(M1029)-N(F1029)-N(G1029),""))</f>
        <v/>
      </c>
      <c r="S1029" s="17" t="str">
        <f t="shared" ref="S1029:S1092" si="66">IF(OR(R1029="",N(F1029)+N(G1029)=0),"",R1029/(N(F1029)+N(G1029)))</f>
        <v/>
      </c>
      <c r="T1029" s="18" t="str">
        <f t="shared" ref="T1029:T1092" ca="1" si="67">IFERROR(IF(ISNUMBER(D1029),IF(ISNUMBER(J1029),J1029,IF(J1029="",TODAY(),""))-D1029,""),"")</f>
        <v/>
      </c>
    </row>
    <row r="1030" spans="1:20" x14ac:dyDescent="0.35">
      <c r="A1030" s="11"/>
      <c r="B1030" s="11"/>
      <c r="C1030" s="11"/>
      <c r="D1030" s="12"/>
      <c r="E1030" s="11"/>
      <c r="F1030" s="13"/>
      <c r="G1030" s="13"/>
      <c r="H1030" s="11"/>
      <c r="I1030" s="12"/>
      <c r="J1030" s="12"/>
      <c r="K1030" s="13"/>
      <c r="L1030" s="13"/>
      <c r="M1030" s="13"/>
      <c r="N1030" s="13"/>
      <c r="O1030" s="13"/>
      <c r="P1030" s="14" t="str">
        <f t="shared" si="64"/>
        <v/>
      </c>
      <c r="Q1030" s="15" t="str">
        <f>IF(OR(J1030="",H1030=""),"",IFERROR(IF(ISNUMBER(N1030),N1030,IF(K1030&lt;N(INDEX(Platforms!$G$5:$G$14,MATCH(H1030,Lists!$A$2:$A$11,0))),N(INDEX(Platforms!$H$5:$H$14,MATCH(H1030,Lists!$A$2:$A$11,0))),MAX(N(INDEX(Platforms!$F$5:$F$14,MATCH(H1030,Lists!$A$2:$A$11,0))),N(INDEX(Platforms!$C$5:$C$14,MATCH(H1030,Lists!$A$2:$A$11,0)))*(K1030+IF(INDEX(Platforms!$E$5:$E$14,MATCH(H1030,Lists!$A$2:$A$11,0))="Yes",N(L1030),0))+N(INDEX(Platforms!$D$5:$D$14,MATCH(H1030,Lists!$A$2:$A$11,0)))))),""))</f>
        <v/>
      </c>
      <c r="R1030" s="16" t="str">
        <f t="shared" si="65"/>
        <v/>
      </c>
      <c r="S1030" s="17" t="str">
        <f t="shared" si="66"/>
        <v/>
      </c>
      <c r="T1030" s="18" t="str">
        <f t="shared" ca="1" si="67"/>
        <v/>
      </c>
    </row>
    <row r="1031" spans="1:20" x14ac:dyDescent="0.35">
      <c r="A1031" s="11"/>
      <c r="B1031" s="11"/>
      <c r="C1031" s="11"/>
      <c r="D1031" s="12"/>
      <c r="E1031" s="11"/>
      <c r="F1031" s="13"/>
      <c r="G1031" s="13"/>
      <c r="H1031" s="11"/>
      <c r="I1031" s="12"/>
      <c r="J1031" s="12"/>
      <c r="K1031" s="13"/>
      <c r="L1031" s="13"/>
      <c r="M1031" s="13"/>
      <c r="N1031" s="13"/>
      <c r="O1031" s="13"/>
      <c r="P1031" s="14" t="str">
        <f t="shared" si="64"/>
        <v/>
      </c>
      <c r="Q1031" s="15" t="str">
        <f>IF(OR(J1031="",H1031=""),"",IFERROR(IF(ISNUMBER(N1031),N1031,IF(K1031&lt;N(INDEX(Platforms!$G$5:$G$14,MATCH(H1031,Lists!$A$2:$A$11,0))),N(INDEX(Platforms!$H$5:$H$14,MATCH(H1031,Lists!$A$2:$A$11,0))),MAX(N(INDEX(Platforms!$F$5:$F$14,MATCH(H1031,Lists!$A$2:$A$11,0))),N(INDEX(Platforms!$C$5:$C$14,MATCH(H1031,Lists!$A$2:$A$11,0)))*(K1031+IF(INDEX(Platforms!$E$5:$E$14,MATCH(H1031,Lists!$A$2:$A$11,0))="Yes",N(L1031),0))+N(INDEX(Platforms!$D$5:$D$14,MATCH(H1031,Lists!$A$2:$A$11,0)))))),""))</f>
        <v/>
      </c>
      <c r="R1031" s="16" t="str">
        <f t="shared" si="65"/>
        <v/>
      </c>
      <c r="S1031" s="17" t="str">
        <f t="shared" si="66"/>
        <v/>
      </c>
      <c r="T1031" s="18" t="str">
        <f t="shared" ca="1" si="67"/>
        <v/>
      </c>
    </row>
    <row r="1032" spans="1:20" x14ac:dyDescent="0.35">
      <c r="A1032" s="11"/>
      <c r="B1032" s="11"/>
      <c r="C1032" s="11"/>
      <c r="D1032" s="12"/>
      <c r="E1032" s="11"/>
      <c r="F1032" s="13"/>
      <c r="G1032" s="13"/>
      <c r="H1032" s="11"/>
      <c r="I1032" s="12"/>
      <c r="J1032" s="12"/>
      <c r="K1032" s="13"/>
      <c r="L1032" s="13"/>
      <c r="M1032" s="13"/>
      <c r="N1032" s="13"/>
      <c r="O1032" s="13"/>
      <c r="P1032" s="14" t="str">
        <f t="shared" si="64"/>
        <v/>
      </c>
      <c r="Q1032" s="15" t="str">
        <f>IF(OR(J1032="",H1032=""),"",IFERROR(IF(ISNUMBER(N1032),N1032,IF(K1032&lt;N(INDEX(Platforms!$G$5:$G$14,MATCH(H1032,Lists!$A$2:$A$11,0))),N(INDEX(Platforms!$H$5:$H$14,MATCH(H1032,Lists!$A$2:$A$11,0))),MAX(N(INDEX(Platforms!$F$5:$F$14,MATCH(H1032,Lists!$A$2:$A$11,0))),N(INDEX(Platforms!$C$5:$C$14,MATCH(H1032,Lists!$A$2:$A$11,0)))*(K1032+IF(INDEX(Platforms!$E$5:$E$14,MATCH(H1032,Lists!$A$2:$A$11,0))="Yes",N(L1032),0))+N(INDEX(Platforms!$D$5:$D$14,MATCH(H1032,Lists!$A$2:$A$11,0)))))),""))</f>
        <v/>
      </c>
      <c r="R1032" s="16" t="str">
        <f t="shared" si="65"/>
        <v/>
      </c>
      <c r="S1032" s="17" t="str">
        <f t="shared" si="66"/>
        <v/>
      </c>
      <c r="T1032" s="18" t="str">
        <f t="shared" ca="1" si="67"/>
        <v/>
      </c>
    </row>
    <row r="1033" spans="1:20" x14ac:dyDescent="0.35">
      <c r="A1033" s="11"/>
      <c r="B1033" s="11"/>
      <c r="C1033" s="11"/>
      <c r="D1033" s="12"/>
      <c r="E1033" s="11"/>
      <c r="F1033" s="13"/>
      <c r="G1033" s="13"/>
      <c r="H1033" s="11"/>
      <c r="I1033" s="12"/>
      <c r="J1033" s="12"/>
      <c r="K1033" s="13"/>
      <c r="L1033" s="13"/>
      <c r="M1033" s="13"/>
      <c r="N1033" s="13"/>
      <c r="O1033" s="13"/>
      <c r="P1033" s="14" t="str">
        <f t="shared" si="64"/>
        <v/>
      </c>
      <c r="Q1033" s="15" t="str">
        <f>IF(OR(J1033="",H1033=""),"",IFERROR(IF(ISNUMBER(N1033),N1033,IF(K1033&lt;N(INDEX(Platforms!$G$5:$G$14,MATCH(H1033,Lists!$A$2:$A$11,0))),N(INDEX(Platforms!$H$5:$H$14,MATCH(H1033,Lists!$A$2:$A$11,0))),MAX(N(INDEX(Platforms!$F$5:$F$14,MATCH(H1033,Lists!$A$2:$A$11,0))),N(INDEX(Platforms!$C$5:$C$14,MATCH(H1033,Lists!$A$2:$A$11,0)))*(K1033+IF(INDEX(Platforms!$E$5:$E$14,MATCH(H1033,Lists!$A$2:$A$11,0))="Yes",N(L1033),0))+N(INDEX(Platforms!$D$5:$D$14,MATCH(H1033,Lists!$A$2:$A$11,0)))))),""))</f>
        <v/>
      </c>
      <c r="R1033" s="16" t="str">
        <f t="shared" si="65"/>
        <v/>
      </c>
      <c r="S1033" s="17" t="str">
        <f t="shared" si="66"/>
        <v/>
      </c>
      <c r="T1033" s="18" t="str">
        <f t="shared" ca="1" si="67"/>
        <v/>
      </c>
    </row>
    <row r="1034" spans="1:20" x14ac:dyDescent="0.35">
      <c r="A1034" s="11"/>
      <c r="B1034" s="11"/>
      <c r="C1034" s="11"/>
      <c r="D1034" s="12"/>
      <c r="E1034" s="11"/>
      <c r="F1034" s="13"/>
      <c r="G1034" s="13"/>
      <c r="H1034" s="11"/>
      <c r="I1034" s="12"/>
      <c r="J1034" s="12"/>
      <c r="K1034" s="13"/>
      <c r="L1034" s="13"/>
      <c r="M1034" s="13"/>
      <c r="N1034" s="13"/>
      <c r="O1034" s="13"/>
      <c r="P1034" s="14" t="str">
        <f t="shared" si="64"/>
        <v/>
      </c>
      <c r="Q1034" s="15" t="str">
        <f>IF(OR(J1034="",H1034=""),"",IFERROR(IF(ISNUMBER(N1034),N1034,IF(K1034&lt;N(INDEX(Platforms!$G$5:$G$14,MATCH(H1034,Lists!$A$2:$A$11,0))),N(INDEX(Platforms!$H$5:$H$14,MATCH(H1034,Lists!$A$2:$A$11,0))),MAX(N(INDEX(Platforms!$F$5:$F$14,MATCH(H1034,Lists!$A$2:$A$11,0))),N(INDEX(Platforms!$C$5:$C$14,MATCH(H1034,Lists!$A$2:$A$11,0)))*(K1034+IF(INDEX(Platforms!$E$5:$E$14,MATCH(H1034,Lists!$A$2:$A$11,0))="Yes",N(L1034),0))+N(INDEX(Platforms!$D$5:$D$14,MATCH(H1034,Lists!$A$2:$A$11,0)))))),""))</f>
        <v/>
      </c>
      <c r="R1034" s="16" t="str">
        <f t="shared" si="65"/>
        <v/>
      </c>
      <c r="S1034" s="17" t="str">
        <f t="shared" si="66"/>
        <v/>
      </c>
      <c r="T1034" s="18" t="str">
        <f t="shared" ca="1" si="67"/>
        <v/>
      </c>
    </row>
    <row r="1035" spans="1:20" x14ac:dyDescent="0.35">
      <c r="A1035" s="11"/>
      <c r="B1035" s="11"/>
      <c r="C1035" s="11"/>
      <c r="D1035" s="12"/>
      <c r="E1035" s="11"/>
      <c r="F1035" s="13"/>
      <c r="G1035" s="13"/>
      <c r="H1035" s="11"/>
      <c r="I1035" s="12"/>
      <c r="J1035" s="12"/>
      <c r="K1035" s="13"/>
      <c r="L1035" s="13"/>
      <c r="M1035" s="13"/>
      <c r="N1035" s="13"/>
      <c r="O1035" s="13"/>
      <c r="P1035" s="14" t="str">
        <f t="shared" si="64"/>
        <v/>
      </c>
      <c r="Q1035" s="15" t="str">
        <f>IF(OR(J1035="",H1035=""),"",IFERROR(IF(ISNUMBER(N1035),N1035,IF(K1035&lt;N(INDEX(Platforms!$G$5:$G$14,MATCH(H1035,Lists!$A$2:$A$11,0))),N(INDEX(Platforms!$H$5:$H$14,MATCH(H1035,Lists!$A$2:$A$11,0))),MAX(N(INDEX(Platforms!$F$5:$F$14,MATCH(H1035,Lists!$A$2:$A$11,0))),N(INDEX(Platforms!$C$5:$C$14,MATCH(H1035,Lists!$A$2:$A$11,0)))*(K1035+IF(INDEX(Platforms!$E$5:$E$14,MATCH(H1035,Lists!$A$2:$A$11,0))="Yes",N(L1035),0))+N(INDEX(Platforms!$D$5:$D$14,MATCH(H1035,Lists!$A$2:$A$11,0)))))),""))</f>
        <v/>
      </c>
      <c r="R1035" s="16" t="str">
        <f t="shared" si="65"/>
        <v/>
      </c>
      <c r="S1035" s="17" t="str">
        <f t="shared" si="66"/>
        <v/>
      </c>
      <c r="T1035" s="18" t="str">
        <f t="shared" ca="1" si="67"/>
        <v/>
      </c>
    </row>
    <row r="1036" spans="1:20" x14ac:dyDescent="0.35">
      <c r="A1036" s="11"/>
      <c r="B1036" s="11"/>
      <c r="C1036" s="11"/>
      <c r="D1036" s="12"/>
      <c r="E1036" s="11"/>
      <c r="F1036" s="13"/>
      <c r="G1036" s="13"/>
      <c r="H1036" s="11"/>
      <c r="I1036" s="12"/>
      <c r="J1036" s="12"/>
      <c r="K1036" s="13"/>
      <c r="L1036" s="13"/>
      <c r="M1036" s="13"/>
      <c r="N1036" s="13"/>
      <c r="O1036" s="13"/>
      <c r="P1036" s="14" t="str">
        <f t="shared" si="64"/>
        <v/>
      </c>
      <c r="Q1036" s="15" t="str">
        <f>IF(OR(J1036="",H1036=""),"",IFERROR(IF(ISNUMBER(N1036),N1036,IF(K1036&lt;N(INDEX(Platforms!$G$5:$G$14,MATCH(H1036,Lists!$A$2:$A$11,0))),N(INDEX(Platforms!$H$5:$H$14,MATCH(H1036,Lists!$A$2:$A$11,0))),MAX(N(INDEX(Platforms!$F$5:$F$14,MATCH(H1036,Lists!$A$2:$A$11,0))),N(INDEX(Platforms!$C$5:$C$14,MATCH(H1036,Lists!$A$2:$A$11,0)))*(K1036+IF(INDEX(Platforms!$E$5:$E$14,MATCH(H1036,Lists!$A$2:$A$11,0))="Yes",N(L1036),0))+N(INDEX(Platforms!$D$5:$D$14,MATCH(H1036,Lists!$A$2:$A$11,0)))))),""))</f>
        <v/>
      </c>
      <c r="R1036" s="16" t="str">
        <f t="shared" si="65"/>
        <v/>
      </c>
      <c r="S1036" s="17" t="str">
        <f t="shared" si="66"/>
        <v/>
      </c>
      <c r="T1036" s="18" t="str">
        <f t="shared" ca="1" si="67"/>
        <v/>
      </c>
    </row>
    <row r="1037" spans="1:20" x14ac:dyDescent="0.35">
      <c r="A1037" s="11"/>
      <c r="B1037" s="11"/>
      <c r="C1037" s="11"/>
      <c r="D1037" s="12"/>
      <c r="E1037" s="11"/>
      <c r="F1037" s="13"/>
      <c r="G1037" s="13"/>
      <c r="H1037" s="11"/>
      <c r="I1037" s="12"/>
      <c r="J1037" s="12"/>
      <c r="K1037" s="13"/>
      <c r="L1037" s="13"/>
      <c r="M1037" s="13"/>
      <c r="N1037" s="13"/>
      <c r="O1037" s="13"/>
      <c r="P1037" s="14" t="str">
        <f t="shared" si="64"/>
        <v/>
      </c>
      <c r="Q1037" s="15" t="str">
        <f>IF(OR(J1037="",H1037=""),"",IFERROR(IF(ISNUMBER(N1037),N1037,IF(K1037&lt;N(INDEX(Platforms!$G$5:$G$14,MATCH(H1037,Lists!$A$2:$A$11,0))),N(INDEX(Platforms!$H$5:$H$14,MATCH(H1037,Lists!$A$2:$A$11,0))),MAX(N(INDEX(Platforms!$F$5:$F$14,MATCH(H1037,Lists!$A$2:$A$11,0))),N(INDEX(Platforms!$C$5:$C$14,MATCH(H1037,Lists!$A$2:$A$11,0)))*(K1037+IF(INDEX(Platforms!$E$5:$E$14,MATCH(H1037,Lists!$A$2:$A$11,0))="Yes",N(L1037),0))+N(INDEX(Platforms!$D$5:$D$14,MATCH(H1037,Lists!$A$2:$A$11,0)))))),""))</f>
        <v/>
      </c>
      <c r="R1037" s="16" t="str">
        <f t="shared" si="65"/>
        <v/>
      </c>
      <c r="S1037" s="17" t="str">
        <f t="shared" si="66"/>
        <v/>
      </c>
      <c r="T1037" s="18" t="str">
        <f t="shared" ca="1" si="67"/>
        <v/>
      </c>
    </row>
    <row r="1038" spans="1:20" x14ac:dyDescent="0.35">
      <c r="A1038" s="11"/>
      <c r="B1038" s="11"/>
      <c r="C1038" s="11"/>
      <c r="D1038" s="12"/>
      <c r="E1038" s="11"/>
      <c r="F1038" s="13"/>
      <c r="G1038" s="13"/>
      <c r="H1038" s="11"/>
      <c r="I1038" s="12"/>
      <c r="J1038" s="12"/>
      <c r="K1038" s="13"/>
      <c r="L1038" s="13"/>
      <c r="M1038" s="13"/>
      <c r="N1038" s="13"/>
      <c r="O1038" s="13"/>
      <c r="P1038" s="14" t="str">
        <f t="shared" si="64"/>
        <v/>
      </c>
      <c r="Q1038" s="15" t="str">
        <f>IF(OR(J1038="",H1038=""),"",IFERROR(IF(ISNUMBER(N1038),N1038,IF(K1038&lt;N(INDEX(Platforms!$G$5:$G$14,MATCH(H1038,Lists!$A$2:$A$11,0))),N(INDEX(Platforms!$H$5:$H$14,MATCH(H1038,Lists!$A$2:$A$11,0))),MAX(N(INDEX(Platforms!$F$5:$F$14,MATCH(H1038,Lists!$A$2:$A$11,0))),N(INDEX(Platforms!$C$5:$C$14,MATCH(H1038,Lists!$A$2:$A$11,0)))*(K1038+IF(INDEX(Platforms!$E$5:$E$14,MATCH(H1038,Lists!$A$2:$A$11,0))="Yes",N(L1038),0))+N(INDEX(Platforms!$D$5:$D$14,MATCH(H1038,Lists!$A$2:$A$11,0)))))),""))</f>
        <v/>
      </c>
      <c r="R1038" s="16" t="str">
        <f t="shared" si="65"/>
        <v/>
      </c>
      <c r="S1038" s="17" t="str">
        <f t="shared" si="66"/>
        <v/>
      </c>
      <c r="T1038" s="18" t="str">
        <f t="shared" ca="1" si="67"/>
        <v/>
      </c>
    </row>
    <row r="1039" spans="1:20" x14ac:dyDescent="0.35">
      <c r="A1039" s="11"/>
      <c r="B1039" s="11"/>
      <c r="C1039" s="11"/>
      <c r="D1039" s="12"/>
      <c r="E1039" s="11"/>
      <c r="F1039" s="13"/>
      <c r="G1039" s="13"/>
      <c r="H1039" s="11"/>
      <c r="I1039" s="12"/>
      <c r="J1039" s="12"/>
      <c r="K1039" s="13"/>
      <c r="L1039" s="13"/>
      <c r="M1039" s="13"/>
      <c r="N1039" s="13"/>
      <c r="O1039" s="13"/>
      <c r="P1039" s="14" t="str">
        <f t="shared" si="64"/>
        <v/>
      </c>
      <c r="Q1039" s="15" t="str">
        <f>IF(OR(J1039="",H1039=""),"",IFERROR(IF(ISNUMBER(N1039),N1039,IF(K1039&lt;N(INDEX(Platforms!$G$5:$G$14,MATCH(H1039,Lists!$A$2:$A$11,0))),N(INDEX(Platforms!$H$5:$H$14,MATCH(H1039,Lists!$A$2:$A$11,0))),MAX(N(INDEX(Platforms!$F$5:$F$14,MATCH(H1039,Lists!$A$2:$A$11,0))),N(INDEX(Platforms!$C$5:$C$14,MATCH(H1039,Lists!$A$2:$A$11,0)))*(K1039+IF(INDEX(Platforms!$E$5:$E$14,MATCH(H1039,Lists!$A$2:$A$11,0))="Yes",N(L1039),0))+N(INDEX(Platforms!$D$5:$D$14,MATCH(H1039,Lists!$A$2:$A$11,0)))))),""))</f>
        <v/>
      </c>
      <c r="R1039" s="16" t="str">
        <f t="shared" si="65"/>
        <v/>
      </c>
      <c r="S1039" s="17" t="str">
        <f t="shared" si="66"/>
        <v/>
      </c>
      <c r="T1039" s="18" t="str">
        <f t="shared" ca="1" si="67"/>
        <v/>
      </c>
    </row>
    <row r="1040" spans="1:20" x14ac:dyDescent="0.35">
      <c r="A1040" s="11"/>
      <c r="B1040" s="11"/>
      <c r="C1040" s="11"/>
      <c r="D1040" s="12"/>
      <c r="E1040" s="11"/>
      <c r="F1040" s="13"/>
      <c r="G1040" s="13"/>
      <c r="H1040" s="11"/>
      <c r="I1040" s="12"/>
      <c r="J1040" s="12"/>
      <c r="K1040" s="13"/>
      <c r="L1040" s="13"/>
      <c r="M1040" s="13"/>
      <c r="N1040" s="13"/>
      <c r="O1040" s="13"/>
      <c r="P1040" s="14" t="str">
        <f t="shared" si="64"/>
        <v/>
      </c>
      <c r="Q1040" s="15" t="str">
        <f>IF(OR(J1040="",H1040=""),"",IFERROR(IF(ISNUMBER(N1040),N1040,IF(K1040&lt;N(INDEX(Platforms!$G$5:$G$14,MATCH(H1040,Lists!$A$2:$A$11,0))),N(INDEX(Platforms!$H$5:$H$14,MATCH(H1040,Lists!$A$2:$A$11,0))),MAX(N(INDEX(Platforms!$F$5:$F$14,MATCH(H1040,Lists!$A$2:$A$11,0))),N(INDEX(Platforms!$C$5:$C$14,MATCH(H1040,Lists!$A$2:$A$11,0)))*(K1040+IF(INDEX(Platforms!$E$5:$E$14,MATCH(H1040,Lists!$A$2:$A$11,0))="Yes",N(L1040),0))+N(INDEX(Platforms!$D$5:$D$14,MATCH(H1040,Lists!$A$2:$A$11,0)))))),""))</f>
        <v/>
      </c>
      <c r="R1040" s="16" t="str">
        <f t="shared" si="65"/>
        <v/>
      </c>
      <c r="S1040" s="17" t="str">
        <f t="shared" si="66"/>
        <v/>
      </c>
      <c r="T1040" s="18" t="str">
        <f t="shared" ca="1" si="67"/>
        <v/>
      </c>
    </row>
    <row r="1041" spans="1:20" x14ac:dyDescent="0.35">
      <c r="A1041" s="11"/>
      <c r="B1041" s="11"/>
      <c r="C1041" s="11"/>
      <c r="D1041" s="12"/>
      <c r="E1041" s="11"/>
      <c r="F1041" s="13"/>
      <c r="G1041" s="13"/>
      <c r="H1041" s="11"/>
      <c r="I1041" s="12"/>
      <c r="J1041" s="12"/>
      <c r="K1041" s="13"/>
      <c r="L1041" s="13"/>
      <c r="M1041" s="13"/>
      <c r="N1041" s="13"/>
      <c r="O1041" s="13"/>
      <c r="P1041" s="14" t="str">
        <f t="shared" si="64"/>
        <v/>
      </c>
      <c r="Q1041" s="15" t="str">
        <f>IF(OR(J1041="",H1041=""),"",IFERROR(IF(ISNUMBER(N1041),N1041,IF(K1041&lt;N(INDEX(Platforms!$G$5:$G$14,MATCH(H1041,Lists!$A$2:$A$11,0))),N(INDEX(Platforms!$H$5:$H$14,MATCH(H1041,Lists!$A$2:$A$11,0))),MAX(N(INDEX(Platforms!$F$5:$F$14,MATCH(H1041,Lists!$A$2:$A$11,0))),N(INDEX(Platforms!$C$5:$C$14,MATCH(H1041,Lists!$A$2:$A$11,0)))*(K1041+IF(INDEX(Platforms!$E$5:$E$14,MATCH(H1041,Lists!$A$2:$A$11,0))="Yes",N(L1041),0))+N(INDEX(Platforms!$D$5:$D$14,MATCH(H1041,Lists!$A$2:$A$11,0)))))),""))</f>
        <v/>
      </c>
      <c r="R1041" s="16" t="str">
        <f t="shared" si="65"/>
        <v/>
      </c>
      <c r="S1041" s="17" t="str">
        <f t="shared" si="66"/>
        <v/>
      </c>
      <c r="T1041" s="18" t="str">
        <f t="shared" ca="1" si="67"/>
        <v/>
      </c>
    </row>
    <row r="1042" spans="1:20" x14ac:dyDescent="0.35">
      <c r="A1042" s="11"/>
      <c r="B1042" s="11"/>
      <c r="C1042" s="11"/>
      <c r="D1042" s="12"/>
      <c r="E1042" s="11"/>
      <c r="F1042" s="13"/>
      <c r="G1042" s="13"/>
      <c r="H1042" s="11"/>
      <c r="I1042" s="12"/>
      <c r="J1042" s="12"/>
      <c r="K1042" s="13"/>
      <c r="L1042" s="13"/>
      <c r="M1042" s="13"/>
      <c r="N1042" s="13"/>
      <c r="O1042" s="13"/>
      <c r="P1042" s="14" t="str">
        <f t="shared" si="64"/>
        <v/>
      </c>
      <c r="Q1042" s="15" t="str">
        <f>IF(OR(J1042="",H1042=""),"",IFERROR(IF(ISNUMBER(N1042),N1042,IF(K1042&lt;N(INDEX(Platforms!$G$5:$G$14,MATCH(H1042,Lists!$A$2:$A$11,0))),N(INDEX(Platforms!$H$5:$H$14,MATCH(H1042,Lists!$A$2:$A$11,0))),MAX(N(INDEX(Platforms!$F$5:$F$14,MATCH(H1042,Lists!$A$2:$A$11,0))),N(INDEX(Platforms!$C$5:$C$14,MATCH(H1042,Lists!$A$2:$A$11,0)))*(K1042+IF(INDEX(Platforms!$E$5:$E$14,MATCH(H1042,Lists!$A$2:$A$11,0))="Yes",N(L1042),0))+N(INDEX(Platforms!$D$5:$D$14,MATCH(H1042,Lists!$A$2:$A$11,0)))))),""))</f>
        <v/>
      </c>
      <c r="R1042" s="16" t="str">
        <f t="shared" si="65"/>
        <v/>
      </c>
      <c r="S1042" s="17" t="str">
        <f t="shared" si="66"/>
        <v/>
      </c>
      <c r="T1042" s="18" t="str">
        <f t="shared" ca="1" si="67"/>
        <v/>
      </c>
    </row>
    <row r="1043" spans="1:20" x14ac:dyDescent="0.35">
      <c r="A1043" s="11"/>
      <c r="B1043" s="11"/>
      <c r="C1043" s="11"/>
      <c r="D1043" s="12"/>
      <c r="E1043" s="11"/>
      <c r="F1043" s="13"/>
      <c r="G1043" s="13"/>
      <c r="H1043" s="11"/>
      <c r="I1043" s="12"/>
      <c r="J1043" s="12"/>
      <c r="K1043" s="13"/>
      <c r="L1043" s="13"/>
      <c r="M1043" s="13"/>
      <c r="N1043" s="13"/>
      <c r="O1043" s="13"/>
      <c r="P1043" s="14" t="str">
        <f t="shared" si="64"/>
        <v/>
      </c>
      <c r="Q1043" s="15" t="str">
        <f>IF(OR(J1043="",H1043=""),"",IFERROR(IF(ISNUMBER(N1043),N1043,IF(K1043&lt;N(INDEX(Platforms!$G$5:$G$14,MATCH(H1043,Lists!$A$2:$A$11,0))),N(INDEX(Platforms!$H$5:$H$14,MATCH(H1043,Lists!$A$2:$A$11,0))),MAX(N(INDEX(Platforms!$F$5:$F$14,MATCH(H1043,Lists!$A$2:$A$11,0))),N(INDEX(Platforms!$C$5:$C$14,MATCH(H1043,Lists!$A$2:$A$11,0)))*(K1043+IF(INDEX(Platforms!$E$5:$E$14,MATCH(H1043,Lists!$A$2:$A$11,0))="Yes",N(L1043),0))+N(INDEX(Platforms!$D$5:$D$14,MATCH(H1043,Lists!$A$2:$A$11,0)))))),""))</f>
        <v/>
      </c>
      <c r="R1043" s="16" t="str">
        <f t="shared" si="65"/>
        <v/>
      </c>
      <c r="S1043" s="17" t="str">
        <f t="shared" si="66"/>
        <v/>
      </c>
      <c r="T1043" s="18" t="str">
        <f t="shared" ca="1" si="67"/>
        <v/>
      </c>
    </row>
    <row r="1044" spans="1:20" x14ac:dyDescent="0.35">
      <c r="A1044" s="11"/>
      <c r="B1044" s="11"/>
      <c r="C1044" s="11"/>
      <c r="D1044" s="12"/>
      <c r="E1044" s="11"/>
      <c r="F1044" s="13"/>
      <c r="G1044" s="13"/>
      <c r="H1044" s="11"/>
      <c r="I1044" s="12"/>
      <c r="J1044" s="12"/>
      <c r="K1044" s="13"/>
      <c r="L1044" s="13"/>
      <c r="M1044" s="13"/>
      <c r="N1044" s="13"/>
      <c r="O1044" s="13"/>
      <c r="P1044" s="14" t="str">
        <f t="shared" si="64"/>
        <v/>
      </c>
      <c r="Q1044" s="15" t="str">
        <f>IF(OR(J1044="",H1044=""),"",IFERROR(IF(ISNUMBER(N1044),N1044,IF(K1044&lt;N(INDEX(Platforms!$G$5:$G$14,MATCH(H1044,Lists!$A$2:$A$11,0))),N(INDEX(Platforms!$H$5:$H$14,MATCH(H1044,Lists!$A$2:$A$11,0))),MAX(N(INDEX(Platforms!$F$5:$F$14,MATCH(H1044,Lists!$A$2:$A$11,0))),N(INDEX(Platforms!$C$5:$C$14,MATCH(H1044,Lists!$A$2:$A$11,0)))*(K1044+IF(INDEX(Platforms!$E$5:$E$14,MATCH(H1044,Lists!$A$2:$A$11,0))="Yes",N(L1044),0))+N(INDEX(Platforms!$D$5:$D$14,MATCH(H1044,Lists!$A$2:$A$11,0)))))),""))</f>
        <v/>
      </c>
      <c r="R1044" s="16" t="str">
        <f t="shared" si="65"/>
        <v/>
      </c>
      <c r="S1044" s="17" t="str">
        <f t="shared" si="66"/>
        <v/>
      </c>
      <c r="T1044" s="18" t="str">
        <f t="shared" ca="1" si="67"/>
        <v/>
      </c>
    </row>
    <row r="1045" spans="1:20" x14ac:dyDescent="0.35">
      <c r="A1045" s="11"/>
      <c r="B1045" s="11"/>
      <c r="C1045" s="11"/>
      <c r="D1045" s="12"/>
      <c r="E1045" s="11"/>
      <c r="F1045" s="13"/>
      <c r="G1045" s="13"/>
      <c r="H1045" s="11"/>
      <c r="I1045" s="12"/>
      <c r="J1045" s="12"/>
      <c r="K1045" s="13"/>
      <c r="L1045" s="13"/>
      <c r="M1045" s="13"/>
      <c r="N1045" s="13"/>
      <c r="O1045" s="13"/>
      <c r="P1045" s="14" t="str">
        <f t="shared" si="64"/>
        <v/>
      </c>
      <c r="Q1045" s="15" t="str">
        <f>IF(OR(J1045="",H1045=""),"",IFERROR(IF(ISNUMBER(N1045),N1045,IF(K1045&lt;N(INDEX(Platforms!$G$5:$G$14,MATCH(H1045,Lists!$A$2:$A$11,0))),N(INDEX(Platforms!$H$5:$H$14,MATCH(H1045,Lists!$A$2:$A$11,0))),MAX(N(INDEX(Platforms!$F$5:$F$14,MATCH(H1045,Lists!$A$2:$A$11,0))),N(INDEX(Platforms!$C$5:$C$14,MATCH(H1045,Lists!$A$2:$A$11,0)))*(K1045+IF(INDEX(Platforms!$E$5:$E$14,MATCH(H1045,Lists!$A$2:$A$11,0))="Yes",N(L1045),0))+N(INDEX(Platforms!$D$5:$D$14,MATCH(H1045,Lists!$A$2:$A$11,0)))))),""))</f>
        <v/>
      </c>
      <c r="R1045" s="16" t="str">
        <f t="shared" si="65"/>
        <v/>
      </c>
      <c r="S1045" s="17" t="str">
        <f t="shared" si="66"/>
        <v/>
      </c>
      <c r="T1045" s="18" t="str">
        <f t="shared" ca="1" si="67"/>
        <v/>
      </c>
    </row>
    <row r="1046" spans="1:20" x14ac:dyDescent="0.35">
      <c r="A1046" s="11"/>
      <c r="B1046" s="11"/>
      <c r="C1046" s="11"/>
      <c r="D1046" s="12"/>
      <c r="E1046" s="11"/>
      <c r="F1046" s="13"/>
      <c r="G1046" s="13"/>
      <c r="H1046" s="11"/>
      <c r="I1046" s="12"/>
      <c r="J1046" s="12"/>
      <c r="K1046" s="13"/>
      <c r="L1046" s="13"/>
      <c r="M1046" s="13"/>
      <c r="N1046" s="13"/>
      <c r="O1046" s="13"/>
      <c r="P1046" s="14" t="str">
        <f t="shared" si="64"/>
        <v/>
      </c>
      <c r="Q1046" s="15" t="str">
        <f>IF(OR(J1046="",H1046=""),"",IFERROR(IF(ISNUMBER(N1046),N1046,IF(K1046&lt;N(INDEX(Platforms!$G$5:$G$14,MATCH(H1046,Lists!$A$2:$A$11,0))),N(INDEX(Platforms!$H$5:$H$14,MATCH(H1046,Lists!$A$2:$A$11,0))),MAX(N(INDEX(Platforms!$F$5:$F$14,MATCH(H1046,Lists!$A$2:$A$11,0))),N(INDEX(Platforms!$C$5:$C$14,MATCH(H1046,Lists!$A$2:$A$11,0)))*(K1046+IF(INDEX(Platforms!$E$5:$E$14,MATCH(H1046,Lists!$A$2:$A$11,0))="Yes",N(L1046),0))+N(INDEX(Platforms!$D$5:$D$14,MATCH(H1046,Lists!$A$2:$A$11,0)))))),""))</f>
        <v/>
      </c>
      <c r="R1046" s="16" t="str">
        <f t="shared" si="65"/>
        <v/>
      </c>
      <c r="S1046" s="17" t="str">
        <f t="shared" si="66"/>
        <v/>
      </c>
      <c r="T1046" s="18" t="str">
        <f t="shared" ca="1" si="67"/>
        <v/>
      </c>
    </row>
    <row r="1047" spans="1:20" x14ac:dyDescent="0.35">
      <c r="A1047" s="11"/>
      <c r="B1047" s="11"/>
      <c r="C1047" s="11"/>
      <c r="D1047" s="12"/>
      <c r="E1047" s="11"/>
      <c r="F1047" s="13"/>
      <c r="G1047" s="13"/>
      <c r="H1047" s="11"/>
      <c r="I1047" s="12"/>
      <c r="J1047" s="12"/>
      <c r="K1047" s="13"/>
      <c r="L1047" s="13"/>
      <c r="M1047" s="13"/>
      <c r="N1047" s="13"/>
      <c r="O1047" s="13"/>
      <c r="P1047" s="14" t="str">
        <f t="shared" si="64"/>
        <v/>
      </c>
      <c r="Q1047" s="15" t="str">
        <f>IF(OR(J1047="",H1047=""),"",IFERROR(IF(ISNUMBER(N1047),N1047,IF(K1047&lt;N(INDEX(Platforms!$G$5:$G$14,MATCH(H1047,Lists!$A$2:$A$11,0))),N(INDEX(Platforms!$H$5:$H$14,MATCH(H1047,Lists!$A$2:$A$11,0))),MAX(N(INDEX(Platforms!$F$5:$F$14,MATCH(H1047,Lists!$A$2:$A$11,0))),N(INDEX(Platforms!$C$5:$C$14,MATCH(H1047,Lists!$A$2:$A$11,0)))*(K1047+IF(INDEX(Platforms!$E$5:$E$14,MATCH(H1047,Lists!$A$2:$A$11,0))="Yes",N(L1047),0))+N(INDEX(Platforms!$D$5:$D$14,MATCH(H1047,Lists!$A$2:$A$11,0)))))),""))</f>
        <v/>
      </c>
      <c r="R1047" s="16" t="str">
        <f t="shared" si="65"/>
        <v/>
      </c>
      <c r="S1047" s="17" t="str">
        <f t="shared" si="66"/>
        <v/>
      </c>
      <c r="T1047" s="18" t="str">
        <f t="shared" ca="1" si="67"/>
        <v/>
      </c>
    </row>
    <row r="1048" spans="1:20" x14ac:dyDescent="0.35">
      <c r="A1048" s="11"/>
      <c r="B1048" s="11"/>
      <c r="C1048" s="11"/>
      <c r="D1048" s="12"/>
      <c r="E1048" s="11"/>
      <c r="F1048" s="13"/>
      <c r="G1048" s="13"/>
      <c r="H1048" s="11"/>
      <c r="I1048" s="12"/>
      <c r="J1048" s="12"/>
      <c r="K1048" s="13"/>
      <c r="L1048" s="13"/>
      <c r="M1048" s="13"/>
      <c r="N1048" s="13"/>
      <c r="O1048" s="13"/>
      <c r="P1048" s="14" t="str">
        <f t="shared" si="64"/>
        <v/>
      </c>
      <c r="Q1048" s="15" t="str">
        <f>IF(OR(J1048="",H1048=""),"",IFERROR(IF(ISNUMBER(N1048),N1048,IF(K1048&lt;N(INDEX(Platforms!$G$5:$G$14,MATCH(H1048,Lists!$A$2:$A$11,0))),N(INDEX(Platforms!$H$5:$H$14,MATCH(H1048,Lists!$A$2:$A$11,0))),MAX(N(INDEX(Platforms!$F$5:$F$14,MATCH(H1048,Lists!$A$2:$A$11,0))),N(INDEX(Platforms!$C$5:$C$14,MATCH(H1048,Lists!$A$2:$A$11,0)))*(K1048+IF(INDEX(Platforms!$E$5:$E$14,MATCH(H1048,Lists!$A$2:$A$11,0))="Yes",N(L1048),0))+N(INDEX(Platforms!$D$5:$D$14,MATCH(H1048,Lists!$A$2:$A$11,0)))))),""))</f>
        <v/>
      </c>
      <c r="R1048" s="16" t="str">
        <f t="shared" si="65"/>
        <v/>
      </c>
      <c r="S1048" s="17" t="str">
        <f t="shared" si="66"/>
        <v/>
      </c>
      <c r="T1048" s="18" t="str">
        <f t="shared" ca="1" si="67"/>
        <v/>
      </c>
    </row>
    <row r="1049" spans="1:20" x14ac:dyDescent="0.35">
      <c r="A1049" s="11"/>
      <c r="B1049" s="11"/>
      <c r="C1049" s="11"/>
      <c r="D1049" s="12"/>
      <c r="E1049" s="11"/>
      <c r="F1049" s="13"/>
      <c r="G1049" s="13"/>
      <c r="H1049" s="11"/>
      <c r="I1049" s="12"/>
      <c r="J1049" s="12"/>
      <c r="K1049" s="13"/>
      <c r="L1049" s="13"/>
      <c r="M1049" s="13"/>
      <c r="N1049" s="13"/>
      <c r="O1049" s="13"/>
      <c r="P1049" s="14" t="str">
        <f t="shared" si="64"/>
        <v/>
      </c>
      <c r="Q1049" s="15" t="str">
        <f>IF(OR(J1049="",H1049=""),"",IFERROR(IF(ISNUMBER(N1049),N1049,IF(K1049&lt;N(INDEX(Platforms!$G$5:$G$14,MATCH(H1049,Lists!$A$2:$A$11,0))),N(INDEX(Platforms!$H$5:$H$14,MATCH(H1049,Lists!$A$2:$A$11,0))),MAX(N(INDEX(Platforms!$F$5:$F$14,MATCH(H1049,Lists!$A$2:$A$11,0))),N(INDEX(Platforms!$C$5:$C$14,MATCH(H1049,Lists!$A$2:$A$11,0)))*(K1049+IF(INDEX(Platforms!$E$5:$E$14,MATCH(H1049,Lists!$A$2:$A$11,0))="Yes",N(L1049),0))+N(INDEX(Platforms!$D$5:$D$14,MATCH(H1049,Lists!$A$2:$A$11,0)))))),""))</f>
        <v/>
      </c>
      <c r="R1049" s="16" t="str">
        <f t="shared" si="65"/>
        <v/>
      </c>
      <c r="S1049" s="17" t="str">
        <f t="shared" si="66"/>
        <v/>
      </c>
      <c r="T1049" s="18" t="str">
        <f t="shared" ca="1" si="67"/>
        <v/>
      </c>
    </row>
    <row r="1050" spans="1:20" x14ac:dyDescent="0.35">
      <c r="A1050" s="11"/>
      <c r="B1050" s="11"/>
      <c r="C1050" s="11"/>
      <c r="D1050" s="12"/>
      <c r="E1050" s="11"/>
      <c r="F1050" s="13"/>
      <c r="G1050" s="13"/>
      <c r="H1050" s="11"/>
      <c r="I1050" s="12"/>
      <c r="J1050" s="12"/>
      <c r="K1050" s="13"/>
      <c r="L1050" s="13"/>
      <c r="M1050" s="13"/>
      <c r="N1050" s="13"/>
      <c r="O1050" s="13"/>
      <c r="P1050" s="14" t="str">
        <f t="shared" si="64"/>
        <v/>
      </c>
      <c r="Q1050" s="15" t="str">
        <f>IF(OR(J1050="",H1050=""),"",IFERROR(IF(ISNUMBER(N1050),N1050,IF(K1050&lt;N(INDEX(Platforms!$G$5:$G$14,MATCH(H1050,Lists!$A$2:$A$11,0))),N(INDEX(Platforms!$H$5:$H$14,MATCH(H1050,Lists!$A$2:$A$11,0))),MAX(N(INDEX(Platforms!$F$5:$F$14,MATCH(H1050,Lists!$A$2:$A$11,0))),N(INDEX(Platforms!$C$5:$C$14,MATCH(H1050,Lists!$A$2:$A$11,0)))*(K1050+IF(INDEX(Platforms!$E$5:$E$14,MATCH(H1050,Lists!$A$2:$A$11,0))="Yes",N(L1050),0))+N(INDEX(Platforms!$D$5:$D$14,MATCH(H1050,Lists!$A$2:$A$11,0)))))),""))</f>
        <v/>
      </c>
      <c r="R1050" s="16" t="str">
        <f t="shared" si="65"/>
        <v/>
      </c>
      <c r="S1050" s="17" t="str">
        <f t="shared" si="66"/>
        <v/>
      </c>
      <c r="T1050" s="18" t="str">
        <f t="shared" ca="1" si="67"/>
        <v/>
      </c>
    </row>
    <row r="1051" spans="1:20" x14ac:dyDescent="0.35">
      <c r="A1051" s="11"/>
      <c r="B1051" s="11"/>
      <c r="C1051" s="11"/>
      <c r="D1051" s="12"/>
      <c r="E1051" s="11"/>
      <c r="F1051" s="13"/>
      <c r="G1051" s="13"/>
      <c r="H1051" s="11"/>
      <c r="I1051" s="12"/>
      <c r="J1051" s="12"/>
      <c r="K1051" s="13"/>
      <c r="L1051" s="13"/>
      <c r="M1051" s="13"/>
      <c r="N1051" s="13"/>
      <c r="O1051" s="13"/>
      <c r="P1051" s="14" t="str">
        <f t="shared" si="64"/>
        <v/>
      </c>
      <c r="Q1051" s="15" t="str">
        <f>IF(OR(J1051="",H1051=""),"",IFERROR(IF(ISNUMBER(N1051),N1051,IF(K1051&lt;N(INDEX(Platforms!$G$5:$G$14,MATCH(H1051,Lists!$A$2:$A$11,0))),N(INDEX(Platforms!$H$5:$H$14,MATCH(H1051,Lists!$A$2:$A$11,0))),MAX(N(INDEX(Platforms!$F$5:$F$14,MATCH(H1051,Lists!$A$2:$A$11,0))),N(INDEX(Platforms!$C$5:$C$14,MATCH(H1051,Lists!$A$2:$A$11,0)))*(K1051+IF(INDEX(Platforms!$E$5:$E$14,MATCH(H1051,Lists!$A$2:$A$11,0))="Yes",N(L1051),0))+N(INDEX(Platforms!$D$5:$D$14,MATCH(H1051,Lists!$A$2:$A$11,0)))))),""))</f>
        <v/>
      </c>
      <c r="R1051" s="16" t="str">
        <f t="shared" si="65"/>
        <v/>
      </c>
      <c r="S1051" s="17" t="str">
        <f t="shared" si="66"/>
        <v/>
      </c>
      <c r="T1051" s="18" t="str">
        <f t="shared" ca="1" si="67"/>
        <v/>
      </c>
    </row>
    <row r="1052" spans="1:20" x14ac:dyDescent="0.35">
      <c r="A1052" s="11"/>
      <c r="B1052" s="11"/>
      <c r="C1052" s="11"/>
      <c r="D1052" s="12"/>
      <c r="E1052" s="11"/>
      <c r="F1052" s="13"/>
      <c r="G1052" s="13"/>
      <c r="H1052" s="11"/>
      <c r="I1052" s="12"/>
      <c r="J1052" s="12"/>
      <c r="K1052" s="13"/>
      <c r="L1052" s="13"/>
      <c r="M1052" s="13"/>
      <c r="N1052" s="13"/>
      <c r="O1052" s="13"/>
      <c r="P1052" s="14" t="str">
        <f t="shared" si="64"/>
        <v/>
      </c>
      <c r="Q1052" s="15" t="str">
        <f>IF(OR(J1052="",H1052=""),"",IFERROR(IF(ISNUMBER(N1052),N1052,IF(K1052&lt;N(INDEX(Platforms!$G$5:$G$14,MATCH(H1052,Lists!$A$2:$A$11,0))),N(INDEX(Platforms!$H$5:$H$14,MATCH(H1052,Lists!$A$2:$A$11,0))),MAX(N(INDEX(Platforms!$F$5:$F$14,MATCH(H1052,Lists!$A$2:$A$11,0))),N(INDEX(Platforms!$C$5:$C$14,MATCH(H1052,Lists!$A$2:$A$11,0)))*(K1052+IF(INDEX(Platforms!$E$5:$E$14,MATCH(H1052,Lists!$A$2:$A$11,0))="Yes",N(L1052),0))+N(INDEX(Platforms!$D$5:$D$14,MATCH(H1052,Lists!$A$2:$A$11,0)))))),""))</f>
        <v/>
      </c>
      <c r="R1052" s="16" t="str">
        <f t="shared" si="65"/>
        <v/>
      </c>
      <c r="S1052" s="17" t="str">
        <f t="shared" si="66"/>
        <v/>
      </c>
      <c r="T1052" s="18" t="str">
        <f t="shared" ca="1" si="67"/>
        <v/>
      </c>
    </row>
    <row r="1053" spans="1:20" x14ac:dyDescent="0.35">
      <c r="A1053" s="11"/>
      <c r="B1053" s="11"/>
      <c r="C1053" s="11"/>
      <c r="D1053" s="12"/>
      <c r="E1053" s="11"/>
      <c r="F1053" s="13"/>
      <c r="G1053" s="13"/>
      <c r="H1053" s="11"/>
      <c r="I1053" s="12"/>
      <c r="J1053" s="12"/>
      <c r="K1053" s="13"/>
      <c r="L1053" s="13"/>
      <c r="M1053" s="13"/>
      <c r="N1053" s="13"/>
      <c r="O1053" s="13"/>
      <c r="P1053" s="14" t="str">
        <f t="shared" si="64"/>
        <v/>
      </c>
      <c r="Q1053" s="15" t="str">
        <f>IF(OR(J1053="",H1053=""),"",IFERROR(IF(ISNUMBER(N1053),N1053,IF(K1053&lt;N(INDEX(Platforms!$G$5:$G$14,MATCH(H1053,Lists!$A$2:$A$11,0))),N(INDEX(Platforms!$H$5:$H$14,MATCH(H1053,Lists!$A$2:$A$11,0))),MAX(N(INDEX(Platforms!$F$5:$F$14,MATCH(H1053,Lists!$A$2:$A$11,0))),N(INDEX(Platforms!$C$5:$C$14,MATCH(H1053,Lists!$A$2:$A$11,0)))*(K1053+IF(INDEX(Platforms!$E$5:$E$14,MATCH(H1053,Lists!$A$2:$A$11,0))="Yes",N(L1053),0))+N(INDEX(Platforms!$D$5:$D$14,MATCH(H1053,Lists!$A$2:$A$11,0)))))),""))</f>
        <v/>
      </c>
      <c r="R1053" s="16" t="str">
        <f t="shared" si="65"/>
        <v/>
      </c>
      <c r="S1053" s="17" t="str">
        <f t="shared" si="66"/>
        <v/>
      </c>
      <c r="T1053" s="18" t="str">
        <f t="shared" ca="1" si="67"/>
        <v/>
      </c>
    </row>
    <row r="1054" spans="1:20" x14ac:dyDescent="0.35">
      <c r="A1054" s="11"/>
      <c r="B1054" s="11"/>
      <c r="C1054" s="11"/>
      <c r="D1054" s="12"/>
      <c r="E1054" s="11"/>
      <c r="F1054" s="13"/>
      <c r="G1054" s="13"/>
      <c r="H1054" s="11"/>
      <c r="I1054" s="12"/>
      <c r="J1054" s="12"/>
      <c r="K1054" s="13"/>
      <c r="L1054" s="13"/>
      <c r="M1054" s="13"/>
      <c r="N1054" s="13"/>
      <c r="O1054" s="13"/>
      <c r="P1054" s="14" t="str">
        <f t="shared" si="64"/>
        <v/>
      </c>
      <c r="Q1054" s="15" t="str">
        <f>IF(OR(J1054="",H1054=""),"",IFERROR(IF(ISNUMBER(N1054),N1054,IF(K1054&lt;N(INDEX(Platforms!$G$5:$G$14,MATCH(H1054,Lists!$A$2:$A$11,0))),N(INDEX(Platforms!$H$5:$H$14,MATCH(H1054,Lists!$A$2:$A$11,0))),MAX(N(INDEX(Platforms!$F$5:$F$14,MATCH(H1054,Lists!$A$2:$A$11,0))),N(INDEX(Platforms!$C$5:$C$14,MATCH(H1054,Lists!$A$2:$A$11,0)))*(K1054+IF(INDEX(Platforms!$E$5:$E$14,MATCH(H1054,Lists!$A$2:$A$11,0))="Yes",N(L1054),0))+N(INDEX(Platforms!$D$5:$D$14,MATCH(H1054,Lists!$A$2:$A$11,0)))))),""))</f>
        <v/>
      </c>
      <c r="R1054" s="16" t="str">
        <f t="shared" si="65"/>
        <v/>
      </c>
      <c r="S1054" s="17" t="str">
        <f t="shared" si="66"/>
        <v/>
      </c>
      <c r="T1054" s="18" t="str">
        <f t="shared" ca="1" si="67"/>
        <v/>
      </c>
    </row>
    <row r="1055" spans="1:20" x14ac:dyDescent="0.35">
      <c r="A1055" s="11"/>
      <c r="B1055" s="11"/>
      <c r="C1055" s="11"/>
      <c r="D1055" s="12"/>
      <c r="E1055" s="11"/>
      <c r="F1055" s="13"/>
      <c r="G1055" s="13"/>
      <c r="H1055" s="11"/>
      <c r="I1055" s="12"/>
      <c r="J1055" s="12"/>
      <c r="K1055" s="13"/>
      <c r="L1055" s="13"/>
      <c r="M1055" s="13"/>
      <c r="N1055" s="13"/>
      <c r="O1055" s="13"/>
      <c r="P1055" s="14" t="str">
        <f t="shared" si="64"/>
        <v/>
      </c>
      <c r="Q1055" s="15" t="str">
        <f>IF(OR(J1055="",H1055=""),"",IFERROR(IF(ISNUMBER(N1055),N1055,IF(K1055&lt;N(INDEX(Platforms!$G$5:$G$14,MATCH(H1055,Lists!$A$2:$A$11,0))),N(INDEX(Platforms!$H$5:$H$14,MATCH(H1055,Lists!$A$2:$A$11,0))),MAX(N(INDEX(Platforms!$F$5:$F$14,MATCH(H1055,Lists!$A$2:$A$11,0))),N(INDEX(Platforms!$C$5:$C$14,MATCH(H1055,Lists!$A$2:$A$11,0)))*(K1055+IF(INDEX(Platforms!$E$5:$E$14,MATCH(H1055,Lists!$A$2:$A$11,0))="Yes",N(L1055),0))+N(INDEX(Platforms!$D$5:$D$14,MATCH(H1055,Lists!$A$2:$A$11,0)))))),""))</f>
        <v/>
      </c>
      <c r="R1055" s="16" t="str">
        <f t="shared" si="65"/>
        <v/>
      </c>
      <c r="S1055" s="17" t="str">
        <f t="shared" si="66"/>
        <v/>
      </c>
      <c r="T1055" s="18" t="str">
        <f t="shared" ca="1" si="67"/>
        <v/>
      </c>
    </row>
    <row r="1056" spans="1:20" x14ac:dyDescent="0.35">
      <c r="A1056" s="11"/>
      <c r="B1056" s="11"/>
      <c r="C1056" s="11"/>
      <c r="D1056" s="12"/>
      <c r="E1056" s="11"/>
      <c r="F1056" s="13"/>
      <c r="G1056" s="13"/>
      <c r="H1056" s="11"/>
      <c r="I1056" s="12"/>
      <c r="J1056" s="12"/>
      <c r="K1056" s="13"/>
      <c r="L1056" s="13"/>
      <c r="M1056" s="13"/>
      <c r="N1056" s="13"/>
      <c r="O1056" s="13"/>
      <c r="P1056" s="14" t="str">
        <f t="shared" si="64"/>
        <v/>
      </c>
      <c r="Q1056" s="15" t="str">
        <f>IF(OR(J1056="",H1056=""),"",IFERROR(IF(ISNUMBER(N1056),N1056,IF(K1056&lt;N(INDEX(Platforms!$G$5:$G$14,MATCH(H1056,Lists!$A$2:$A$11,0))),N(INDEX(Platforms!$H$5:$H$14,MATCH(H1056,Lists!$A$2:$A$11,0))),MAX(N(INDEX(Platforms!$F$5:$F$14,MATCH(H1056,Lists!$A$2:$A$11,0))),N(INDEX(Platforms!$C$5:$C$14,MATCH(H1056,Lists!$A$2:$A$11,0)))*(K1056+IF(INDEX(Platforms!$E$5:$E$14,MATCH(H1056,Lists!$A$2:$A$11,0))="Yes",N(L1056),0))+N(INDEX(Platforms!$D$5:$D$14,MATCH(H1056,Lists!$A$2:$A$11,0)))))),""))</f>
        <v/>
      </c>
      <c r="R1056" s="16" t="str">
        <f t="shared" si="65"/>
        <v/>
      </c>
      <c r="S1056" s="17" t="str">
        <f t="shared" si="66"/>
        <v/>
      </c>
      <c r="T1056" s="18" t="str">
        <f t="shared" ca="1" si="67"/>
        <v/>
      </c>
    </row>
    <row r="1057" spans="1:20" x14ac:dyDescent="0.35">
      <c r="A1057" s="11"/>
      <c r="B1057" s="11"/>
      <c r="C1057" s="11"/>
      <c r="D1057" s="12"/>
      <c r="E1057" s="11"/>
      <c r="F1057" s="13"/>
      <c r="G1057" s="13"/>
      <c r="H1057" s="11"/>
      <c r="I1057" s="12"/>
      <c r="J1057" s="12"/>
      <c r="K1057" s="13"/>
      <c r="L1057" s="13"/>
      <c r="M1057" s="13"/>
      <c r="N1057" s="13"/>
      <c r="O1057" s="13"/>
      <c r="P1057" s="14" t="str">
        <f t="shared" si="64"/>
        <v/>
      </c>
      <c r="Q1057" s="15" t="str">
        <f>IF(OR(J1057="",H1057=""),"",IFERROR(IF(ISNUMBER(N1057),N1057,IF(K1057&lt;N(INDEX(Platforms!$G$5:$G$14,MATCH(H1057,Lists!$A$2:$A$11,0))),N(INDEX(Platforms!$H$5:$H$14,MATCH(H1057,Lists!$A$2:$A$11,0))),MAX(N(INDEX(Platforms!$F$5:$F$14,MATCH(H1057,Lists!$A$2:$A$11,0))),N(INDEX(Platforms!$C$5:$C$14,MATCH(H1057,Lists!$A$2:$A$11,0)))*(K1057+IF(INDEX(Platforms!$E$5:$E$14,MATCH(H1057,Lists!$A$2:$A$11,0))="Yes",N(L1057),0))+N(INDEX(Platforms!$D$5:$D$14,MATCH(H1057,Lists!$A$2:$A$11,0)))))),""))</f>
        <v/>
      </c>
      <c r="R1057" s="16" t="str">
        <f t="shared" si="65"/>
        <v/>
      </c>
      <c r="S1057" s="17" t="str">
        <f t="shared" si="66"/>
        <v/>
      </c>
      <c r="T1057" s="18" t="str">
        <f t="shared" ca="1" si="67"/>
        <v/>
      </c>
    </row>
    <row r="1058" spans="1:20" x14ac:dyDescent="0.35">
      <c r="A1058" s="11"/>
      <c r="B1058" s="11"/>
      <c r="C1058" s="11"/>
      <c r="D1058" s="12"/>
      <c r="E1058" s="11"/>
      <c r="F1058" s="13"/>
      <c r="G1058" s="13"/>
      <c r="H1058" s="11"/>
      <c r="I1058" s="12"/>
      <c r="J1058" s="12"/>
      <c r="K1058" s="13"/>
      <c r="L1058" s="13"/>
      <c r="M1058" s="13"/>
      <c r="N1058" s="13"/>
      <c r="O1058" s="13"/>
      <c r="P1058" s="14" t="str">
        <f t="shared" si="64"/>
        <v/>
      </c>
      <c r="Q1058" s="15" t="str">
        <f>IF(OR(J1058="",H1058=""),"",IFERROR(IF(ISNUMBER(N1058),N1058,IF(K1058&lt;N(INDEX(Platforms!$G$5:$G$14,MATCH(H1058,Lists!$A$2:$A$11,0))),N(INDEX(Platforms!$H$5:$H$14,MATCH(H1058,Lists!$A$2:$A$11,0))),MAX(N(INDEX(Platforms!$F$5:$F$14,MATCH(H1058,Lists!$A$2:$A$11,0))),N(INDEX(Platforms!$C$5:$C$14,MATCH(H1058,Lists!$A$2:$A$11,0)))*(K1058+IF(INDEX(Platforms!$E$5:$E$14,MATCH(H1058,Lists!$A$2:$A$11,0))="Yes",N(L1058),0))+N(INDEX(Platforms!$D$5:$D$14,MATCH(H1058,Lists!$A$2:$A$11,0)))))),""))</f>
        <v/>
      </c>
      <c r="R1058" s="16" t="str">
        <f t="shared" si="65"/>
        <v/>
      </c>
      <c r="S1058" s="17" t="str">
        <f t="shared" si="66"/>
        <v/>
      </c>
      <c r="T1058" s="18" t="str">
        <f t="shared" ca="1" si="67"/>
        <v/>
      </c>
    </row>
    <row r="1059" spans="1:20" x14ac:dyDescent="0.35">
      <c r="A1059" s="11"/>
      <c r="B1059" s="11"/>
      <c r="C1059" s="11"/>
      <c r="D1059" s="12"/>
      <c r="E1059" s="11"/>
      <c r="F1059" s="13"/>
      <c r="G1059" s="13"/>
      <c r="H1059" s="11"/>
      <c r="I1059" s="12"/>
      <c r="J1059" s="12"/>
      <c r="K1059" s="13"/>
      <c r="L1059" s="13"/>
      <c r="M1059" s="13"/>
      <c r="N1059" s="13"/>
      <c r="O1059" s="13"/>
      <c r="P1059" s="14" t="str">
        <f t="shared" si="64"/>
        <v/>
      </c>
      <c r="Q1059" s="15" t="str">
        <f>IF(OR(J1059="",H1059=""),"",IFERROR(IF(ISNUMBER(N1059),N1059,IF(K1059&lt;N(INDEX(Platforms!$G$5:$G$14,MATCH(H1059,Lists!$A$2:$A$11,0))),N(INDEX(Platforms!$H$5:$H$14,MATCH(H1059,Lists!$A$2:$A$11,0))),MAX(N(INDEX(Platforms!$F$5:$F$14,MATCH(H1059,Lists!$A$2:$A$11,0))),N(INDEX(Platforms!$C$5:$C$14,MATCH(H1059,Lists!$A$2:$A$11,0)))*(K1059+IF(INDEX(Platforms!$E$5:$E$14,MATCH(H1059,Lists!$A$2:$A$11,0))="Yes",N(L1059),0))+N(INDEX(Platforms!$D$5:$D$14,MATCH(H1059,Lists!$A$2:$A$11,0)))))),""))</f>
        <v/>
      </c>
      <c r="R1059" s="16" t="str">
        <f t="shared" si="65"/>
        <v/>
      </c>
      <c r="S1059" s="17" t="str">
        <f t="shared" si="66"/>
        <v/>
      </c>
      <c r="T1059" s="18" t="str">
        <f t="shared" ca="1" si="67"/>
        <v/>
      </c>
    </row>
    <row r="1060" spans="1:20" x14ac:dyDescent="0.35">
      <c r="A1060" s="11"/>
      <c r="B1060" s="11"/>
      <c r="C1060" s="11"/>
      <c r="D1060" s="12"/>
      <c r="E1060" s="11"/>
      <c r="F1060" s="13"/>
      <c r="G1060" s="13"/>
      <c r="H1060" s="11"/>
      <c r="I1060" s="12"/>
      <c r="J1060" s="12"/>
      <c r="K1060" s="13"/>
      <c r="L1060" s="13"/>
      <c r="M1060" s="13"/>
      <c r="N1060" s="13"/>
      <c r="O1060" s="13"/>
      <c r="P1060" s="14" t="str">
        <f t="shared" si="64"/>
        <v/>
      </c>
      <c r="Q1060" s="15" t="str">
        <f>IF(OR(J1060="",H1060=""),"",IFERROR(IF(ISNUMBER(N1060),N1060,IF(K1060&lt;N(INDEX(Platforms!$G$5:$G$14,MATCH(H1060,Lists!$A$2:$A$11,0))),N(INDEX(Platforms!$H$5:$H$14,MATCH(H1060,Lists!$A$2:$A$11,0))),MAX(N(INDEX(Platforms!$F$5:$F$14,MATCH(H1060,Lists!$A$2:$A$11,0))),N(INDEX(Platforms!$C$5:$C$14,MATCH(H1060,Lists!$A$2:$A$11,0)))*(K1060+IF(INDEX(Platforms!$E$5:$E$14,MATCH(H1060,Lists!$A$2:$A$11,0))="Yes",N(L1060),0))+N(INDEX(Platforms!$D$5:$D$14,MATCH(H1060,Lists!$A$2:$A$11,0)))))),""))</f>
        <v/>
      </c>
      <c r="R1060" s="16" t="str">
        <f t="shared" si="65"/>
        <v/>
      </c>
      <c r="S1060" s="17" t="str">
        <f t="shared" si="66"/>
        <v/>
      </c>
      <c r="T1060" s="18" t="str">
        <f t="shared" ca="1" si="67"/>
        <v/>
      </c>
    </row>
    <row r="1061" spans="1:20" x14ac:dyDescent="0.35">
      <c r="A1061" s="11"/>
      <c r="B1061" s="11"/>
      <c r="C1061" s="11"/>
      <c r="D1061" s="12"/>
      <c r="E1061" s="11"/>
      <c r="F1061" s="13"/>
      <c r="G1061" s="13"/>
      <c r="H1061" s="11"/>
      <c r="I1061" s="12"/>
      <c r="J1061" s="12"/>
      <c r="K1061" s="13"/>
      <c r="L1061" s="13"/>
      <c r="M1061" s="13"/>
      <c r="N1061" s="13"/>
      <c r="O1061" s="13"/>
      <c r="P1061" s="14" t="str">
        <f t="shared" si="64"/>
        <v/>
      </c>
      <c r="Q1061" s="15" t="str">
        <f>IF(OR(J1061="",H1061=""),"",IFERROR(IF(ISNUMBER(N1061),N1061,IF(K1061&lt;N(INDEX(Platforms!$G$5:$G$14,MATCH(H1061,Lists!$A$2:$A$11,0))),N(INDEX(Platforms!$H$5:$H$14,MATCH(H1061,Lists!$A$2:$A$11,0))),MAX(N(INDEX(Platforms!$F$5:$F$14,MATCH(H1061,Lists!$A$2:$A$11,0))),N(INDEX(Platforms!$C$5:$C$14,MATCH(H1061,Lists!$A$2:$A$11,0)))*(K1061+IF(INDEX(Platforms!$E$5:$E$14,MATCH(H1061,Lists!$A$2:$A$11,0))="Yes",N(L1061),0))+N(INDEX(Platforms!$D$5:$D$14,MATCH(H1061,Lists!$A$2:$A$11,0)))))),""))</f>
        <v/>
      </c>
      <c r="R1061" s="16" t="str">
        <f t="shared" si="65"/>
        <v/>
      </c>
      <c r="S1061" s="17" t="str">
        <f t="shared" si="66"/>
        <v/>
      </c>
      <c r="T1061" s="18" t="str">
        <f t="shared" ca="1" si="67"/>
        <v/>
      </c>
    </row>
    <row r="1062" spans="1:20" x14ac:dyDescent="0.35">
      <c r="A1062" s="11"/>
      <c r="B1062" s="11"/>
      <c r="C1062" s="11"/>
      <c r="D1062" s="12"/>
      <c r="E1062" s="11"/>
      <c r="F1062" s="13"/>
      <c r="G1062" s="13"/>
      <c r="H1062" s="11"/>
      <c r="I1062" s="12"/>
      <c r="J1062" s="12"/>
      <c r="K1062" s="13"/>
      <c r="L1062" s="13"/>
      <c r="M1062" s="13"/>
      <c r="N1062" s="13"/>
      <c r="O1062" s="13"/>
      <c r="P1062" s="14" t="str">
        <f t="shared" si="64"/>
        <v/>
      </c>
      <c r="Q1062" s="15" t="str">
        <f>IF(OR(J1062="",H1062=""),"",IFERROR(IF(ISNUMBER(N1062),N1062,IF(K1062&lt;N(INDEX(Platforms!$G$5:$G$14,MATCH(H1062,Lists!$A$2:$A$11,0))),N(INDEX(Platforms!$H$5:$H$14,MATCH(H1062,Lists!$A$2:$A$11,0))),MAX(N(INDEX(Platforms!$F$5:$F$14,MATCH(H1062,Lists!$A$2:$A$11,0))),N(INDEX(Platforms!$C$5:$C$14,MATCH(H1062,Lists!$A$2:$A$11,0)))*(K1062+IF(INDEX(Platforms!$E$5:$E$14,MATCH(H1062,Lists!$A$2:$A$11,0))="Yes",N(L1062),0))+N(INDEX(Platforms!$D$5:$D$14,MATCH(H1062,Lists!$A$2:$A$11,0)))))),""))</f>
        <v/>
      </c>
      <c r="R1062" s="16" t="str">
        <f t="shared" si="65"/>
        <v/>
      </c>
      <c r="S1062" s="17" t="str">
        <f t="shared" si="66"/>
        <v/>
      </c>
      <c r="T1062" s="18" t="str">
        <f t="shared" ca="1" si="67"/>
        <v/>
      </c>
    </row>
    <row r="1063" spans="1:20" x14ac:dyDescent="0.35">
      <c r="A1063" s="11"/>
      <c r="B1063" s="11"/>
      <c r="C1063" s="11"/>
      <c r="D1063" s="12"/>
      <c r="E1063" s="11"/>
      <c r="F1063" s="13"/>
      <c r="G1063" s="13"/>
      <c r="H1063" s="11"/>
      <c r="I1063" s="12"/>
      <c r="J1063" s="12"/>
      <c r="K1063" s="13"/>
      <c r="L1063" s="13"/>
      <c r="M1063" s="13"/>
      <c r="N1063" s="13"/>
      <c r="O1063" s="13"/>
      <c r="P1063" s="14" t="str">
        <f t="shared" si="64"/>
        <v/>
      </c>
      <c r="Q1063" s="15" t="str">
        <f>IF(OR(J1063="",H1063=""),"",IFERROR(IF(ISNUMBER(N1063),N1063,IF(K1063&lt;N(INDEX(Platforms!$G$5:$G$14,MATCH(H1063,Lists!$A$2:$A$11,0))),N(INDEX(Platforms!$H$5:$H$14,MATCH(H1063,Lists!$A$2:$A$11,0))),MAX(N(INDEX(Platforms!$F$5:$F$14,MATCH(H1063,Lists!$A$2:$A$11,0))),N(INDEX(Platforms!$C$5:$C$14,MATCH(H1063,Lists!$A$2:$A$11,0)))*(K1063+IF(INDEX(Platforms!$E$5:$E$14,MATCH(H1063,Lists!$A$2:$A$11,0))="Yes",N(L1063),0))+N(INDEX(Platforms!$D$5:$D$14,MATCH(H1063,Lists!$A$2:$A$11,0)))))),""))</f>
        <v/>
      </c>
      <c r="R1063" s="16" t="str">
        <f t="shared" si="65"/>
        <v/>
      </c>
      <c r="S1063" s="17" t="str">
        <f t="shared" si="66"/>
        <v/>
      </c>
      <c r="T1063" s="18" t="str">
        <f t="shared" ca="1" si="67"/>
        <v/>
      </c>
    </row>
    <row r="1064" spans="1:20" x14ac:dyDescent="0.35">
      <c r="A1064" s="11"/>
      <c r="B1064" s="11"/>
      <c r="C1064" s="11"/>
      <c r="D1064" s="12"/>
      <c r="E1064" s="11"/>
      <c r="F1064" s="13"/>
      <c r="G1064" s="13"/>
      <c r="H1064" s="11"/>
      <c r="I1064" s="12"/>
      <c r="J1064" s="12"/>
      <c r="K1064" s="13"/>
      <c r="L1064" s="13"/>
      <c r="M1064" s="13"/>
      <c r="N1064" s="13"/>
      <c r="O1064" s="13"/>
      <c r="P1064" s="14" t="str">
        <f t="shared" si="64"/>
        <v/>
      </c>
      <c r="Q1064" s="15" t="str">
        <f>IF(OR(J1064="",H1064=""),"",IFERROR(IF(ISNUMBER(N1064),N1064,IF(K1064&lt;N(INDEX(Platforms!$G$5:$G$14,MATCH(H1064,Lists!$A$2:$A$11,0))),N(INDEX(Platforms!$H$5:$H$14,MATCH(H1064,Lists!$A$2:$A$11,0))),MAX(N(INDEX(Platforms!$F$5:$F$14,MATCH(H1064,Lists!$A$2:$A$11,0))),N(INDEX(Platforms!$C$5:$C$14,MATCH(H1064,Lists!$A$2:$A$11,0)))*(K1064+IF(INDEX(Platforms!$E$5:$E$14,MATCH(H1064,Lists!$A$2:$A$11,0))="Yes",N(L1064),0))+N(INDEX(Platforms!$D$5:$D$14,MATCH(H1064,Lists!$A$2:$A$11,0)))))),""))</f>
        <v/>
      </c>
      <c r="R1064" s="16" t="str">
        <f t="shared" si="65"/>
        <v/>
      </c>
      <c r="S1064" s="17" t="str">
        <f t="shared" si="66"/>
        <v/>
      </c>
      <c r="T1064" s="18" t="str">
        <f t="shared" ca="1" si="67"/>
        <v/>
      </c>
    </row>
    <row r="1065" spans="1:20" x14ac:dyDescent="0.35">
      <c r="A1065" s="11"/>
      <c r="B1065" s="11"/>
      <c r="C1065" s="11"/>
      <c r="D1065" s="12"/>
      <c r="E1065" s="11"/>
      <c r="F1065" s="13"/>
      <c r="G1065" s="13"/>
      <c r="H1065" s="11"/>
      <c r="I1065" s="12"/>
      <c r="J1065" s="12"/>
      <c r="K1065" s="13"/>
      <c r="L1065" s="13"/>
      <c r="M1065" s="13"/>
      <c r="N1065" s="13"/>
      <c r="O1065" s="13"/>
      <c r="P1065" s="14" t="str">
        <f t="shared" si="64"/>
        <v/>
      </c>
      <c r="Q1065" s="15" t="str">
        <f>IF(OR(J1065="",H1065=""),"",IFERROR(IF(ISNUMBER(N1065),N1065,IF(K1065&lt;N(INDEX(Platforms!$G$5:$G$14,MATCH(H1065,Lists!$A$2:$A$11,0))),N(INDEX(Platforms!$H$5:$H$14,MATCH(H1065,Lists!$A$2:$A$11,0))),MAX(N(INDEX(Platforms!$F$5:$F$14,MATCH(H1065,Lists!$A$2:$A$11,0))),N(INDEX(Platforms!$C$5:$C$14,MATCH(H1065,Lists!$A$2:$A$11,0)))*(K1065+IF(INDEX(Platforms!$E$5:$E$14,MATCH(H1065,Lists!$A$2:$A$11,0))="Yes",N(L1065),0))+N(INDEX(Platforms!$D$5:$D$14,MATCH(H1065,Lists!$A$2:$A$11,0)))))),""))</f>
        <v/>
      </c>
      <c r="R1065" s="16" t="str">
        <f t="shared" si="65"/>
        <v/>
      </c>
      <c r="S1065" s="17" t="str">
        <f t="shared" si="66"/>
        <v/>
      </c>
      <c r="T1065" s="18" t="str">
        <f t="shared" ca="1" si="67"/>
        <v/>
      </c>
    </row>
    <row r="1066" spans="1:20" x14ac:dyDescent="0.35">
      <c r="A1066" s="11"/>
      <c r="B1066" s="11"/>
      <c r="C1066" s="11"/>
      <c r="D1066" s="12"/>
      <c r="E1066" s="11"/>
      <c r="F1066" s="13"/>
      <c r="G1066" s="13"/>
      <c r="H1066" s="11"/>
      <c r="I1066" s="12"/>
      <c r="J1066" s="12"/>
      <c r="K1066" s="13"/>
      <c r="L1066" s="13"/>
      <c r="M1066" s="13"/>
      <c r="N1066" s="13"/>
      <c r="O1066" s="13"/>
      <c r="P1066" s="14" t="str">
        <f t="shared" si="64"/>
        <v/>
      </c>
      <c r="Q1066" s="15" t="str">
        <f>IF(OR(J1066="",H1066=""),"",IFERROR(IF(ISNUMBER(N1066),N1066,IF(K1066&lt;N(INDEX(Platforms!$G$5:$G$14,MATCH(H1066,Lists!$A$2:$A$11,0))),N(INDEX(Platforms!$H$5:$H$14,MATCH(H1066,Lists!$A$2:$A$11,0))),MAX(N(INDEX(Platforms!$F$5:$F$14,MATCH(H1066,Lists!$A$2:$A$11,0))),N(INDEX(Platforms!$C$5:$C$14,MATCH(H1066,Lists!$A$2:$A$11,0)))*(K1066+IF(INDEX(Platforms!$E$5:$E$14,MATCH(H1066,Lists!$A$2:$A$11,0))="Yes",N(L1066),0))+N(INDEX(Platforms!$D$5:$D$14,MATCH(H1066,Lists!$A$2:$A$11,0)))))),""))</f>
        <v/>
      </c>
      <c r="R1066" s="16" t="str">
        <f t="shared" si="65"/>
        <v/>
      </c>
      <c r="S1066" s="17" t="str">
        <f t="shared" si="66"/>
        <v/>
      </c>
      <c r="T1066" s="18" t="str">
        <f t="shared" ca="1" si="67"/>
        <v/>
      </c>
    </row>
    <row r="1067" spans="1:20" x14ac:dyDescent="0.35">
      <c r="A1067" s="11"/>
      <c r="B1067" s="11"/>
      <c r="C1067" s="11"/>
      <c r="D1067" s="12"/>
      <c r="E1067" s="11"/>
      <c r="F1067" s="13"/>
      <c r="G1067" s="13"/>
      <c r="H1067" s="11"/>
      <c r="I1067" s="12"/>
      <c r="J1067" s="12"/>
      <c r="K1067" s="13"/>
      <c r="L1067" s="13"/>
      <c r="M1067" s="13"/>
      <c r="N1067" s="13"/>
      <c r="O1067" s="13"/>
      <c r="P1067" s="14" t="str">
        <f t="shared" si="64"/>
        <v/>
      </c>
      <c r="Q1067" s="15" t="str">
        <f>IF(OR(J1067="",H1067=""),"",IFERROR(IF(ISNUMBER(N1067),N1067,IF(K1067&lt;N(INDEX(Platforms!$G$5:$G$14,MATCH(H1067,Lists!$A$2:$A$11,0))),N(INDEX(Platforms!$H$5:$H$14,MATCH(H1067,Lists!$A$2:$A$11,0))),MAX(N(INDEX(Platforms!$F$5:$F$14,MATCH(H1067,Lists!$A$2:$A$11,0))),N(INDEX(Platforms!$C$5:$C$14,MATCH(H1067,Lists!$A$2:$A$11,0)))*(K1067+IF(INDEX(Platforms!$E$5:$E$14,MATCH(H1067,Lists!$A$2:$A$11,0))="Yes",N(L1067),0))+N(INDEX(Platforms!$D$5:$D$14,MATCH(H1067,Lists!$A$2:$A$11,0)))))),""))</f>
        <v/>
      </c>
      <c r="R1067" s="16" t="str">
        <f t="shared" si="65"/>
        <v/>
      </c>
      <c r="S1067" s="17" t="str">
        <f t="shared" si="66"/>
        <v/>
      </c>
      <c r="T1067" s="18" t="str">
        <f t="shared" ca="1" si="67"/>
        <v/>
      </c>
    </row>
    <row r="1068" spans="1:20" x14ac:dyDescent="0.35">
      <c r="A1068" s="11"/>
      <c r="B1068" s="11"/>
      <c r="C1068" s="11"/>
      <c r="D1068" s="12"/>
      <c r="E1068" s="11"/>
      <c r="F1068" s="13"/>
      <c r="G1068" s="13"/>
      <c r="H1068" s="11"/>
      <c r="I1068" s="12"/>
      <c r="J1068" s="12"/>
      <c r="K1068" s="13"/>
      <c r="L1068" s="13"/>
      <c r="M1068" s="13"/>
      <c r="N1068" s="13"/>
      <c r="O1068" s="13"/>
      <c r="P1068" s="14" t="str">
        <f t="shared" si="64"/>
        <v/>
      </c>
      <c r="Q1068" s="15" t="str">
        <f>IF(OR(J1068="",H1068=""),"",IFERROR(IF(ISNUMBER(N1068),N1068,IF(K1068&lt;N(INDEX(Platforms!$G$5:$G$14,MATCH(H1068,Lists!$A$2:$A$11,0))),N(INDEX(Platforms!$H$5:$H$14,MATCH(H1068,Lists!$A$2:$A$11,0))),MAX(N(INDEX(Platforms!$F$5:$F$14,MATCH(H1068,Lists!$A$2:$A$11,0))),N(INDEX(Platforms!$C$5:$C$14,MATCH(H1068,Lists!$A$2:$A$11,0)))*(K1068+IF(INDEX(Platforms!$E$5:$E$14,MATCH(H1068,Lists!$A$2:$A$11,0))="Yes",N(L1068),0))+N(INDEX(Platforms!$D$5:$D$14,MATCH(H1068,Lists!$A$2:$A$11,0)))))),""))</f>
        <v/>
      </c>
      <c r="R1068" s="16" t="str">
        <f t="shared" si="65"/>
        <v/>
      </c>
      <c r="S1068" s="17" t="str">
        <f t="shared" si="66"/>
        <v/>
      </c>
      <c r="T1068" s="18" t="str">
        <f t="shared" ca="1" si="67"/>
        <v/>
      </c>
    </row>
    <row r="1069" spans="1:20" x14ac:dyDescent="0.35">
      <c r="A1069" s="11"/>
      <c r="B1069" s="11"/>
      <c r="C1069" s="11"/>
      <c r="D1069" s="12"/>
      <c r="E1069" s="11"/>
      <c r="F1069" s="13"/>
      <c r="G1069" s="13"/>
      <c r="H1069" s="11"/>
      <c r="I1069" s="12"/>
      <c r="J1069" s="12"/>
      <c r="K1069" s="13"/>
      <c r="L1069" s="13"/>
      <c r="M1069" s="13"/>
      <c r="N1069" s="13"/>
      <c r="O1069" s="13"/>
      <c r="P1069" s="14" t="str">
        <f t="shared" si="64"/>
        <v/>
      </c>
      <c r="Q1069" s="15" t="str">
        <f>IF(OR(J1069="",H1069=""),"",IFERROR(IF(ISNUMBER(N1069),N1069,IF(K1069&lt;N(INDEX(Platforms!$G$5:$G$14,MATCH(H1069,Lists!$A$2:$A$11,0))),N(INDEX(Platforms!$H$5:$H$14,MATCH(H1069,Lists!$A$2:$A$11,0))),MAX(N(INDEX(Platforms!$F$5:$F$14,MATCH(H1069,Lists!$A$2:$A$11,0))),N(INDEX(Platforms!$C$5:$C$14,MATCH(H1069,Lists!$A$2:$A$11,0)))*(K1069+IF(INDEX(Platforms!$E$5:$E$14,MATCH(H1069,Lists!$A$2:$A$11,0))="Yes",N(L1069),0))+N(INDEX(Platforms!$D$5:$D$14,MATCH(H1069,Lists!$A$2:$A$11,0)))))),""))</f>
        <v/>
      </c>
      <c r="R1069" s="16" t="str">
        <f t="shared" si="65"/>
        <v/>
      </c>
      <c r="S1069" s="17" t="str">
        <f t="shared" si="66"/>
        <v/>
      </c>
      <c r="T1069" s="18" t="str">
        <f t="shared" ca="1" si="67"/>
        <v/>
      </c>
    </row>
    <row r="1070" spans="1:20" x14ac:dyDescent="0.35">
      <c r="A1070" s="11"/>
      <c r="B1070" s="11"/>
      <c r="C1070" s="11"/>
      <c r="D1070" s="12"/>
      <c r="E1070" s="11"/>
      <c r="F1070" s="13"/>
      <c r="G1070" s="13"/>
      <c r="H1070" s="11"/>
      <c r="I1070" s="12"/>
      <c r="J1070" s="12"/>
      <c r="K1070" s="13"/>
      <c r="L1070" s="13"/>
      <c r="M1070" s="13"/>
      <c r="N1070" s="13"/>
      <c r="O1070" s="13"/>
      <c r="P1070" s="14" t="str">
        <f t="shared" si="64"/>
        <v/>
      </c>
      <c r="Q1070" s="15" t="str">
        <f>IF(OR(J1070="",H1070=""),"",IFERROR(IF(ISNUMBER(N1070),N1070,IF(K1070&lt;N(INDEX(Platforms!$G$5:$G$14,MATCH(H1070,Lists!$A$2:$A$11,0))),N(INDEX(Platforms!$H$5:$H$14,MATCH(H1070,Lists!$A$2:$A$11,0))),MAX(N(INDEX(Platforms!$F$5:$F$14,MATCH(H1070,Lists!$A$2:$A$11,0))),N(INDEX(Platforms!$C$5:$C$14,MATCH(H1070,Lists!$A$2:$A$11,0)))*(K1070+IF(INDEX(Platforms!$E$5:$E$14,MATCH(H1070,Lists!$A$2:$A$11,0))="Yes",N(L1070),0))+N(INDEX(Platforms!$D$5:$D$14,MATCH(H1070,Lists!$A$2:$A$11,0)))))),""))</f>
        <v/>
      </c>
      <c r="R1070" s="16" t="str">
        <f t="shared" si="65"/>
        <v/>
      </c>
      <c r="S1070" s="17" t="str">
        <f t="shared" si="66"/>
        <v/>
      </c>
      <c r="T1070" s="18" t="str">
        <f t="shared" ca="1" si="67"/>
        <v/>
      </c>
    </row>
    <row r="1071" spans="1:20" x14ac:dyDescent="0.35">
      <c r="A1071" s="11"/>
      <c r="B1071" s="11"/>
      <c r="C1071" s="11"/>
      <c r="D1071" s="12"/>
      <c r="E1071" s="11"/>
      <c r="F1071" s="13"/>
      <c r="G1071" s="13"/>
      <c r="H1071" s="11"/>
      <c r="I1071" s="12"/>
      <c r="J1071" s="12"/>
      <c r="K1071" s="13"/>
      <c r="L1071" s="13"/>
      <c r="M1071" s="13"/>
      <c r="N1071" s="13"/>
      <c r="O1071" s="13"/>
      <c r="P1071" s="14" t="str">
        <f t="shared" si="64"/>
        <v/>
      </c>
      <c r="Q1071" s="15" t="str">
        <f>IF(OR(J1071="",H1071=""),"",IFERROR(IF(ISNUMBER(N1071),N1071,IF(K1071&lt;N(INDEX(Platforms!$G$5:$G$14,MATCH(H1071,Lists!$A$2:$A$11,0))),N(INDEX(Platforms!$H$5:$H$14,MATCH(H1071,Lists!$A$2:$A$11,0))),MAX(N(INDEX(Platforms!$F$5:$F$14,MATCH(H1071,Lists!$A$2:$A$11,0))),N(INDEX(Platforms!$C$5:$C$14,MATCH(H1071,Lists!$A$2:$A$11,0)))*(K1071+IF(INDEX(Platforms!$E$5:$E$14,MATCH(H1071,Lists!$A$2:$A$11,0))="Yes",N(L1071),0))+N(INDEX(Platforms!$D$5:$D$14,MATCH(H1071,Lists!$A$2:$A$11,0)))))),""))</f>
        <v/>
      </c>
      <c r="R1071" s="16" t="str">
        <f t="shared" si="65"/>
        <v/>
      </c>
      <c r="S1071" s="17" t="str">
        <f t="shared" si="66"/>
        <v/>
      </c>
      <c r="T1071" s="18" t="str">
        <f t="shared" ca="1" si="67"/>
        <v/>
      </c>
    </row>
    <row r="1072" spans="1:20" x14ac:dyDescent="0.35">
      <c r="A1072" s="11"/>
      <c r="B1072" s="11"/>
      <c r="C1072" s="11"/>
      <c r="D1072" s="12"/>
      <c r="E1072" s="11"/>
      <c r="F1072" s="13"/>
      <c r="G1072" s="13"/>
      <c r="H1072" s="11"/>
      <c r="I1072" s="12"/>
      <c r="J1072" s="12"/>
      <c r="K1072" s="13"/>
      <c r="L1072" s="13"/>
      <c r="M1072" s="13"/>
      <c r="N1072" s="13"/>
      <c r="O1072" s="13"/>
      <c r="P1072" s="14" t="str">
        <f t="shared" si="64"/>
        <v/>
      </c>
      <c r="Q1072" s="15" t="str">
        <f>IF(OR(J1072="",H1072=""),"",IFERROR(IF(ISNUMBER(N1072),N1072,IF(K1072&lt;N(INDEX(Platforms!$G$5:$G$14,MATCH(H1072,Lists!$A$2:$A$11,0))),N(INDEX(Platforms!$H$5:$H$14,MATCH(H1072,Lists!$A$2:$A$11,0))),MAX(N(INDEX(Platforms!$F$5:$F$14,MATCH(H1072,Lists!$A$2:$A$11,0))),N(INDEX(Platforms!$C$5:$C$14,MATCH(H1072,Lists!$A$2:$A$11,0)))*(K1072+IF(INDEX(Platforms!$E$5:$E$14,MATCH(H1072,Lists!$A$2:$A$11,0))="Yes",N(L1072),0))+N(INDEX(Platforms!$D$5:$D$14,MATCH(H1072,Lists!$A$2:$A$11,0)))))),""))</f>
        <v/>
      </c>
      <c r="R1072" s="16" t="str">
        <f t="shared" si="65"/>
        <v/>
      </c>
      <c r="S1072" s="17" t="str">
        <f t="shared" si="66"/>
        <v/>
      </c>
      <c r="T1072" s="18" t="str">
        <f t="shared" ca="1" si="67"/>
        <v/>
      </c>
    </row>
    <row r="1073" spans="1:20" x14ac:dyDescent="0.35">
      <c r="A1073" s="11"/>
      <c r="B1073" s="11"/>
      <c r="C1073" s="11"/>
      <c r="D1073" s="12"/>
      <c r="E1073" s="11"/>
      <c r="F1073" s="13"/>
      <c r="G1073" s="13"/>
      <c r="H1073" s="11"/>
      <c r="I1073" s="12"/>
      <c r="J1073" s="12"/>
      <c r="K1073" s="13"/>
      <c r="L1073" s="13"/>
      <c r="M1073" s="13"/>
      <c r="N1073" s="13"/>
      <c r="O1073" s="13"/>
      <c r="P1073" s="14" t="str">
        <f t="shared" si="64"/>
        <v/>
      </c>
      <c r="Q1073" s="15" t="str">
        <f>IF(OR(J1073="",H1073=""),"",IFERROR(IF(ISNUMBER(N1073),N1073,IF(K1073&lt;N(INDEX(Platforms!$G$5:$G$14,MATCH(H1073,Lists!$A$2:$A$11,0))),N(INDEX(Platforms!$H$5:$H$14,MATCH(H1073,Lists!$A$2:$A$11,0))),MAX(N(INDEX(Platforms!$F$5:$F$14,MATCH(H1073,Lists!$A$2:$A$11,0))),N(INDEX(Platforms!$C$5:$C$14,MATCH(H1073,Lists!$A$2:$A$11,0)))*(K1073+IF(INDEX(Platforms!$E$5:$E$14,MATCH(H1073,Lists!$A$2:$A$11,0))="Yes",N(L1073),0))+N(INDEX(Platforms!$D$5:$D$14,MATCH(H1073,Lists!$A$2:$A$11,0)))))),""))</f>
        <v/>
      </c>
      <c r="R1073" s="16" t="str">
        <f t="shared" si="65"/>
        <v/>
      </c>
      <c r="S1073" s="17" t="str">
        <f t="shared" si="66"/>
        <v/>
      </c>
      <c r="T1073" s="18" t="str">
        <f t="shared" ca="1" si="67"/>
        <v/>
      </c>
    </row>
    <row r="1074" spans="1:20" x14ac:dyDescent="0.35">
      <c r="A1074" s="11"/>
      <c r="B1074" s="11"/>
      <c r="C1074" s="11"/>
      <c r="D1074" s="12"/>
      <c r="E1074" s="11"/>
      <c r="F1074" s="13"/>
      <c r="G1074" s="13"/>
      <c r="H1074" s="11"/>
      <c r="I1074" s="12"/>
      <c r="J1074" s="12"/>
      <c r="K1074" s="13"/>
      <c r="L1074" s="13"/>
      <c r="M1074" s="13"/>
      <c r="N1074" s="13"/>
      <c r="O1074" s="13"/>
      <c r="P1074" s="14" t="str">
        <f t="shared" si="64"/>
        <v/>
      </c>
      <c r="Q1074" s="15" t="str">
        <f>IF(OR(J1074="",H1074=""),"",IFERROR(IF(ISNUMBER(N1074),N1074,IF(K1074&lt;N(INDEX(Platforms!$G$5:$G$14,MATCH(H1074,Lists!$A$2:$A$11,0))),N(INDEX(Platforms!$H$5:$H$14,MATCH(H1074,Lists!$A$2:$A$11,0))),MAX(N(INDEX(Platforms!$F$5:$F$14,MATCH(H1074,Lists!$A$2:$A$11,0))),N(INDEX(Platforms!$C$5:$C$14,MATCH(H1074,Lists!$A$2:$A$11,0)))*(K1074+IF(INDEX(Platforms!$E$5:$E$14,MATCH(H1074,Lists!$A$2:$A$11,0))="Yes",N(L1074),0))+N(INDEX(Platforms!$D$5:$D$14,MATCH(H1074,Lists!$A$2:$A$11,0)))))),""))</f>
        <v/>
      </c>
      <c r="R1074" s="16" t="str">
        <f t="shared" si="65"/>
        <v/>
      </c>
      <c r="S1074" s="17" t="str">
        <f t="shared" si="66"/>
        <v/>
      </c>
      <c r="T1074" s="18" t="str">
        <f t="shared" ca="1" si="67"/>
        <v/>
      </c>
    </row>
    <row r="1075" spans="1:20" x14ac:dyDescent="0.35">
      <c r="A1075" s="11"/>
      <c r="B1075" s="11"/>
      <c r="C1075" s="11"/>
      <c r="D1075" s="12"/>
      <c r="E1075" s="11"/>
      <c r="F1075" s="13"/>
      <c r="G1075" s="13"/>
      <c r="H1075" s="11"/>
      <c r="I1075" s="12"/>
      <c r="J1075" s="12"/>
      <c r="K1075" s="13"/>
      <c r="L1075" s="13"/>
      <c r="M1075" s="13"/>
      <c r="N1075" s="13"/>
      <c r="O1075" s="13"/>
      <c r="P1075" s="14" t="str">
        <f t="shared" si="64"/>
        <v/>
      </c>
      <c r="Q1075" s="15" t="str">
        <f>IF(OR(J1075="",H1075=""),"",IFERROR(IF(ISNUMBER(N1075),N1075,IF(K1075&lt;N(INDEX(Platforms!$G$5:$G$14,MATCH(H1075,Lists!$A$2:$A$11,0))),N(INDEX(Platforms!$H$5:$H$14,MATCH(H1075,Lists!$A$2:$A$11,0))),MAX(N(INDEX(Platforms!$F$5:$F$14,MATCH(H1075,Lists!$A$2:$A$11,0))),N(INDEX(Platforms!$C$5:$C$14,MATCH(H1075,Lists!$A$2:$A$11,0)))*(K1075+IF(INDEX(Platforms!$E$5:$E$14,MATCH(H1075,Lists!$A$2:$A$11,0))="Yes",N(L1075),0))+N(INDEX(Platforms!$D$5:$D$14,MATCH(H1075,Lists!$A$2:$A$11,0)))))),""))</f>
        <v/>
      </c>
      <c r="R1075" s="16" t="str">
        <f t="shared" si="65"/>
        <v/>
      </c>
      <c r="S1075" s="17" t="str">
        <f t="shared" si="66"/>
        <v/>
      </c>
      <c r="T1075" s="18" t="str">
        <f t="shared" ca="1" si="67"/>
        <v/>
      </c>
    </row>
    <row r="1076" spans="1:20" x14ac:dyDescent="0.35">
      <c r="A1076" s="11"/>
      <c r="B1076" s="11"/>
      <c r="C1076" s="11"/>
      <c r="D1076" s="12"/>
      <c r="E1076" s="11"/>
      <c r="F1076" s="13"/>
      <c r="G1076" s="13"/>
      <c r="H1076" s="11"/>
      <c r="I1076" s="12"/>
      <c r="J1076" s="12"/>
      <c r="K1076" s="13"/>
      <c r="L1076" s="13"/>
      <c r="M1076" s="13"/>
      <c r="N1076" s="13"/>
      <c r="O1076" s="13"/>
      <c r="P1076" s="14" t="str">
        <f t="shared" si="64"/>
        <v/>
      </c>
      <c r="Q1076" s="15" t="str">
        <f>IF(OR(J1076="",H1076=""),"",IFERROR(IF(ISNUMBER(N1076),N1076,IF(K1076&lt;N(INDEX(Platforms!$G$5:$G$14,MATCH(H1076,Lists!$A$2:$A$11,0))),N(INDEX(Platforms!$H$5:$H$14,MATCH(H1076,Lists!$A$2:$A$11,0))),MAX(N(INDEX(Platforms!$F$5:$F$14,MATCH(H1076,Lists!$A$2:$A$11,0))),N(INDEX(Platforms!$C$5:$C$14,MATCH(H1076,Lists!$A$2:$A$11,0)))*(K1076+IF(INDEX(Platforms!$E$5:$E$14,MATCH(H1076,Lists!$A$2:$A$11,0))="Yes",N(L1076),0))+N(INDEX(Platforms!$D$5:$D$14,MATCH(H1076,Lists!$A$2:$A$11,0)))))),""))</f>
        <v/>
      </c>
      <c r="R1076" s="16" t="str">
        <f t="shared" si="65"/>
        <v/>
      </c>
      <c r="S1076" s="17" t="str">
        <f t="shared" si="66"/>
        <v/>
      </c>
      <c r="T1076" s="18" t="str">
        <f t="shared" ca="1" si="67"/>
        <v/>
      </c>
    </row>
    <row r="1077" spans="1:20" x14ac:dyDescent="0.35">
      <c r="A1077" s="11"/>
      <c r="B1077" s="11"/>
      <c r="C1077" s="11"/>
      <c r="D1077" s="12"/>
      <c r="E1077" s="11"/>
      <c r="F1077" s="13"/>
      <c r="G1077" s="13"/>
      <c r="H1077" s="11"/>
      <c r="I1077" s="12"/>
      <c r="J1077" s="12"/>
      <c r="K1077" s="13"/>
      <c r="L1077" s="13"/>
      <c r="M1077" s="13"/>
      <c r="N1077" s="13"/>
      <c r="O1077" s="13"/>
      <c r="P1077" s="14" t="str">
        <f t="shared" si="64"/>
        <v/>
      </c>
      <c r="Q1077" s="15" t="str">
        <f>IF(OR(J1077="",H1077=""),"",IFERROR(IF(ISNUMBER(N1077),N1077,IF(K1077&lt;N(INDEX(Platforms!$G$5:$G$14,MATCH(H1077,Lists!$A$2:$A$11,0))),N(INDEX(Platforms!$H$5:$H$14,MATCH(H1077,Lists!$A$2:$A$11,0))),MAX(N(INDEX(Platforms!$F$5:$F$14,MATCH(H1077,Lists!$A$2:$A$11,0))),N(INDEX(Platforms!$C$5:$C$14,MATCH(H1077,Lists!$A$2:$A$11,0)))*(K1077+IF(INDEX(Platforms!$E$5:$E$14,MATCH(H1077,Lists!$A$2:$A$11,0))="Yes",N(L1077),0))+N(INDEX(Platforms!$D$5:$D$14,MATCH(H1077,Lists!$A$2:$A$11,0)))))),""))</f>
        <v/>
      </c>
      <c r="R1077" s="16" t="str">
        <f t="shared" si="65"/>
        <v/>
      </c>
      <c r="S1077" s="17" t="str">
        <f t="shared" si="66"/>
        <v/>
      </c>
      <c r="T1077" s="18" t="str">
        <f t="shared" ca="1" si="67"/>
        <v/>
      </c>
    </row>
    <row r="1078" spans="1:20" x14ac:dyDescent="0.35">
      <c r="A1078" s="11"/>
      <c r="B1078" s="11"/>
      <c r="C1078" s="11"/>
      <c r="D1078" s="12"/>
      <c r="E1078" s="11"/>
      <c r="F1078" s="13"/>
      <c r="G1078" s="13"/>
      <c r="H1078" s="11"/>
      <c r="I1078" s="12"/>
      <c r="J1078" s="12"/>
      <c r="K1078" s="13"/>
      <c r="L1078" s="13"/>
      <c r="M1078" s="13"/>
      <c r="N1078" s="13"/>
      <c r="O1078" s="13"/>
      <c r="P1078" s="14" t="str">
        <f t="shared" si="64"/>
        <v/>
      </c>
      <c r="Q1078" s="15" t="str">
        <f>IF(OR(J1078="",H1078=""),"",IFERROR(IF(ISNUMBER(N1078),N1078,IF(K1078&lt;N(INDEX(Platforms!$G$5:$G$14,MATCH(H1078,Lists!$A$2:$A$11,0))),N(INDEX(Platforms!$H$5:$H$14,MATCH(H1078,Lists!$A$2:$A$11,0))),MAX(N(INDEX(Platforms!$F$5:$F$14,MATCH(H1078,Lists!$A$2:$A$11,0))),N(INDEX(Platforms!$C$5:$C$14,MATCH(H1078,Lists!$A$2:$A$11,0)))*(K1078+IF(INDEX(Platforms!$E$5:$E$14,MATCH(H1078,Lists!$A$2:$A$11,0))="Yes",N(L1078),0))+N(INDEX(Platforms!$D$5:$D$14,MATCH(H1078,Lists!$A$2:$A$11,0)))))),""))</f>
        <v/>
      </c>
      <c r="R1078" s="16" t="str">
        <f t="shared" si="65"/>
        <v/>
      </c>
      <c r="S1078" s="17" t="str">
        <f t="shared" si="66"/>
        <v/>
      </c>
      <c r="T1078" s="18" t="str">
        <f t="shared" ca="1" si="67"/>
        <v/>
      </c>
    </row>
    <row r="1079" spans="1:20" x14ac:dyDescent="0.35">
      <c r="A1079" s="11"/>
      <c r="B1079" s="11"/>
      <c r="C1079" s="11"/>
      <c r="D1079" s="12"/>
      <c r="E1079" s="11"/>
      <c r="F1079" s="13"/>
      <c r="G1079" s="13"/>
      <c r="H1079" s="11"/>
      <c r="I1079" s="12"/>
      <c r="J1079" s="12"/>
      <c r="K1079" s="13"/>
      <c r="L1079" s="13"/>
      <c r="M1079" s="13"/>
      <c r="N1079" s="13"/>
      <c r="O1079" s="13"/>
      <c r="P1079" s="14" t="str">
        <f t="shared" si="64"/>
        <v/>
      </c>
      <c r="Q1079" s="15" t="str">
        <f>IF(OR(J1079="",H1079=""),"",IFERROR(IF(ISNUMBER(N1079),N1079,IF(K1079&lt;N(INDEX(Platforms!$G$5:$G$14,MATCH(H1079,Lists!$A$2:$A$11,0))),N(INDEX(Platforms!$H$5:$H$14,MATCH(H1079,Lists!$A$2:$A$11,0))),MAX(N(INDEX(Platforms!$F$5:$F$14,MATCH(H1079,Lists!$A$2:$A$11,0))),N(INDEX(Platforms!$C$5:$C$14,MATCH(H1079,Lists!$A$2:$A$11,0)))*(K1079+IF(INDEX(Platforms!$E$5:$E$14,MATCH(H1079,Lists!$A$2:$A$11,0))="Yes",N(L1079),0))+N(INDEX(Platforms!$D$5:$D$14,MATCH(H1079,Lists!$A$2:$A$11,0)))))),""))</f>
        <v/>
      </c>
      <c r="R1079" s="16" t="str">
        <f t="shared" si="65"/>
        <v/>
      </c>
      <c r="S1079" s="17" t="str">
        <f t="shared" si="66"/>
        <v/>
      </c>
      <c r="T1079" s="18" t="str">
        <f t="shared" ca="1" si="67"/>
        <v/>
      </c>
    </row>
    <row r="1080" spans="1:20" x14ac:dyDescent="0.35">
      <c r="A1080" s="11"/>
      <c r="B1080" s="11"/>
      <c r="C1080" s="11"/>
      <c r="D1080" s="12"/>
      <c r="E1080" s="11"/>
      <c r="F1080" s="13"/>
      <c r="G1080" s="13"/>
      <c r="H1080" s="11"/>
      <c r="I1080" s="12"/>
      <c r="J1080" s="12"/>
      <c r="K1080" s="13"/>
      <c r="L1080" s="13"/>
      <c r="M1080" s="13"/>
      <c r="N1080" s="13"/>
      <c r="O1080" s="13"/>
      <c r="P1080" s="14" t="str">
        <f t="shared" si="64"/>
        <v/>
      </c>
      <c r="Q1080" s="15" t="str">
        <f>IF(OR(J1080="",H1080=""),"",IFERROR(IF(ISNUMBER(N1080),N1080,IF(K1080&lt;N(INDEX(Platforms!$G$5:$G$14,MATCH(H1080,Lists!$A$2:$A$11,0))),N(INDEX(Platforms!$H$5:$H$14,MATCH(H1080,Lists!$A$2:$A$11,0))),MAX(N(INDEX(Platforms!$F$5:$F$14,MATCH(H1080,Lists!$A$2:$A$11,0))),N(INDEX(Platforms!$C$5:$C$14,MATCH(H1080,Lists!$A$2:$A$11,0)))*(K1080+IF(INDEX(Platforms!$E$5:$E$14,MATCH(H1080,Lists!$A$2:$A$11,0))="Yes",N(L1080),0))+N(INDEX(Platforms!$D$5:$D$14,MATCH(H1080,Lists!$A$2:$A$11,0)))))),""))</f>
        <v/>
      </c>
      <c r="R1080" s="16" t="str">
        <f t="shared" si="65"/>
        <v/>
      </c>
      <c r="S1080" s="17" t="str">
        <f t="shared" si="66"/>
        <v/>
      </c>
      <c r="T1080" s="18" t="str">
        <f t="shared" ca="1" si="67"/>
        <v/>
      </c>
    </row>
    <row r="1081" spans="1:20" x14ac:dyDescent="0.35">
      <c r="A1081" s="11"/>
      <c r="B1081" s="11"/>
      <c r="C1081" s="11"/>
      <c r="D1081" s="12"/>
      <c r="E1081" s="11"/>
      <c r="F1081" s="13"/>
      <c r="G1081" s="13"/>
      <c r="H1081" s="11"/>
      <c r="I1081" s="12"/>
      <c r="J1081" s="12"/>
      <c r="K1081" s="13"/>
      <c r="L1081" s="13"/>
      <c r="M1081" s="13"/>
      <c r="N1081" s="13"/>
      <c r="O1081" s="13"/>
      <c r="P1081" s="14" t="str">
        <f t="shared" si="64"/>
        <v/>
      </c>
      <c r="Q1081" s="15" t="str">
        <f>IF(OR(J1081="",H1081=""),"",IFERROR(IF(ISNUMBER(N1081),N1081,IF(K1081&lt;N(INDEX(Platforms!$G$5:$G$14,MATCH(H1081,Lists!$A$2:$A$11,0))),N(INDEX(Platforms!$H$5:$H$14,MATCH(H1081,Lists!$A$2:$A$11,0))),MAX(N(INDEX(Platforms!$F$5:$F$14,MATCH(H1081,Lists!$A$2:$A$11,0))),N(INDEX(Platforms!$C$5:$C$14,MATCH(H1081,Lists!$A$2:$A$11,0)))*(K1081+IF(INDEX(Platforms!$E$5:$E$14,MATCH(H1081,Lists!$A$2:$A$11,0))="Yes",N(L1081),0))+N(INDEX(Platforms!$D$5:$D$14,MATCH(H1081,Lists!$A$2:$A$11,0)))))),""))</f>
        <v/>
      </c>
      <c r="R1081" s="16" t="str">
        <f t="shared" si="65"/>
        <v/>
      </c>
      <c r="S1081" s="17" t="str">
        <f t="shared" si="66"/>
        <v/>
      </c>
      <c r="T1081" s="18" t="str">
        <f t="shared" ca="1" si="67"/>
        <v/>
      </c>
    </row>
    <row r="1082" spans="1:20" x14ac:dyDescent="0.35">
      <c r="A1082" s="11"/>
      <c r="B1082" s="11"/>
      <c r="C1082" s="11"/>
      <c r="D1082" s="12"/>
      <c r="E1082" s="11"/>
      <c r="F1082" s="13"/>
      <c r="G1082" s="13"/>
      <c r="H1082" s="11"/>
      <c r="I1082" s="12"/>
      <c r="J1082" s="12"/>
      <c r="K1082" s="13"/>
      <c r="L1082" s="13"/>
      <c r="M1082" s="13"/>
      <c r="N1082" s="13"/>
      <c r="O1082" s="13"/>
      <c r="P1082" s="14" t="str">
        <f t="shared" si="64"/>
        <v/>
      </c>
      <c r="Q1082" s="15" t="str">
        <f>IF(OR(J1082="",H1082=""),"",IFERROR(IF(ISNUMBER(N1082),N1082,IF(K1082&lt;N(INDEX(Platforms!$G$5:$G$14,MATCH(H1082,Lists!$A$2:$A$11,0))),N(INDEX(Platforms!$H$5:$H$14,MATCH(H1082,Lists!$A$2:$A$11,0))),MAX(N(INDEX(Platforms!$F$5:$F$14,MATCH(H1082,Lists!$A$2:$A$11,0))),N(INDEX(Platforms!$C$5:$C$14,MATCH(H1082,Lists!$A$2:$A$11,0)))*(K1082+IF(INDEX(Platforms!$E$5:$E$14,MATCH(H1082,Lists!$A$2:$A$11,0))="Yes",N(L1082),0))+N(INDEX(Platforms!$D$5:$D$14,MATCH(H1082,Lists!$A$2:$A$11,0)))))),""))</f>
        <v/>
      </c>
      <c r="R1082" s="16" t="str">
        <f t="shared" si="65"/>
        <v/>
      </c>
      <c r="S1082" s="17" t="str">
        <f t="shared" si="66"/>
        <v/>
      </c>
      <c r="T1082" s="18" t="str">
        <f t="shared" ca="1" si="67"/>
        <v/>
      </c>
    </row>
    <row r="1083" spans="1:20" x14ac:dyDescent="0.35">
      <c r="A1083" s="11"/>
      <c r="B1083" s="11"/>
      <c r="C1083" s="11"/>
      <c r="D1083" s="12"/>
      <c r="E1083" s="11"/>
      <c r="F1083" s="13"/>
      <c r="G1083" s="13"/>
      <c r="H1083" s="11"/>
      <c r="I1083" s="12"/>
      <c r="J1083" s="12"/>
      <c r="K1083" s="13"/>
      <c r="L1083" s="13"/>
      <c r="M1083" s="13"/>
      <c r="N1083" s="13"/>
      <c r="O1083" s="13"/>
      <c r="P1083" s="14" t="str">
        <f t="shared" si="64"/>
        <v/>
      </c>
      <c r="Q1083" s="15" t="str">
        <f>IF(OR(J1083="",H1083=""),"",IFERROR(IF(ISNUMBER(N1083),N1083,IF(K1083&lt;N(INDEX(Platforms!$G$5:$G$14,MATCH(H1083,Lists!$A$2:$A$11,0))),N(INDEX(Platforms!$H$5:$H$14,MATCH(H1083,Lists!$A$2:$A$11,0))),MAX(N(INDEX(Platforms!$F$5:$F$14,MATCH(H1083,Lists!$A$2:$A$11,0))),N(INDEX(Platforms!$C$5:$C$14,MATCH(H1083,Lists!$A$2:$A$11,0)))*(K1083+IF(INDEX(Platforms!$E$5:$E$14,MATCH(H1083,Lists!$A$2:$A$11,0))="Yes",N(L1083),0))+N(INDEX(Platforms!$D$5:$D$14,MATCH(H1083,Lists!$A$2:$A$11,0)))))),""))</f>
        <v/>
      </c>
      <c r="R1083" s="16" t="str">
        <f t="shared" si="65"/>
        <v/>
      </c>
      <c r="S1083" s="17" t="str">
        <f t="shared" si="66"/>
        <v/>
      </c>
      <c r="T1083" s="18" t="str">
        <f t="shared" ca="1" si="67"/>
        <v/>
      </c>
    </row>
    <row r="1084" spans="1:20" x14ac:dyDescent="0.35">
      <c r="A1084" s="11"/>
      <c r="B1084" s="11"/>
      <c r="C1084" s="11"/>
      <c r="D1084" s="12"/>
      <c r="E1084" s="11"/>
      <c r="F1084" s="13"/>
      <c r="G1084" s="13"/>
      <c r="H1084" s="11"/>
      <c r="I1084" s="12"/>
      <c r="J1084" s="12"/>
      <c r="K1084" s="13"/>
      <c r="L1084" s="13"/>
      <c r="M1084" s="13"/>
      <c r="N1084" s="13"/>
      <c r="O1084" s="13"/>
      <c r="P1084" s="14" t="str">
        <f t="shared" si="64"/>
        <v/>
      </c>
      <c r="Q1084" s="15" t="str">
        <f>IF(OR(J1084="",H1084=""),"",IFERROR(IF(ISNUMBER(N1084),N1084,IF(K1084&lt;N(INDEX(Platforms!$G$5:$G$14,MATCH(H1084,Lists!$A$2:$A$11,0))),N(INDEX(Platforms!$H$5:$H$14,MATCH(H1084,Lists!$A$2:$A$11,0))),MAX(N(INDEX(Platforms!$F$5:$F$14,MATCH(H1084,Lists!$A$2:$A$11,0))),N(INDEX(Platforms!$C$5:$C$14,MATCH(H1084,Lists!$A$2:$A$11,0)))*(K1084+IF(INDEX(Platforms!$E$5:$E$14,MATCH(H1084,Lists!$A$2:$A$11,0))="Yes",N(L1084),0))+N(INDEX(Platforms!$D$5:$D$14,MATCH(H1084,Lists!$A$2:$A$11,0)))))),""))</f>
        <v/>
      </c>
      <c r="R1084" s="16" t="str">
        <f t="shared" si="65"/>
        <v/>
      </c>
      <c r="S1084" s="17" t="str">
        <f t="shared" si="66"/>
        <v/>
      </c>
      <c r="T1084" s="18" t="str">
        <f t="shared" ca="1" si="67"/>
        <v/>
      </c>
    </row>
    <row r="1085" spans="1:20" x14ac:dyDescent="0.35">
      <c r="A1085" s="11"/>
      <c r="B1085" s="11"/>
      <c r="C1085" s="11"/>
      <c r="D1085" s="12"/>
      <c r="E1085" s="11"/>
      <c r="F1085" s="13"/>
      <c r="G1085" s="13"/>
      <c r="H1085" s="11"/>
      <c r="I1085" s="12"/>
      <c r="J1085" s="12"/>
      <c r="K1085" s="13"/>
      <c r="L1085" s="13"/>
      <c r="M1085" s="13"/>
      <c r="N1085" s="13"/>
      <c r="O1085" s="13"/>
      <c r="P1085" s="14" t="str">
        <f t="shared" si="64"/>
        <v/>
      </c>
      <c r="Q1085" s="15" t="str">
        <f>IF(OR(J1085="",H1085=""),"",IFERROR(IF(ISNUMBER(N1085),N1085,IF(K1085&lt;N(INDEX(Platforms!$G$5:$G$14,MATCH(H1085,Lists!$A$2:$A$11,0))),N(INDEX(Platforms!$H$5:$H$14,MATCH(H1085,Lists!$A$2:$A$11,0))),MAX(N(INDEX(Platforms!$F$5:$F$14,MATCH(H1085,Lists!$A$2:$A$11,0))),N(INDEX(Platforms!$C$5:$C$14,MATCH(H1085,Lists!$A$2:$A$11,0)))*(K1085+IF(INDEX(Platforms!$E$5:$E$14,MATCH(H1085,Lists!$A$2:$A$11,0))="Yes",N(L1085),0))+N(INDEX(Platforms!$D$5:$D$14,MATCH(H1085,Lists!$A$2:$A$11,0)))))),""))</f>
        <v/>
      </c>
      <c r="R1085" s="16" t="str">
        <f t="shared" si="65"/>
        <v/>
      </c>
      <c r="S1085" s="17" t="str">
        <f t="shared" si="66"/>
        <v/>
      </c>
      <c r="T1085" s="18" t="str">
        <f t="shared" ca="1" si="67"/>
        <v/>
      </c>
    </row>
    <row r="1086" spans="1:20" x14ac:dyDescent="0.35">
      <c r="A1086" s="11"/>
      <c r="B1086" s="11"/>
      <c r="C1086" s="11"/>
      <c r="D1086" s="12"/>
      <c r="E1086" s="11"/>
      <c r="F1086" s="13"/>
      <c r="G1086" s="13"/>
      <c r="H1086" s="11"/>
      <c r="I1086" s="12"/>
      <c r="J1086" s="12"/>
      <c r="K1086" s="13"/>
      <c r="L1086" s="13"/>
      <c r="M1086" s="13"/>
      <c r="N1086" s="13"/>
      <c r="O1086" s="13"/>
      <c r="P1086" s="14" t="str">
        <f t="shared" si="64"/>
        <v/>
      </c>
      <c r="Q1086" s="15" t="str">
        <f>IF(OR(J1086="",H1086=""),"",IFERROR(IF(ISNUMBER(N1086),N1086,IF(K1086&lt;N(INDEX(Platforms!$G$5:$G$14,MATCH(H1086,Lists!$A$2:$A$11,0))),N(INDEX(Platforms!$H$5:$H$14,MATCH(H1086,Lists!$A$2:$A$11,0))),MAX(N(INDEX(Platforms!$F$5:$F$14,MATCH(H1086,Lists!$A$2:$A$11,0))),N(INDEX(Platforms!$C$5:$C$14,MATCH(H1086,Lists!$A$2:$A$11,0)))*(K1086+IF(INDEX(Platforms!$E$5:$E$14,MATCH(H1086,Lists!$A$2:$A$11,0))="Yes",N(L1086),0))+N(INDEX(Platforms!$D$5:$D$14,MATCH(H1086,Lists!$A$2:$A$11,0)))))),""))</f>
        <v/>
      </c>
      <c r="R1086" s="16" t="str">
        <f t="shared" si="65"/>
        <v/>
      </c>
      <c r="S1086" s="17" t="str">
        <f t="shared" si="66"/>
        <v/>
      </c>
      <c r="T1086" s="18" t="str">
        <f t="shared" ca="1" si="67"/>
        <v/>
      </c>
    </row>
    <row r="1087" spans="1:20" x14ac:dyDescent="0.35">
      <c r="A1087" s="11"/>
      <c r="B1087" s="11"/>
      <c r="C1087" s="11"/>
      <c r="D1087" s="12"/>
      <c r="E1087" s="11"/>
      <c r="F1087" s="13"/>
      <c r="G1087" s="13"/>
      <c r="H1087" s="11"/>
      <c r="I1087" s="12"/>
      <c r="J1087" s="12"/>
      <c r="K1087" s="13"/>
      <c r="L1087" s="13"/>
      <c r="M1087" s="13"/>
      <c r="N1087" s="13"/>
      <c r="O1087" s="13"/>
      <c r="P1087" s="14" t="str">
        <f t="shared" si="64"/>
        <v/>
      </c>
      <c r="Q1087" s="15" t="str">
        <f>IF(OR(J1087="",H1087=""),"",IFERROR(IF(ISNUMBER(N1087),N1087,IF(K1087&lt;N(INDEX(Platforms!$G$5:$G$14,MATCH(H1087,Lists!$A$2:$A$11,0))),N(INDEX(Platforms!$H$5:$H$14,MATCH(H1087,Lists!$A$2:$A$11,0))),MAX(N(INDEX(Platforms!$F$5:$F$14,MATCH(H1087,Lists!$A$2:$A$11,0))),N(INDEX(Platforms!$C$5:$C$14,MATCH(H1087,Lists!$A$2:$A$11,0)))*(K1087+IF(INDEX(Platforms!$E$5:$E$14,MATCH(H1087,Lists!$A$2:$A$11,0))="Yes",N(L1087),0))+N(INDEX(Platforms!$D$5:$D$14,MATCH(H1087,Lists!$A$2:$A$11,0)))))),""))</f>
        <v/>
      </c>
      <c r="R1087" s="16" t="str">
        <f t="shared" si="65"/>
        <v/>
      </c>
      <c r="S1087" s="17" t="str">
        <f t="shared" si="66"/>
        <v/>
      </c>
      <c r="T1087" s="18" t="str">
        <f t="shared" ca="1" si="67"/>
        <v/>
      </c>
    </row>
    <row r="1088" spans="1:20" x14ac:dyDescent="0.35">
      <c r="A1088" s="11"/>
      <c r="B1088" s="11"/>
      <c r="C1088" s="11"/>
      <c r="D1088" s="12"/>
      <c r="E1088" s="11"/>
      <c r="F1088" s="13"/>
      <c r="G1088" s="13"/>
      <c r="H1088" s="11"/>
      <c r="I1088" s="12"/>
      <c r="J1088" s="12"/>
      <c r="K1088" s="13"/>
      <c r="L1088" s="13"/>
      <c r="M1088" s="13"/>
      <c r="N1088" s="13"/>
      <c r="O1088" s="13"/>
      <c r="P1088" s="14" t="str">
        <f t="shared" si="64"/>
        <v/>
      </c>
      <c r="Q1088" s="15" t="str">
        <f>IF(OR(J1088="",H1088=""),"",IFERROR(IF(ISNUMBER(N1088),N1088,IF(K1088&lt;N(INDEX(Platforms!$G$5:$G$14,MATCH(H1088,Lists!$A$2:$A$11,0))),N(INDEX(Platforms!$H$5:$H$14,MATCH(H1088,Lists!$A$2:$A$11,0))),MAX(N(INDEX(Platforms!$F$5:$F$14,MATCH(H1088,Lists!$A$2:$A$11,0))),N(INDEX(Platforms!$C$5:$C$14,MATCH(H1088,Lists!$A$2:$A$11,0)))*(K1088+IF(INDEX(Platforms!$E$5:$E$14,MATCH(H1088,Lists!$A$2:$A$11,0))="Yes",N(L1088),0))+N(INDEX(Platforms!$D$5:$D$14,MATCH(H1088,Lists!$A$2:$A$11,0)))))),""))</f>
        <v/>
      </c>
      <c r="R1088" s="16" t="str">
        <f t="shared" si="65"/>
        <v/>
      </c>
      <c r="S1088" s="17" t="str">
        <f t="shared" si="66"/>
        <v/>
      </c>
      <c r="T1088" s="18" t="str">
        <f t="shared" ca="1" si="67"/>
        <v/>
      </c>
    </row>
    <row r="1089" spans="1:20" x14ac:dyDescent="0.35">
      <c r="A1089" s="11"/>
      <c r="B1089" s="11"/>
      <c r="C1089" s="11"/>
      <c r="D1089" s="12"/>
      <c r="E1089" s="11"/>
      <c r="F1089" s="13"/>
      <c r="G1089" s="13"/>
      <c r="H1089" s="11"/>
      <c r="I1089" s="12"/>
      <c r="J1089" s="12"/>
      <c r="K1089" s="13"/>
      <c r="L1089" s="13"/>
      <c r="M1089" s="13"/>
      <c r="N1089" s="13"/>
      <c r="O1089" s="13"/>
      <c r="P1089" s="14" t="str">
        <f t="shared" si="64"/>
        <v/>
      </c>
      <c r="Q1089" s="15" t="str">
        <f>IF(OR(J1089="",H1089=""),"",IFERROR(IF(ISNUMBER(N1089),N1089,IF(K1089&lt;N(INDEX(Platforms!$G$5:$G$14,MATCH(H1089,Lists!$A$2:$A$11,0))),N(INDEX(Platforms!$H$5:$H$14,MATCH(H1089,Lists!$A$2:$A$11,0))),MAX(N(INDEX(Platforms!$F$5:$F$14,MATCH(H1089,Lists!$A$2:$A$11,0))),N(INDEX(Platforms!$C$5:$C$14,MATCH(H1089,Lists!$A$2:$A$11,0)))*(K1089+IF(INDEX(Platforms!$E$5:$E$14,MATCH(H1089,Lists!$A$2:$A$11,0))="Yes",N(L1089),0))+N(INDEX(Platforms!$D$5:$D$14,MATCH(H1089,Lists!$A$2:$A$11,0)))))),""))</f>
        <v/>
      </c>
      <c r="R1089" s="16" t="str">
        <f t="shared" si="65"/>
        <v/>
      </c>
      <c r="S1089" s="17" t="str">
        <f t="shared" si="66"/>
        <v/>
      </c>
      <c r="T1089" s="18" t="str">
        <f t="shared" ca="1" si="67"/>
        <v/>
      </c>
    </row>
    <row r="1090" spans="1:20" x14ac:dyDescent="0.35">
      <c r="A1090" s="11"/>
      <c r="B1090" s="11"/>
      <c r="C1090" s="11"/>
      <c r="D1090" s="12"/>
      <c r="E1090" s="11"/>
      <c r="F1090" s="13"/>
      <c r="G1090" s="13"/>
      <c r="H1090" s="11"/>
      <c r="I1090" s="12"/>
      <c r="J1090" s="12"/>
      <c r="K1090" s="13"/>
      <c r="L1090" s="13"/>
      <c r="M1090" s="13"/>
      <c r="N1090" s="13"/>
      <c r="O1090" s="13"/>
      <c r="P1090" s="14" t="str">
        <f t="shared" si="64"/>
        <v/>
      </c>
      <c r="Q1090" s="15" t="str">
        <f>IF(OR(J1090="",H1090=""),"",IFERROR(IF(ISNUMBER(N1090),N1090,IF(K1090&lt;N(INDEX(Platforms!$G$5:$G$14,MATCH(H1090,Lists!$A$2:$A$11,0))),N(INDEX(Platforms!$H$5:$H$14,MATCH(H1090,Lists!$A$2:$A$11,0))),MAX(N(INDEX(Platforms!$F$5:$F$14,MATCH(H1090,Lists!$A$2:$A$11,0))),N(INDEX(Platforms!$C$5:$C$14,MATCH(H1090,Lists!$A$2:$A$11,0)))*(K1090+IF(INDEX(Platforms!$E$5:$E$14,MATCH(H1090,Lists!$A$2:$A$11,0))="Yes",N(L1090),0))+N(INDEX(Platforms!$D$5:$D$14,MATCH(H1090,Lists!$A$2:$A$11,0)))))),""))</f>
        <v/>
      </c>
      <c r="R1090" s="16" t="str">
        <f t="shared" si="65"/>
        <v/>
      </c>
      <c r="S1090" s="17" t="str">
        <f t="shared" si="66"/>
        <v/>
      </c>
      <c r="T1090" s="18" t="str">
        <f t="shared" ca="1" si="67"/>
        <v/>
      </c>
    </row>
    <row r="1091" spans="1:20" x14ac:dyDescent="0.35">
      <c r="A1091" s="11"/>
      <c r="B1091" s="11"/>
      <c r="C1091" s="11"/>
      <c r="D1091" s="12"/>
      <c r="E1091" s="11"/>
      <c r="F1091" s="13"/>
      <c r="G1091" s="13"/>
      <c r="H1091" s="11"/>
      <c r="I1091" s="12"/>
      <c r="J1091" s="12"/>
      <c r="K1091" s="13"/>
      <c r="L1091" s="13"/>
      <c r="M1091" s="13"/>
      <c r="N1091" s="13"/>
      <c r="O1091" s="13"/>
      <c r="P1091" s="14" t="str">
        <f t="shared" si="64"/>
        <v/>
      </c>
      <c r="Q1091" s="15" t="str">
        <f>IF(OR(J1091="",H1091=""),"",IFERROR(IF(ISNUMBER(N1091),N1091,IF(K1091&lt;N(INDEX(Platforms!$G$5:$G$14,MATCH(H1091,Lists!$A$2:$A$11,0))),N(INDEX(Platforms!$H$5:$H$14,MATCH(H1091,Lists!$A$2:$A$11,0))),MAX(N(INDEX(Platforms!$F$5:$F$14,MATCH(H1091,Lists!$A$2:$A$11,0))),N(INDEX(Platforms!$C$5:$C$14,MATCH(H1091,Lists!$A$2:$A$11,0)))*(K1091+IF(INDEX(Platforms!$E$5:$E$14,MATCH(H1091,Lists!$A$2:$A$11,0))="Yes",N(L1091),0))+N(INDEX(Platforms!$D$5:$D$14,MATCH(H1091,Lists!$A$2:$A$11,0)))))),""))</f>
        <v/>
      </c>
      <c r="R1091" s="16" t="str">
        <f t="shared" si="65"/>
        <v/>
      </c>
      <c r="S1091" s="17" t="str">
        <f t="shared" si="66"/>
        <v/>
      </c>
      <c r="T1091" s="18" t="str">
        <f t="shared" ca="1" si="67"/>
        <v/>
      </c>
    </row>
    <row r="1092" spans="1:20" x14ac:dyDescent="0.35">
      <c r="A1092" s="11"/>
      <c r="B1092" s="11"/>
      <c r="C1092" s="11"/>
      <c r="D1092" s="12"/>
      <c r="E1092" s="11"/>
      <c r="F1092" s="13"/>
      <c r="G1092" s="13"/>
      <c r="H1092" s="11"/>
      <c r="I1092" s="12"/>
      <c r="J1092" s="12"/>
      <c r="K1092" s="13"/>
      <c r="L1092" s="13"/>
      <c r="M1092" s="13"/>
      <c r="N1092" s="13"/>
      <c r="O1092" s="13"/>
      <c r="P1092" s="14" t="str">
        <f t="shared" si="64"/>
        <v/>
      </c>
      <c r="Q1092" s="15" t="str">
        <f>IF(OR(J1092="",H1092=""),"",IFERROR(IF(ISNUMBER(N1092),N1092,IF(K1092&lt;N(INDEX(Platforms!$G$5:$G$14,MATCH(H1092,Lists!$A$2:$A$11,0))),N(INDEX(Platforms!$H$5:$H$14,MATCH(H1092,Lists!$A$2:$A$11,0))),MAX(N(INDEX(Platforms!$F$5:$F$14,MATCH(H1092,Lists!$A$2:$A$11,0))),N(INDEX(Platforms!$C$5:$C$14,MATCH(H1092,Lists!$A$2:$A$11,0)))*(K1092+IF(INDEX(Platforms!$E$5:$E$14,MATCH(H1092,Lists!$A$2:$A$11,0))="Yes",N(L1092),0))+N(INDEX(Platforms!$D$5:$D$14,MATCH(H1092,Lists!$A$2:$A$11,0)))))),""))</f>
        <v/>
      </c>
      <c r="R1092" s="16" t="str">
        <f t="shared" si="65"/>
        <v/>
      </c>
      <c r="S1092" s="17" t="str">
        <f t="shared" si="66"/>
        <v/>
      </c>
      <c r="T1092" s="18" t="str">
        <f t="shared" ca="1" si="67"/>
        <v/>
      </c>
    </row>
    <row r="1093" spans="1:20" x14ac:dyDescent="0.35">
      <c r="A1093" s="11"/>
      <c r="B1093" s="11"/>
      <c r="C1093" s="11"/>
      <c r="D1093" s="12"/>
      <c r="E1093" s="11"/>
      <c r="F1093" s="13"/>
      <c r="G1093" s="13"/>
      <c r="H1093" s="11"/>
      <c r="I1093" s="12"/>
      <c r="J1093" s="12"/>
      <c r="K1093" s="13"/>
      <c r="L1093" s="13"/>
      <c r="M1093" s="13"/>
      <c r="N1093" s="13"/>
      <c r="O1093" s="13"/>
      <c r="P1093" s="14" t="str">
        <f t="shared" ref="P1093:P1156" si="68">IF(OR(B1093&lt;&gt;"",F1093&lt;&gt;"",H1093&lt;&gt;"",J1093&lt;&gt;"",K1093&lt;&gt;""),IF(J1093&lt;&gt;"","Sold",IF(I1093&lt;&gt;"","Listed","In stock")),"")</f>
        <v/>
      </c>
      <c r="Q1093" s="15" t="str">
        <f>IF(OR(J1093="",H1093=""),"",IFERROR(IF(ISNUMBER(N1093),N1093,IF(K1093&lt;N(INDEX(Platforms!$G$5:$G$14,MATCH(H1093,Lists!$A$2:$A$11,0))),N(INDEX(Platforms!$H$5:$H$14,MATCH(H1093,Lists!$A$2:$A$11,0))),MAX(N(INDEX(Platforms!$F$5:$F$14,MATCH(H1093,Lists!$A$2:$A$11,0))),N(INDEX(Platforms!$C$5:$C$14,MATCH(H1093,Lists!$A$2:$A$11,0)))*(K1093+IF(INDEX(Platforms!$E$5:$E$14,MATCH(H1093,Lists!$A$2:$A$11,0))="Yes",N(L1093),0))+N(INDEX(Platforms!$D$5:$D$14,MATCH(H1093,Lists!$A$2:$A$11,0)))))),""))</f>
        <v/>
      </c>
      <c r="R1093" s="16" t="str">
        <f t="shared" ref="R1093:R1156" si="69">IF(J1093="","",IFERROR(K1093+N(L1093)-N(O1093)-Q1093-N(M1093)-N(F1093)-N(G1093),""))</f>
        <v/>
      </c>
      <c r="S1093" s="17" t="str">
        <f t="shared" ref="S1093:S1156" si="70">IF(OR(R1093="",N(F1093)+N(G1093)=0),"",R1093/(N(F1093)+N(G1093)))</f>
        <v/>
      </c>
      <c r="T1093" s="18" t="str">
        <f t="shared" ref="T1093:T1156" ca="1" si="71">IFERROR(IF(ISNUMBER(D1093),IF(ISNUMBER(J1093),J1093,IF(J1093="",TODAY(),""))-D1093,""),"")</f>
        <v/>
      </c>
    </row>
    <row r="1094" spans="1:20" x14ac:dyDescent="0.35">
      <c r="A1094" s="11"/>
      <c r="B1094" s="11"/>
      <c r="C1094" s="11"/>
      <c r="D1094" s="12"/>
      <c r="E1094" s="11"/>
      <c r="F1094" s="13"/>
      <c r="G1094" s="13"/>
      <c r="H1094" s="11"/>
      <c r="I1094" s="12"/>
      <c r="J1094" s="12"/>
      <c r="K1094" s="13"/>
      <c r="L1094" s="13"/>
      <c r="M1094" s="13"/>
      <c r="N1094" s="13"/>
      <c r="O1094" s="13"/>
      <c r="P1094" s="14" t="str">
        <f t="shared" si="68"/>
        <v/>
      </c>
      <c r="Q1094" s="15" t="str">
        <f>IF(OR(J1094="",H1094=""),"",IFERROR(IF(ISNUMBER(N1094),N1094,IF(K1094&lt;N(INDEX(Platforms!$G$5:$G$14,MATCH(H1094,Lists!$A$2:$A$11,0))),N(INDEX(Platforms!$H$5:$H$14,MATCH(H1094,Lists!$A$2:$A$11,0))),MAX(N(INDEX(Platforms!$F$5:$F$14,MATCH(H1094,Lists!$A$2:$A$11,0))),N(INDEX(Platforms!$C$5:$C$14,MATCH(H1094,Lists!$A$2:$A$11,0)))*(K1094+IF(INDEX(Platforms!$E$5:$E$14,MATCH(H1094,Lists!$A$2:$A$11,0))="Yes",N(L1094),0))+N(INDEX(Platforms!$D$5:$D$14,MATCH(H1094,Lists!$A$2:$A$11,0)))))),""))</f>
        <v/>
      </c>
      <c r="R1094" s="16" t="str">
        <f t="shared" si="69"/>
        <v/>
      </c>
      <c r="S1094" s="17" t="str">
        <f t="shared" si="70"/>
        <v/>
      </c>
      <c r="T1094" s="18" t="str">
        <f t="shared" ca="1" si="71"/>
        <v/>
      </c>
    </row>
    <row r="1095" spans="1:20" x14ac:dyDescent="0.35">
      <c r="A1095" s="11"/>
      <c r="B1095" s="11"/>
      <c r="C1095" s="11"/>
      <c r="D1095" s="12"/>
      <c r="E1095" s="11"/>
      <c r="F1095" s="13"/>
      <c r="G1095" s="13"/>
      <c r="H1095" s="11"/>
      <c r="I1095" s="12"/>
      <c r="J1095" s="12"/>
      <c r="K1095" s="13"/>
      <c r="L1095" s="13"/>
      <c r="M1095" s="13"/>
      <c r="N1095" s="13"/>
      <c r="O1095" s="13"/>
      <c r="P1095" s="14" t="str">
        <f t="shared" si="68"/>
        <v/>
      </c>
      <c r="Q1095" s="15" t="str">
        <f>IF(OR(J1095="",H1095=""),"",IFERROR(IF(ISNUMBER(N1095),N1095,IF(K1095&lt;N(INDEX(Platforms!$G$5:$G$14,MATCH(H1095,Lists!$A$2:$A$11,0))),N(INDEX(Platforms!$H$5:$H$14,MATCH(H1095,Lists!$A$2:$A$11,0))),MAX(N(INDEX(Platforms!$F$5:$F$14,MATCH(H1095,Lists!$A$2:$A$11,0))),N(INDEX(Platforms!$C$5:$C$14,MATCH(H1095,Lists!$A$2:$A$11,0)))*(K1095+IF(INDEX(Platforms!$E$5:$E$14,MATCH(H1095,Lists!$A$2:$A$11,0))="Yes",N(L1095),0))+N(INDEX(Platforms!$D$5:$D$14,MATCH(H1095,Lists!$A$2:$A$11,0)))))),""))</f>
        <v/>
      </c>
      <c r="R1095" s="16" t="str">
        <f t="shared" si="69"/>
        <v/>
      </c>
      <c r="S1095" s="17" t="str">
        <f t="shared" si="70"/>
        <v/>
      </c>
      <c r="T1095" s="18" t="str">
        <f t="shared" ca="1" si="71"/>
        <v/>
      </c>
    </row>
    <row r="1096" spans="1:20" x14ac:dyDescent="0.35">
      <c r="A1096" s="11"/>
      <c r="B1096" s="11"/>
      <c r="C1096" s="11"/>
      <c r="D1096" s="12"/>
      <c r="E1096" s="11"/>
      <c r="F1096" s="13"/>
      <c r="G1096" s="13"/>
      <c r="H1096" s="11"/>
      <c r="I1096" s="12"/>
      <c r="J1096" s="12"/>
      <c r="K1096" s="13"/>
      <c r="L1096" s="13"/>
      <c r="M1096" s="13"/>
      <c r="N1096" s="13"/>
      <c r="O1096" s="13"/>
      <c r="P1096" s="14" t="str">
        <f t="shared" si="68"/>
        <v/>
      </c>
      <c r="Q1096" s="15" t="str">
        <f>IF(OR(J1096="",H1096=""),"",IFERROR(IF(ISNUMBER(N1096),N1096,IF(K1096&lt;N(INDEX(Platforms!$G$5:$G$14,MATCH(H1096,Lists!$A$2:$A$11,0))),N(INDEX(Platforms!$H$5:$H$14,MATCH(H1096,Lists!$A$2:$A$11,0))),MAX(N(INDEX(Platforms!$F$5:$F$14,MATCH(H1096,Lists!$A$2:$A$11,0))),N(INDEX(Platforms!$C$5:$C$14,MATCH(H1096,Lists!$A$2:$A$11,0)))*(K1096+IF(INDEX(Platforms!$E$5:$E$14,MATCH(H1096,Lists!$A$2:$A$11,0))="Yes",N(L1096),0))+N(INDEX(Platforms!$D$5:$D$14,MATCH(H1096,Lists!$A$2:$A$11,0)))))),""))</f>
        <v/>
      </c>
      <c r="R1096" s="16" t="str">
        <f t="shared" si="69"/>
        <v/>
      </c>
      <c r="S1096" s="17" t="str">
        <f t="shared" si="70"/>
        <v/>
      </c>
      <c r="T1096" s="18" t="str">
        <f t="shared" ca="1" si="71"/>
        <v/>
      </c>
    </row>
    <row r="1097" spans="1:20" x14ac:dyDescent="0.35">
      <c r="A1097" s="11"/>
      <c r="B1097" s="11"/>
      <c r="C1097" s="11"/>
      <c r="D1097" s="12"/>
      <c r="E1097" s="11"/>
      <c r="F1097" s="13"/>
      <c r="G1097" s="13"/>
      <c r="H1097" s="11"/>
      <c r="I1097" s="12"/>
      <c r="J1097" s="12"/>
      <c r="K1097" s="13"/>
      <c r="L1097" s="13"/>
      <c r="M1097" s="13"/>
      <c r="N1097" s="13"/>
      <c r="O1097" s="13"/>
      <c r="P1097" s="14" t="str">
        <f t="shared" si="68"/>
        <v/>
      </c>
      <c r="Q1097" s="15" t="str">
        <f>IF(OR(J1097="",H1097=""),"",IFERROR(IF(ISNUMBER(N1097),N1097,IF(K1097&lt;N(INDEX(Platforms!$G$5:$G$14,MATCH(H1097,Lists!$A$2:$A$11,0))),N(INDEX(Platforms!$H$5:$H$14,MATCH(H1097,Lists!$A$2:$A$11,0))),MAX(N(INDEX(Platforms!$F$5:$F$14,MATCH(H1097,Lists!$A$2:$A$11,0))),N(INDEX(Platforms!$C$5:$C$14,MATCH(H1097,Lists!$A$2:$A$11,0)))*(K1097+IF(INDEX(Platforms!$E$5:$E$14,MATCH(H1097,Lists!$A$2:$A$11,0))="Yes",N(L1097),0))+N(INDEX(Platforms!$D$5:$D$14,MATCH(H1097,Lists!$A$2:$A$11,0)))))),""))</f>
        <v/>
      </c>
      <c r="R1097" s="16" t="str">
        <f t="shared" si="69"/>
        <v/>
      </c>
      <c r="S1097" s="17" t="str">
        <f t="shared" si="70"/>
        <v/>
      </c>
      <c r="T1097" s="18" t="str">
        <f t="shared" ca="1" si="71"/>
        <v/>
      </c>
    </row>
    <row r="1098" spans="1:20" x14ac:dyDescent="0.35">
      <c r="A1098" s="11"/>
      <c r="B1098" s="11"/>
      <c r="C1098" s="11"/>
      <c r="D1098" s="12"/>
      <c r="E1098" s="11"/>
      <c r="F1098" s="13"/>
      <c r="G1098" s="13"/>
      <c r="H1098" s="11"/>
      <c r="I1098" s="12"/>
      <c r="J1098" s="12"/>
      <c r="K1098" s="13"/>
      <c r="L1098" s="13"/>
      <c r="M1098" s="13"/>
      <c r="N1098" s="13"/>
      <c r="O1098" s="13"/>
      <c r="P1098" s="14" t="str">
        <f t="shared" si="68"/>
        <v/>
      </c>
      <c r="Q1098" s="15" t="str">
        <f>IF(OR(J1098="",H1098=""),"",IFERROR(IF(ISNUMBER(N1098),N1098,IF(K1098&lt;N(INDEX(Platforms!$G$5:$G$14,MATCH(H1098,Lists!$A$2:$A$11,0))),N(INDEX(Platforms!$H$5:$H$14,MATCH(H1098,Lists!$A$2:$A$11,0))),MAX(N(INDEX(Platforms!$F$5:$F$14,MATCH(H1098,Lists!$A$2:$A$11,0))),N(INDEX(Platforms!$C$5:$C$14,MATCH(H1098,Lists!$A$2:$A$11,0)))*(K1098+IF(INDEX(Platforms!$E$5:$E$14,MATCH(H1098,Lists!$A$2:$A$11,0))="Yes",N(L1098),0))+N(INDEX(Platforms!$D$5:$D$14,MATCH(H1098,Lists!$A$2:$A$11,0)))))),""))</f>
        <v/>
      </c>
      <c r="R1098" s="16" t="str">
        <f t="shared" si="69"/>
        <v/>
      </c>
      <c r="S1098" s="17" t="str">
        <f t="shared" si="70"/>
        <v/>
      </c>
      <c r="T1098" s="18" t="str">
        <f t="shared" ca="1" si="71"/>
        <v/>
      </c>
    </row>
    <row r="1099" spans="1:20" x14ac:dyDescent="0.35">
      <c r="A1099" s="11"/>
      <c r="B1099" s="11"/>
      <c r="C1099" s="11"/>
      <c r="D1099" s="12"/>
      <c r="E1099" s="11"/>
      <c r="F1099" s="13"/>
      <c r="G1099" s="13"/>
      <c r="H1099" s="11"/>
      <c r="I1099" s="12"/>
      <c r="J1099" s="12"/>
      <c r="K1099" s="13"/>
      <c r="L1099" s="13"/>
      <c r="M1099" s="13"/>
      <c r="N1099" s="13"/>
      <c r="O1099" s="13"/>
      <c r="P1099" s="14" t="str">
        <f t="shared" si="68"/>
        <v/>
      </c>
      <c r="Q1099" s="15" t="str">
        <f>IF(OR(J1099="",H1099=""),"",IFERROR(IF(ISNUMBER(N1099),N1099,IF(K1099&lt;N(INDEX(Platforms!$G$5:$G$14,MATCH(H1099,Lists!$A$2:$A$11,0))),N(INDEX(Platforms!$H$5:$H$14,MATCH(H1099,Lists!$A$2:$A$11,0))),MAX(N(INDEX(Platforms!$F$5:$F$14,MATCH(H1099,Lists!$A$2:$A$11,0))),N(INDEX(Platforms!$C$5:$C$14,MATCH(H1099,Lists!$A$2:$A$11,0)))*(K1099+IF(INDEX(Platforms!$E$5:$E$14,MATCH(H1099,Lists!$A$2:$A$11,0))="Yes",N(L1099),0))+N(INDEX(Platforms!$D$5:$D$14,MATCH(H1099,Lists!$A$2:$A$11,0)))))),""))</f>
        <v/>
      </c>
      <c r="R1099" s="16" t="str">
        <f t="shared" si="69"/>
        <v/>
      </c>
      <c r="S1099" s="17" t="str">
        <f t="shared" si="70"/>
        <v/>
      </c>
      <c r="T1099" s="18" t="str">
        <f t="shared" ca="1" si="71"/>
        <v/>
      </c>
    </row>
    <row r="1100" spans="1:20" x14ac:dyDescent="0.35">
      <c r="A1100" s="11"/>
      <c r="B1100" s="11"/>
      <c r="C1100" s="11"/>
      <c r="D1100" s="12"/>
      <c r="E1100" s="11"/>
      <c r="F1100" s="13"/>
      <c r="G1100" s="13"/>
      <c r="H1100" s="11"/>
      <c r="I1100" s="12"/>
      <c r="J1100" s="12"/>
      <c r="K1100" s="13"/>
      <c r="L1100" s="13"/>
      <c r="M1100" s="13"/>
      <c r="N1100" s="13"/>
      <c r="O1100" s="13"/>
      <c r="P1100" s="14" t="str">
        <f t="shared" si="68"/>
        <v/>
      </c>
      <c r="Q1100" s="15" t="str">
        <f>IF(OR(J1100="",H1100=""),"",IFERROR(IF(ISNUMBER(N1100),N1100,IF(K1100&lt;N(INDEX(Platforms!$G$5:$G$14,MATCH(H1100,Lists!$A$2:$A$11,0))),N(INDEX(Platforms!$H$5:$H$14,MATCH(H1100,Lists!$A$2:$A$11,0))),MAX(N(INDEX(Platforms!$F$5:$F$14,MATCH(H1100,Lists!$A$2:$A$11,0))),N(INDEX(Platforms!$C$5:$C$14,MATCH(H1100,Lists!$A$2:$A$11,0)))*(K1100+IF(INDEX(Platforms!$E$5:$E$14,MATCH(H1100,Lists!$A$2:$A$11,0))="Yes",N(L1100),0))+N(INDEX(Platforms!$D$5:$D$14,MATCH(H1100,Lists!$A$2:$A$11,0)))))),""))</f>
        <v/>
      </c>
      <c r="R1100" s="16" t="str">
        <f t="shared" si="69"/>
        <v/>
      </c>
      <c r="S1100" s="17" t="str">
        <f t="shared" si="70"/>
        <v/>
      </c>
      <c r="T1100" s="18" t="str">
        <f t="shared" ca="1" si="71"/>
        <v/>
      </c>
    </row>
    <row r="1101" spans="1:20" x14ac:dyDescent="0.35">
      <c r="A1101" s="11"/>
      <c r="B1101" s="11"/>
      <c r="C1101" s="11"/>
      <c r="D1101" s="12"/>
      <c r="E1101" s="11"/>
      <c r="F1101" s="13"/>
      <c r="G1101" s="13"/>
      <c r="H1101" s="11"/>
      <c r="I1101" s="12"/>
      <c r="J1101" s="12"/>
      <c r="K1101" s="13"/>
      <c r="L1101" s="13"/>
      <c r="M1101" s="13"/>
      <c r="N1101" s="13"/>
      <c r="O1101" s="13"/>
      <c r="P1101" s="14" t="str">
        <f t="shared" si="68"/>
        <v/>
      </c>
      <c r="Q1101" s="15" t="str">
        <f>IF(OR(J1101="",H1101=""),"",IFERROR(IF(ISNUMBER(N1101),N1101,IF(K1101&lt;N(INDEX(Platforms!$G$5:$G$14,MATCH(H1101,Lists!$A$2:$A$11,0))),N(INDEX(Platforms!$H$5:$H$14,MATCH(H1101,Lists!$A$2:$A$11,0))),MAX(N(INDEX(Platforms!$F$5:$F$14,MATCH(H1101,Lists!$A$2:$A$11,0))),N(INDEX(Platforms!$C$5:$C$14,MATCH(H1101,Lists!$A$2:$A$11,0)))*(K1101+IF(INDEX(Platforms!$E$5:$E$14,MATCH(H1101,Lists!$A$2:$A$11,0))="Yes",N(L1101),0))+N(INDEX(Platforms!$D$5:$D$14,MATCH(H1101,Lists!$A$2:$A$11,0)))))),""))</f>
        <v/>
      </c>
      <c r="R1101" s="16" t="str">
        <f t="shared" si="69"/>
        <v/>
      </c>
      <c r="S1101" s="17" t="str">
        <f t="shared" si="70"/>
        <v/>
      </c>
      <c r="T1101" s="18" t="str">
        <f t="shared" ca="1" si="71"/>
        <v/>
      </c>
    </row>
    <row r="1102" spans="1:20" x14ac:dyDescent="0.35">
      <c r="A1102" s="11"/>
      <c r="B1102" s="11"/>
      <c r="C1102" s="11"/>
      <c r="D1102" s="12"/>
      <c r="E1102" s="11"/>
      <c r="F1102" s="13"/>
      <c r="G1102" s="13"/>
      <c r="H1102" s="11"/>
      <c r="I1102" s="12"/>
      <c r="J1102" s="12"/>
      <c r="K1102" s="13"/>
      <c r="L1102" s="13"/>
      <c r="M1102" s="13"/>
      <c r="N1102" s="13"/>
      <c r="O1102" s="13"/>
      <c r="P1102" s="14" t="str">
        <f t="shared" si="68"/>
        <v/>
      </c>
      <c r="Q1102" s="15" t="str">
        <f>IF(OR(J1102="",H1102=""),"",IFERROR(IF(ISNUMBER(N1102),N1102,IF(K1102&lt;N(INDEX(Platforms!$G$5:$G$14,MATCH(H1102,Lists!$A$2:$A$11,0))),N(INDEX(Platforms!$H$5:$H$14,MATCH(H1102,Lists!$A$2:$A$11,0))),MAX(N(INDEX(Platforms!$F$5:$F$14,MATCH(H1102,Lists!$A$2:$A$11,0))),N(INDEX(Platforms!$C$5:$C$14,MATCH(H1102,Lists!$A$2:$A$11,0)))*(K1102+IF(INDEX(Platforms!$E$5:$E$14,MATCH(H1102,Lists!$A$2:$A$11,0))="Yes",N(L1102),0))+N(INDEX(Platforms!$D$5:$D$14,MATCH(H1102,Lists!$A$2:$A$11,0)))))),""))</f>
        <v/>
      </c>
      <c r="R1102" s="16" t="str">
        <f t="shared" si="69"/>
        <v/>
      </c>
      <c r="S1102" s="17" t="str">
        <f t="shared" si="70"/>
        <v/>
      </c>
      <c r="T1102" s="18" t="str">
        <f t="shared" ca="1" si="71"/>
        <v/>
      </c>
    </row>
    <row r="1103" spans="1:20" x14ac:dyDescent="0.35">
      <c r="A1103" s="11"/>
      <c r="B1103" s="11"/>
      <c r="C1103" s="11"/>
      <c r="D1103" s="12"/>
      <c r="E1103" s="11"/>
      <c r="F1103" s="13"/>
      <c r="G1103" s="13"/>
      <c r="H1103" s="11"/>
      <c r="I1103" s="12"/>
      <c r="J1103" s="12"/>
      <c r="K1103" s="13"/>
      <c r="L1103" s="13"/>
      <c r="M1103" s="13"/>
      <c r="N1103" s="13"/>
      <c r="O1103" s="13"/>
      <c r="P1103" s="14" t="str">
        <f t="shared" si="68"/>
        <v/>
      </c>
      <c r="Q1103" s="15" t="str">
        <f>IF(OR(J1103="",H1103=""),"",IFERROR(IF(ISNUMBER(N1103),N1103,IF(K1103&lt;N(INDEX(Platforms!$G$5:$G$14,MATCH(H1103,Lists!$A$2:$A$11,0))),N(INDEX(Platforms!$H$5:$H$14,MATCH(H1103,Lists!$A$2:$A$11,0))),MAX(N(INDEX(Platforms!$F$5:$F$14,MATCH(H1103,Lists!$A$2:$A$11,0))),N(INDEX(Platforms!$C$5:$C$14,MATCH(H1103,Lists!$A$2:$A$11,0)))*(K1103+IF(INDEX(Platforms!$E$5:$E$14,MATCH(H1103,Lists!$A$2:$A$11,0))="Yes",N(L1103),0))+N(INDEX(Platforms!$D$5:$D$14,MATCH(H1103,Lists!$A$2:$A$11,0)))))),""))</f>
        <v/>
      </c>
      <c r="R1103" s="16" t="str">
        <f t="shared" si="69"/>
        <v/>
      </c>
      <c r="S1103" s="17" t="str">
        <f t="shared" si="70"/>
        <v/>
      </c>
      <c r="T1103" s="18" t="str">
        <f t="shared" ca="1" si="71"/>
        <v/>
      </c>
    </row>
    <row r="1104" spans="1:20" x14ac:dyDescent="0.35">
      <c r="A1104" s="11"/>
      <c r="B1104" s="11"/>
      <c r="C1104" s="11"/>
      <c r="D1104" s="12"/>
      <c r="E1104" s="11"/>
      <c r="F1104" s="13"/>
      <c r="G1104" s="13"/>
      <c r="H1104" s="11"/>
      <c r="I1104" s="12"/>
      <c r="J1104" s="12"/>
      <c r="K1104" s="13"/>
      <c r="L1104" s="13"/>
      <c r="M1104" s="13"/>
      <c r="N1104" s="13"/>
      <c r="O1104" s="13"/>
      <c r="P1104" s="14" t="str">
        <f t="shared" si="68"/>
        <v/>
      </c>
      <c r="Q1104" s="15" t="str">
        <f>IF(OR(J1104="",H1104=""),"",IFERROR(IF(ISNUMBER(N1104),N1104,IF(K1104&lt;N(INDEX(Platforms!$G$5:$G$14,MATCH(H1104,Lists!$A$2:$A$11,0))),N(INDEX(Platforms!$H$5:$H$14,MATCH(H1104,Lists!$A$2:$A$11,0))),MAX(N(INDEX(Platforms!$F$5:$F$14,MATCH(H1104,Lists!$A$2:$A$11,0))),N(INDEX(Platforms!$C$5:$C$14,MATCH(H1104,Lists!$A$2:$A$11,0)))*(K1104+IF(INDEX(Platforms!$E$5:$E$14,MATCH(H1104,Lists!$A$2:$A$11,0))="Yes",N(L1104),0))+N(INDEX(Platforms!$D$5:$D$14,MATCH(H1104,Lists!$A$2:$A$11,0)))))),""))</f>
        <v/>
      </c>
      <c r="R1104" s="16" t="str">
        <f t="shared" si="69"/>
        <v/>
      </c>
      <c r="S1104" s="17" t="str">
        <f t="shared" si="70"/>
        <v/>
      </c>
      <c r="T1104" s="18" t="str">
        <f t="shared" ca="1" si="71"/>
        <v/>
      </c>
    </row>
    <row r="1105" spans="1:20" x14ac:dyDescent="0.35">
      <c r="A1105" s="11"/>
      <c r="B1105" s="11"/>
      <c r="C1105" s="11"/>
      <c r="D1105" s="12"/>
      <c r="E1105" s="11"/>
      <c r="F1105" s="13"/>
      <c r="G1105" s="13"/>
      <c r="H1105" s="11"/>
      <c r="I1105" s="12"/>
      <c r="J1105" s="12"/>
      <c r="K1105" s="13"/>
      <c r="L1105" s="13"/>
      <c r="M1105" s="13"/>
      <c r="N1105" s="13"/>
      <c r="O1105" s="13"/>
      <c r="P1105" s="14" t="str">
        <f t="shared" si="68"/>
        <v/>
      </c>
      <c r="Q1105" s="15" t="str">
        <f>IF(OR(J1105="",H1105=""),"",IFERROR(IF(ISNUMBER(N1105),N1105,IF(K1105&lt;N(INDEX(Platforms!$G$5:$G$14,MATCH(H1105,Lists!$A$2:$A$11,0))),N(INDEX(Platforms!$H$5:$H$14,MATCH(H1105,Lists!$A$2:$A$11,0))),MAX(N(INDEX(Platforms!$F$5:$F$14,MATCH(H1105,Lists!$A$2:$A$11,0))),N(INDEX(Platforms!$C$5:$C$14,MATCH(H1105,Lists!$A$2:$A$11,0)))*(K1105+IF(INDEX(Platforms!$E$5:$E$14,MATCH(H1105,Lists!$A$2:$A$11,0))="Yes",N(L1105),0))+N(INDEX(Platforms!$D$5:$D$14,MATCH(H1105,Lists!$A$2:$A$11,0)))))),""))</f>
        <v/>
      </c>
      <c r="R1105" s="16" t="str">
        <f t="shared" si="69"/>
        <v/>
      </c>
      <c r="S1105" s="17" t="str">
        <f t="shared" si="70"/>
        <v/>
      </c>
      <c r="T1105" s="18" t="str">
        <f t="shared" ca="1" si="71"/>
        <v/>
      </c>
    </row>
    <row r="1106" spans="1:20" x14ac:dyDescent="0.35">
      <c r="A1106" s="11"/>
      <c r="B1106" s="11"/>
      <c r="C1106" s="11"/>
      <c r="D1106" s="12"/>
      <c r="E1106" s="11"/>
      <c r="F1106" s="13"/>
      <c r="G1106" s="13"/>
      <c r="H1106" s="11"/>
      <c r="I1106" s="12"/>
      <c r="J1106" s="12"/>
      <c r="K1106" s="13"/>
      <c r="L1106" s="13"/>
      <c r="M1106" s="13"/>
      <c r="N1106" s="13"/>
      <c r="O1106" s="13"/>
      <c r="P1106" s="14" t="str">
        <f t="shared" si="68"/>
        <v/>
      </c>
      <c r="Q1106" s="15" t="str">
        <f>IF(OR(J1106="",H1106=""),"",IFERROR(IF(ISNUMBER(N1106),N1106,IF(K1106&lt;N(INDEX(Platforms!$G$5:$G$14,MATCH(H1106,Lists!$A$2:$A$11,0))),N(INDEX(Platforms!$H$5:$H$14,MATCH(H1106,Lists!$A$2:$A$11,0))),MAX(N(INDEX(Platforms!$F$5:$F$14,MATCH(H1106,Lists!$A$2:$A$11,0))),N(INDEX(Platforms!$C$5:$C$14,MATCH(H1106,Lists!$A$2:$A$11,0)))*(K1106+IF(INDEX(Platforms!$E$5:$E$14,MATCH(H1106,Lists!$A$2:$A$11,0))="Yes",N(L1106),0))+N(INDEX(Platforms!$D$5:$D$14,MATCH(H1106,Lists!$A$2:$A$11,0)))))),""))</f>
        <v/>
      </c>
      <c r="R1106" s="16" t="str">
        <f t="shared" si="69"/>
        <v/>
      </c>
      <c r="S1106" s="17" t="str">
        <f t="shared" si="70"/>
        <v/>
      </c>
      <c r="T1106" s="18" t="str">
        <f t="shared" ca="1" si="71"/>
        <v/>
      </c>
    </row>
    <row r="1107" spans="1:20" x14ac:dyDescent="0.35">
      <c r="A1107" s="11"/>
      <c r="B1107" s="11"/>
      <c r="C1107" s="11"/>
      <c r="D1107" s="12"/>
      <c r="E1107" s="11"/>
      <c r="F1107" s="13"/>
      <c r="G1107" s="13"/>
      <c r="H1107" s="11"/>
      <c r="I1107" s="12"/>
      <c r="J1107" s="12"/>
      <c r="K1107" s="13"/>
      <c r="L1107" s="13"/>
      <c r="M1107" s="13"/>
      <c r="N1107" s="13"/>
      <c r="O1107" s="13"/>
      <c r="P1107" s="14" t="str">
        <f t="shared" si="68"/>
        <v/>
      </c>
      <c r="Q1107" s="15" t="str">
        <f>IF(OR(J1107="",H1107=""),"",IFERROR(IF(ISNUMBER(N1107),N1107,IF(K1107&lt;N(INDEX(Platforms!$G$5:$G$14,MATCH(H1107,Lists!$A$2:$A$11,0))),N(INDEX(Platforms!$H$5:$H$14,MATCH(H1107,Lists!$A$2:$A$11,0))),MAX(N(INDEX(Platforms!$F$5:$F$14,MATCH(H1107,Lists!$A$2:$A$11,0))),N(INDEX(Platforms!$C$5:$C$14,MATCH(H1107,Lists!$A$2:$A$11,0)))*(K1107+IF(INDEX(Platforms!$E$5:$E$14,MATCH(H1107,Lists!$A$2:$A$11,0))="Yes",N(L1107),0))+N(INDEX(Platforms!$D$5:$D$14,MATCH(H1107,Lists!$A$2:$A$11,0)))))),""))</f>
        <v/>
      </c>
      <c r="R1107" s="16" t="str">
        <f t="shared" si="69"/>
        <v/>
      </c>
      <c r="S1107" s="17" t="str">
        <f t="shared" si="70"/>
        <v/>
      </c>
      <c r="T1107" s="18" t="str">
        <f t="shared" ca="1" si="71"/>
        <v/>
      </c>
    </row>
    <row r="1108" spans="1:20" x14ac:dyDescent="0.35">
      <c r="A1108" s="11"/>
      <c r="B1108" s="11"/>
      <c r="C1108" s="11"/>
      <c r="D1108" s="12"/>
      <c r="E1108" s="11"/>
      <c r="F1108" s="13"/>
      <c r="G1108" s="13"/>
      <c r="H1108" s="11"/>
      <c r="I1108" s="12"/>
      <c r="J1108" s="12"/>
      <c r="K1108" s="13"/>
      <c r="L1108" s="13"/>
      <c r="M1108" s="13"/>
      <c r="N1108" s="13"/>
      <c r="O1108" s="13"/>
      <c r="P1108" s="14" t="str">
        <f t="shared" si="68"/>
        <v/>
      </c>
      <c r="Q1108" s="15" t="str">
        <f>IF(OR(J1108="",H1108=""),"",IFERROR(IF(ISNUMBER(N1108),N1108,IF(K1108&lt;N(INDEX(Platforms!$G$5:$G$14,MATCH(H1108,Lists!$A$2:$A$11,0))),N(INDEX(Platforms!$H$5:$H$14,MATCH(H1108,Lists!$A$2:$A$11,0))),MAX(N(INDEX(Platforms!$F$5:$F$14,MATCH(H1108,Lists!$A$2:$A$11,0))),N(INDEX(Platforms!$C$5:$C$14,MATCH(H1108,Lists!$A$2:$A$11,0)))*(K1108+IF(INDEX(Platforms!$E$5:$E$14,MATCH(H1108,Lists!$A$2:$A$11,0))="Yes",N(L1108),0))+N(INDEX(Platforms!$D$5:$D$14,MATCH(H1108,Lists!$A$2:$A$11,0)))))),""))</f>
        <v/>
      </c>
      <c r="R1108" s="16" t="str">
        <f t="shared" si="69"/>
        <v/>
      </c>
      <c r="S1108" s="17" t="str">
        <f t="shared" si="70"/>
        <v/>
      </c>
      <c r="T1108" s="18" t="str">
        <f t="shared" ca="1" si="71"/>
        <v/>
      </c>
    </row>
    <row r="1109" spans="1:20" x14ac:dyDescent="0.35">
      <c r="A1109" s="11"/>
      <c r="B1109" s="11"/>
      <c r="C1109" s="11"/>
      <c r="D1109" s="12"/>
      <c r="E1109" s="11"/>
      <c r="F1109" s="13"/>
      <c r="G1109" s="13"/>
      <c r="H1109" s="11"/>
      <c r="I1109" s="12"/>
      <c r="J1109" s="12"/>
      <c r="K1109" s="13"/>
      <c r="L1109" s="13"/>
      <c r="M1109" s="13"/>
      <c r="N1109" s="13"/>
      <c r="O1109" s="13"/>
      <c r="P1109" s="14" t="str">
        <f t="shared" si="68"/>
        <v/>
      </c>
      <c r="Q1109" s="15" t="str">
        <f>IF(OR(J1109="",H1109=""),"",IFERROR(IF(ISNUMBER(N1109),N1109,IF(K1109&lt;N(INDEX(Platforms!$G$5:$G$14,MATCH(H1109,Lists!$A$2:$A$11,0))),N(INDEX(Platforms!$H$5:$H$14,MATCH(H1109,Lists!$A$2:$A$11,0))),MAX(N(INDEX(Platforms!$F$5:$F$14,MATCH(H1109,Lists!$A$2:$A$11,0))),N(INDEX(Platforms!$C$5:$C$14,MATCH(H1109,Lists!$A$2:$A$11,0)))*(K1109+IF(INDEX(Platforms!$E$5:$E$14,MATCH(H1109,Lists!$A$2:$A$11,0))="Yes",N(L1109),0))+N(INDEX(Platforms!$D$5:$D$14,MATCH(H1109,Lists!$A$2:$A$11,0)))))),""))</f>
        <v/>
      </c>
      <c r="R1109" s="16" t="str">
        <f t="shared" si="69"/>
        <v/>
      </c>
      <c r="S1109" s="17" t="str">
        <f t="shared" si="70"/>
        <v/>
      </c>
      <c r="T1109" s="18" t="str">
        <f t="shared" ca="1" si="71"/>
        <v/>
      </c>
    </row>
    <row r="1110" spans="1:20" x14ac:dyDescent="0.35">
      <c r="A1110" s="11"/>
      <c r="B1110" s="11"/>
      <c r="C1110" s="11"/>
      <c r="D1110" s="12"/>
      <c r="E1110" s="11"/>
      <c r="F1110" s="13"/>
      <c r="G1110" s="13"/>
      <c r="H1110" s="11"/>
      <c r="I1110" s="12"/>
      <c r="J1110" s="12"/>
      <c r="K1110" s="13"/>
      <c r="L1110" s="13"/>
      <c r="M1110" s="13"/>
      <c r="N1110" s="13"/>
      <c r="O1110" s="13"/>
      <c r="P1110" s="14" t="str">
        <f t="shared" si="68"/>
        <v/>
      </c>
      <c r="Q1110" s="15" t="str">
        <f>IF(OR(J1110="",H1110=""),"",IFERROR(IF(ISNUMBER(N1110),N1110,IF(K1110&lt;N(INDEX(Platforms!$G$5:$G$14,MATCH(H1110,Lists!$A$2:$A$11,0))),N(INDEX(Platforms!$H$5:$H$14,MATCH(H1110,Lists!$A$2:$A$11,0))),MAX(N(INDEX(Platforms!$F$5:$F$14,MATCH(H1110,Lists!$A$2:$A$11,0))),N(INDEX(Platforms!$C$5:$C$14,MATCH(H1110,Lists!$A$2:$A$11,0)))*(K1110+IF(INDEX(Platforms!$E$5:$E$14,MATCH(H1110,Lists!$A$2:$A$11,0))="Yes",N(L1110),0))+N(INDEX(Platforms!$D$5:$D$14,MATCH(H1110,Lists!$A$2:$A$11,0)))))),""))</f>
        <v/>
      </c>
      <c r="R1110" s="16" t="str">
        <f t="shared" si="69"/>
        <v/>
      </c>
      <c r="S1110" s="17" t="str">
        <f t="shared" si="70"/>
        <v/>
      </c>
      <c r="T1110" s="18" t="str">
        <f t="shared" ca="1" si="71"/>
        <v/>
      </c>
    </row>
    <row r="1111" spans="1:20" x14ac:dyDescent="0.35">
      <c r="A1111" s="11"/>
      <c r="B1111" s="11"/>
      <c r="C1111" s="11"/>
      <c r="D1111" s="12"/>
      <c r="E1111" s="11"/>
      <c r="F1111" s="13"/>
      <c r="G1111" s="13"/>
      <c r="H1111" s="11"/>
      <c r="I1111" s="12"/>
      <c r="J1111" s="12"/>
      <c r="K1111" s="13"/>
      <c r="L1111" s="13"/>
      <c r="M1111" s="13"/>
      <c r="N1111" s="13"/>
      <c r="O1111" s="13"/>
      <c r="P1111" s="14" t="str">
        <f t="shared" si="68"/>
        <v/>
      </c>
      <c r="Q1111" s="15" t="str">
        <f>IF(OR(J1111="",H1111=""),"",IFERROR(IF(ISNUMBER(N1111),N1111,IF(K1111&lt;N(INDEX(Platforms!$G$5:$G$14,MATCH(H1111,Lists!$A$2:$A$11,0))),N(INDEX(Platforms!$H$5:$H$14,MATCH(H1111,Lists!$A$2:$A$11,0))),MAX(N(INDEX(Platforms!$F$5:$F$14,MATCH(H1111,Lists!$A$2:$A$11,0))),N(INDEX(Platforms!$C$5:$C$14,MATCH(H1111,Lists!$A$2:$A$11,0)))*(K1111+IF(INDEX(Platforms!$E$5:$E$14,MATCH(H1111,Lists!$A$2:$A$11,0))="Yes",N(L1111),0))+N(INDEX(Platforms!$D$5:$D$14,MATCH(H1111,Lists!$A$2:$A$11,0)))))),""))</f>
        <v/>
      </c>
      <c r="R1111" s="16" t="str">
        <f t="shared" si="69"/>
        <v/>
      </c>
      <c r="S1111" s="17" t="str">
        <f t="shared" si="70"/>
        <v/>
      </c>
      <c r="T1111" s="18" t="str">
        <f t="shared" ca="1" si="71"/>
        <v/>
      </c>
    </row>
    <row r="1112" spans="1:20" x14ac:dyDescent="0.35">
      <c r="A1112" s="11"/>
      <c r="B1112" s="11"/>
      <c r="C1112" s="11"/>
      <c r="D1112" s="12"/>
      <c r="E1112" s="11"/>
      <c r="F1112" s="13"/>
      <c r="G1112" s="13"/>
      <c r="H1112" s="11"/>
      <c r="I1112" s="12"/>
      <c r="J1112" s="12"/>
      <c r="K1112" s="13"/>
      <c r="L1112" s="13"/>
      <c r="M1112" s="13"/>
      <c r="N1112" s="13"/>
      <c r="O1112" s="13"/>
      <c r="P1112" s="14" t="str">
        <f t="shared" si="68"/>
        <v/>
      </c>
      <c r="Q1112" s="15" t="str">
        <f>IF(OR(J1112="",H1112=""),"",IFERROR(IF(ISNUMBER(N1112),N1112,IF(K1112&lt;N(INDEX(Platforms!$G$5:$G$14,MATCH(H1112,Lists!$A$2:$A$11,0))),N(INDEX(Platforms!$H$5:$H$14,MATCH(H1112,Lists!$A$2:$A$11,0))),MAX(N(INDEX(Platforms!$F$5:$F$14,MATCH(H1112,Lists!$A$2:$A$11,0))),N(INDEX(Platforms!$C$5:$C$14,MATCH(H1112,Lists!$A$2:$A$11,0)))*(K1112+IF(INDEX(Platforms!$E$5:$E$14,MATCH(H1112,Lists!$A$2:$A$11,0))="Yes",N(L1112),0))+N(INDEX(Platforms!$D$5:$D$14,MATCH(H1112,Lists!$A$2:$A$11,0)))))),""))</f>
        <v/>
      </c>
      <c r="R1112" s="16" t="str">
        <f t="shared" si="69"/>
        <v/>
      </c>
      <c r="S1112" s="17" t="str">
        <f t="shared" si="70"/>
        <v/>
      </c>
      <c r="T1112" s="18" t="str">
        <f t="shared" ca="1" si="71"/>
        <v/>
      </c>
    </row>
    <row r="1113" spans="1:20" x14ac:dyDescent="0.35">
      <c r="A1113" s="11"/>
      <c r="B1113" s="11"/>
      <c r="C1113" s="11"/>
      <c r="D1113" s="12"/>
      <c r="E1113" s="11"/>
      <c r="F1113" s="13"/>
      <c r="G1113" s="13"/>
      <c r="H1113" s="11"/>
      <c r="I1113" s="12"/>
      <c r="J1113" s="12"/>
      <c r="K1113" s="13"/>
      <c r="L1113" s="13"/>
      <c r="M1113" s="13"/>
      <c r="N1113" s="13"/>
      <c r="O1113" s="13"/>
      <c r="P1113" s="14" t="str">
        <f t="shared" si="68"/>
        <v/>
      </c>
      <c r="Q1113" s="15" t="str">
        <f>IF(OR(J1113="",H1113=""),"",IFERROR(IF(ISNUMBER(N1113),N1113,IF(K1113&lt;N(INDEX(Platforms!$G$5:$G$14,MATCH(H1113,Lists!$A$2:$A$11,0))),N(INDEX(Platforms!$H$5:$H$14,MATCH(H1113,Lists!$A$2:$A$11,0))),MAX(N(INDEX(Platforms!$F$5:$F$14,MATCH(H1113,Lists!$A$2:$A$11,0))),N(INDEX(Platforms!$C$5:$C$14,MATCH(H1113,Lists!$A$2:$A$11,0)))*(K1113+IF(INDEX(Platforms!$E$5:$E$14,MATCH(H1113,Lists!$A$2:$A$11,0))="Yes",N(L1113),0))+N(INDEX(Platforms!$D$5:$D$14,MATCH(H1113,Lists!$A$2:$A$11,0)))))),""))</f>
        <v/>
      </c>
      <c r="R1113" s="16" t="str">
        <f t="shared" si="69"/>
        <v/>
      </c>
      <c r="S1113" s="17" t="str">
        <f t="shared" si="70"/>
        <v/>
      </c>
      <c r="T1113" s="18" t="str">
        <f t="shared" ca="1" si="71"/>
        <v/>
      </c>
    </row>
    <row r="1114" spans="1:20" x14ac:dyDescent="0.35">
      <c r="A1114" s="11"/>
      <c r="B1114" s="11"/>
      <c r="C1114" s="11"/>
      <c r="D1114" s="12"/>
      <c r="E1114" s="11"/>
      <c r="F1114" s="13"/>
      <c r="G1114" s="13"/>
      <c r="H1114" s="11"/>
      <c r="I1114" s="12"/>
      <c r="J1114" s="12"/>
      <c r="K1114" s="13"/>
      <c r="L1114" s="13"/>
      <c r="M1114" s="13"/>
      <c r="N1114" s="13"/>
      <c r="O1114" s="13"/>
      <c r="P1114" s="14" t="str">
        <f t="shared" si="68"/>
        <v/>
      </c>
      <c r="Q1114" s="15" t="str">
        <f>IF(OR(J1114="",H1114=""),"",IFERROR(IF(ISNUMBER(N1114),N1114,IF(K1114&lt;N(INDEX(Platforms!$G$5:$G$14,MATCH(H1114,Lists!$A$2:$A$11,0))),N(INDEX(Platforms!$H$5:$H$14,MATCH(H1114,Lists!$A$2:$A$11,0))),MAX(N(INDEX(Platforms!$F$5:$F$14,MATCH(H1114,Lists!$A$2:$A$11,0))),N(INDEX(Platforms!$C$5:$C$14,MATCH(H1114,Lists!$A$2:$A$11,0)))*(K1114+IF(INDEX(Platforms!$E$5:$E$14,MATCH(H1114,Lists!$A$2:$A$11,0))="Yes",N(L1114),0))+N(INDEX(Platforms!$D$5:$D$14,MATCH(H1114,Lists!$A$2:$A$11,0)))))),""))</f>
        <v/>
      </c>
      <c r="R1114" s="16" t="str">
        <f t="shared" si="69"/>
        <v/>
      </c>
      <c r="S1114" s="17" t="str">
        <f t="shared" si="70"/>
        <v/>
      </c>
      <c r="T1114" s="18" t="str">
        <f t="shared" ca="1" si="71"/>
        <v/>
      </c>
    </row>
    <row r="1115" spans="1:20" x14ac:dyDescent="0.35">
      <c r="A1115" s="11"/>
      <c r="B1115" s="11"/>
      <c r="C1115" s="11"/>
      <c r="D1115" s="12"/>
      <c r="E1115" s="11"/>
      <c r="F1115" s="13"/>
      <c r="G1115" s="13"/>
      <c r="H1115" s="11"/>
      <c r="I1115" s="12"/>
      <c r="J1115" s="12"/>
      <c r="K1115" s="13"/>
      <c r="L1115" s="13"/>
      <c r="M1115" s="13"/>
      <c r="N1115" s="13"/>
      <c r="O1115" s="13"/>
      <c r="P1115" s="14" t="str">
        <f t="shared" si="68"/>
        <v/>
      </c>
      <c r="Q1115" s="15" t="str">
        <f>IF(OR(J1115="",H1115=""),"",IFERROR(IF(ISNUMBER(N1115),N1115,IF(K1115&lt;N(INDEX(Platforms!$G$5:$G$14,MATCH(H1115,Lists!$A$2:$A$11,0))),N(INDEX(Platforms!$H$5:$H$14,MATCH(H1115,Lists!$A$2:$A$11,0))),MAX(N(INDEX(Platforms!$F$5:$F$14,MATCH(H1115,Lists!$A$2:$A$11,0))),N(INDEX(Platforms!$C$5:$C$14,MATCH(H1115,Lists!$A$2:$A$11,0)))*(K1115+IF(INDEX(Platforms!$E$5:$E$14,MATCH(H1115,Lists!$A$2:$A$11,0))="Yes",N(L1115),0))+N(INDEX(Platforms!$D$5:$D$14,MATCH(H1115,Lists!$A$2:$A$11,0)))))),""))</f>
        <v/>
      </c>
      <c r="R1115" s="16" t="str">
        <f t="shared" si="69"/>
        <v/>
      </c>
      <c r="S1115" s="17" t="str">
        <f t="shared" si="70"/>
        <v/>
      </c>
      <c r="T1115" s="18" t="str">
        <f t="shared" ca="1" si="71"/>
        <v/>
      </c>
    </row>
    <row r="1116" spans="1:20" x14ac:dyDescent="0.35">
      <c r="A1116" s="11"/>
      <c r="B1116" s="11"/>
      <c r="C1116" s="11"/>
      <c r="D1116" s="12"/>
      <c r="E1116" s="11"/>
      <c r="F1116" s="13"/>
      <c r="G1116" s="13"/>
      <c r="H1116" s="11"/>
      <c r="I1116" s="12"/>
      <c r="J1116" s="12"/>
      <c r="K1116" s="13"/>
      <c r="L1116" s="13"/>
      <c r="M1116" s="13"/>
      <c r="N1116" s="13"/>
      <c r="O1116" s="13"/>
      <c r="P1116" s="14" t="str">
        <f t="shared" si="68"/>
        <v/>
      </c>
      <c r="Q1116" s="15" t="str">
        <f>IF(OR(J1116="",H1116=""),"",IFERROR(IF(ISNUMBER(N1116),N1116,IF(K1116&lt;N(INDEX(Platforms!$G$5:$G$14,MATCH(H1116,Lists!$A$2:$A$11,0))),N(INDEX(Platforms!$H$5:$H$14,MATCH(H1116,Lists!$A$2:$A$11,0))),MAX(N(INDEX(Platforms!$F$5:$F$14,MATCH(H1116,Lists!$A$2:$A$11,0))),N(INDEX(Platforms!$C$5:$C$14,MATCH(H1116,Lists!$A$2:$A$11,0)))*(K1116+IF(INDEX(Platforms!$E$5:$E$14,MATCH(H1116,Lists!$A$2:$A$11,0))="Yes",N(L1116),0))+N(INDEX(Platforms!$D$5:$D$14,MATCH(H1116,Lists!$A$2:$A$11,0)))))),""))</f>
        <v/>
      </c>
      <c r="R1116" s="16" t="str">
        <f t="shared" si="69"/>
        <v/>
      </c>
      <c r="S1116" s="17" t="str">
        <f t="shared" si="70"/>
        <v/>
      </c>
      <c r="T1116" s="18" t="str">
        <f t="shared" ca="1" si="71"/>
        <v/>
      </c>
    </row>
    <row r="1117" spans="1:20" x14ac:dyDescent="0.35">
      <c r="A1117" s="11"/>
      <c r="B1117" s="11"/>
      <c r="C1117" s="11"/>
      <c r="D1117" s="12"/>
      <c r="E1117" s="11"/>
      <c r="F1117" s="13"/>
      <c r="G1117" s="13"/>
      <c r="H1117" s="11"/>
      <c r="I1117" s="12"/>
      <c r="J1117" s="12"/>
      <c r="K1117" s="13"/>
      <c r="L1117" s="13"/>
      <c r="M1117" s="13"/>
      <c r="N1117" s="13"/>
      <c r="O1117" s="13"/>
      <c r="P1117" s="14" t="str">
        <f t="shared" si="68"/>
        <v/>
      </c>
      <c r="Q1117" s="15" t="str">
        <f>IF(OR(J1117="",H1117=""),"",IFERROR(IF(ISNUMBER(N1117),N1117,IF(K1117&lt;N(INDEX(Platforms!$G$5:$G$14,MATCH(H1117,Lists!$A$2:$A$11,0))),N(INDEX(Platforms!$H$5:$H$14,MATCH(H1117,Lists!$A$2:$A$11,0))),MAX(N(INDEX(Platforms!$F$5:$F$14,MATCH(H1117,Lists!$A$2:$A$11,0))),N(INDEX(Platforms!$C$5:$C$14,MATCH(H1117,Lists!$A$2:$A$11,0)))*(K1117+IF(INDEX(Platforms!$E$5:$E$14,MATCH(H1117,Lists!$A$2:$A$11,0))="Yes",N(L1117),0))+N(INDEX(Platforms!$D$5:$D$14,MATCH(H1117,Lists!$A$2:$A$11,0)))))),""))</f>
        <v/>
      </c>
      <c r="R1117" s="16" t="str">
        <f t="shared" si="69"/>
        <v/>
      </c>
      <c r="S1117" s="17" t="str">
        <f t="shared" si="70"/>
        <v/>
      </c>
      <c r="T1117" s="18" t="str">
        <f t="shared" ca="1" si="71"/>
        <v/>
      </c>
    </row>
    <row r="1118" spans="1:20" x14ac:dyDescent="0.35">
      <c r="A1118" s="11"/>
      <c r="B1118" s="11"/>
      <c r="C1118" s="11"/>
      <c r="D1118" s="12"/>
      <c r="E1118" s="11"/>
      <c r="F1118" s="13"/>
      <c r="G1118" s="13"/>
      <c r="H1118" s="11"/>
      <c r="I1118" s="12"/>
      <c r="J1118" s="12"/>
      <c r="K1118" s="13"/>
      <c r="L1118" s="13"/>
      <c r="M1118" s="13"/>
      <c r="N1118" s="13"/>
      <c r="O1118" s="13"/>
      <c r="P1118" s="14" t="str">
        <f t="shared" si="68"/>
        <v/>
      </c>
      <c r="Q1118" s="15" t="str">
        <f>IF(OR(J1118="",H1118=""),"",IFERROR(IF(ISNUMBER(N1118),N1118,IF(K1118&lt;N(INDEX(Platforms!$G$5:$G$14,MATCH(H1118,Lists!$A$2:$A$11,0))),N(INDEX(Platforms!$H$5:$H$14,MATCH(H1118,Lists!$A$2:$A$11,0))),MAX(N(INDEX(Platforms!$F$5:$F$14,MATCH(H1118,Lists!$A$2:$A$11,0))),N(INDEX(Platforms!$C$5:$C$14,MATCH(H1118,Lists!$A$2:$A$11,0)))*(K1118+IF(INDEX(Platforms!$E$5:$E$14,MATCH(H1118,Lists!$A$2:$A$11,0))="Yes",N(L1118),0))+N(INDEX(Platforms!$D$5:$D$14,MATCH(H1118,Lists!$A$2:$A$11,0)))))),""))</f>
        <v/>
      </c>
      <c r="R1118" s="16" t="str">
        <f t="shared" si="69"/>
        <v/>
      </c>
      <c r="S1118" s="17" t="str">
        <f t="shared" si="70"/>
        <v/>
      </c>
      <c r="T1118" s="18" t="str">
        <f t="shared" ca="1" si="71"/>
        <v/>
      </c>
    </row>
    <row r="1119" spans="1:20" x14ac:dyDescent="0.35">
      <c r="A1119" s="11"/>
      <c r="B1119" s="11"/>
      <c r="C1119" s="11"/>
      <c r="D1119" s="12"/>
      <c r="E1119" s="11"/>
      <c r="F1119" s="13"/>
      <c r="G1119" s="13"/>
      <c r="H1119" s="11"/>
      <c r="I1119" s="12"/>
      <c r="J1119" s="12"/>
      <c r="K1119" s="13"/>
      <c r="L1119" s="13"/>
      <c r="M1119" s="13"/>
      <c r="N1119" s="13"/>
      <c r="O1119" s="13"/>
      <c r="P1119" s="14" t="str">
        <f t="shared" si="68"/>
        <v/>
      </c>
      <c r="Q1119" s="15" t="str">
        <f>IF(OR(J1119="",H1119=""),"",IFERROR(IF(ISNUMBER(N1119),N1119,IF(K1119&lt;N(INDEX(Platforms!$G$5:$G$14,MATCH(H1119,Lists!$A$2:$A$11,0))),N(INDEX(Platforms!$H$5:$H$14,MATCH(H1119,Lists!$A$2:$A$11,0))),MAX(N(INDEX(Platforms!$F$5:$F$14,MATCH(H1119,Lists!$A$2:$A$11,0))),N(INDEX(Platforms!$C$5:$C$14,MATCH(H1119,Lists!$A$2:$A$11,0)))*(K1119+IF(INDEX(Platforms!$E$5:$E$14,MATCH(H1119,Lists!$A$2:$A$11,0))="Yes",N(L1119),0))+N(INDEX(Platforms!$D$5:$D$14,MATCH(H1119,Lists!$A$2:$A$11,0)))))),""))</f>
        <v/>
      </c>
      <c r="R1119" s="16" t="str">
        <f t="shared" si="69"/>
        <v/>
      </c>
      <c r="S1119" s="17" t="str">
        <f t="shared" si="70"/>
        <v/>
      </c>
      <c r="T1119" s="18" t="str">
        <f t="shared" ca="1" si="71"/>
        <v/>
      </c>
    </row>
    <row r="1120" spans="1:20" x14ac:dyDescent="0.35">
      <c r="A1120" s="11"/>
      <c r="B1120" s="11"/>
      <c r="C1120" s="11"/>
      <c r="D1120" s="12"/>
      <c r="E1120" s="11"/>
      <c r="F1120" s="13"/>
      <c r="G1120" s="13"/>
      <c r="H1120" s="11"/>
      <c r="I1120" s="12"/>
      <c r="J1120" s="12"/>
      <c r="K1120" s="13"/>
      <c r="L1120" s="13"/>
      <c r="M1120" s="13"/>
      <c r="N1120" s="13"/>
      <c r="O1120" s="13"/>
      <c r="P1120" s="14" t="str">
        <f t="shared" si="68"/>
        <v/>
      </c>
      <c r="Q1120" s="15" t="str">
        <f>IF(OR(J1120="",H1120=""),"",IFERROR(IF(ISNUMBER(N1120),N1120,IF(K1120&lt;N(INDEX(Platforms!$G$5:$G$14,MATCH(H1120,Lists!$A$2:$A$11,0))),N(INDEX(Platforms!$H$5:$H$14,MATCH(H1120,Lists!$A$2:$A$11,0))),MAX(N(INDEX(Platforms!$F$5:$F$14,MATCH(H1120,Lists!$A$2:$A$11,0))),N(INDEX(Platforms!$C$5:$C$14,MATCH(H1120,Lists!$A$2:$A$11,0)))*(K1120+IF(INDEX(Platforms!$E$5:$E$14,MATCH(H1120,Lists!$A$2:$A$11,0))="Yes",N(L1120),0))+N(INDEX(Platforms!$D$5:$D$14,MATCH(H1120,Lists!$A$2:$A$11,0)))))),""))</f>
        <v/>
      </c>
      <c r="R1120" s="16" t="str">
        <f t="shared" si="69"/>
        <v/>
      </c>
      <c r="S1120" s="17" t="str">
        <f t="shared" si="70"/>
        <v/>
      </c>
      <c r="T1120" s="18" t="str">
        <f t="shared" ca="1" si="71"/>
        <v/>
      </c>
    </row>
    <row r="1121" spans="1:20" x14ac:dyDescent="0.35">
      <c r="A1121" s="11"/>
      <c r="B1121" s="11"/>
      <c r="C1121" s="11"/>
      <c r="D1121" s="12"/>
      <c r="E1121" s="11"/>
      <c r="F1121" s="13"/>
      <c r="G1121" s="13"/>
      <c r="H1121" s="11"/>
      <c r="I1121" s="12"/>
      <c r="J1121" s="12"/>
      <c r="K1121" s="13"/>
      <c r="L1121" s="13"/>
      <c r="M1121" s="13"/>
      <c r="N1121" s="13"/>
      <c r="O1121" s="13"/>
      <c r="P1121" s="14" t="str">
        <f t="shared" si="68"/>
        <v/>
      </c>
      <c r="Q1121" s="15" t="str">
        <f>IF(OR(J1121="",H1121=""),"",IFERROR(IF(ISNUMBER(N1121),N1121,IF(K1121&lt;N(INDEX(Platforms!$G$5:$G$14,MATCH(H1121,Lists!$A$2:$A$11,0))),N(INDEX(Platforms!$H$5:$H$14,MATCH(H1121,Lists!$A$2:$A$11,0))),MAX(N(INDEX(Platforms!$F$5:$F$14,MATCH(H1121,Lists!$A$2:$A$11,0))),N(INDEX(Platforms!$C$5:$C$14,MATCH(H1121,Lists!$A$2:$A$11,0)))*(K1121+IF(INDEX(Platforms!$E$5:$E$14,MATCH(H1121,Lists!$A$2:$A$11,0))="Yes",N(L1121),0))+N(INDEX(Platforms!$D$5:$D$14,MATCH(H1121,Lists!$A$2:$A$11,0)))))),""))</f>
        <v/>
      </c>
      <c r="R1121" s="16" t="str">
        <f t="shared" si="69"/>
        <v/>
      </c>
      <c r="S1121" s="17" t="str">
        <f t="shared" si="70"/>
        <v/>
      </c>
      <c r="T1121" s="18" t="str">
        <f t="shared" ca="1" si="71"/>
        <v/>
      </c>
    </row>
    <row r="1122" spans="1:20" x14ac:dyDescent="0.35">
      <c r="A1122" s="11"/>
      <c r="B1122" s="11"/>
      <c r="C1122" s="11"/>
      <c r="D1122" s="12"/>
      <c r="E1122" s="11"/>
      <c r="F1122" s="13"/>
      <c r="G1122" s="13"/>
      <c r="H1122" s="11"/>
      <c r="I1122" s="12"/>
      <c r="J1122" s="12"/>
      <c r="K1122" s="13"/>
      <c r="L1122" s="13"/>
      <c r="M1122" s="13"/>
      <c r="N1122" s="13"/>
      <c r="O1122" s="13"/>
      <c r="P1122" s="14" t="str">
        <f t="shared" si="68"/>
        <v/>
      </c>
      <c r="Q1122" s="15" t="str">
        <f>IF(OR(J1122="",H1122=""),"",IFERROR(IF(ISNUMBER(N1122),N1122,IF(K1122&lt;N(INDEX(Platforms!$G$5:$G$14,MATCH(H1122,Lists!$A$2:$A$11,0))),N(INDEX(Platforms!$H$5:$H$14,MATCH(H1122,Lists!$A$2:$A$11,0))),MAX(N(INDEX(Platforms!$F$5:$F$14,MATCH(H1122,Lists!$A$2:$A$11,0))),N(INDEX(Platforms!$C$5:$C$14,MATCH(H1122,Lists!$A$2:$A$11,0)))*(K1122+IF(INDEX(Platforms!$E$5:$E$14,MATCH(H1122,Lists!$A$2:$A$11,0))="Yes",N(L1122),0))+N(INDEX(Platforms!$D$5:$D$14,MATCH(H1122,Lists!$A$2:$A$11,0)))))),""))</f>
        <v/>
      </c>
      <c r="R1122" s="16" t="str">
        <f t="shared" si="69"/>
        <v/>
      </c>
      <c r="S1122" s="17" t="str">
        <f t="shared" si="70"/>
        <v/>
      </c>
      <c r="T1122" s="18" t="str">
        <f t="shared" ca="1" si="71"/>
        <v/>
      </c>
    </row>
    <row r="1123" spans="1:20" x14ac:dyDescent="0.35">
      <c r="A1123" s="11"/>
      <c r="B1123" s="11"/>
      <c r="C1123" s="11"/>
      <c r="D1123" s="12"/>
      <c r="E1123" s="11"/>
      <c r="F1123" s="13"/>
      <c r="G1123" s="13"/>
      <c r="H1123" s="11"/>
      <c r="I1123" s="12"/>
      <c r="J1123" s="12"/>
      <c r="K1123" s="13"/>
      <c r="L1123" s="13"/>
      <c r="M1123" s="13"/>
      <c r="N1123" s="13"/>
      <c r="O1123" s="13"/>
      <c r="P1123" s="14" t="str">
        <f t="shared" si="68"/>
        <v/>
      </c>
      <c r="Q1123" s="15" t="str">
        <f>IF(OR(J1123="",H1123=""),"",IFERROR(IF(ISNUMBER(N1123),N1123,IF(K1123&lt;N(INDEX(Platforms!$G$5:$G$14,MATCH(H1123,Lists!$A$2:$A$11,0))),N(INDEX(Platforms!$H$5:$H$14,MATCH(H1123,Lists!$A$2:$A$11,0))),MAX(N(INDEX(Platforms!$F$5:$F$14,MATCH(H1123,Lists!$A$2:$A$11,0))),N(INDEX(Platforms!$C$5:$C$14,MATCH(H1123,Lists!$A$2:$A$11,0)))*(K1123+IF(INDEX(Platforms!$E$5:$E$14,MATCH(H1123,Lists!$A$2:$A$11,0))="Yes",N(L1123),0))+N(INDEX(Platforms!$D$5:$D$14,MATCH(H1123,Lists!$A$2:$A$11,0)))))),""))</f>
        <v/>
      </c>
      <c r="R1123" s="16" t="str">
        <f t="shared" si="69"/>
        <v/>
      </c>
      <c r="S1123" s="17" t="str">
        <f t="shared" si="70"/>
        <v/>
      </c>
      <c r="T1123" s="18" t="str">
        <f t="shared" ca="1" si="71"/>
        <v/>
      </c>
    </row>
    <row r="1124" spans="1:20" x14ac:dyDescent="0.35">
      <c r="A1124" s="11"/>
      <c r="B1124" s="11"/>
      <c r="C1124" s="11"/>
      <c r="D1124" s="12"/>
      <c r="E1124" s="11"/>
      <c r="F1124" s="13"/>
      <c r="G1124" s="13"/>
      <c r="H1124" s="11"/>
      <c r="I1124" s="12"/>
      <c r="J1124" s="12"/>
      <c r="K1124" s="13"/>
      <c r="L1124" s="13"/>
      <c r="M1124" s="13"/>
      <c r="N1124" s="13"/>
      <c r="O1124" s="13"/>
      <c r="P1124" s="14" t="str">
        <f t="shared" si="68"/>
        <v/>
      </c>
      <c r="Q1124" s="15" t="str">
        <f>IF(OR(J1124="",H1124=""),"",IFERROR(IF(ISNUMBER(N1124),N1124,IF(K1124&lt;N(INDEX(Platforms!$G$5:$G$14,MATCH(H1124,Lists!$A$2:$A$11,0))),N(INDEX(Platforms!$H$5:$H$14,MATCH(H1124,Lists!$A$2:$A$11,0))),MAX(N(INDEX(Platforms!$F$5:$F$14,MATCH(H1124,Lists!$A$2:$A$11,0))),N(INDEX(Platforms!$C$5:$C$14,MATCH(H1124,Lists!$A$2:$A$11,0)))*(K1124+IF(INDEX(Platforms!$E$5:$E$14,MATCH(H1124,Lists!$A$2:$A$11,0))="Yes",N(L1124),0))+N(INDEX(Platforms!$D$5:$D$14,MATCH(H1124,Lists!$A$2:$A$11,0)))))),""))</f>
        <v/>
      </c>
      <c r="R1124" s="16" t="str">
        <f t="shared" si="69"/>
        <v/>
      </c>
      <c r="S1124" s="17" t="str">
        <f t="shared" si="70"/>
        <v/>
      </c>
      <c r="T1124" s="18" t="str">
        <f t="shared" ca="1" si="71"/>
        <v/>
      </c>
    </row>
    <row r="1125" spans="1:20" x14ac:dyDescent="0.35">
      <c r="A1125" s="11"/>
      <c r="B1125" s="11"/>
      <c r="C1125" s="11"/>
      <c r="D1125" s="12"/>
      <c r="E1125" s="11"/>
      <c r="F1125" s="13"/>
      <c r="G1125" s="13"/>
      <c r="H1125" s="11"/>
      <c r="I1125" s="12"/>
      <c r="J1125" s="12"/>
      <c r="K1125" s="13"/>
      <c r="L1125" s="13"/>
      <c r="M1125" s="13"/>
      <c r="N1125" s="13"/>
      <c r="O1125" s="13"/>
      <c r="P1125" s="14" t="str">
        <f t="shared" si="68"/>
        <v/>
      </c>
      <c r="Q1125" s="15" t="str">
        <f>IF(OR(J1125="",H1125=""),"",IFERROR(IF(ISNUMBER(N1125),N1125,IF(K1125&lt;N(INDEX(Platforms!$G$5:$G$14,MATCH(H1125,Lists!$A$2:$A$11,0))),N(INDEX(Platforms!$H$5:$H$14,MATCH(H1125,Lists!$A$2:$A$11,0))),MAX(N(INDEX(Platforms!$F$5:$F$14,MATCH(H1125,Lists!$A$2:$A$11,0))),N(INDEX(Platforms!$C$5:$C$14,MATCH(H1125,Lists!$A$2:$A$11,0)))*(K1125+IF(INDEX(Platforms!$E$5:$E$14,MATCH(H1125,Lists!$A$2:$A$11,0))="Yes",N(L1125),0))+N(INDEX(Platforms!$D$5:$D$14,MATCH(H1125,Lists!$A$2:$A$11,0)))))),""))</f>
        <v/>
      </c>
      <c r="R1125" s="16" t="str">
        <f t="shared" si="69"/>
        <v/>
      </c>
      <c r="S1125" s="17" t="str">
        <f t="shared" si="70"/>
        <v/>
      </c>
      <c r="T1125" s="18" t="str">
        <f t="shared" ca="1" si="71"/>
        <v/>
      </c>
    </row>
    <row r="1126" spans="1:20" x14ac:dyDescent="0.35">
      <c r="A1126" s="11"/>
      <c r="B1126" s="11"/>
      <c r="C1126" s="11"/>
      <c r="D1126" s="12"/>
      <c r="E1126" s="11"/>
      <c r="F1126" s="13"/>
      <c r="G1126" s="13"/>
      <c r="H1126" s="11"/>
      <c r="I1126" s="12"/>
      <c r="J1126" s="12"/>
      <c r="K1126" s="13"/>
      <c r="L1126" s="13"/>
      <c r="M1126" s="13"/>
      <c r="N1126" s="13"/>
      <c r="O1126" s="13"/>
      <c r="P1126" s="14" t="str">
        <f t="shared" si="68"/>
        <v/>
      </c>
      <c r="Q1126" s="15" t="str">
        <f>IF(OR(J1126="",H1126=""),"",IFERROR(IF(ISNUMBER(N1126),N1126,IF(K1126&lt;N(INDEX(Platforms!$G$5:$G$14,MATCH(H1126,Lists!$A$2:$A$11,0))),N(INDEX(Platforms!$H$5:$H$14,MATCH(H1126,Lists!$A$2:$A$11,0))),MAX(N(INDEX(Platforms!$F$5:$F$14,MATCH(H1126,Lists!$A$2:$A$11,0))),N(INDEX(Platforms!$C$5:$C$14,MATCH(H1126,Lists!$A$2:$A$11,0)))*(K1126+IF(INDEX(Platforms!$E$5:$E$14,MATCH(H1126,Lists!$A$2:$A$11,0))="Yes",N(L1126),0))+N(INDEX(Platforms!$D$5:$D$14,MATCH(H1126,Lists!$A$2:$A$11,0)))))),""))</f>
        <v/>
      </c>
      <c r="R1126" s="16" t="str">
        <f t="shared" si="69"/>
        <v/>
      </c>
      <c r="S1126" s="17" t="str">
        <f t="shared" si="70"/>
        <v/>
      </c>
      <c r="T1126" s="18" t="str">
        <f t="shared" ca="1" si="71"/>
        <v/>
      </c>
    </row>
    <row r="1127" spans="1:20" x14ac:dyDescent="0.35">
      <c r="A1127" s="11"/>
      <c r="B1127" s="11"/>
      <c r="C1127" s="11"/>
      <c r="D1127" s="12"/>
      <c r="E1127" s="11"/>
      <c r="F1127" s="13"/>
      <c r="G1127" s="13"/>
      <c r="H1127" s="11"/>
      <c r="I1127" s="12"/>
      <c r="J1127" s="12"/>
      <c r="K1127" s="13"/>
      <c r="L1127" s="13"/>
      <c r="M1127" s="13"/>
      <c r="N1127" s="13"/>
      <c r="O1127" s="13"/>
      <c r="P1127" s="14" t="str">
        <f t="shared" si="68"/>
        <v/>
      </c>
      <c r="Q1127" s="15" t="str">
        <f>IF(OR(J1127="",H1127=""),"",IFERROR(IF(ISNUMBER(N1127),N1127,IF(K1127&lt;N(INDEX(Platforms!$G$5:$G$14,MATCH(H1127,Lists!$A$2:$A$11,0))),N(INDEX(Platforms!$H$5:$H$14,MATCH(H1127,Lists!$A$2:$A$11,0))),MAX(N(INDEX(Platforms!$F$5:$F$14,MATCH(H1127,Lists!$A$2:$A$11,0))),N(INDEX(Platforms!$C$5:$C$14,MATCH(H1127,Lists!$A$2:$A$11,0)))*(K1127+IF(INDEX(Platforms!$E$5:$E$14,MATCH(H1127,Lists!$A$2:$A$11,0))="Yes",N(L1127),0))+N(INDEX(Platforms!$D$5:$D$14,MATCH(H1127,Lists!$A$2:$A$11,0)))))),""))</f>
        <v/>
      </c>
      <c r="R1127" s="16" t="str">
        <f t="shared" si="69"/>
        <v/>
      </c>
      <c r="S1127" s="17" t="str">
        <f t="shared" si="70"/>
        <v/>
      </c>
      <c r="T1127" s="18" t="str">
        <f t="shared" ca="1" si="71"/>
        <v/>
      </c>
    </row>
    <row r="1128" spans="1:20" x14ac:dyDescent="0.35">
      <c r="A1128" s="11"/>
      <c r="B1128" s="11"/>
      <c r="C1128" s="11"/>
      <c r="D1128" s="12"/>
      <c r="E1128" s="11"/>
      <c r="F1128" s="13"/>
      <c r="G1128" s="13"/>
      <c r="H1128" s="11"/>
      <c r="I1128" s="12"/>
      <c r="J1128" s="12"/>
      <c r="K1128" s="13"/>
      <c r="L1128" s="13"/>
      <c r="M1128" s="13"/>
      <c r="N1128" s="13"/>
      <c r="O1128" s="13"/>
      <c r="P1128" s="14" t="str">
        <f t="shared" si="68"/>
        <v/>
      </c>
      <c r="Q1128" s="15" t="str">
        <f>IF(OR(J1128="",H1128=""),"",IFERROR(IF(ISNUMBER(N1128),N1128,IF(K1128&lt;N(INDEX(Platforms!$G$5:$G$14,MATCH(H1128,Lists!$A$2:$A$11,0))),N(INDEX(Platforms!$H$5:$H$14,MATCH(H1128,Lists!$A$2:$A$11,0))),MAX(N(INDEX(Platforms!$F$5:$F$14,MATCH(H1128,Lists!$A$2:$A$11,0))),N(INDEX(Platforms!$C$5:$C$14,MATCH(H1128,Lists!$A$2:$A$11,0)))*(K1128+IF(INDEX(Platforms!$E$5:$E$14,MATCH(H1128,Lists!$A$2:$A$11,0))="Yes",N(L1128),0))+N(INDEX(Platforms!$D$5:$D$14,MATCH(H1128,Lists!$A$2:$A$11,0)))))),""))</f>
        <v/>
      </c>
      <c r="R1128" s="16" t="str">
        <f t="shared" si="69"/>
        <v/>
      </c>
      <c r="S1128" s="17" t="str">
        <f t="shared" si="70"/>
        <v/>
      </c>
      <c r="T1128" s="18" t="str">
        <f t="shared" ca="1" si="71"/>
        <v/>
      </c>
    </row>
    <row r="1129" spans="1:20" x14ac:dyDescent="0.35">
      <c r="A1129" s="11"/>
      <c r="B1129" s="11"/>
      <c r="C1129" s="11"/>
      <c r="D1129" s="12"/>
      <c r="E1129" s="11"/>
      <c r="F1129" s="13"/>
      <c r="G1129" s="13"/>
      <c r="H1129" s="11"/>
      <c r="I1129" s="12"/>
      <c r="J1129" s="12"/>
      <c r="K1129" s="13"/>
      <c r="L1129" s="13"/>
      <c r="M1129" s="13"/>
      <c r="N1129" s="13"/>
      <c r="O1129" s="13"/>
      <c r="P1129" s="14" t="str">
        <f t="shared" si="68"/>
        <v/>
      </c>
      <c r="Q1129" s="15" t="str">
        <f>IF(OR(J1129="",H1129=""),"",IFERROR(IF(ISNUMBER(N1129),N1129,IF(K1129&lt;N(INDEX(Platforms!$G$5:$G$14,MATCH(H1129,Lists!$A$2:$A$11,0))),N(INDEX(Platforms!$H$5:$H$14,MATCH(H1129,Lists!$A$2:$A$11,0))),MAX(N(INDEX(Platforms!$F$5:$F$14,MATCH(H1129,Lists!$A$2:$A$11,0))),N(INDEX(Platforms!$C$5:$C$14,MATCH(H1129,Lists!$A$2:$A$11,0)))*(K1129+IF(INDEX(Platforms!$E$5:$E$14,MATCH(H1129,Lists!$A$2:$A$11,0))="Yes",N(L1129),0))+N(INDEX(Platforms!$D$5:$D$14,MATCH(H1129,Lists!$A$2:$A$11,0)))))),""))</f>
        <v/>
      </c>
      <c r="R1129" s="16" t="str">
        <f t="shared" si="69"/>
        <v/>
      </c>
      <c r="S1129" s="17" t="str">
        <f t="shared" si="70"/>
        <v/>
      </c>
      <c r="T1129" s="18" t="str">
        <f t="shared" ca="1" si="71"/>
        <v/>
      </c>
    </row>
    <row r="1130" spans="1:20" x14ac:dyDescent="0.35">
      <c r="A1130" s="11"/>
      <c r="B1130" s="11"/>
      <c r="C1130" s="11"/>
      <c r="D1130" s="12"/>
      <c r="E1130" s="11"/>
      <c r="F1130" s="13"/>
      <c r="G1130" s="13"/>
      <c r="H1130" s="11"/>
      <c r="I1130" s="12"/>
      <c r="J1130" s="12"/>
      <c r="K1130" s="13"/>
      <c r="L1130" s="13"/>
      <c r="M1130" s="13"/>
      <c r="N1130" s="13"/>
      <c r="O1130" s="13"/>
      <c r="P1130" s="14" t="str">
        <f t="shared" si="68"/>
        <v/>
      </c>
      <c r="Q1130" s="15" t="str">
        <f>IF(OR(J1130="",H1130=""),"",IFERROR(IF(ISNUMBER(N1130),N1130,IF(K1130&lt;N(INDEX(Platforms!$G$5:$G$14,MATCH(H1130,Lists!$A$2:$A$11,0))),N(INDEX(Platforms!$H$5:$H$14,MATCH(H1130,Lists!$A$2:$A$11,0))),MAX(N(INDEX(Platforms!$F$5:$F$14,MATCH(H1130,Lists!$A$2:$A$11,0))),N(INDEX(Platforms!$C$5:$C$14,MATCH(H1130,Lists!$A$2:$A$11,0)))*(K1130+IF(INDEX(Platforms!$E$5:$E$14,MATCH(H1130,Lists!$A$2:$A$11,0))="Yes",N(L1130),0))+N(INDEX(Platforms!$D$5:$D$14,MATCH(H1130,Lists!$A$2:$A$11,0)))))),""))</f>
        <v/>
      </c>
      <c r="R1130" s="16" t="str">
        <f t="shared" si="69"/>
        <v/>
      </c>
      <c r="S1130" s="17" t="str">
        <f t="shared" si="70"/>
        <v/>
      </c>
      <c r="T1130" s="18" t="str">
        <f t="shared" ca="1" si="71"/>
        <v/>
      </c>
    </row>
    <row r="1131" spans="1:20" x14ac:dyDescent="0.35">
      <c r="A1131" s="11"/>
      <c r="B1131" s="11"/>
      <c r="C1131" s="11"/>
      <c r="D1131" s="12"/>
      <c r="E1131" s="11"/>
      <c r="F1131" s="13"/>
      <c r="G1131" s="13"/>
      <c r="H1131" s="11"/>
      <c r="I1131" s="12"/>
      <c r="J1131" s="12"/>
      <c r="K1131" s="13"/>
      <c r="L1131" s="13"/>
      <c r="M1131" s="13"/>
      <c r="N1131" s="13"/>
      <c r="O1131" s="13"/>
      <c r="P1131" s="14" t="str">
        <f t="shared" si="68"/>
        <v/>
      </c>
      <c r="Q1131" s="15" t="str">
        <f>IF(OR(J1131="",H1131=""),"",IFERROR(IF(ISNUMBER(N1131),N1131,IF(K1131&lt;N(INDEX(Platforms!$G$5:$G$14,MATCH(H1131,Lists!$A$2:$A$11,0))),N(INDEX(Platforms!$H$5:$H$14,MATCH(H1131,Lists!$A$2:$A$11,0))),MAX(N(INDEX(Platforms!$F$5:$F$14,MATCH(H1131,Lists!$A$2:$A$11,0))),N(INDEX(Platforms!$C$5:$C$14,MATCH(H1131,Lists!$A$2:$A$11,0)))*(K1131+IF(INDEX(Platforms!$E$5:$E$14,MATCH(H1131,Lists!$A$2:$A$11,0))="Yes",N(L1131),0))+N(INDEX(Platforms!$D$5:$D$14,MATCH(H1131,Lists!$A$2:$A$11,0)))))),""))</f>
        <v/>
      </c>
      <c r="R1131" s="16" t="str">
        <f t="shared" si="69"/>
        <v/>
      </c>
      <c r="S1131" s="17" t="str">
        <f t="shared" si="70"/>
        <v/>
      </c>
      <c r="T1131" s="18" t="str">
        <f t="shared" ca="1" si="71"/>
        <v/>
      </c>
    </row>
    <row r="1132" spans="1:20" x14ac:dyDescent="0.35">
      <c r="A1132" s="11"/>
      <c r="B1132" s="11"/>
      <c r="C1132" s="11"/>
      <c r="D1132" s="12"/>
      <c r="E1132" s="11"/>
      <c r="F1132" s="13"/>
      <c r="G1132" s="13"/>
      <c r="H1132" s="11"/>
      <c r="I1132" s="12"/>
      <c r="J1132" s="12"/>
      <c r="K1132" s="13"/>
      <c r="L1132" s="13"/>
      <c r="M1132" s="13"/>
      <c r="N1132" s="13"/>
      <c r="O1132" s="13"/>
      <c r="P1132" s="14" t="str">
        <f t="shared" si="68"/>
        <v/>
      </c>
      <c r="Q1132" s="15" t="str">
        <f>IF(OR(J1132="",H1132=""),"",IFERROR(IF(ISNUMBER(N1132),N1132,IF(K1132&lt;N(INDEX(Platforms!$G$5:$G$14,MATCH(H1132,Lists!$A$2:$A$11,0))),N(INDEX(Platforms!$H$5:$H$14,MATCH(H1132,Lists!$A$2:$A$11,0))),MAX(N(INDEX(Platforms!$F$5:$F$14,MATCH(H1132,Lists!$A$2:$A$11,0))),N(INDEX(Platforms!$C$5:$C$14,MATCH(H1132,Lists!$A$2:$A$11,0)))*(K1132+IF(INDEX(Platforms!$E$5:$E$14,MATCH(H1132,Lists!$A$2:$A$11,0))="Yes",N(L1132),0))+N(INDEX(Platforms!$D$5:$D$14,MATCH(H1132,Lists!$A$2:$A$11,0)))))),""))</f>
        <v/>
      </c>
      <c r="R1132" s="16" t="str">
        <f t="shared" si="69"/>
        <v/>
      </c>
      <c r="S1132" s="17" t="str">
        <f t="shared" si="70"/>
        <v/>
      </c>
      <c r="T1132" s="18" t="str">
        <f t="shared" ca="1" si="71"/>
        <v/>
      </c>
    </row>
    <row r="1133" spans="1:20" x14ac:dyDescent="0.35">
      <c r="A1133" s="11"/>
      <c r="B1133" s="11"/>
      <c r="C1133" s="11"/>
      <c r="D1133" s="12"/>
      <c r="E1133" s="11"/>
      <c r="F1133" s="13"/>
      <c r="G1133" s="13"/>
      <c r="H1133" s="11"/>
      <c r="I1133" s="12"/>
      <c r="J1133" s="12"/>
      <c r="K1133" s="13"/>
      <c r="L1133" s="13"/>
      <c r="M1133" s="13"/>
      <c r="N1133" s="13"/>
      <c r="O1133" s="13"/>
      <c r="P1133" s="14" t="str">
        <f t="shared" si="68"/>
        <v/>
      </c>
      <c r="Q1133" s="15" t="str">
        <f>IF(OR(J1133="",H1133=""),"",IFERROR(IF(ISNUMBER(N1133),N1133,IF(K1133&lt;N(INDEX(Platforms!$G$5:$G$14,MATCH(H1133,Lists!$A$2:$A$11,0))),N(INDEX(Platforms!$H$5:$H$14,MATCH(H1133,Lists!$A$2:$A$11,0))),MAX(N(INDEX(Platforms!$F$5:$F$14,MATCH(H1133,Lists!$A$2:$A$11,0))),N(INDEX(Platforms!$C$5:$C$14,MATCH(H1133,Lists!$A$2:$A$11,0)))*(K1133+IF(INDEX(Platforms!$E$5:$E$14,MATCH(H1133,Lists!$A$2:$A$11,0))="Yes",N(L1133),0))+N(INDEX(Platforms!$D$5:$D$14,MATCH(H1133,Lists!$A$2:$A$11,0)))))),""))</f>
        <v/>
      </c>
      <c r="R1133" s="16" t="str">
        <f t="shared" si="69"/>
        <v/>
      </c>
      <c r="S1133" s="17" t="str">
        <f t="shared" si="70"/>
        <v/>
      </c>
      <c r="T1133" s="18" t="str">
        <f t="shared" ca="1" si="71"/>
        <v/>
      </c>
    </row>
    <row r="1134" spans="1:20" x14ac:dyDescent="0.35">
      <c r="A1134" s="11"/>
      <c r="B1134" s="11"/>
      <c r="C1134" s="11"/>
      <c r="D1134" s="12"/>
      <c r="E1134" s="11"/>
      <c r="F1134" s="13"/>
      <c r="G1134" s="13"/>
      <c r="H1134" s="11"/>
      <c r="I1134" s="12"/>
      <c r="J1134" s="12"/>
      <c r="K1134" s="13"/>
      <c r="L1134" s="13"/>
      <c r="M1134" s="13"/>
      <c r="N1134" s="13"/>
      <c r="O1134" s="13"/>
      <c r="P1134" s="14" t="str">
        <f t="shared" si="68"/>
        <v/>
      </c>
      <c r="Q1134" s="15" t="str">
        <f>IF(OR(J1134="",H1134=""),"",IFERROR(IF(ISNUMBER(N1134),N1134,IF(K1134&lt;N(INDEX(Platforms!$G$5:$G$14,MATCH(H1134,Lists!$A$2:$A$11,0))),N(INDEX(Platforms!$H$5:$H$14,MATCH(H1134,Lists!$A$2:$A$11,0))),MAX(N(INDEX(Platforms!$F$5:$F$14,MATCH(H1134,Lists!$A$2:$A$11,0))),N(INDEX(Platforms!$C$5:$C$14,MATCH(H1134,Lists!$A$2:$A$11,0)))*(K1134+IF(INDEX(Platforms!$E$5:$E$14,MATCH(H1134,Lists!$A$2:$A$11,0))="Yes",N(L1134),0))+N(INDEX(Platforms!$D$5:$D$14,MATCH(H1134,Lists!$A$2:$A$11,0)))))),""))</f>
        <v/>
      </c>
      <c r="R1134" s="16" t="str">
        <f t="shared" si="69"/>
        <v/>
      </c>
      <c r="S1134" s="17" t="str">
        <f t="shared" si="70"/>
        <v/>
      </c>
      <c r="T1134" s="18" t="str">
        <f t="shared" ca="1" si="71"/>
        <v/>
      </c>
    </row>
    <row r="1135" spans="1:20" x14ac:dyDescent="0.35">
      <c r="A1135" s="11"/>
      <c r="B1135" s="11"/>
      <c r="C1135" s="11"/>
      <c r="D1135" s="12"/>
      <c r="E1135" s="11"/>
      <c r="F1135" s="13"/>
      <c r="G1135" s="13"/>
      <c r="H1135" s="11"/>
      <c r="I1135" s="12"/>
      <c r="J1135" s="12"/>
      <c r="K1135" s="13"/>
      <c r="L1135" s="13"/>
      <c r="M1135" s="13"/>
      <c r="N1135" s="13"/>
      <c r="O1135" s="13"/>
      <c r="P1135" s="14" t="str">
        <f t="shared" si="68"/>
        <v/>
      </c>
      <c r="Q1135" s="15" t="str">
        <f>IF(OR(J1135="",H1135=""),"",IFERROR(IF(ISNUMBER(N1135),N1135,IF(K1135&lt;N(INDEX(Platforms!$G$5:$G$14,MATCH(H1135,Lists!$A$2:$A$11,0))),N(INDEX(Platforms!$H$5:$H$14,MATCH(H1135,Lists!$A$2:$A$11,0))),MAX(N(INDEX(Platforms!$F$5:$F$14,MATCH(H1135,Lists!$A$2:$A$11,0))),N(INDEX(Platforms!$C$5:$C$14,MATCH(H1135,Lists!$A$2:$A$11,0)))*(K1135+IF(INDEX(Platforms!$E$5:$E$14,MATCH(H1135,Lists!$A$2:$A$11,0))="Yes",N(L1135),0))+N(INDEX(Platforms!$D$5:$D$14,MATCH(H1135,Lists!$A$2:$A$11,0)))))),""))</f>
        <v/>
      </c>
      <c r="R1135" s="16" t="str">
        <f t="shared" si="69"/>
        <v/>
      </c>
      <c r="S1135" s="17" t="str">
        <f t="shared" si="70"/>
        <v/>
      </c>
      <c r="T1135" s="18" t="str">
        <f t="shared" ca="1" si="71"/>
        <v/>
      </c>
    </row>
    <row r="1136" spans="1:20" x14ac:dyDescent="0.35">
      <c r="A1136" s="11"/>
      <c r="B1136" s="11"/>
      <c r="C1136" s="11"/>
      <c r="D1136" s="12"/>
      <c r="E1136" s="11"/>
      <c r="F1136" s="13"/>
      <c r="G1136" s="13"/>
      <c r="H1136" s="11"/>
      <c r="I1136" s="12"/>
      <c r="J1136" s="12"/>
      <c r="K1136" s="13"/>
      <c r="L1136" s="13"/>
      <c r="M1136" s="13"/>
      <c r="N1136" s="13"/>
      <c r="O1136" s="13"/>
      <c r="P1136" s="14" t="str">
        <f t="shared" si="68"/>
        <v/>
      </c>
      <c r="Q1136" s="15" t="str">
        <f>IF(OR(J1136="",H1136=""),"",IFERROR(IF(ISNUMBER(N1136),N1136,IF(K1136&lt;N(INDEX(Platforms!$G$5:$G$14,MATCH(H1136,Lists!$A$2:$A$11,0))),N(INDEX(Platforms!$H$5:$H$14,MATCH(H1136,Lists!$A$2:$A$11,0))),MAX(N(INDEX(Platforms!$F$5:$F$14,MATCH(H1136,Lists!$A$2:$A$11,0))),N(INDEX(Platforms!$C$5:$C$14,MATCH(H1136,Lists!$A$2:$A$11,0)))*(K1136+IF(INDEX(Platforms!$E$5:$E$14,MATCH(H1136,Lists!$A$2:$A$11,0))="Yes",N(L1136),0))+N(INDEX(Platforms!$D$5:$D$14,MATCH(H1136,Lists!$A$2:$A$11,0)))))),""))</f>
        <v/>
      </c>
      <c r="R1136" s="16" t="str">
        <f t="shared" si="69"/>
        <v/>
      </c>
      <c r="S1136" s="17" t="str">
        <f t="shared" si="70"/>
        <v/>
      </c>
      <c r="T1136" s="18" t="str">
        <f t="shared" ca="1" si="71"/>
        <v/>
      </c>
    </row>
    <row r="1137" spans="1:20" x14ac:dyDescent="0.35">
      <c r="A1137" s="11"/>
      <c r="B1137" s="11"/>
      <c r="C1137" s="11"/>
      <c r="D1137" s="12"/>
      <c r="E1137" s="11"/>
      <c r="F1137" s="13"/>
      <c r="G1137" s="13"/>
      <c r="H1137" s="11"/>
      <c r="I1137" s="12"/>
      <c r="J1137" s="12"/>
      <c r="K1137" s="13"/>
      <c r="L1137" s="13"/>
      <c r="M1137" s="13"/>
      <c r="N1137" s="13"/>
      <c r="O1137" s="13"/>
      <c r="P1137" s="14" t="str">
        <f t="shared" si="68"/>
        <v/>
      </c>
      <c r="Q1137" s="15" t="str">
        <f>IF(OR(J1137="",H1137=""),"",IFERROR(IF(ISNUMBER(N1137),N1137,IF(K1137&lt;N(INDEX(Platforms!$G$5:$G$14,MATCH(H1137,Lists!$A$2:$A$11,0))),N(INDEX(Platforms!$H$5:$H$14,MATCH(H1137,Lists!$A$2:$A$11,0))),MAX(N(INDEX(Platforms!$F$5:$F$14,MATCH(H1137,Lists!$A$2:$A$11,0))),N(INDEX(Platforms!$C$5:$C$14,MATCH(H1137,Lists!$A$2:$A$11,0)))*(K1137+IF(INDEX(Platforms!$E$5:$E$14,MATCH(H1137,Lists!$A$2:$A$11,0))="Yes",N(L1137),0))+N(INDEX(Platforms!$D$5:$D$14,MATCH(H1137,Lists!$A$2:$A$11,0)))))),""))</f>
        <v/>
      </c>
      <c r="R1137" s="16" t="str">
        <f t="shared" si="69"/>
        <v/>
      </c>
      <c r="S1137" s="17" t="str">
        <f t="shared" si="70"/>
        <v/>
      </c>
      <c r="T1137" s="18" t="str">
        <f t="shared" ca="1" si="71"/>
        <v/>
      </c>
    </row>
    <row r="1138" spans="1:20" x14ac:dyDescent="0.35">
      <c r="A1138" s="11"/>
      <c r="B1138" s="11"/>
      <c r="C1138" s="11"/>
      <c r="D1138" s="12"/>
      <c r="E1138" s="11"/>
      <c r="F1138" s="13"/>
      <c r="G1138" s="13"/>
      <c r="H1138" s="11"/>
      <c r="I1138" s="12"/>
      <c r="J1138" s="12"/>
      <c r="K1138" s="13"/>
      <c r="L1138" s="13"/>
      <c r="M1138" s="13"/>
      <c r="N1138" s="13"/>
      <c r="O1138" s="13"/>
      <c r="P1138" s="14" t="str">
        <f t="shared" si="68"/>
        <v/>
      </c>
      <c r="Q1138" s="15" t="str">
        <f>IF(OR(J1138="",H1138=""),"",IFERROR(IF(ISNUMBER(N1138),N1138,IF(K1138&lt;N(INDEX(Platforms!$G$5:$G$14,MATCH(H1138,Lists!$A$2:$A$11,0))),N(INDEX(Platforms!$H$5:$H$14,MATCH(H1138,Lists!$A$2:$A$11,0))),MAX(N(INDEX(Platforms!$F$5:$F$14,MATCH(H1138,Lists!$A$2:$A$11,0))),N(INDEX(Platforms!$C$5:$C$14,MATCH(H1138,Lists!$A$2:$A$11,0)))*(K1138+IF(INDEX(Platforms!$E$5:$E$14,MATCH(H1138,Lists!$A$2:$A$11,0))="Yes",N(L1138),0))+N(INDEX(Platforms!$D$5:$D$14,MATCH(H1138,Lists!$A$2:$A$11,0)))))),""))</f>
        <v/>
      </c>
      <c r="R1138" s="16" t="str">
        <f t="shared" si="69"/>
        <v/>
      </c>
      <c r="S1138" s="17" t="str">
        <f t="shared" si="70"/>
        <v/>
      </c>
      <c r="T1138" s="18" t="str">
        <f t="shared" ca="1" si="71"/>
        <v/>
      </c>
    </row>
    <row r="1139" spans="1:20" x14ac:dyDescent="0.35">
      <c r="A1139" s="11"/>
      <c r="B1139" s="11"/>
      <c r="C1139" s="11"/>
      <c r="D1139" s="12"/>
      <c r="E1139" s="11"/>
      <c r="F1139" s="13"/>
      <c r="G1139" s="13"/>
      <c r="H1139" s="11"/>
      <c r="I1139" s="12"/>
      <c r="J1139" s="12"/>
      <c r="K1139" s="13"/>
      <c r="L1139" s="13"/>
      <c r="M1139" s="13"/>
      <c r="N1139" s="13"/>
      <c r="O1139" s="13"/>
      <c r="P1139" s="14" t="str">
        <f t="shared" si="68"/>
        <v/>
      </c>
      <c r="Q1139" s="15" t="str">
        <f>IF(OR(J1139="",H1139=""),"",IFERROR(IF(ISNUMBER(N1139),N1139,IF(K1139&lt;N(INDEX(Platforms!$G$5:$G$14,MATCH(H1139,Lists!$A$2:$A$11,0))),N(INDEX(Platforms!$H$5:$H$14,MATCH(H1139,Lists!$A$2:$A$11,0))),MAX(N(INDEX(Platforms!$F$5:$F$14,MATCH(H1139,Lists!$A$2:$A$11,0))),N(INDEX(Platforms!$C$5:$C$14,MATCH(H1139,Lists!$A$2:$A$11,0)))*(K1139+IF(INDEX(Platforms!$E$5:$E$14,MATCH(H1139,Lists!$A$2:$A$11,0))="Yes",N(L1139),0))+N(INDEX(Platforms!$D$5:$D$14,MATCH(H1139,Lists!$A$2:$A$11,0)))))),""))</f>
        <v/>
      </c>
      <c r="R1139" s="16" t="str">
        <f t="shared" si="69"/>
        <v/>
      </c>
      <c r="S1139" s="17" t="str">
        <f t="shared" si="70"/>
        <v/>
      </c>
      <c r="T1139" s="18" t="str">
        <f t="shared" ca="1" si="71"/>
        <v/>
      </c>
    </row>
    <row r="1140" spans="1:20" x14ac:dyDescent="0.35">
      <c r="A1140" s="11"/>
      <c r="B1140" s="11"/>
      <c r="C1140" s="11"/>
      <c r="D1140" s="12"/>
      <c r="E1140" s="11"/>
      <c r="F1140" s="13"/>
      <c r="G1140" s="13"/>
      <c r="H1140" s="11"/>
      <c r="I1140" s="12"/>
      <c r="J1140" s="12"/>
      <c r="K1140" s="13"/>
      <c r="L1140" s="13"/>
      <c r="M1140" s="13"/>
      <c r="N1140" s="13"/>
      <c r="O1140" s="13"/>
      <c r="P1140" s="14" t="str">
        <f t="shared" si="68"/>
        <v/>
      </c>
      <c r="Q1140" s="15" t="str">
        <f>IF(OR(J1140="",H1140=""),"",IFERROR(IF(ISNUMBER(N1140),N1140,IF(K1140&lt;N(INDEX(Platforms!$G$5:$G$14,MATCH(H1140,Lists!$A$2:$A$11,0))),N(INDEX(Platforms!$H$5:$H$14,MATCH(H1140,Lists!$A$2:$A$11,0))),MAX(N(INDEX(Platforms!$F$5:$F$14,MATCH(H1140,Lists!$A$2:$A$11,0))),N(INDEX(Platforms!$C$5:$C$14,MATCH(H1140,Lists!$A$2:$A$11,0)))*(K1140+IF(INDEX(Platforms!$E$5:$E$14,MATCH(H1140,Lists!$A$2:$A$11,0))="Yes",N(L1140),0))+N(INDEX(Platforms!$D$5:$D$14,MATCH(H1140,Lists!$A$2:$A$11,0)))))),""))</f>
        <v/>
      </c>
      <c r="R1140" s="16" t="str">
        <f t="shared" si="69"/>
        <v/>
      </c>
      <c r="S1140" s="17" t="str">
        <f t="shared" si="70"/>
        <v/>
      </c>
      <c r="T1140" s="18" t="str">
        <f t="shared" ca="1" si="71"/>
        <v/>
      </c>
    </row>
    <row r="1141" spans="1:20" x14ac:dyDescent="0.35">
      <c r="A1141" s="11"/>
      <c r="B1141" s="11"/>
      <c r="C1141" s="11"/>
      <c r="D1141" s="12"/>
      <c r="E1141" s="11"/>
      <c r="F1141" s="13"/>
      <c r="G1141" s="13"/>
      <c r="H1141" s="11"/>
      <c r="I1141" s="12"/>
      <c r="J1141" s="12"/>
      <c r="K1141" s="13"/>
      <c r="L1141" s="13"/>
      <c r="M1141" s="13"/>
      <c r="N1141" s="13"/>
      <c r="O1141" s="13"/>
      <c r="P1141" s="14" t="str">
        <f t="shared" si="68"/>
        <v/>
      </c>
      <c r="Q1141" s="15" t="str">
        <f>IF(OR(J1141="",H1141=""),"",IFERROR(IF(ISNUMBER(N1141),N1141,IF(K1141&lt;N(INDEX(Platforms!$G$5:$G$14,MATCH(H1141,Lists!$A$2:$A$11,0))),N(INDEX(Platforms!$H$5:$H$14,MATCH(H1141,Lists!$A$2:$A$11,0))),MAX(N(INDEX(Platforms!$F$5:$F$14,MATCH(H1141,Lists!$A$2:$A$11,0))),N(INDEX(Platforms!$C$5:$C$14,MATCH(H1141,Lists!$A$2:$A$11,0)))*(K1141+IF(INDEX(Platforms!$E$5:$E$14,MATCH(H1141,Lists!$A$2:$A$11,0))="Yes",N(L1141),0))+N(INDEX(Platforms!$D$5:$D$14,MATCH(H1141,Lists!$A$2:$A$11,0)))))),""))</f>
        <v/>
      </c>
      <c r="R1141" s="16" t="str">
        <f t="shared" si="69"/>
        <v/>
      </c>
      <c r="S1141" s="17" t="str">
        <f t="shared" si="70"/>
        <v/>
      </c>
      <c r="T1141" s="18" t="str">
        <f t="shared" ca="1" si="71"/>
        <v/>
      </c>
    </row>
    <row r="1142" spans="1:20" x14ac:dyDescent="0.35">
      <c r="A1142" s="11"/>
      <c r="B1142" s="11"/>
      <c r="C1142" s="11"/>
      <c r="D1142" s="12"/>
      <c r="E1142" s="11"/>
      <c r="F1142" s="13"/>
      <c r="G1142" s="13"/>
      <c r="H1142" s="11"/>
      <c r="I1142" s="12"/>
      <c r="J1142" s="12"/>
      <c r="K1142" s="13"/>
      <c r="L1142" s="13"/>
      <c r="M1142" s="13"/>
      <c r="N1142" s="13"/>
      <c r="O1142" s="13"/>
      <c r="P1142" s="14" t="str">
        <f t="shared" si="68"/>
        <v/>
      </c>
      <c r="Q1142" s="15" t="str">
        <f>IF(OR(J1142="",H1142=""),"",IFERROR(IF(ISNUMBER(N1142),N1142,IF(K1142&lt;N(INDEX(Platforms!$G$5:$G$14,MATCH(H1142,Lists!$A$2:$A$11,0))),N(INDEX(Platforms!$H$5:$H$14,MATCH(H1142,Lists!$A$2:$A$11,0))),MAX(N(INDEX(Platforms!$F$5:$F$14,MATCH(H1142,Lists!$A$2:$A$11,0))),N(INDEX(Platforms!$C$5:$C$14,MATCH(H1142,Lists!$A$2:$A$11,0)))*(K1142+IF(INDEX(Platforms!$E$5:$E$14,MATCH(H1142,Lists!$A$2:$A$11,0))="Yes",N(L1142),0))+N(INDEX(Platforms!$D$5:$D$14,MATCH(H1142,Lists!$A$2:$A$11,0)))))),""))</f>
        <v/>
      </c>
      <c r="R1142" s="16" t="str">
        <f t="shared" si="69"/>
        <v/>
      </c>
      <c r="S1142" s="17" t="str">
        <f t="shared" si="70"/>
        <v/>
      </c>
      <c r="T1142" s="18" t="str">
        <f t="shared" ca="1" si="71"/>
        <v/>
      </c>
    </row>
    <row r="1143" spans="1:20" x14ac:dyDescent="0.35">
      <c r="A1143" s="11"/>
      <c r="B1143" s="11"/>
      <c r="C1143" s="11"/>
      <c r="D1143" s="12"/>
      <c r="E1143" s="11"/>
      <c r="F1143" s="13"/>
      <c r="G1143" s="13"/>
      <c r="H1143" s="11"/>
      <c r="I1143" s="12"/>
      <c r="J1143" s="12"/>
      <c r="K1143" s="13"/>
      <c r="L1143" s="13"/>
      <c r="M1143" s="13"/>
      <c r="N1143" s="13"/>
      <c r="O1143" s="13"/>
      <c r="P1143" s="14" t="str">
        <f t="shared" si="68"/>
        <v/>
      </c>
      <c r="Q1143" s="15" t="str">
        <f>IF(OR(J1143="",H1143=""),"",IFERROR(IF(ISNUMBER(N1143),N1143,IF(K1143&lt;N(INDEX(Platforms!$G$5:$G$14,MATCH(H1143,Lists!$A$2:$A$11,0))),N(INDEX(Platforms!$H$5:$H$14,MATCH(H1143,Lists!$A$2:$A$11,0))),MAX(N(INDEX(Platforms!$F$5:$F$14,MATCH(H1143,Lists!$A$2:$A$11,0))),N(INDEX(Platforms!$C$5:$C$14,MATCH(H1143,Lists!$A$2:$A$11,0)))*(K1143+IF(INDEX(Platforms!$E$5:$E$14,MATCH(H1143,Lists!$A$2:$A$11,0))="Yes",N(L1143),0))+N(INDEX(Platforms!$D$5:$D$14,MATCH(H1143,Lists!$A$2:$A$11,0)))))),""))</f>
        <v/>
      </c>
      <c r="R1143" s="16" t="str">
        <f t="shared" si="69"/>
        <v/>
      </c>
      <c r="S1143" s="17" t="str">
        <f t="shared" si="70"/>
        <v/>
      </c>
      <c r="T1143" s="18" t="str">
        <f t="shared" ca="1" si="71"/>
        <v/>
      </c>
    </row>
    <row r="1144" spans="1:20" x14ac:dyDescent="0.35">
      <c r="A1144" s="11"/>
      <c r="B1144" s="11"/>
      <c r="C1144" s="11"/>
      <c r="D1144" s="12"/>
      <c r="E1144" s="11"/>
      <c r="F1144" s="13"/>
      <c r="G1144" s="13"/>
      <c r="H1144" s="11"/>
      <c r="I1144" s="12"/>
      <c r="J1144" s="12"/>
      <c r="K1144" s="13"/>
      <c r="L1144" s="13"/>
      <c r="M1144" s="13"/>
      <c r="N1144" s="13"/>
      <c r="O1144" s="13"/>
      <c r="P1144" s="14" t="str">
        <f t="shared" si="68"/>
        <v/>
      </c>
      <c r="Q1144" s="15" t="str">
        <f>IF(OR(J1144="",H1144=""),"",IFERROR(IF(ISNUMBER(N1144),N1144,IF(K1144&lt;N(INDEX(Platforms!$G$5:$G$14,MATCH(H1144,Lists!$A$2:$A$11,0))),N(INDEX(Platforms!$H$5:$H$14,MATCH(H1144,Lists!$A$2:$A$11,0))),MAX(N(INDEX(Platforms!$F$5:$F$14,MATCH(H1144,Lists!$A$2:$A$11,0))),N(INDEX(Platforms!$C$5:$C$14,MATCH(H1144,Lists!$A$2:$A$11,0)))*(K1144+IF(INDEX(Platforms!$E$5:$E$14,MATCH(H1144,Lists!$A$2:$A$11,0))="Yes",N(L1144),0))+N(INDEX(Platforms!$D$5:$D$14,MATCH(H1144,Lists!$A$2:$A$11,0)))))),""))</f>
        <v/>
      </c>
      <c r="R1144" s="16" t="str">
        <f t="shared" si="69"/>
        <v/>
      </c>
      <c r="S1144" s="17" t="str">
        <f t="shared" si="70"/>
        <v/>
      </c>
      <c r="T1144" s="18" t="str">
        <f t="shared" ca="1" si="71"/>
        <v/>
      </c>
    </row>
    <row r="1145" spans="1:20" x14ac:dyDescent="0.35">
      <c r="A1145" s="11"/>
      <c r="B1145" s="11"/>
      <c r="C1145" s="11"/>
      <c r="D1145" s="12"/>
      <c r="E1145" s="11"/>
      <c r="F1145" s="13"/>
      <c r="G1145" s="13"/>
      <c r="H1145" s="11"/>
      <c r="I1145" s="12"/>
      <c r="J1145" s="12"/>
      <c r="K1145" s="13"/>
      <c r="L1145" s="13"/>
      <c r="M1145" s="13"/>
      <c r="N1145" s="13"/>
      <c r="O1145" s="13"/>
      <c r="P1145" s="14" t="str">
        <f t="shared" si="68"/>
        <v/>
      </c>
      <c r="Q1145" s="15" t="str">
        <f>IF(OR(J1145="",H1145=""),"",IFERROR(IF(ISNUMBER(N1145),N1145,IF(K1145&lt;N(INDEX(Platforms!$G$5:$G$14,MATCH(H1145,Lists!$A$2:$A$11,0))),N(INDEX(Platforms!$H$5:$H$14,MATCH(H1145,Lists!$A$2:$A$11,0))),MAX(N(INDEX(Platforms!$F$5:$F$14,MATCH(H1145,Lists!$A$2:$A$11,0))),N(INDEX(Platforms!$C$5:$C$14,MATCH(H1145,Lists!$A$2:$A$11,0)))*(K1145+IF(INDEX(Platforms!$E$5:$E$14,MATCH(H1145,Lists!$A$2:$A$11,0))="Yes",N(L1145),0))+N(INDEX(Platforms!$D$5:$D$14,MATCH(H1145,Lists!$A$2:$A$11,0)))))),""))</f>
        <v/>
      </c>
      <c r="R1145" s="16" t="str">
        <f t="shared" si="69"/>
        <v/>
      </c>
      <c r="S1145" s="17" t="str">
        <f t="shared" si="70"/>
        <v/>
      </c>
      <c r="T1145" s="18" t="str">
        <f t="shared" ca="1" si="71"/>
        <v/>
      </c>
    </row>
    <row r="1146" spans="1:20" x14ac:dyDescent="0.35">
      <c r="A1146" s="11"/>
      <c r="B1146" s="11"/>
      <c r="C1146" s="11"/>
      <c r="D1146" s="12"/>
      <c r="E1146" s="11"/>
      <c r="F1146" s="13"/>
      <c r="G1146" s="13"/>
      <c r="H1146" s="11"/>
      <c r="I1146" s="12"/>
      <c r="J1146" s="12"/>
      <c r="K1146" s="13"/>
      <c r="L1146" s="13"/>
      <c r="M1146" s="13"/>
      <c r="N1146" s="13"/>
      <c r="O1146" s="13"/>
      <c r="P1146" s="14" t="str">
        <f t="shared" si="68"/>
        <v/>
      </c>
      <c r="Q1146" s="15" t="str">
        <f>IF(OR(J1146="",H1146=""),"",IFERROR(IF(ISNUMBER(N1146),N1146,IF(K1146&lt;N(INDEX(Platforms!$G$5:$G$14,MATCH(H1146,Lists!$A$2:$A$11,0))),N(INDEX(Platforms!$H$5:$H$14,MATCH(H1146,Lists!$A$2:$A$11,0))),MAX(N(INDEX(Platforms!$F$5:$F$14,MATCH(H1146,Lists!$A$2:$A$11,0))),N(INDEX(Platforms!$C$5:$C$14,MATCH(H1146,Lists!$A$2:$A$11,0)))*(K1146+IF(INDEX(Platforms!$E$5:$E$14,MATCH(H1146,Lists!$A$2:$A$11,0))="Yes",N(L1146),0))+N(INDEX(Platforms!$D$5:$D$14,MATCH(H1146,Lists!$A$2:$A$11,0)))))),""))</f>
        <v/>
      </c>
      <c r="R1146" s="16" t="str">
        <f t="shared" si="69"/>
        <v/>
      </c>
      <c r="S1146" s="17" t="str">
        <f t="shared" si="70"/>
        <v/>
      </c>
      <c r="T1146" s="18" t="str">
        <f t="shared" ca="1" si="71"/>
        <v/>
      </c>
    </row>
    <row r="1147" spans="1:20" x14ac:dyDescent="0.35">
      <c r="A1147" s="11"/>
      <c r="B1147" s="11"/>
      <c r="C1147" s="11"/>
      <c r="D1147" s="12"/>
      <c r="E1147" s="11"/>
      <c r="F1147" s="13"/>
      <c r="G1147" s="13"/>
      <c r="H1147" s="11"/>
      <c r="I1147" s="12"/>
      <c r="J1147" s="12"/>
      <c r="K1147" s="13"/>
      <c r="L1147" s="13"/>
      <c r="M1147" s="13"/>
      <c r="N1147" s="13"/>
      <c r="O1147" s="13"/>
      <c r="P1147" s="14" t="str">
        <f t="shared" si="68"/>
        <v/>
      </c>
      <c r="Q1147" s="15" t="str">
        <f>IF(OR(J1147="",H1147=""),"",IFERROR(IF(ISNUMBER(N1147),N1147,IF(K1147&lt;N(INDEX(Platforms!$G$5:$G$14,MATCH(H1147,Lists!$A$2:$A$11,0))),N(INDEX(Platforms!$H$5:$H$14,MATCH(H1147,Lists!$A$2:$A$11,0))),MAX(N(INDEX(Platforms!$F$5:$F$14,MATCH(H1147,Lists!$A$2:$A$11,0))),N(INDEX(Platforms!$C$5:$C$14,MATCH(H1147,Lists!$A$2:$A$11,0)))*(K1147+IF(INDEX(Platforms!$E$5:$E$14,MATCH(H1147,Lists!$A$2:$A$11,0))="Yes",N(L1147),0))+N(INDEX(Platforms!$D$5:$D$14,MATCH(H1147,Lists!$A$2:$A$11,0)))))),""))</f>
        <v/>
      </c>
      <c r="R1147" s="16" t="str">
        <f t="shared" si="69"/>
        <v/>
      </c>
      <c r="S1147" s="17" t="str">
        <f t="shared" si="70"/>
        <v/>
      </c>
      <c r="T1147" s="18" t="str">
        <f t="shared" ca="1" si="71"/>
        <v/>
      </c>
    </row>
    <row r="1148" spans="1:20" x14ac:dyDescent="0.35">
      <c r="A1148" s="11"/>
      <c r="B1148" s="11"/>
      <c r="C1148" s="11"/>
      <c r="D1148" s="12"/>
      <c r="E1148" s="11"/>
      <c r="F1148" s="13"/>
      <c r="G1148" s="13"/>
      <c r="H1148" s="11"/>
      <c r="I1148" s="12"/>
      <c r="J1148" s="12"/>
      <c r="K1148" s="13"/>
      <c r="L1148" s="13"/>
      <c r="M1148" s="13"/>
      <c r="N1148" s="13"/>
      <c r="O1148" s="13"/>
      <c r="P1148" s="14" t="str">
        <f t="shared" si="68"/>
        <v/>
      </c>
      <c r="Q1148" s="15" t="str">
        <f>IF(OR(J1148="",H1148=""),"",IFERROR(IF(ISNUMBER(N1148),N1148,IF(K1148&lt;N(INDEX(Platforms!$G$5:$G$14,MATCH(H1148,Lists!$A$2:$A$11,0))),N(INDEX(Platforms!$H$5:$H$14,MATCH(H1148,Lists!$A$2:$A$11,0))),MAX(N(INDEX(Platforms!$F$5:$F$14,MATCH(H1148,Lists!$A$2:$A$11,0))),N(INDEX(Platforms!$C$5:$C$14,MATCH(H1148,Lists!$A$2:$A$11,0)))*(K1148+IF(INDEX(Platforms!$E$5:$E$14,MATCH(H1148,Lists!$A$2:$A$11,0))="Yes",N(L1148),0))+N(INDEX(Platforms!$D$5:$D$14,MATCH(H1148,Lists!$A$2:$A$11,0)))))),""))</f>
        <v/>
      </c>
      <c r="R1148" s="16" t="str">
        <f t="shared" si="69"/>
        <v/>
      </c>
      <c r="S1148" s="17" t="str">
        <f t="shared" si="70"/>
        <v/>
      </c>
      <c r="T1148" s="18" t="str">
        <f t="shared" ca="1" si="71"/>
        <v/>
      </c>
    </row>
    <row r="1149" spans="1:20" x14ac:dyDescent="0.35">
      <c r="A1149" s="11"/>
      <c r="B1149" s="11"/>
      <c r="C1149" s="11"/>
      <c r="D1149" s="12"/>
      <c r="E1149" s="11"/>
      <c r="F1149" s="13"/>
      <c r="G1149" s="13"/>
      <c r="H1149" s="11"/>
      <c r="I1149" s="12"/>
      <c r="J1149" s="12"/>
      <c r="K1149" s="13"/>
      <c r="L1149" s="13"/>
      <c r="M1149" s="13"/>
      <c r="N1149" s="13"/>
      <c r="O1149" s="13"/>
      <c r="P1149" s="14" t="str">
        <f t="shared" si="68"/>
        <v/>
      </c>
      <c r="Q1149" s="15" t="str">
        <f>IF(OR(J1149="",H1149=""),"",IFERROR(IF(ISNUMBER(N1149),N1149,IF(K1149&lt;N(INDEX(Platforms!$G$5:$G$14,MATCH(H1149,Lists!$A$2:$A$11,0))),N(INDEX(Platforms!$H$5:$H$14,MATCH(H1149,Lists!$A$2:$A$11,0))),MAX(N(INDEX(Platforms!$F$5:$F$14,MATCH(H1149,Lists!$A$2:$A$11,0))),N(INDEX(Platforms!$C$5:$C$14,MATCH(H1149,Lists!$A$2:$A$11,0)))*(K1149+IF(INDEX(Platforms!$E$5:$E$14,MATCH(H1149,Lists!$A$2:$A$11,0))="Yes",N(L1149),0))+N(INDEX(Platforms!$D$5:$D$14,MATCH(H1149,Lists!$A$2:$A$11,0)))))),""))</f>
        <v/>
      </c>
      <c r="R1149" s="16" t="str">
        <f t="shared" si="69"/>
        <v/>
      </c>
      <c r="S1149" s="17" t="str">
        <f t="shared" si="70"/>
        <v/>
      </c>
      <c r="T1149" s="18" t="str">
        <f t="shared" ca="1" si="71"/>
        <v/>
      </c>
    </row>
    <row r="1150" spans="1:20" x14ac:dyDescent="0.35">
      <c r="A1150" s="11"/>
      <c r="B1150" s="11"/>
      <c r="C1150" s="11"/>
      <c r="D1150" s="12"/>
      <c r="E1150" s="11"/>
      <c r="F1150" s="13"/>
      <c r="G1150" s="13"/>
      <c r="H1150" s="11"/>
      <c r="I1150" s="12"/>
      <c r="J1150" s="12"/>
      <c r="K1150" s="13"/>
      <c r="L1150" s="13"/>
      <c r="M1150" s="13"/>
      <c r="N1150" s="13"/>
      <c r="O1150" s="13"/>
      <c r="P1150" s="14" t="str">
        <f t="shared" si="68"/>
        <v/>
      </c>
      <c r="Q1150" s="15" t="str">
        <f>IF(OR(J1150="",H1150=""),"",IFERROR(IF(ISNUMBER(N1150),N1150,IF(K1150&lt;N(INDEX(Platforms!$G$5:$G$14,MATCH(H1150,Lists!$A$2:$A$11,0))),N(INDEX(Platforms!$H$5:$H$14,MATCH(H1150,Lists!$A$2:$A$11,0))),MAX(N(INDEX(Platforms!$F$5:$F$14,MATCH(H1150,Lists!$A$2:$A$11,0))),N(INDEX(Platforms!$C$5:$C$14,MATCH(H1150,Lists!$A$2:$A$11,0)))*(K1150+IF(INDEX(Platforms!$E$5:$E$14,MATCH(H1150,Lists!$A$2:$A$11,0))="Yes",N(L1150),0))+N(INDEX(Platforms!$D$5:$D$14,MATCH(H1150,Lists!$A$2:$A$11,0)))))),""))</f>
        <v/>
      </c>
      <c r="R1150" s="16" t="str">
        <f t="shared" si="69"/>
        <v/>
      </c>
      <c r="S1150" s="17" t="str">
        <f t="shared" si="70"/>
        <v/>
      </c>
      <c r="T1150" s="18" t="str">
        <f t="shared" ca="1" si="71"/>
        <v/>
      </c>
    </row>
    <row r="1151" spans="1:20" x14ac:dyDescent="0.35">
      <c r="A1151" s="11"/>
      <c r="B1151" s="11"/>
      <c r="C1151" s="11"/>
      <c r="D1151" s="12"/>
      <c r="E1151" s="11"/>
      <c r="F1151" s="13"/>
      <c r="G1151" s="13"/>
      <c r="H1151" s="11"/>
      <c r="I1151" s="12"/>
      <c r="J1151" s="12"/>
      <c r="K1151" s="13"/>
      <c r="L1151" s="13"/>
      <c r="M1151" s="13"/>
      <c r="N1151" s="13"/>
      <c r="O1151" s="13"/>
      <c r="P1151" s="14" t="str">
        <f t="shared" si="68"/>
        <v/>
      </c>
      <c r="Q1151" s="15" t="str">
        <f>IF(OR(J1151="",H1151=""),"",IFERROR(IF(ISNUMBER(N1151),N1151,IF(K1151&lt;N(INDEX(Platforms!$G$5:$G$14,MATCH(H1151,Lists!$A$2:$A$11,0))),N(INDEX(Platforms!$H$5:$H$14,MATCH(H1151,Lists!$A$2:$A$11,0))),MAX(N(INDEX(Platforms!$F$5:$F$14,MATCH(H1151,Lists!$A$2:$A$11,0))),N(INDEX(Platforms!$C$5:$C$14,MATCH(H1151,Lists!$A$2:$A$11,0)))*(K1151+IF(INDEX(Platforms!$E$5:$E$14,MATCH(H1151,Lists!$A$2:$A$11,0))="Yes",N(L1151),0))+N(INDEX(Platforms!$D$5:$D$14,MATCH(H1151,Lists!$A$2:$A$11,0)))))),""))</f>
        <v/>
      </c>
      <c r="R1151" s="16" t="str">
        <f t="shared" si="69"/>
        <v/>
      </c>
      <c r="S1151" s="17" t="str">
        <f t="shared" si="70"/>
        <v/>
      </c>
      <c r="T1151" s="18" t="str">
        <f t="shared" ca="1" si="71"/>
        <v/>
      </c>
    </row>
    <row r="1152" spans="1:20" x14ac:dyDescent="0.35">
      <c r="A1152" s="11"/>
      <c r="B1152" s="11"/>
      <c r="C1152" s="11"/>
      <c r="D1152" s="12"/>
      <c r="E1152" s="11"/>
      <c r="F1152" s="13"/>
      <c r="G1152" s="13"/>
      <c r="H1152" s="11"/>
      <c r="I1152" s="12"/>
      <c r="J1152" s="12"/>
      <c r="K1152" s="13"/>
      <c r="L1152" s="13"/>
      <c r="M1152" s="13"/>
      <c r="N1152" s="13"/>
      <c r="O1152" s="13"/>
      <c r="P1152" s="14" t="str">
        <f t="shared" si="68"/>
        <v/>
      </c>
      <c r="Q1152" s="15" t="str">
        <f>IF(OR(J1152="",H1152=""),"",IFERROR(IF(ISNUMBER(N1152),N1152,IF(K1152&lt;N(INDEX(Platforms!$G$5:$G$14,MATCH(H1152,Lists!$A$2:$A$11,0))),N(INDEX(Platforms!$H$5:$H$14,MATCH(H1152,Lists!$A$2:$A$11,0))),MAX(N(INDEX(Platforms!$F$5:$F$14,MATCH(H1152,Lists!$A$2:$A$11,0))),N(INDEX(Platforms!$C$5:$C$14,MATCH(H1152,Lists!$A$2:$A$11,0)))*(K1152+IF(INDEX(Platforms!$E$5:$E$14,MATCH(H1152,Lists!$A$2:$A$11,0))="Yes",N(L1152),0))+N(INDEX(Platforms!$D$5:$D$14,MATCH(H1152,Lists!$A$2:$A$11,0)))))),""))</f>
        <v/>
      </c>
      <c r="R1152" s="16" t="str">
        <f t="shared" si="69"/>
        <v/>
      </c>
      <c r="S1152" s="17" t="str">
        <f t="shared" si="70"/>
        <v/>
      </c>
      <c r="T1152" s="18" t="str">
        <f t="shared" ca="1" si="71"/>
        <v/>
      </c>
    </row>
    <row r="1153" spans="1:20" x14ac:dyDescent="0.35">
      <c r="A1153" s="11"/>
      <c r="B1153" s="11"/>
      <c r="C1153" s="11"/>
      <c r="D1153" s="12"/>
      <c r="E1153" s="11"/>
      <c r="F1153" s="13"/>
      <c r="G1153" s="13"/>
      <c r="H1153" s="11"/>
      <c r="I1153" s="12"/>
      <c r="J1153" s="12"/>
      <c r="K1153" s="13"/>
      <c r="L1153" s="13"/>
      <c r="M1153" s="13"/>
      <c r="N1153" s="13"/>
      <c r="O1153" s="13"/>
      <c r="P1153" s="14" t="str">
        <f t="shared" si="68"/>
        <v/>
      </c>
      <c r="Q1153" s="15" t="str">
        <f>IF(OR(J1153="",H1153=""),"",IFERROR(IF(ISNUMBER(N1153),N1153,IF(K1153&lt;N(INDEX(Platforms!$G$5:$G$14,MATCH(H1153,Lists!$A$2:$A$11,0))),N(INDEX(Platforms!$H$5:$H$14,MATCH(H1153,Lists!$A$2:$A$11,0))),MAX(N(INDEX(Platforms!$F$5:$F$14,MATCH(H1153,Lists!$A$2:$A$11,0))),N(INDEX(Platforms!$C$5:$C$14,MATCH(H1153,Lists!$A$2:$A$11,0)))*(K1153+IF(INDEX(Platforms!$E$5:$E$14,MATCH(H1153,Lists!$A$2:$A$11,0))="Yes",N(L1153),0))+N(INDEX(Platforms!$D$5:$D$14,MATCH(H1153,Lists!$A$2:$A$11,0)))))),""))</f>
        <v/>
      </c>
      <c r="R1153" s="16" t="str">
        <f t="shared" si="69"/>
        <v/>
      </c>
      <c r="S1153" s="17" t="str">
        <f t="shared" si="70"/>
        <v/>
      </c>
      <c r="T1153" s="18" t="str">
        <f t="shared" ca="1" si="71"/>
        <v/>
      </c>
    </row>
    <row r="1154" spans="1:20" x14ac:dyDescent="0.35">
      <c r="A1154" s="11"/>
      <c r="B1154" s="11"/>
      <c r="C1154" s="11"/>
      <c r="D1154" s="12"/>
      <c r="E1154" s="11"/>
      <c r="F1154" s="13"/>
      <c r="G1154" s="13"/>
      <c r="H1154" s="11"/>
      <c r="I1154" s="12"/>
      <c r="J1154" s="12"/>
      <c r="K1154" s="13"/>
      <c r="L1154" s="13"/>
      <c r="M1154" s="13"/>
      <c r="N1154" s="13"/>
      <c r="O1154" s="13"/>
      <c r="P1154" s="14" t="str">
        <f t="shared" si="68"/>
        <v/>
      </c>
      <c r="Q1154" s="15" t="str">
        <f>IF(OR(J1154="",H1154=""),"",IFERROR(IF(ISNUMBER(N1154),N1154,IF(K1154&lt;N(INDEX(Platforms!$G$5:$G$14,MATCH(H1154,Lists!$A$2:$A$11,0))),N(INDEX(Platforms!$H$5:$H$14,MATCH(H1154,Lists!$A$2:$A$11,0))),MAX(N(INDEX(Platforms!$F$5:$F$14,MATCH(H1154,Lists!$A$2:$A$11,0))),N(INDEX(Platforms!$C$5:$C$14,MATCH(H1154,Lists!$A$2:$A$11,0)))*(K1154+IF(INDEX(Platforms!$E$5:$E$14,MATCH(H1154,Lists!$A$2:$A$11,0))="Yes",N(L1154),0))+N(INDEX(Platforms!$D$5:$D$14,MATCH(H1154,Lists!$A$2:$A$11,0)))))),""))</f>
        <v/>
      </c>
      <c r="R1154" s="16" t="str">
        <f t="shared" si="69"/>
        <v/>
      </c>
      <c r="S1154" s="17" t="str">
        <f t="shared" si="70"/>
        <v/>
      </c>
      <c r="T1154" s="18" t="str">
        <f t="shared" ca="1" si="71"/>
        <v/>
      </c>
    </row>
    <row r="1155" spans="1:20" x14ac:dyDescent="0.35">
      <c r="A1155" s="11"/>
      <c r="B1155" s="11"/>
      <c r="C1155" s="11"/>
      <c r="D1155" s="12"/>
      <c r="E1155" s="11"/>
      <c r="F1155" s="13"/>
      <c r="G1155" s="13"/>
      <c r="H1155" s="11"/>
      <c r="I1155" s="12"/>
      <c r="J1155" s="12"/>
      <c r="K1155" s="13"/>
      <c r="L1155" s="13"/>
      <c r="M1155" s="13"/>
      <c r="N1155" s="13"/>
      <c r="O1155" s="13"/>
      <c r="P1155" s="14" t="str">
        <f t="shared" si="68"/>
        <v/>
      </c>
      <c r="Q1155" s="15" t="str">
        <f>IF(OR(J1155="",H1155=""),"",IFERROR(IF(ISNUMBER(N1155),N1155,IF(K1155&lt;N(INDEX(Platforms!$G$5:$G$14,MATCH(H1155,Lists!$A$2:$A$11,0))),N(INDEX(Platforms!$H$5:$H$14,MATCH(H1155,Lists!$A$2:$A$11,0))),MAX(N(INDEX(Platforms!$F$5:$F$14,MATCH(H1155,Lists!$A$2:$A$11,0))),N(INDEX(Platforms!$C$5:$C$14,MATCH(H1155,Lists!$A$2:$A$11,0)))*(K1155+IF(INDEX(Platforms!$E$5:$E$14,MATCH(H1155,Lists!$A$2:$A$11,0))="Yes",N(L1155),0))+N(INDEX(Platforms!$D$5:$D$14,MATCH(H1155,Lists!$A$2:$A$11,0)))))),""))</f>
        <v/>
      </c>
      <c r="R1155" s="16" t="str">
        <f t="shared" si="69"/>
        <v/>
      </c>
      <c r="S1155" s="17" t="str">
        <f t="shared" si="70"/>
        <v/>
      </c>
      <c r="T1155" s="18" t="str">
        <f t="shared" ca="1" si="71"/>
        <v/>
      </c>
    </row>
    <row r="1156" spans="1:20" x14ac:dyDescent="0.35">
      <c r="A1156" s="11"/>
      <c r="B1156" s="11"/>
      <c r="C1156" s="11"/>
      <c r="D1156" s="12"/>
      <c r="E1156" s="11"/>
      <c r="F1156" s="13"/>
      <c r="G1156" s="13"/>
      <c r="H1156" s="11"/>
      <c r="I1156" s="12"/>
      <c r="J1156" s="12"/>
      <c r="K1156" s="13"/>
      <c r="L1156" s="13"/>
      <c r="M1156" s="13"/>
      <c r="N1156" s="13"/>
      <c r="O1156" s="13"/>
      <c r="P1156" s="14" t="str">
        <f t="shared" si="68"/>
        <v/>
      </c>
      <c r="Q1156" s="15" t="str">
        <f>IF(OR(J1156="",H1156=""),"",IFERROR(IF(ISNUMBER(N1156),N1156,IF(K1156&lt;N(INDEX(Platforms!$G$5:$G$14,MATCH(H1156,Lists!$A$2:$A$11,0))),N(INDEX(Platforms!$H$5:$H$14,MATCH(H1156,Lists!$A$2:$A$11,0))),MAX(N(INDEX(Platforms!$F$5:$F$14,MATCH(H1156,Lists!$A$2:$A$11,0))),N(INDEX(Platforms!$C$5:$C$14,MATCH(H1156,Lists!$A$2:$A$11,0)))*(K1156+IF(INDEX(Platforms!$E$5:$E$14,MATCH(H1156,Lists!$A$2:$A$11,0))="Yes",N(L1156),0))+N(INDEX(Platforms!$D$5:$D$14,MATCH(H1156,Lists!$A$2:$A$11,0)))))),""))</f>
        <v/>
      </c>
      <c r="R1156" s="16" t="str">
        <f t="shared" si="69"/>
        <v/>
      </c>
      <c r="S1156" s="17" t="str">
        <f t="shared" si="70"/>
        <v/>
      </c>
      <c r="T1156" s="18" t="str">
        <f t="shared" ca="1" si="71"/>
        <v/>
      </c>
    </row>
    <row r="1157" spans="1:20" x14ac:dyDescent="0.35">
      <c r="A1157" s="11"/>
      <c r="B1157" s="11"/>
      <c r="C1157" s="11"/>
      <c r="D1157" s="12"/>
      <c r="E1157" s="11"/>
      <c r="F1157" s="13"/>
      <c r="G1157" s="13"/>
      <c r="H1157" s="11"/>
      <c r="I1157" s="12"/>
      <c r="J1157" s="12"/>
      <c r="K1157" s="13"/>
      <c r="L1157" s="13"/>
      <c r="M1157" s="13"/>
      <c r="N1157" s="13"/>
      <c r="O1157" s="13"/>
      <c r="P1157" s="14" t="str">
        <f t="shared" ref="P1157:P1220" si="72">IF(OR(B1157&lt;&gt;"",F1157&lt;&gt;"",H1157&lt;&gt;"",J1157&lt;&gt;"",K1157&lt;&gt;""),IF(J1157&lt;&gt;"","Sold",IF(I1157&lt;&gt;"","Listed","In stock")),"")</f>
        <v/>
      </c>
      <c r="Q1157" s="15" t="str">
        <f>IF(OR(J1157="",H1157=""),"",IFERROR(IF(ISNUMBER(N1157),N1157,IF(K1157&lt;N(INDEX(Platforms!$G$5:$G$14,MATCH(H1157,Lists!$A$2:$A$11,0))),N(INDEX(Platforms!$H$5:$H$14,MATCH(H1157,Lists!$A$2:$A$11,0))),MAX(N(INDEX(Platforms!$F$5:$F$14,MATCH(H1157,Lists!$A$2:$A$11,0))),N(INDEX(Platforms!$C$5:$C$14,MATCH(H1157,Lists!$A$2:$A$11,0)))*(K1157+IF(INDEX(Platforms!$E$5:$E$14,MATCH(H1157,Lists!$A$2:$A$11,0))="Yes",N(L1157),0))+N(INDEX(Platforms!$D$5:$D$14,MATCH(H1157,Lists!$A$2:$A$11,0)))))),""))</f>
        <v/>
      </c>
      <c r="R1157" s="16" t="str">
        <f t="shared" ref="R1157:R1220" si="73">IF(J1157="","",IFERROR(K1157+N(L1157)-N(O1157)-Q1157-N(M1157)-N(F1157)-N(G1157),""))</f>
        <v/>
      </c>
      <c r="S1157" s="17" t="str">
        <f t="shared" ref="S1157:S1220" si="74">IF(OR(R1157="",N(F1157)+N(G1157)=0),"",R1157/(N(F1157)+N(G1157)))</f>
        <v/>
      </c>
      <c r="T1157" s="18" t="str">
        <f t="shared" ref="T1157:T1220" ca="1" si="75">IFERROR(IF(ISNUMBER(D1157),IF(ISNUMBER(J1157),J1157,IF(J1157="",TODAY(),""))-D1157,""),"")</f>
        <v/>
      </c>
    </row>
    <row r="1158" spans="1:20" x14ac:dyDescent="0.35">
      <c r="A1158" s="11"/>
      <c r="B1158" s="11"/>
      <c r="C1158" s="11"/>
      <c r="D1158" s="12"/>
      <c r="E1158" s="11"/>
      <c r="F1158" s="13"/>
      <c r="G1158" s="13"/>
      <c r="H1158" s="11"/>
      <c r="I1158" s="12"/>
      <c r="J1158" s="12"/>
      <c r="K1158" s="13"/>
      <c r="L1158" s="13"/>
      <c r="M1158" s="13"/>
      <c r="N1158" s="13"/>
      <c r="O1158" s="13"/>
      <c r="P1158" s="14" t="str">
        <f t="shared" si="72"/>
        <v/>
      </c>
      <c r="Q1158" s="15" t="str">
        <f>IF(OR(J1158="",H1158=""),"",IFERROR(IF(ISNUMBER(N1158),N1158,IF(K1158&lt;N(INDEX(Platforms!$G$5:$G$14,MATCH(H1158,Lists!$A$2:$A$11,0))),N(INDEX(Platforms!$H$5:$H$14,MATCH(H1158,Lists!$A$2:$A$11,0))),MAX(N(INDEX(Platforms!$F$5:$F$14,MATCH(H1158,Lists!$A$2:$A$11,0))),N(INDEX(Platforms!$C$5:$C$14,MATCH(H1158,Lists!$A$2:$A$11,0)))*(K1158+IF(INDEX(Platforms!$E$5:$E$14,MATCH(H1158,Lists!$A$2:$A$11,0))="Yes",N(L1158),0))+N(INDEX(Platforms!$D$5:$D$14,MATCH(H1158,Lists!$A$2:$A$11,0)))))),""))</f>
        <v/>
      </c>
      <c r="R1158" s="16" t="str">
        <f t="shared" si="73"/>
        <v/>
      </c>
      <c r="S1158" s="17" t="str">
        <f t="shared" si="74"/>
        <v/>
      </c>
      <c r="T1158" s="18" t="str">
        <f t="shared" ca="1" si="75"/>
        <v/>
      </c>
    </row>
    <row r="1159" spans="1:20" x14ac:dyDescent="0.35">
      <c r="A1159" s="11"/>
      <c r="B1159" s="11"/>
      <c r="C1159" s="11"/>
      <c r="D1159" s="12"/>
      <c r="E1159" s="11"/>
      <c r="F1159" s="13"/>
      <c r="G1159" s="13"/>
      <c r="H1159" s="11"/>
      <c r="I1159" s="12"/>
      <c r="J1159" s="12"/>
      <c r="K1159" s="13"/>
      <c r="L1159" s="13"/>
      <c r="M1159" s="13"/>
      <c r="N1159" s="13"/>
      <c r="O1159" s="13"/>
      <c r="P1159" s="14" t="str">
        <f t="shared" si="72"/>
        <v/>
      </c>
      <c r="Q1159" s="15" t="str">
        <f>IF(OR(J1159="",H1159=""),"",IFERROR(IF(ISNUMBER(N1159),N1159,IF(K1159&lt;N(INDEX(Platforms!$G$5:$G$14,MATCH(H1159,Lists!$A$2:$A$11,0))),N(INDEX(Platforms!$H$5:$H$14,MATCH(H1159,Lists!$A$2:$A$11,0))),MAX(N(INDEX(Platforms!$F$5:$F$14,MATCH(H1159,Lists!$A$2:$A$11,0))),N(INDEX(Platforms!$C$5:$C$14,MATCH(H1159,Lists!$A$2:$A$11,0)))*(K1159+IF(INDEX(Platforms!$E$5:$E$14,MATCH(H1159,Lists!$A$2:$A$11,0))="Yes",N(L1159),0))+N(INDEX(Platforms!$D$5:$D$14,MATCH(H1159,Lists!$A$2:$A$11,0)))))),""))</f>
        <v/>
      </c>
      <c r="R1159" s="16" t="str">
        <f t="shared" si="73"/>
        <v/>
      </c>
      <c r="S1159" s="17" t="str">
        <f t="shared" si="74"/>
        <v/>
      </c>
      <c r="T1159" s="18" t="str">
        <f t="shared" ca="1" si="75"/>
        <v/>
      </c>
    </row>
    <row r="1160" spans="1:20" x14ac:dyDescent="0.35">
      <c r="A1160" s="11"/>
      <c r="B1160" s="11"/>
      <c r="C1160" s="11"/>
      <c r="D1160" s="12"/>
      <c r="E1160" s="11"/>
      <c r="F1160" s="13"/>
      <c r="G1160" s="13"/>
      <c r="H1160" s="11"/>
      <c r="I1160" s="12"/>
      <c r="J1160" s="12"/>
      <c r="K1160" s="13"/>
      <c r="L1160" s="13"/>
      <c r="M1160" s="13"/>
      <c r="N1160" s="13"/>
      <c r="O1160" s="13"/>
      <c r="P1160" s="14" t="str">
        <f t="shared" si="72"/>
        <v/>
      </c>
      <c r="Q1160" s="15" t="str">
        <f>IF(OR(J1160="",H1160=""),"",IFERROR(IF(ISNUMBER(N1160),N1160,IF(K1160&lt;N(INDEX(Platforms!$G$5:$G$14,MATCH(H1160,Lists!$A$2:$A$11,0))),N(INDEX(Platforms!$H$5:$H$14,MATCH(H1160,Lists!$A$2:$A$11,0))),MAX(N(INDEX(Platforms!$F$5:$F$14,MATCH(H1160,Lists!$A$2:$A$11,0))),N(INDEX(Platforms!$C$5:$C$14,MATCH(H1160,Lists!$A$2:$A$11,0)))*(K1160+IF(INDEX(Platforms!$E$5:$E$14,MATCH(H1160,Lists!$A$2:$A$11,0))="Yes",N(L1160),0))+N(INDEX(Platforms!$D$5:$D$14,MATCH(H1160,Lists!$A$2:$A$11,0)))))),""))</f>
        <v/>
      </c>
      <c r="R1160" s="16" t="str">
        <f t="shared" si="73"/>
        <v/>
      </c>
      <c r="S1160" s="17" t="str">
        <f t="shared" si="74"/>
        <v/>
      </c>
      <c r="T1160" s="18" t="str">
        <f t="shared" ca="1" si="75"/>
        <v/>
      </c>
    </row>
    <row r="1161" spans="1:20" x14ac:dyDescent="0.35">
      <c r="A1161" s="11"/>
      <c r="B1161" s="11"/>
      <c r="C1161" s="11"/>
      <c r="D1161" s="12"/>
      <c r="E1161" s="11"/>
      <c r="F1161" s="13"/>
      <c r="G1161" s="13"/>
      <c r="H1161" s="11"/>
      <c r="I1161" s="12"/>
      <c r="J1161" s="12"/>
      <c r="K1161" s="13"/>
      <c r="L1161" s="13"/>
      <c r="M1161" s="13"/>
      <c r="N1161" s="13"/>
      <c r="O1161" s="13"/>
      <c r="P1161" s="14" t="str">
        <f t="shared" si="72"/>
        <v/>
      </c>
      <c r="Q1161" s="15" t="str">
        <f>IF(OR(J1161="",H1161=""),"",IFERROR(IF(ISNUMBER(N1161),N1161,IF(K1161&lt;N(INDEX(Platforms!$G$5:$G$14,MATCH(H1161,Lists!$A$2:$A$11,0))),N(INDEX(Platforms!$H$5:$H$14,MATCH(H1161,Lists!$A$2:$A$11,0))),MAX(N(INDEX(Platforms!$F$5:$F$14,MATCH(H1161,Lists!$A$2:$A$11,0))),N(INDEX(Platforms!$C$5:$C$14,MATCH(H1161,Lists!$A$2:$A$11,0)))*(K1161+IF(INDEX(Platforms!$E$5:$E$14,MATCH(H1161,Lists!$A$2:$A$11,0))="Yes",N(L1161),0))+N(INDEX(Platforms!$D$5:$D$14,MATCH(H1161,Lists!$A$2:$A$11,0)))))),""))</f>
        <v/>
      </c>
      <c r="R1161" s="16" t="str">
        <f t="shared" si="73"/>
        <v/>
      </c>
      <c r="S1161" s="17" t="str">
        <f t="shared" si="74"/>
        <v/>
      </c>
      <c r="T1161" s="18" t="str">
        <f t="shared" ca="1" si="75"/>
        <v/>
      </c>
    </row>
    <row r="1162" spans="1:20" x14ac:dyDescent="0.35">
      <c r="A1162" s="11"/>
      <c r="B1162" s="11"/>
      <c r="C1162" s="11"/>
      <c r="D1162" s="12"/>
      <c r="E1162" s="11"/>
      <c r="F1162" s="13"/>
      <c r="G1162" s="13"/>
      <c r="H1162" s="11"/>
      <c r="I1162" s="12"/>
      <c r="J1162" s="12"/>
      <c r="K1162" s="13"/>
      <c r="L1162" s="13"/>
      <c r="M1162" s="13"/>
      <c r="N1162" s="13"/>
      <c r="O1162" s="13"/>
      <c r="P1162" s="14" t="str">
        <f t="shared" si="72"/>
        <v/>
      </c>
      <c r="Q1162" s="15" t="str">
        <f>IF(OR(J1162="",H1162=""),"",IFERROR(IF(ISNUMBER(N1162),N1162,IF(K1162&lt;N(INDEX(Platforms!$G$5:$G$14,MATCH(H1162,Lists!$A$2:$A$11,0))),N(INDEX(Platforms!$H$5:$H$14,MATCH(H1162,Lists!$A$2:$A$11,0))),MAX(N(INDEX(Platforms!$F$5:$F$14,MATCH(H1162,Lists!$A$2:$A$11,0))),N(INDEX(Platforms!$C$5:$C$14,MATCH(H1162,Lists!$A$2:$A$11,0)))*(K1162+IF(INDEX(Platforms!$E$5:$E$14,MATCH(H1162,Lists!$A$2:$A$11,0))="Yes",N(L1162),0))+N(INDEX(Platforms!$D$5:$D$14,MATCH(H1162,Lists!$A$2:$A$11,0)))))),""))</f>
        <v/>
      </c>
      <c r="R1162" s="16" t="str">
        <f t="shared" si="73"/>
        <v/>
      </c>
      <c r="S1162" s="17" t="str">
        <f t="shared" si="74"/>
        <v/>
      </c>
      <c r="T1162" s="18" t="str">
        <f t="shared" ca="1" si="75"/>
        <v/>
      </c>
    </row>
    <row r="1163" spans="1:20" x14ac:dyDescent="0.35">
      <c r="A1163" s="11"/>
      <c r="B1163" s="11"/>
      <c r="C1163" s="11"/>
      <c r="D1163" s="12"/>
      <c r="E1163" s="11"/>
      <c r="F1163" s="13"/>
      <c r="G1163" s="13"/>
      <c r="H1163" s="11"/>
      <c r="I1163" s="12"/>
      <c r="J1163" s="12"/>
      <c r="K1163" s="13"/>
      <c r="L1163" s="13"/>
      <c r="M1163" s="13"/>
      <c r="N1163" s="13"/>
      <c r="O1163" s="13"/>
      <c r="P1163" s="14" t="str">
        <f t="shared" si="72"/>
        <v/>
      </c>
      <c r="Q1163" s="15" t="str">
        <f>IF(OR(J1163="",H1163=""),"",IFERROR(IF(ISNUMBER(N1163),N1163,IF(K1163&lt;N(INDEX(Platforms!$G$5:$G$14,MATCH(H1163,Lists!$A$2:$A$11,0))),N(INDEX(Platforms!$H$5:$H$14,MATCH(H1163,Lists!$A$2:$A$11,0))),MAX(N(INDEX(Platforms!$F$5:$F$14,MATCH(H1163,Lists!$A$2:$A$11,0))),N(INDEX(Platforms!$C$5:$C$14,MATCH(H1163,Lists!$A$2:$A$11,0)))*(K1163+IF(INDEX(Platforms!$E$5:$E$14,MATCH(H1163,Lists!$A$2:$A$11,0))="Yes",N(L1163),0))+N(INDEX(Platforms!$D$5:$D$14,MATCH(H1163,Lists!$A$2:$A$11,0)))))),""))</f>
        <v/>
      </c>
      <c r="R1163" s="16" t="str">
        <f t="shared" si="73"/>
        <v/>
      </c>
      <c r="S1163" s="17" t="str">
        <f t="shared" si="74"/>
        <v/>
      </c>
      <c r="T1163" s="18" t="str">
        <f t="shared" ca="1" si="75"/>
        <v/>
      </c>
    </row>
    <row r="1164" spans="1:20" x14ac:dyDescent="0.35">
      <c r="A1164" s="11"/>
      <c r="B1164" s="11"/>
      <c r="C1164" s="11"/>
      <c r="D1164" s="12"/>
      <c r="E1164" s="11"/>
      <c r="F1164" s="13"/>
      <c r="G1164" s="13"/>
      <c r="H1164" s="11"/>
      <c r="I1164" s="12"/>
      <c r="J1164" s="12"/>
      <c r="K1164" s="13"/>
      <c r="L1164" s="13"/>
      <c r="M1164" s="13"/>
      <c r="N1164" s="13"/>
      <c r="O1164" s="13"/>
      <c r="P1164" s="14" t="str">
        <f t="shared" si="72"/>
        <v/>
      </c>
      <c r="Q1164" s="15" t="str">
        <f>IF(OR(J1164="",H1164=""),"",IFERROR(IF(ISNUMBER(N1164),N1164,IF(K1164&lt;N(INDEX(Platforms!$G$5:$G$14,MATCH(H1164,Lists!$A$2:$A$11,0))),N(INDEX(Platforms!$H$5:$H$14,MATCH(H1164,Lists!$A$2:$A$11,0))),MAX(N(INDEX(Platforms!$F$5:$F$14,MATCH(H1164,Lists!$A$2:$A$11,0))),N(INDEX(Platforms!$C$5:$C$14,MATCH(H1164,Lists!$A$2:$A$11,0)))*(K1164+IF(INDEX(Platforms!$E$5:$E$14,MATCH(H1164,Lists!$A$2:$A$11,0))="Yes",N(L1164),0))+N(INDEX(Platforms!$D$5:$D$14,MATCH(H1164,Lists!$A$2:$A$11,0)))))),""))</f>
        <v/>
      </c>
      <c r="R1164" s="16" t="str">
        <f t="shared" si="73"/>
        <v/>
      </c>
      <c r="S1164" s="17" t="str">
        <f t="shared" si="74"/>
        <v/>
      </c>
      <c r="T1164" s="18" t="str">
        <f t="shared" ca="1" si="75"/>
        <v/>
      </c>
    </row>
    <row r="1165" spans="1:20" x14ac:dyDescent="0.35">
      <c r="A1165" s="11"/>
      <c r="B1165" s="11"/>
      <c r="C1165" s="11"/>
      <c r="D1165" s="12"/>
      <c r="E1165" s="11"/>
      <c r="F1165" s="13"/>
      <c r="G1165" s="13"/>
      <c r="H1165" s="11"/>
      <c r="I1165" s="12"/>
      <c r="J1165" s="12"/>
      <c r="K1165" s="13"/>
      <c r="L1165" s="13"/>
      <c r="M1165" s="13"/>
      <c r="N1165" s="13"/>
      <c r="O1165" s="13"/>
      <c r="P1165" s="14" t="str">
        <f t="shared" si="72"/>
        <v/>
      </c>
      <c r="Q1165" s="15" t="str">
        <f>IF(OR(J1165="",H1165=""),"",IFERROR(IF(ISNUMBER(N1165),N1165,IF(K1165&lt;N(INDEX(Platforms!$G$5:$G$14,MATCH(H1165,Lists!$A$2:$A$11,0))),N(INDEX(Platforms!$H$5:$H$14,MATCH(H1165,Lists!$A$2:$A$11,0))),MAX(N(INDEX(Platforms!$F$5:$F$14,MATCH(H1165,Lists!$A$2:$A$11,0))),N(INDEX(Platforms!$C$5:$C$14,MATCH(H1165,Lists!$A$2:$A$11,0)))*(K1165+IF(INDEX(Platforms!$E$5:$E$14,MATCH(H1165,Lists!$A$2:$A$11,0))="Yes",N(L1165),0))+N(INDEX(Platforms!$D$5:$D$14,MATCH(H1165,Lists!$A$2:$A$11,0)))))),""))</f>
        <v/>
      </c>
      <c r="R1165" s="16" t="str">
        <f t="shared" si="73"/>
        <v/>
      </c>
      <c r="S1165" s="17" t="str">
        <f t="shared" si="74"/>
        <v/>
      </c>
      <c r="T1165" s="18" t="str">
        <f t="shared" ca="1" si="75"/>
        <v/>
      </c>
    </row>
    <row r="1166" spans="1:20" x14ac:dyDescent="0.35">
      <c r="A1166" s="11"/>
      <c r="B1166" s="11"/>
      <c r="C1166" s="11"/>
      <c r="D1166" s="12"/>
      <c r="E1166" s="11"/>
      <c r="F1166" s="13"/>
      <c r="G1166" s="13"/>
      <c r="H1166" s="11"/>
      <c r="I1166" s="12"/>
      <c r="J1166" s="12"/>
      <c r="K1166" s="13"/>
      <c r="L1166" s="13"/>
      <c r="M1166" s="13"/>
      <c r="N1166" s="13"/>
      <c r="O1166" s="13"/>
      <c r="P1166" s="14" t="str">
        <f t="shared" si="72"/>
        <v/>
      </c>
      <c r="Q1166" s="15" t="str">
        <f>IF(OR(J1166="",H1166=""),"",IFERROR(IF(ISNUMBER(N1166),N1166,IF(K1166&lt;N(INDEX(Platforms!$G$5:$G$14,MATCH(H1166,Lists!$A$2:$A$11,0))),N(INDEX(Platforms!$H$5:$H$14,MATCH(H1166,Lists!$A$2:$A$11,0))),MAX(N(INDEX(Platforms!$F$5:$F$14,MATCH(H1166,Lists!$A$2:$A$11,0))),N(INDEX(Platforms!$C$5:$C$14,MATCH(H1166,Lists!$A$2:$A$11,0)))*(K1166+IF(INDEX(Platforms!$E$5:$E$14,MATCH(H1166,Lists!$A$2:$A$11,0))="Yes",N(L1166),0))+N(INDEX(Platforms!$D$5:$D$14,MATCH(H1166,Lists!$A$2:$A$11,0)))))),""))</f>
        <v/>
      </c>
      <c r="R1166" s="16" t="str">
        <f t="shared" si="73"/>
        <v/>
      </c>
      <c r="S1166" s="17" t="str">
        <f t="shared" si="74"/>
        <v/>
      </c>
      <c r="T1166" s="18" t="str">
        <f t="shared" ca="1" si="75"/>
        <v/>
      </c>
    </row>
    <row r="1167" spans="1:20" x14ac:dyDescent="0.35">
      <c r="A1167" s="11"/>
      <c r="B1167" s="11"/>
      <c r="C1167" s="11"/>
      <c r="D1167" s="12"/>
      <c r="E1167" s="11"/>
      <c r="F1167" s="13"/>
      <c r="G1167" s="13"/>
      <c r="H1167" s="11"/>
      <c r="I1167" s="12"/>
      <c r="J1167" s="12"/>
      <c r="K1167" s="13"/>
      <c r="L1167" s="13"/>
      <c r="M1167" s="13"/>
      <c r="N1167" s="13"/>
      <c r="O1167" s="13"/>
      <c r="P1167" s="14" t="str">
        <f t="shared" si="72"/>
        <v/>
      </c>
      <c r="Q1167" s="15" t="str">
        <f>IF(OR(J1167="",H1167=""),"",IFERROR(IF(ISNUMBER(N1167),N1167,IF(K1167&lt;N(INDEX(Platforms!$G$5:$G$14,MATCH(H1167,Lists!$A$2:$A$11,0))),N(INDEX(Platforms!$H$5:$H$14,MATCH(H1167,Lists!$A$2:$A$11,0))),MAX(N(INDEX(Platforms!$F$5:$F$14,MATCH(H1167,Lists!$A$2:$A$11,0))),N(INDEX(Platforms!$C$5:$C$14,MATCH(H1167,Lists!$A$2:$A$11,0)))*(K1167+IF(INDEX(Platforms!$E$5:$E$14,MATCH(H1167,Lists!$A$2:$A$11,0))="Yes",N(L1167),0))+N(INDEX(Platforms!$D$5:$D$14,MATCH(H1167,Lists!$A$2:$A$11,0)))))),""))</f>
        <v/>
      </c>
      <c r="R1167" s="16" t="str">
        <f t="shared" si="73"/>
        <v/>
      </c>
      <c r="S1167" s="17" t="str">
        <f t="shared" si="74"/>
        <v/>
      </c>
      <c r="T1167" s="18" t="str">
        <f t="shared" ca="1" si="75"/>
        <v/>
      </c>
    </row>
    <row r="1168" spans="1:20" x14ac:dyDescent="0.35">
      <c r="A1168" s="11"/>
      <c r="B1168" s="11"/>
      <c r="C1168" s="11"/>
      <c r="D1168" s="12"/>
      <c r="E1168" s="11"/>
      <c r="F1168" s="13"/>
      <c r="G1168" s="13"/>
      <c r="H1168" s="11"/>
      <c r="I1168" s="12"/>
      <c r="J1168" s="12"/>
      <c r="K1168" s="13"/>
      <c r="L1168" s="13"/>
      <c r="M1168" s="13"/>
      <c r="N1168" s="13"/>
      <c r="O1168" s="13"/>
      <c r="P1168" s="14" t="str">
        <f t="shared" si="72"/>
        <v/>
      </c>
      <c r="Q1168" s="15" t="str">
        <f>IF(OR(J1168="",H1168=""),"",IFERROR(IF(ISNUMBER(N1168),N1168,IF(K1168&lt;N(INDEX(Platforms!$G$5:$G$14,MATCH(H1168,Lists!$A$2:$A$11,0))),N(INDEX(Platforms!$H$5:$H$14,MATCH(H1168,Lists!$A$2:$A$11,0))),MAX(N(INDEX(Platforms!$F$5:$F$14,MATCH(H1168,Lists!$A$2:$A$11,0))),N(INDEX(Platforms!$C$5:$C$14,MATCH(H1168,Lists!$A$2:$A$11,0)))*(K1168+IF(INDEX(Platforms!$E$5:$E$14,MATCH(H1168,Lists!$A$2:$A$11,0))="Yes",N(L1168),0))+N(INDEX(Platforms!$D$5:$D$14,MATCH(H1168,Lists!$A$2:$A$11,0)))))),""))</f>
        <v/>
      </c>
      <c r="R1168" s="16" t="str">
        <f t="shared" si="73"/>
        <v/>
      </c>
      <c r="S1168" s="17" t="str">
        <f t="shared" si="74"/>
        <v/>
      </c>
      <c r="T1168" s="18" t="str">
        <f t="shared" ca="1" si="75"/>
        <v/>
      </c>
    </row>
    <row r="1169" spans="1:20" x14ac:dyDescent="0.35">
      <c r="A1169" s="11"/>
      <c r="B1169" s="11"/>
      <c r="C1169" s="11"/>
      <c r="D1169" s="12"/>
      <c r="E1169" s="11"/>
      <c r="F1169" s="13"/>
      <c r="G1169" s="13"/>
      <c r="H1169" s="11"/>
      <c r="I1169" s="12"/>
      <c r="J1169" s="12"/>
      <c r="K1169" s="13"/>
      <c r="L1169" s="13"/>
      <c r="M1169" s="13"/>
      <c r="N1169" s="13"/>
      <c r="O1169" s="13"/>
      <c r="P1169" s="14" t="str">
        <f t="shared" si="72"/>
        <v/>
      </c>
      <c r="Q1169" s="15" t="str">
        <f>IF(OR(J1169="",H1169=""),"",IFERROR(IF(ISNUMBER(N1169),N1169,IF(K1169&lt;N(INDEX(Platforms!$G$5:$G$14,MATCH(H1169,Lists!$A$2:$A$11,0))),N(INDEX(Platforms!$H$5:$H$14,MATCH(H1169,Lists!$A$2:$A$11,0))),MAX(N(INDEX(Platforms!$F$5:$F$14,MATCH(H1169,Lists!$A$2:$A$11,0))),N(INDEX(Platforms!$C$5:$C$14,MATCH(H1169,Lists!$A$2:$A$11,0)))*(K1169+IF(INDEX(Platforms!$E$5:$E$14,MATCH(H1169,Lists!$A$2:$A$11,0))="Yes",N(L1169),0))+N(INDEX(Platforms!$D$5:$D$14,MATCH(H1169,Lists!$A$2:$A$11,0)))))),""))</f>
        <v/>
      </c>
      <c r="R1169" s="16" t="str">
        <f t="shared" si="73"/>
        <v/>
      </c>
      <c r="S1169" s="17" t="str">
        <f t="shared" si="74"/>
        <v/>
      </c>
      <c r="T1169" s="18" t="str">
        <f t="shared" ca="1" si="75"/>
        <v/>
      </c>
    </row>
    <row r="1170" spans="1:20" x14ac:dyDescent="0.35">
      <c r="A1170" s="11"/>
      <c r="B1170" s="11"/>
      <c r="C1170" s="11"/>
      <c r="D1170" s="12"/>
      <c r="E1170" s="11"/>
      <c r="F1170" s="13"/>
      <c r="G1170" s="13"/>
      <c r="H1170" s="11"/>
      <c r="I1170" s="12"/>
      <c r="J1170" s="12"/>
      <c r="K1170" s="13"/>
      <c r="L1170" s="13"/>
      <c r="M1170" s="13"/>
      <c r="N1170" s="13"/>
      <c r="O1170" s="13"/>
      <c r="P1170" s="14" t="str">
        <f t="shared" si="72"/>
        <v/>
      </c>
      <c r="Q1170" s="15" t="str">
        <f>IF(OR(J1170="",H1170=""),"",IFERROR(IF(ISNUMBER(N1170),N1170,IF(K1170&lt;N(INDEX(Platforms!$G$5:$G$14,MATCH(H1170,Lists!$A$2:$A$11,0))),N(INDEX(Platforms!$H$5:$H$14,MATCH(H1170,Lists!$A$2:$A$11,0))),MAX(N(INDEX(Platforms!$F$5:$F$14,MATCH(H1170,Lists!$A$2:$A$11,0))),N(INDEX(Platforms!$C$5:$C$14,MATCH(H1170,Lists!$A$2:$A$11,0)))*(K1170+IF(INDEX(Platforms!$E$5:$E$14,MATCH(H1170,Lists!$A$2:$A$11,0))="Yes",N(L1170),0))+N(INDEX(Platforms!$D$5:$D$14,MATCH(H1170,Lists!$A$2:$A$11,0)))))),""))</f>
        <v/>
      </c>
      <c r="R1170" s="16" t="str">
        <f t="shared" si="73"/>
        <v/>
      </c>
      <c r="S1170" s="17" t="str">
        <f t="shared" si="74"/>
        <v/>
      </c>
      <c r="T1170" s="18" t="str">
        <f t="shared" ca="1" si="75"/>
        <v/>
      </c>
    </row>
    <row r="1171" spans="1:20" x14ac:dyDescent="0.35">
      <c r="A1171" s="11"/>
      <c r="B1171" s="11"/>
      <c r="C1171" s="11"/>
      <c r="D1171" s="12"/>
      <c r="E1171" s="11"/>
      <c r="F1171" s="13"/>
      <c r="G1171" s="13"/>
      <c r="H1171" s="11"/>
      <c r="I1171" s="12"/>
      <c r="J1171" s="12"/>
      <c r="K1171" s="13"/>
      <c r="L1171" s="13"/>
      <c r="M1171" s="13"/>
      <c r="N1171" s="13"/>
      <c r="O1171" s="13"/>
      <c r="P1171" s="14" t="str">
        <f t="shared" si="72"/>
        <v/>
      </c>
      <c r="Q1171" s="15" t="str">
        <f>IF(OR(J1171="",H1171=""),"",IFERROR(IF(ISNUMBER(N1171),N1171,IF(K1171&lt;N(INDEX(Platforms!$G$5:$G$14,MATCH(H1171,Lists!$A$2:$A$11,0))),N(INDEX(Platforms!$H$5:$H$14,MATCH(H1171,Lists!$A$2:$A$11,0))),MAX(N(INDEX(Platforms!$F$5:$F$14,MATCH(H1171,Lists!$A$2:$A$11,0))),N(INDEX(Platforms!$C$5:$C$14,MATCH(H1171,Lists!$A$2:$A$11,0)))*(K1171+IF(INDEX(Platforms!$E$5:$E$14,MATCH(H1171,Lists!$A$2:$A$11,0))="Yes",N(L1171),0))+N(INDEX(Platforms!$D$5:$D$14,MATCH(H1171,Lists!$A$2:$A$11,0)))))),""))</f>
        <v/>
      </c>
      <c r="R1171" s="16" t="str">
        <f t="shared" si="73"/>
        <v/>
      </c>
      <c r="S1171" s="17" t="str">
        <f t="shared" si="74"/>
        <v/>
      </c>
      <c r="T1171" s="18" t="str">
        <f t="shared" ca="1" si="75"/>
        <v/>
      </c>
    </row>
    <row r="1172" spans="1:20" x14ac:dyDescent="0.35">
      <c r="A1172" s="11"/>
      <c r="B1172" s="11"/>
      <c r="C1172" s="11"/>
      <c r="D1172" s="12"/>
      <c r="E1172" s="11"/>
      <c r="F1172" s="13"/>
      <c r="G1172" s="13"/>
      <c r="H1172" s="11"/>
      <c r="I1172" s="12"/>
      <c r="J1172" s="12"/>
      <c r="K1172" s="13"/>
      <c r="L1172" s="13"/>
      <c r="M1172" s="13"/>
      <c r="N1172" s="13"/>
      <c r="O1172" s="13"/>
      <c r="P1172" s="14" t="str">
        <f t="shared" si="72"/>
        <v/>
      </c>
      <c r="Q1172" s="15" t="str">
        <f>IF(OR(J1172="",H1172=""),"",IFERROR(IF(ISNUMBER(N1172),N1172,IF(K1172&lt;N(INDEX(Platforms!$G$5:$G$14,MATCH(H1172,Lists!$A$2:$A$11,0))),N(INDEX(Platforms!$H$5:$H$14,MATCH(H1172,Lists!$A$2:$A$11,0))),MAX(N(INDEX(Platforms!$F$5:$F$14,MATCH(H1172,Lists!$A$2:$A$11,0))),N(INDEX(Platforms!$C$5:$C$14,MATCH(H1172,Lists!$A$2:$A$11,0)))*(K1172+IF(INDEX(Platforms!$E$5:$E$14,MATCH(H1172,Lists!$A$2:$A$11,0))="Yes",N(L1172),0))+N(INDEX(Platforms!$D$5:$D$14,MATCH(H1172,Lists!$A$2:$A$11,0)))))),""))</f>
        <v/>
      </c>
      <c r="R1172" s="16" t="str">
        <f t="shared" si="73"/>
        <v/>
      </c>
      <c r="S1172" s="17" t="str">
        <f t="shared" si="74"/>
        <v/>
      </c>
      <c r="T1172" s="18" t="str">
        <f t="shared" ca="1" si="75"/>
        <v/>
      </c>
    </row>
    <row r="1173" spans="1:20" x14ac:dyDescent="0.35">
      <c r="A1173" s="11"/>
      <c r="B1173" s="11"/>
      <c r="C1173" s="11"/>
      <c r="D1173" s="12"/>
      <c r="E1173" s="11"/>
      <c r="F1173" s="13"/>
      <c r="G1173" s="13"/>
      <c r="H1173" s="11"/>
      <c r="I1173" s="12"/>
      <c r="J1173" s="12"/>
      <c r="K1173" s="13"/>
      <c r="L1173" s="13"/>
      <c r="M1173" s="13"/>
      <c r="N1173" s="13"/>
      <c r="O1173" s="13"/>
      <c r="P1173" s="14" t="str">
        <f t="shared" si="72"/>
        <v/>
      </c>
      <c r="Q1173" s="15" t="str">
        <f>IF(OR(J1173="",H1173=""),"",IFERROR(IF(ISNUMBER(N1173),N1173,IF(K1173&lt;N(INDEX(Platforms!$G$5:$G$14,MATCH(H1173,Lists!$A$2:$A$11,0))),N(INDEX(Platforms!$H$5:$H$14,MATCH(H1173,Lists!$A$2:$A$11,0))),MAX(N(INDEX(Platforms!$F$5:$F$14,MATCH(H1173,Lists!$A$2:$A$11,0))),N(INDEX(Platforms!$C$5:$C$14,MATCH(H1173,Lists!$A$2:$A$11,0)))*(K1173+IF(INDEX(Platforms!$E$5:$E$14,MATCH(H1173,Lists!$A$2:$A$11,0))="Yes",N(L1173),0))+N(INDEX(Platforms!$D$5:$D$14,MATCH(H1173,Lists!$A$2:$A$11,0)))))),""))</f>
        <v/>
      </c>
      <c r="R1173" s="16" t="str">
        <f t="shared" si="73"/>
        <v/>
      </c>
      <c r="S1173" s="17" t="str">
        <f t="shared" si="74"/>
        <v/>
      </c>
      <c r="T1173" s="18" t="str">
        <f t="shared" ca="1" si="75"/>
        <v/>
      </c>
    </row>
    <row r="1174" spans="1:20" x14ac:dyDescent="0.35">
      <c r="A1174" s="11"/>
      <c r="B1174" s="11"/>
      <c r="C1174" s="11"/>
      <c r="D1174" s="12"/>
      <c r="E1174" s="11"/>
      <c r="F1174" s="13"/>
      <c r="G1174" s="13"/>
      <c r="H1174" s="11"/>
      <c r="I1174" s="12"/>
      <c r="J1174" s="12"/>
      <c r="K1174" s="13"/>
      <c r="L1174" s="13"/>
      <c r="M1174" s="13"/>
      <c r="N1174" s="13"/>
      <c r="O1174" s="13"/>
      <c r="P1174" s="14" t="str">
        <f t="shared" si="72"/>
        <v/>
      </c>
      <c r="Q1174" s="15" t="str">
        <f>IF(OR(J1174="",H1174=""),"",IFERROR(IF(ISNUMBER(N1174),N1174,IF(K1174&lt;N(INDEX(Platforms!$G$5:$G$14,MATCH(H1174,Lists!$A$2:$A$11,0))),N(INDEX(Platforms!$H$5:$H$14,MATCH(H1174,Lists!$A$2:$A$11,0))),MAX(N(INDEX(Platforms!$F$5:$F$14,MATCH(H1174,Lists!$A$2:$A$11,0))),N(INDEX(Platforms!$C$5:$C$14,MATCH(H1174,Lists!$A$2:$A$11,0)))*(K1174+IF(INDEX(Platforms!$E$5:$E$14,MATCH(H1174,Lists!$A$2:$A$11,0))="Yes",N(L1174),0))+N(INDEX(Platforms!$D$5:$D$14,MATCH(H1174,Lists!$A$2:$A$11,0)))))),""))</f>
        <v/>
      </c>
      <c r="R1174" s="16" t="str">
        <f t="shared" si="73"/>
        <v/>
      </c>
      <c r="S1174" s="17" t="str">
        <f t="shared" si="74"/>
        <v/>
      </c>
      <c r="T1174" s="18" t="str">
        <f t="shared" ca="1" si="75"/>
        <v/>
      </c>
    </row>
    <row r="1175" spans="1:20" x14ac:dyDescent="0.35">
      <c r="A1175" s="11"/>
      <c r="B1175" s="11"/>
      <c r="C1175" s="11"/>
      <c r="D1175" s="12"/>
      <c r="E1175" s="11"/>
      <c r="F1175" s="13"/>
      <c r="G1175" s="13"/>
      <c r="H1175" s="11"/>
      <c r="I1175" s="12"/>
      <c r="J1175" s="12"/>
      <c r="K1175" s="13"/>
      <c r="L1175" s="13"/>
      <c r="M1175" s="13"/>
      <c r="N1175" s="13"/>
      <c r="O1175" s="13"/>
      <c r="P1175" s="14" t="str">
        <f t="shared" si="72"/>
        <v/>
      </c>
      <c r="Q1175" s="15" t="str">
        <f>IF(OR(J1175="",H1175=""),"",IFERROR(IF(ISNUMBER(N1175),N1175,IF(K1175&lt;N(INDEX(Platforms!$G$5:$G$14,MATCH(H1175,Lists!$A$2:$A$11,0))),N(INDEX(Platforms!$H$5:$H$14,MATCH(H1175,Lists!$A$2:$A$11,0))),MAX(N(INDEX(Platforms!$F$5:$F$14,MATCH(H1175,Lists!$A$2:$A$11,0))),N(INDEX(Platforms!$C$5:$C$14,MATCH(H1175,Lists!$A$2:$A$11,0)))*(K1175+IF(INDEX(Platforms!$E$5:$E$14,MATCH(H1175,Lists!$A$2:$A$11,0))="Yes",N(L1175),0))+N(INDEX(Platforms!$D$5:$D$14,MATCH(H1175,Lists!$A$2:$A$11,0)))))),""))</f>
        <v/>
      </c>
      <c r="R1175" s="16" t="str">
        <f t="shared" si="73"/>
        <v/>
      </c>
      <c r="S1175" s="17" t="str">
        <f t="shared" si="74"/>
        <v/>
      </c>
      <c r="T1175" s="18" t="str">
        <f t="shared" ca="1" si="75"/>
        <v/>
      </c>
    </row>
    <row r="1176" spans="1:20" x14ac:dyDescent="0.35">
      <c r="A1176" s="11"/>
      <c r="B1176" s="11"/>
      <c r="C1176" s="11"/>
      <c r="D1176" s="12"/>
      <c r="E1176" s="11"/>
      <c r="F1176" s="13"/>
      <c r="G1176" s="13"/>
      <c r="H1176" s="11"/>
      <c r="I1176" s="12"/>
      <c r="J1176" s="12"/>
      <c r="K1176" s="13"/>
      <c r="L1176" s="13"/>
      <c r="M1176" s="13"/>
      <c r="N1176" s="13"/>
      <c r="O1176" s="13"/>
      <c r="P1176" s="14" t="str">
        <f t="shared" si="72"/>
        <v/>
      </c>
      <c r="Q1176" s="15" t="str">
        <f>IF(OR(J1176="",H1176=""),"",IFERROR(IF(ISNUMBER(N1176),N1176,IF(K1176&lt;N(INDEX(Platforms!$G$5:$G$14,MATCH(H1176,Lists!$A$2:$A$11,0))),N(INDEX(Platforms!$H$5:$H$14,MATCH(H1176,Lists!$A$2:$A$11,0))),MAX(N(INDEX(Platforms!$F$5:$F$14,MATCH(H1176,Lists!$A$2:$A$11,0))),N(INDEX(Platforms!$C$5:$C$14,MATCH(H1176,Lists!$A$2:$A$11,0)))*(K1176+IF(INDEX(Platforms!$E$5:$E$14,MATCH(H1176,Lists!$A$2:$A$11,0))="Yes",N(L1176),0))+N(INDEX(Platforms!$D$5:$D$14,MATCH(H1176,Lists!$A$2:$A$11,0)))))),""))</f>
        <v/>
      </c>
      <c r="R1176" s="16" t="str">
        <f t="shared" si="73"/>
        <v/>
      </c>
      <c r="S1176" s="17" t="str">
        <f t="shared" si="74"/>
        <v/>
      </c>
      <c r="T1176" s="18" t="str">
        <f t="shared" ca="1" si="75"/>
        <v/>
      </c>
    </row>
    <row r="1177" spans="1:20" x14ac:dyDescent="0.35">
      <c r="A1177" s="11"/>
      <c r="B1177" s="11"/>
      <c r="C1177" s="11"/>
      <c r="D1177" s="12"/>
      <c r="E1177" s="11"/>
      <c r="F1177" s="13"/>
      <c r="G1177" s="13"/>
      <c r="H1177" s="11"/>
      <c r="I1177" s="12"/>
      <c r="J1177" s="12"/>
      <c r="K1177" s="13"/>
      <c r="L1177" s="13"/>
      <c r="M1177" s="13"/>
      <c r="N1177" s="13"/>
      <c r="O1177" s="13"/>
      <c r="P1177" s="14" t="str">
        <f t="shared" si="72"/>
        <v/>
      </c>
      <c r="Q1177" s="15" t="str">
        <f>IF(OR(J1177="",H1177=""),"",IFERROR(IF(ISNUMBER(N1177),N1177,IF(K1177&lt;N(INDEX(Platforms!$G$5:$G$14,MATCH(H1177,Lists!$A$2:$A$11,0))),N(INDEX(Platforms!$H$5:$H$14,MATCH(H1177,Lists!$A$2:$A$11,0))),MAX(N(INDEX(Platforms!$F$5:$F$14,MATCH(H1177,Lists!$A$2:$A$11,0))),N(INDEX(Platforms!$C$5:$C$14,MATCH(H1177,Lists!$A$2:$A$11,0)))*(K1177+IF(INDEX(Platforms!$E$5:$E$14,MATCH(H1177,Lists!$A$2:$A$11,0))="Yes",N(L1177),0))+N(INDEX(Platforms!$D$5:$D$14,MATCH(H1177,Lists!$A$2:$A$11,0)))))),""))</f>
        <v/>
      </c>
      <c r="R1177" s="16" t="str">
        <f t="shared" si="73"/>
        <v/>
      </c>
      <c r="S1177" s="17" t="str">
        <f t="shared" si="74"/>
        <v/>
      </c>
      <c r="T1177" s="18" t="str">
        <f t="shared" ca="1" si="75"/>
        <v/>
      </c>
    </row>
    <row r="1178" spans="1:20" x14ac:dyDescent="0.35">
      <c r="A1178" s="11"/>
      <c r="B1178" s="11"/>
      <c r="C1178" s="11"/>
      <c r="D1178" s="12"/>
      <c r="E1178" s="11"/>
      <c r="F1178" s="13"/>
      <c r="G1178" s="13"/>
      <c r="H1178" s="11"/>
      <c r="I1178" s="12"/>
      <c r="J1178" s="12"/>
      <c r="K1178" s="13"/>
      <c r="L1178" s="13"/>
      <c r="M1178" s="13"/>
      <c r="N1178" s="13"/>
      <c r="O1178" s="13"/>
      <c r="P1178" s="14" t="str">
        <f t="shared" si="72"/>
        <v/>
      </c>
      <c r="Q1178" s="15" t="str">
        <f>IF(OR(J1178="",H1178=""),"",IFERROR(IF(ISNUMBER(N1178),N1178,IF(K1178&lt;N(INDEX(Platforms!$G$5:$G$14,MATCH(H1178,Lists!$A$2:$A$11,0))),N(INDEX(Platforms!$H$5:$H$14,MATCH(H1178,Lists!$A$2:$A$11,0))),MAX(N(INDEX(Platforms!$F$5:$F$14,MATCH(H1178,Lists!$A$2:$A$11,0))),N(INDEX(Platforms!$C$5:$C$14,MATCH(H1178,Lists!$A$2:$A$11,0)))*(K1178+IF(INDEX(Platforms!$E$5:$E$14,MATCH(H1178,Lists!$A$2:$A$11,0))="Yes",N(L1178),0))+N(INDEX(Platforms!$D$5:$D$14,MATCH(H1178,Lists!$A$2:$A$11,0)))))),""))</f>
        <v/>
      </c>
      <c r="R1178" s="16" t="str">
        <f t="shared" si="73"/>
        <v/>
      </c>
      <c r="S1178" s="17" t="str">
        <f t="shared" si="74"/>
        <v/>
      </c>
      <c r="T1178" s="18" t="str">
        <f t="shared" ca="1" si="75"/>
        <v/>
      </c>
    </row>
    <row r="1179" spans="1:20" x14ac:dyDescent="0.35">
      <c r="A1179" s="11"/>
      <c r="B1179" s="11"/>
      <c r="C1179" s="11"/>
      <c r="D1179" s="12"/>
      <c r="E1179" s="11"/>
      <c r="F1179" s="13"/>
      <c r="G1179" s="13"/>
      <c r="H1179" s="11"/>
      <c r="I1179" s="12"/>
      <c r="J1179" s="12"/>
      <c r="K1179" s="13"/>
      <c r="L1179" s="13"/>
      <c r="M1179" s="13"/>
      <c r="N1179" s="13"/>
      <c r="O1179" s="13"/>
      <c r="P1179" s="14" t="str">
        <f t="shared" si="72"/>
        <v/>
      </c>
      <c r="Q1179" s="15" t="str">
        <f>IF(OR(J1179="",H1179=""),"",IFERROR(IF(ISNUMBER(N1179),N1179,IF(K1179&lt;N(INDEX(Platforms!$G$5:$G$14,MATCH(H1179,Lists!$A$2:$A$11,0))),N(INDEX(Platforms!$H$5:$H$14,MATCH(H1179,Lists!$A$2:$A$11,0))),MAX(N(INDEX(Platforms!$F$5:$F$14,MATCH(H1179,Lists!$A$2:$A$11,0))),N(INDEX(Platforms!$C$5:$C$14,MATCH(H1179,Lists!$A$2:$A$11,0)))*(K1179+IF(INDEX(Platforms!$E$5:$E$14,MATCH(H1179,Lists!$A$2:$A$11,0))="Yes",N(L1179),0))+N(INDEX(Platforms!$D$5:$D$14,MATCH(H1179,Lists!$A$2:$A$11,0)))))),""))</f>
        <v/>
      </c>
      <c r="R1179" s="16" t="str">
        <f t="shared" si="73"/>
        <v/>
      </c>
      <c r="S1179" s="17" t="str">
        <f t="shared" si="74"/>
        <v/>
      </c>
      <c r="T1179" s="18" t="str">
        <f t="shared" ca="1" si="75"/>
        <v/>
      </c>
    </row>
    <row r="1180" spans="1:20" x14ac:dyDescent="0.35">
      <c r="A1180" s="11"/>
      <c r="B1180" s="11"/>
      <c r="C1180" s="11"/>
      <c r="D1180" s="12"/>
      <c r="E1180" s="11"/>
      <c r="F1180" s="13"/>
      <c r="G1180" s="13"/>
      <c r="H1180" s="11"/>
      <c r="I1180" s="12"/>
      <c r="J1180" s="12"/>
      <c r="K1180" s="13"/>
      <c r="L1180" s="13"/>
      <c r="M1180" s="13"/>
      <c r="N1180" s="13"/>
      <c r="O1180" s="13"/>
      <c r="P1180" s="14" t="str">
        <f t="shared" si="72"/>
        <v/>
      </c>
      <c r="Q1180" s="15" t="str">
        <f>IF(OR(J1180="",H1180=""),"",IFERROR(IF(ISNUMBER(N1180),N1180,IF(K1180&lt;N(INDEX(Platforms!$G$5:$G$14,MATCH(H1180,Lists!$A$2:$A$11,0))),N(INDEX(Platforms!$H$5:$H$14,MATCH(H1180,Lists!$A$2:$A$11,0))),MAX(N(INDEX(Platforms!$F$5:$F$14,MATCH(H1180,Lists!$A$2:$A$11,0))),N(INDEX(Platforms!$C$5:$C$14,MATCH(H1180,Lists!$A$2:$A$11,0)))*(K1180+IF(INDEX(Platforms!$E$5:$E$14,MATCH(H1180,Lists!$A$2:$A$11,0))="Yes",N(L1180),0))+N(INDEX(Platforms!$D$5:$D$14,MATCH(H1180,Lists!$A$2:$A$11,0)))))),""))</f>
        <v/>
      </c>
      <c r="R1180" s="16" t="str">
        <f t="shared" si="73"/>
        <v/>
      </c>
      <c r="S1180" s="17" t="str">
        <f t="shared" si="74"/>
        <v/>
      </c>
      <c r="T1180" s="18" t="str">
        <f t="shared" ca="1" si="75"/>
        <v/>
      </c>
    </row>
    <row r="1181" spans="1:20" x14ac:dyDescent="0.35">
      <c r="A1181" s="11"/>
      <c r="B1181" s="11"/>
      <c r="C1181" s="11"/>
      <c r="D1181" s="12"/>
      <c r="E1181" s="11"/>
      <c r="F1181" s="13"/>
      <c r="G1181" s="13"/>
      <c r="H1181" s="11"/>
      <c r="I1181" s="12"/>
      <c r="J1181" s="12"/>
      <c r="K1181" s="13"/>
      <c r="L1181" s="13"/>
      <c r="M1181" s="13"/>
      <c r="N1181" s="13"/>
      <c r="O1181" s="13"/>
      <c r="P1181" s="14" t="str">
        <f t="shared" si="72"/>
        <v/>
      </c>
      <c r="Q1181" s="15" t="str">
        <f>IF(OR(J1181="",H1181=""),"",IFERROR(IF(ISNUMBER(N1181),N1181,IF(K1181&lt;N(INDEX(Platforms!$G$5:$G$14,MATCH(H1181,Lists!$A$2:$A$11,0))),N(INDEX(Platforms!$H$5:$H$14,MATCH(H1181,Lists!$A$2:$A$11,0))),MAX(N(INDEX(Platforms!$F$5:$F$14,MATCH(H1181,Lists!$A$2:$A$11,0))),N(INDEX(Platforms!$C$5:$C$14,MATCH(H1181,Lists!$A$2:$A$11,0)))*(K1181+IF(INDEX(Platforms!$E$5:$E$14,MATCH(H1181,Lists!$A$2:$A$11,0))="Yes",N(L1181),0))+N(INDEX(Platforms!$D$5:$D$14,MATCH(H1181,Lists!$A$2:$A$11,0)))))),""))</f>
        <v/>
      </c>
      <c r="R1181" s="16" t="str">
        <f t="shared" si="73"/>
        <v/>
      </c>
      <c r="S1181" s="17" t="str">
        <f t="shared" si="74"/>
        <v/>
      </c>
      <c r="T1181" s="18" t="str">
        <f t="shared" ca="1" si="75"/>
        <v/>
      </c>
    </row>
    <row r="1182" spans="1:20" x14ac:dyDescent="0.35">
      <c r="A1182" s="11"/>
      <c r="B1182" s="11"/>
      <c r="C1182" s="11"/>
      <c r="D1182" s="12"/>
      <c r="E1182" s="11"/>
      <c r="F1182" s="13"/>
      <c r="G1182" s="13"/>
      <c r="H1182" s="11"/>
      <c r="I1182" s="12"/>
      <c r="J1182" s="12"/>
      <c r="K1182" s="13"/>
      <c r="L1182" s="13"/>
      <c r="M1182" s="13"/>
      <c r="N1182" s="13"/>
      <c r="O1182" s="13"/>
      <c r="P1182" s="14" t="str">
        <f t="shared" si="72"/>
        <v/>
      </c>
      <c r="Q1182" s="15" t="str">
        <f>IF(OR(J1182="",H1182=""),"",IFERROR(IF(ISNUMBER(N1182),N1182,IF(K1182&lt;N(INDEX(Platforms!$G$5:$G$14,MATCH(H1182,Lists!$A$2:$A$11,0))),N(INDEX(Platforms!$H$5:$H$14,MATCH(H1182,Lists!$A$2:$A$11,0))),MAX(N(INDEX(Platforms!$F$5:$F$14,MATCH(H1182,Lists!$A$2:$A$11,0))),N(INDEX(Platforms!$C$5:$C$14,MATCH(H1182,Lists!$A$2:$A$11,0)))*(K1182+IF(INDEX(Platforms!$E$5:$E$14,MATCH(H1182,Lists!$A$2:$A$11,0))="Yes",N(L1182),0))+N(INDEX(Platforms!$D$5:$D$14,MATCH(H1182,Lists!$A$2:$A$11,0)))))),""))</f>
        <v/>
      </c>
      <c r="R1182" s="16" t="str">
        <f t="shared" si="73"/>
        <v/>
      </c>
      <c r="S1182" s="17" t="str">
        <f t="shared" si="74"/>
        <v/>
      </c>
      <c r="T1182" s="18" t="str">
        <f t="shared" ca="1" si="75"/>
        <v/>
      </c>
    </row>
    <row r="1183" spans="1:20" x14ac:dyDescent="0.35">
      <c r="A1183" s="11"/>
      <c r="B1183" s="11"/>
      <c r="C1183" s="11"/>
      <c r="D1183" s="12"/>
      <c r="E1183" s="11"/>
      <c r="F1183" s="13"/>
      <c r="G1183" s="13"/>
      <c r="H1183" s="11"/>
      <c r="I1183" s="12"/>
      <c r="J1183" s="12"/>
      <c r="K1183" s="13"/>
      <c r="L1183" s="13"/>
      <c r="M1183" s="13"/>
      <c r="N1183" s="13"/>
      <c r="O1183" s="13"/>
      <c r="P1183" s="14" t="str">
        <f t="shared" si="72"/>
        <v/>
      </c>
      <c r="Q1183" s="15" t="str">
        <f>IF(OR(J1183="",H1183=""),"",IFERROR(IF(ISNUMBER(N1183),N1183,IF(K1183&lt;N(INDEX(Platforms!$G$5:$G$14,MATCH(H1183,Lists!$A$2:$A$11,0))),N(INDEX(Platforms!$H$5:$H$14,MATCH(H1183,Lists!$A$2:$A$11,0))),MAX(N(INDEX(Platforms!$F$5:$F$14,MATCH(H1183,Lists!$A$2:$A$11,0))),N(INDEX(Platforms!$C$5:$C$14,MATCH(H1183,Lists!$A$2:$A$11,0)))*(K1183+IF(INDEX(Platforms!$E$5:$E$14,MATCH(H1183,Lists!$A$2:$A$11,0))="Yes",N(L1183),0))+N(INDEX(Platforms!$D$5:$D$14,MATCH(H1183,Lists!$A$2:$A$11,0)))))),""))</f>
        <v/>
      </c>
      <c r="R1183" s="16" t="str">
        <f t="shared" si="73"/>
        <v/>
      </c>
      <c r="S1183" s="17" t="str">
        <f t="shared" si="74"/>
        <v/>
      </c>
      <c r="T1183" s="18" t="str">
        <f t="shared" ca="1" si="75"/>
        <v/>
      </c>
    </row>
    <row r="1184" spans="1:20" x14ac:dyDescent="0.35">
      <c r="A1184" s="11"/>
      <c r="B1184" s="11"/>
      <c r="C1184" s="11"/>
      <c r="D1184" s="12"/>
      <c r="E1184" s="11"/>
      <c r="F1184" s="13"/>
      <c r="G1184" s="13"/>
      <c r="H1184" s="11"/>
      <c r="I1184" s="12"/>
      <c r="J1184" s="12"/>
      <c r="K1184" s="13"/>
      <c r="L1184" s="13"/>
      <c r="M1184" s="13"/>
      <c r="N1184" s="13"/>
      <c r="O1184" s="13"/>
      <c r="P1184" s="14" t="str">
        <f t="shared" si="72"/>
        <v/>
      </c>
      <c r="Q1184" s="15" t="str">
        <f>IF(OR(J1184="",H1184=""),"",IFERROR(IF(ISNUMBER(N1184),N1184,IF(K1184&lt;N(INDEX(Platforms!$G$5:$G$14,MATCH(H1184,Lists!$A$2:$A$11,0))),N(INDEX(Platforms!$H$5:$H$14,MATCH(H1184,Lists!$A$2:$A$11,0))),MAX(N(INDEX(Platforms!$F$5:$F$14,MATCH(H1184,Lists!$A$2:$A$11,0))),N(INDEX(Platforms!$C$5:$C$14,MATCH(H1184,Lists!$A$2:$A$11,0)))*(K1184+IF(INDEX(Platforms!$E$5:$E$14,MATCH(H1184,Lists!$A$2:$A$11,0))="Yes",N(L1184),0))+N(INDEX(Platforms!$D$5:$D$14,MATCH(H1184,Lists!$A$2:$A$11,0)))))),""))</f>
        <v/>
      </c>
      <c r="R1184" s="16" t="str">
        <f t="shared" si="73"/>
        <v/>
      </c>
      <c r="S1184" s="17" t="str">
        <f t="shared" si="74"/>
        <v/>
      </c>
      <c r="T1184" s="18" t="str">
        <f t="shared" ca="1" si="75"/>
        <v/>
      </c>
    </row>
    <row r="1185" spans="1:20" x14ac:dyDescent="0.35">
      <c r="A1185" s="11"/>
      <c r="B1185" s="11"/>
      <c r="C1185" s="11"/>
      <c r="D1185" s="12"/>
      <c r="E1185" s="11"/>
      <c r="F1185" s="13"/>
      <c r="G1185" s="13"/>
      <c r="H1185" s="11"/>
      <c r="I1185" s="12"/>
      <c r="J1185" s="12"/>
      <c r="K1185" s="13"/>
      <c r="L1185" s="13"/>
      <c r="M1185" s="13"/>
      <c r="N1185" s="13"/>
      <c r="O1185" s="13"/>
      <c r="P1185" s="14" t="str">
        <f t="shared" si="72"/>
        <v/>
      </c>
      <c r="Q1185" s="15" t="str">
        <f>IF(OR(J1185="",H1185=""),"",IFERROR(IF(ISNUMBER(N1185),N1185,IF(K1185&lt;N(INDEX(Platforms!$G$5:$G$14,MATCH(H1185,Lists!$A$2:$A$11,0))),N(INDEX(Platforms!$H$5:$H$14,MATCH(H1185,Lists!$A$2:$A$11,0))),MAX(N(INDEX(Platforms!$F$5:$F$14,MATCH(H1185,Lists!$A$2:$A$11,0))),N(INDEX(Platforms!$C$5:$C$14,MATCH(H1185,Lists!$A$2:$A$11,0)))*(K1185+IF(INDEX(Platforms!$E$5:$E$14,MATCH(H1185,Lists!$A$2:$A$11,0))="Yes",N(L1185),0))+N(INDEX(Platforms!$D$5:$D$14,MATCH(H1185,Lists!$A$2:$A$11,0)))))),""))</f>
        <v/>
      </c>
      <c r="R1185" s="16" t="str">
        <f t="shared" si="73"/>
        <v/>
      </c>
      <c r="S1185" s="17" t="str">
        <f t="shared" si="74"/>
        <v/>
      </c>
      <c r="T1185" s="18" t="str">
        <f t="shared" ca="1" si="75"/>
        <v/>
      </c>
    </row>
    <row r="1186" spans="1:20" x14ac:dyDescent="0.35">
      <c r="A1186" s="11"/>
      <c r="B1186" s="11"/>
      <c r="C1186" s="11"/>
      <c r="D1186" s="12"/>
      <c r="E1186" s="11"/>
      <c r="F1186" s="13"/>
      <c r="G1186" s="13"/>
      <c r="H1186" s="11"/>
      <c r="I1186" s="12"/>
      <c r="J1186" s="12"/>
      <c r="K1186" s="13"/>
      <c r="L1186" s="13"/>
      <c r="M1186" s="13"/>
      <c r="N1186" s="13"/>
      <c r="O1186" s="13"/>
      <c r="P1186" s="14" t="str">
        <f t="shared" si="72"/>
        <v/>
      </c>
      <c r="Q1186" s="15" t="str">
        <f>IF(OR(J1186="",H1186=""),"",IFERROR(IF(ISNUMBER(N1186),N1186,IF(K1186&lt;N(INDEX(Platforms!$G$5:$G$14,MATCH(H1186,Lists!$A$2:$A$11,0))),N(INDEX(Platforms!$H$5:$H$14,MATCH(H1186,Lists!$A$2:$A$11,0))),MAX(N(INDEX(Platforms!$F$5:$F$14,MATCH(H1186,Lists!$A$2:$A$11,0))),N(INDEX(Platforms!$C$5:$C$14,MATCH(H1186,Lists!$A$2:$A$11,0)))*(K1186+IF(INDEX(Platforms!$E$5:$E$14,MATCH(H1186,Lists!$A$2:$A$11,0))="Yes",N(L1186),0))+N(INDEX(Platforms!$D$5:$D$14,MATCH(H1186,Lists!$A$2:$A$11,0)))))),""))</f>
        <v/>
      </c>
      <c r="R1186" s="16" t="str">
        <f t="shared" si="73"/>
        <v/>
      </c>
      <c r="S1186" s="17" t="str">
        <f t="shared" si="74"/>
        <v/>
      </c>
      <c r="T1186" s="18" t="str">
        <f t="shared" ca="1" si="75"/>
        <v/>
      </c>
    </row>
    <row r="1187" spans="1:20" x14ac:dyDescent="0.35">
      <c r="A1187" s="11"/>
      <c r="B1187" s="11"/>
      <c r="C1187" s="11"/>
      <c r="D1187" s="12"/>
      <c r="E1187" s="11"/>
      <c r="F1187" s="13"/>
      <c r="G1187" s="13"/>
      <c r="H1187" s="11"/>
      <c r="I1187" s="12"/>
      <c r="J1187" s="12"/>
      <c r="K1187" s="13"/>
      <c r="L1187" s="13"/>
      <c r="M1187" s="13"/>
      <c r="N1187" s="13"/>
      <c r="O1187" s="13"/>
      <c r="P1187" s="14" t="str">
        <f t="shared" si="72"/>
        <v/>
      </c>
      <c r="Q1187" s="15" t="str">
        <f>IF(OR(J1187="",H1187=""),"",IFERROR(IF(ISNUMBER(N1187),N1187,IF(K1187&lt;N(INDEX(Platforms!$G$5:$G$14,MATCH(H1187,Lists!$A$2:$A$11,0))),N(INDEX(Platforms!$H$5:$H$14,MATCH(H1187,Lists!$A$2:$A$11,0))),MAX(N(INDEX(Platforms!$F$5:$F$14,MATCH(H1187,Lists!$A$2:$A$11,0))),N(INDEX(Platforms!$C$5:$C$14,MATCH(H1187,Lists!$A$2:$A$11,0)))*(K1187+IF(INDEX(Platforms!$E$5:$E$14,MATCH(H1187,Lists!$A$2:$A$11,0))="Yes",N(L1187),0))+N(INDEX(Platforms!$D$5:$D$14,MATCH(H1187,Lists!$A$2:$A$11,0)))))),""))</f>
        <v/>
      </c>
      <c r="R1187" s="16" t="str">
        <f t="shared" si="73"/>
        <v/>
      </c>
      <c r="S1187" s="17" t="str">
        <f t="shared" si="74"/>
        <v/>
      </c>
      <c r="T1187" s="18" t="str">
        <f t="shared" ca="1" si="75"/>
        <v/>
      </c>
    </row>
    <row r="1188" spans="1:20" x14ac:dyDescent="0.35">
      <c r="A1188" s="11"/>
      <c r="B1188" s="11"/>
      <c r="C1188" s="11"/>
      <c r="D1188" s="12"/>
      <c r="E1188" s="11"/>
      <c r="F1188" s="13"/>
      <c r="G1188" s="13"/>
      <c r="H1188" s="11"/>
      <c r="I1188" s="12"/>
      <c r="J1188" s="12"/>
      <c r="K1188" s="13"/>
      <c r="L1188" s="13"/>
      <c r="M1188" s="13"/>
      <c r="N1188" s="13"/>
      <c r="O1188" s="13"/>
      <c r="P1188" s="14" t="str">
        <f t="shared" si="72"/>
        <v/>
      </c>
      <c r="Q1188" s="15" t="str">
        <f>IF(OR(J1188="",H1188=""),"",IFERROR(IF(ISNUMBER(N1188),N1188,IF(K1188&lt;N(INDEX(Platforms!$G$5:$G$14,MATCH(H1188,Lists!$A$2:$A$11,0))),N(INDEX(Platforms!$H$5:$H$14,MATCH(H1188,Lists!$A$2:$A$11,0))),MAX(N(INDEX(Platforms!$F$5:$F$14,MATCH(H1188,Lists!$A$2:$A$11,0))),N(INDEX(Platforms!$C$5:$C$14,MATCH(H1188,Lists!$A$2:$A$11,0)))*(K1188+IF(INDEX(Platforms!$E$5:$E$14,MATCH(H1188,Lists!$A$2:$A$11,0))="Yes",N(L1188),0))+N(INDEX(Platforms!$D$5:$D$14,MATCH(H1188,Lists!$A$2:$A$11,0)))))),""))</f>
        <v/>
      </c>
      <c r="R1188" s="16" t="str">
        <f t="shared" si="73"/>
        <v/>
      </c>
      <c r="S1188" s="17" t="str">
        <f t="shared" si="74"/>
        <v/>
      </c>
      <c r="T1188" s="18" t="str">
        <f t="shared" ca="1" si="75"/>
        <v/>
      </c>
    </row>
    <row r="1189" spans="1:20" x14ac:dyDescent="0.35">
      <c r="A1189" s="11"/>
      <c r="B1189" s="11"/>
      <c r="C1189" s="11"/>
      <c r="D1189" s="12"/>
      <c r="E1189" s="11"/>
      <c r="F1189" s="13"/>
      <c r="G1189" s="13"/>
      <c r="H1189" s="11"/>
      <c r="I1189" s="12"/>
      <c r="J1189" s="12"/>
      <c r="K1189" s="13"/>
      <c r="L1189" s="13"/>
      <c r="M1189" s="13"/>
      <c r="N1189" s="13"/>
      <c r="O1189" s="13"/>
      <c r="P1189" s="14" t="str">
        <f t="shared" si="72"/>
        <v/>
      </c>
      <c r="Q1189" s="15" t="str">
        <f>IF(OR(J1189="",H1189=""),"",IFERROR(IF(ISNUMBER(N1189),N1189,IF(K1189&lt;N(INDEX(Platforms!$G$5:$G$14,MATCH(H1189,Lists!$A$2:$A$11,0))),N(INDEX(Platforms!$H$5:$H$14,MATCH(H1189,Lists!$A$2:$A$11,0))),MAX(N(INDEX(Platforms!$F$5:$F$14,MATCH(H1189,Lists!$A$2:$A$11,0))),N(INDEX(Platforms!$C$5:$C$14,MATCH(H1189,Lists!$A$2:$A$11,0)))*(K1189+IF(INDEX(Platforms!$E$5:$E$14,MATCH(H1189,Lists!$A$2:$A$11,0))="Yes",N(L1189),0))+N(INDEX(Platforms!$D$5:$D$14,MATCH(H1189,Lists!$A$2:$A$11,0)))))),""))</f>
        <v/>
      </c>
      <c r="R1189" s="16" t="str">
        <f t="shared" si="73"/>
        <v/>
      </c>
      <c r="S1189" s="17" t="str">
        <f t="shared" si="74"/>
        <v/>
      </c>
      <c r="T1189" s="18" t="str">
        <f t="shared" ca="1" si="75"/>
        <v/>
      </c>
    </row>
    <row r="1190" spans="1:20" x14ac:dyDescent="0.35">
      <c r="A1190" s="11"/>
      <c r="B1190" s="11"/>
      <c r="C1190" s="11"/>
      <c r="D1190" s="12"/>
      <c r="E1190" s="11"/>
      <c r="F1190" s="13"/>
      <c r="G1190" s="13"/>
      <c r="H1190" s="11"/>
      <c r="I1190" s="12"/>
      <c r="J1190" s="12"/>
      <c r="K1190" s="13"/>
      <c r="L1190" s="13"/>
      <c r="M1190" s="13"/>
      <c r="N1190" s="13"/>
      <c r="O1190" s="13"/>
      <c r="P1190" s="14" t="str">
        <f t="shared" si="72"/>
        <v/>
      </c>
      <c r="Q1190" s="15" t="str">
        <f>IF(OR(J1190="",H1190=""),"",IFERROR(IF(ISNUMBER(N1190),N1190,IF(K1190&lt;N(INDEX(Platforms!$G$5:$G$14,MATCH(H1190,Lists!$A$2:$A$11,0))),N(INDEX(Platforms!$H$5:$H$14,MATCH(H1190,Lists!$A$2:$A$11,0))),MAX(N(INDEX(Platforms!$F$5:$F$14,MATCH(H1190,Lists!$A$2:$A$11,0))),N(INDEX(Platforms!$C$5:$C$14,MATCH(H1190,Lists!$A$2:$A$11,0)))*(K1190+IF(INDEX(Platforms!$E$5:$E$14,MATCH(H1190,Lists!$A$2:$A$11,0))="Yes",N(L1190),0))+N(INDEX(Platforms!$D$5:$D$14,MATCH(H1190,Lists!$A$2:$A$11,0)))))),""))</f>
        <v/>
      </c>
      <c r="R1190" s="16" t="str">
        <f t="shared" si="73"/>
        <v/>
      </c>
      <c r="S1190" s="17" t="str">
        <f t="shared" si="74"/>
        <v/>
      </c>
      <c r="T1190" s="18" t="str">
        <f t="shared" ca="1" si="75"/>
        <v/>
      </c>
    </row>
    <row r="1191" spans="1:20" x14ac:dyDescent="0.35">
      <c r="A1191" s="11"/>
      <c r="B1191" s="11"/>
      <c r="C1191" s="11"/>
      <c r="D1191" s="12"/>
      <c r="E1191" s="11"/>
      <c r="F1191" s="13"/>
      <c r="G1191" s="13"/>
      <c r="H1191" s="11"/>
      <c r="I1191" s="12"/>
      <c r="J1191" s="12"/>
      <c r="K1191" s="13"/>
      <c r="L1191" s="13"/>
      <c r="M1191" s="13"/>
      <c r="N1191" s="13"/>
      <c r="O1191" s="13"/>
      <c r="P1191" s="14" t="str">
        <f t="shared" si="72"/>
        <v/>
      </c>
      <c r="Q1191" s="15" t="str">
        <f>IF(OR(J1191="",H1191=""),"",IFERROR(IF(ISNUMBER(N1191),N1191,IF(K1191&lt;N(INDEX(Platforms!$G$5:$G$14,MATCH(H1191,Lists!$A$2:$A$11,0))),N(INDEX(Platforms!$H$5:$H$14,MATCH(H1191,Lists!$A$2:$A$11,0))),MAX(N(INDEX(Platforms!$F$5:$F$14,MATCH(H1191,Lists!$A$2:$A$11,0))),N(INDEX(Platforms!$C$5:$C$14,MATCH(H1191,Lists!$A$2:$A$11,0)))*(K1191+IF(INDEX(Platforms!$E$5:$E$14,MATCH(H1191,Lists!$A$2:$A$11,0))="Yes",N(L1191),0))+N(INDEX(Platforms!$D$5:$D$14,MATCH(H1191,Lists!$A$2:$A$11,0)))))),""))</f>
        <v/>
      </c>
      <c r="R1191" s="16" t="str">
        <f t="shared" si="73"/>
        <v/>
      </c>
      <c r="S1191" s="17" t="str">
        <f t="shared" si="74"/>
        <v/>
      </c>
      <c r="T1191" s="18" t="str">
        <f t="shared" ca="1" si="75"/>
        <v/>
      </c>
    </row>
    <row r="1192" spans="1:20" x14ac:dyDescent="0.35">
      <c r="A1192" s="11"/>
      <c r="B1192" s="11"/>
      <c r="C1192" s="11"/>
      <c r="D1192" s="12"/>
      <c r="E1192" s="11"/>
      <c r="F1192" s="13"/>
      <c r="G1192" s="13"/>
      <c r="H1192" s="11"/>
      <c r="I1192" s="12"/>
      <c r="J1192" s="12"/>
      <c r="K1192" s="13"/>
      <c r="L1192" s="13"/>
      <c r="M1192" s="13"/>
      <c r="N1192" s="13"/>
      <c r="O1192" s="13"/>
      <c r="P1192" s="14" t="str">
        <f t="shared" si="72"/>
        <v/>
      </c>
      <c r="Q1192" s="15" t="str">
        <f>IF(OR(J1192="",H1192=""),"",IFERROR(IF(ISNUMBER(N1192),N1192,IF(K1192&lt;N(INDEX(Platforms!$G$5:$G$14,MATCH(H1192,Lists!$A$2:$A$11,0))),N(INDEX(Platforms!$H$5:$H$14,MATCH(H1192,Lists!$A$2:$A$11,0))),MAX(N(INDEX(Platforms!$F$5:$F$14,MATCH(H1192,Lists!$A$2:$A$11,0))),N(INDEX(Platforms!$C$5:$C$14,MATCH(H1192,Lists!$A$2:$A$11,0)))*(K1192+IF(INDEX(Platforms!$E$5:$E$14,MATCH(H1192,Lists!$A$2:$A$11,0))="Yes",N(L1192),0))+N(INDEX(Platforms!$D$5:$D$14,MATCH(H1192,Lists!$A$2:$A$11,0)))))),""))</f>
        <v/>
      </c>
      <c r="R1192" s="16" t="str">
        <f t="shared" si="73"/>
        <v/>
      </c>
      <c r="S1192" s="17" t="str">
        <f t="shared" si="74"/>
        <v/>
      </c>
      <c r="T1192" s="18" t="str">
        <f t="shared" ca="1" si="75"/>
        <v/>
      </c>
    </row>
    <row r="1193" spans="1:20" x14ac:dyDescent="0.35">
      <c r="A1193" s="11"/>
      <c r="B1193" s="11"/>
      <c r="C1193" s="11"/>
      <c r="D1193" s="12"/>
      <c r="E1193" s="11"/>
      <c r="F1193" s="13"/>
      <c r="G1193" s="13"/>
      <c r="H1193" s="11"/>
      <c r="I1193" s="12"/>
      <c r="J1193" s="12"/>
      <c r="K1193" s="13"/>
      <c r="L1193" s="13"/>
      <c r="M1193" s="13"/>
      <c r="N1193" s="13"/>
      <c r="O1193" s="13"/>
      <c r="P1193" s="14" t="str">
        <f t="shared" si="72"/>
        <v/>
      </c>
      <c r="Q1193" s="15" t="str">
        <f>IF(OR(J1193="",H1193=""),"",IFERROR(IF(ISNUMBER(N1193),N1193,IF(K1193&lt;N(INDEX(Platforms!$G$5:$G$14,MATCH(H1193,Lists!$A$2:$A$11,0))),N(INDEX(Platforms!$H$5:$H$14,MATCH(H1193,Lists!$A$2:$A$11,0))),MAX(N(INDEX(Platforms!$F$5:$F$14,MATCH(H1193,Lists!$A$2:$A$11,0))),N(INDEX(Platforms!$C$5:$C$14,MATCH(H1193,Lists!$A$2:$A$11,0)))*(K1193+IF(INDEX(Platforms!$E$5:$E$14,MATCH(H1193,Lists!$A$2:$A$11,0))="Yes",N(L1193),0))+N(INDEX(Platforms!$D$5:$D$14,MATCH(H1193,Lists!$A$2:$A$11,0)))))),""))</f>
        <v/>
      </c>
      <c r="R1193" s="16" t="str">
        <f t="shared" si="73"/>
        <v/>
      </c>
      <c r="S1193" s="17" t="str">
        <f t="shared" si="74"/>
        <v/>
      </c>
      <c r="T1193" s="18" t="str">
        <f t="shared" ca="1" si="75"/>
        <v/>
      </c>
    </row>
    <row r="1194" spans="1:20" x14ac:dyDescent="0.35">
      <c r="A1194" s="11"/>
      <c r="B1194" s="11"/>
      <c r="C1194" s="11"/>
      <c r="D1194" s="12"/>
      <c r="E1194" s="11"/>
      <c r="F1194" s="13"/>
      <c r="G1194" s="13"/>
      <c r="H1194" s="11"/>
      <c r="I1194" s="12"/>
      <c r="J1194" s="12"/>
      <c r="K1194" s="13"/>
      <c r="L1194" s="13"/>
      <c r="M1194" s="13"/>
      <c r="N1194" s="13"/>
      <c r="O1194" s="13"/>
      <c r="P1194" s="14" t="str">
        <f t="shared" si="72"/>
        <v/>
      </c>
      <c r="Q1194" s="15" t="str">
        <f>IF(OR(J1194="",H1194=""),"",IFERROR(IF(ISNUMBER(N1194),N1194,IF(K1194&lt;N(INDEX(Platforms!$G$5:$G$14,MATCH(H1194,Lists!$A$2:$A$11,0))),N(INDEX(Platforms!$H$5:$H$14,MATCH(H1194,Lists!$A$2:$A$11,0))),MAX(N(INDEX(Platforms!$F$5:$F$14,MATCH(H1194,Lists!$A$2:$A$11,0))),N(INDEX(Platforms!$C$5:$C$14,MATCH(H1194,Lists!$A$2:$A$11,0)))*(K1194+IF(INDEX(Platforms!$E$5:$E$14,MATCH(H1194,Lists!$A$2:$A$11,0))="Yes",N(L1194),0))+N(INDEX(Platforms!$D$5:$D$14,MATCH(H1194,Lists!$A$2:$A$11,0)))))),""))</f>
        <v/>
      </c>
      <c r="R1194" s="16" t="str">
        <f t="shared" si="73"/>
        <v/>
      </c>
      <c r="S1194" s="17" t="str">
        <f t="shared" si="74"/>
        <v/>
      </c>
      <c r="T1194" s="18" t="str">
        <f t="shared" ca="1" si="75"/>
        <v/>
      </c>
    </row>
    <row r="1195" spans="1:20" x14ac:dyDescent="0.35">
      <c r="A1195" s="11"/>
      <c r="B1195" s="11"/>
      <c r="C1195" s="11"/>
      <c r="D1195" s="12"/>
      <c r="E1195" s="11"/>
      <c r="F1195" s="13"/>
      <c r="G1195" s="13"/>
      <c r="H1195" s="11"/>
      <c r="I1195" s="12"/>
      <c r="J1195" s="12"/>
      <c r="K1195" s="13"/>
      <c r="L1195" s="13"/>
      <c r="M1195" s="13"/>
      <c r="N1195" s="13"/>
      <c r="O1195" s="13"/>
      <c r="P1195" s="14" t="str">
        <f t="shared" si="72"/>
        <v/>
      </c>
      <c r="Q1195" s="15" t="str">
        <f>IF(OR(J1195="",H1195=""),"",IFERROR(IF(ISNUMBER(N1195),N1195,IF(K1195&lt;N(INDEX(Platforms!$G$5:$G$14,MATCH(H1195,Lists!$A$2:$A$11,0))),N(INDEX(Platforms!$H$5:$H$14,MATCH(H1195,Lists!$A$2:$A$11,0))),MAX(N(INDEX(Platforms!$F$5:$F$14,MATCH(H1195,Lists!$A$2:$A$11,0))),N(INDEX(Platforms!$C$5:$C$14,MATCH(H1195,Lists!$A$2:$A$11,0)))*(K1195+IF(INDEX(Platforms!$E$5:$E$14,MATCH(H1195,Lists!$A$2:$A$11,0))="Yes",N(L1195),0))+N(INDEX(Platforms!$D$5:$D$14,MATCH(H1195,Lists!$A$2:$A$11,0)))))),""))</f>
        <v/>
      </c>
      <c r="R1195" s="16" t="str">
        <f t="shared" si="73"/>
        <v/>
      </c>
      <c r="S1195" s="17" t="str">
        <f t="shared" si="74"/>
        <v/>
      </c>
      <c r="T1195" s="18" t="str">
        <f t="shared" ca="1" si="75"/>
        <v/>
      </c>
    </row>
    <row r="1196" spans="1:20" x14ac:dyDescent="0.35">
      <c r="A1196" s="11"/>
      <c r="B1196" s="11"/>
      <c r="C1196" s="11"/>
      <c r="D1196" s="12"/>
      <c r="E1196" s="11"/>
      <c r="F1196" s="13"/>
      <c r="G1196" s="13"/>
      <c r="H1196" s="11"/>
      <c r="I1196" s="12"/>
      <c r="J1196" s="12"/>
      <c r="K1196" s="13"/>
      <c r="L1196" s="13"/>
      <c r="M1196" s="13"/>
      <c r="N1196" s="13"/>
      <c r="O1196" s="13"/>
      <c r="P1196" s="14" t="str">
        <f t="shared" si="72"/>
        <v/>
      </c>
      <c r="Q1196" s="15" t="str">
        <f>IF(OR(J1196="",H1196=""),"",IFERROR(IF(ISNUMBER(N1196),N1196,IF(K1196&lt;N(INDEX(Platforms!$G$5:$G$14,MATCH(H1196,Lists!$A$2:$A$11,0))),N(INDEX(Platforms!$H$5:$H$14,MATCH(H1196,Lists!$A$2:$A$11,0))),MAX(N(INDEX(Platforms!$F$5:$F$14,MATCH(H1196,Lists!$A$2:$A$11,0))),N(INDEX(Platforms!$C$5:$C$14,MATCH(H1196,Lists!$A$2:$A$11,0)))*(K1196+IF(INDEX(Platforms!$E$5:$E$14,MATCH(H1196,Lists!$A$2:$A$11,0))="Yes",N(L1196),0))+N(INDEX(Platforms!$D$5:$D$14,MATCH(H1196,Lists!$A$2:$A$11,0)))))),""))</f>
        <v/>
      </c>
      <c r="R1196" s="16" t="str">
        <f t="shared" si="73"/>
        <v/>
      </c>
      <c r="S1196" s="17" t="str">
        <f t="shared" si="74"/>
        <v/>
      </c>
      <c r="T1196" s="18" t="str">
        <f t="shared" ca="1" si="75"/>
        <v/>
      </c>
    </row>
    <row r="1197" spans="1:20" x14ac:dyDescent="0.35">
      <c r="A1197" s="11"/>
      <c r="B1197" s="11"/>
      <c r="C1197" s="11"/>
      <c r="D1197" s="12"/>
      <c r="E1197" s="11"/>
      <c r="F1197" s="13"/>
      <c r="G1197" s="13"/>
      <c r="H1197" s="11"/>
      <c r="I1197" s="12"/>
      <c r="J1197" s="12"/>
      <c r="K1197" s="13"/>
      <c r="L1197" s="13"/>
      <c r="M1197" s="13"/>
      <c r="N1197" s="13"/>
      <c r="O1197" s="13"/>
      <c r="P1197" s="14" t="str">
        <f t="shared" si="72"/>
        <v/>
      </c>
      <c r="Q1197" s="15" t="str">
        <f>IF(OR(J1197="",H1197=""),"",IFERROR(IF(ISNUMBER(N1197),N1197,IF(K1197&lt;N(INDEX(Platforms!$G$5:$G$14,MATCH(H1197,Lists!$A$2:$A$11,0))),N(INDEX(Platforms!$H$5:$H$14,MATCH(H1197,Lists!$A$2:$A$11,0))),MAX(N(INDEX(Platforms!$F$5:$F$14,MATCH(H1197,Lists!$A$2:$A$11,0))),N(INDEX(Platforms!$C$5:$C$14,MATCH(H1197,Lists!$A$2:$A$11,0)))*(K1197+IF(INDEX(Platforms!$E$5:$E$14,MATCH(H1197,Lists!$A$2:$A$11,0))="Yes",N(L1197),0))+N(INDEX(Platforms!$D$5:$D$14,MATCH(H1197,Lists!$A$2:$A$11,0)))))),""))</f>
        <v/>
      </c>
      <c r="R1197" s="16" t="str">
        <f t="shared" si="73"/>
        <v/>
      </c>
      <c r="S1197" s="17" t="str">
        <f t="shared" si="74"/>
        <v/>
      </c>
      <c r="T1197" s="18" t="str">
        <f t="shared" ca="1" si="75"/>
        <v/>
      </c>
    </row>
    <row r="1198" spans="1:20" x14ac:dyDescent="0.35">
      <c r="A1198" s="11"/>
      <c r="B1198" s="11"/>
      <c r="C1198" s="11"/>
      <c r="D1198" s="12"/>
      <c r="E1198" s="11"/>
      <c r="F1198" s="13"/>
      <c r="G1198" s="13"/>
      <c r="H1198" s="11"/>
      <c r="I1198" s="12"/>
      <c r="J1198" s="12"/>
      <c r="K1198" s="13"/>
      <c r="L1198" s="13"/>
      <c r="M1198" s="13"/>
      <c r="N1198" s="13"/>
      <c r="O1198" s="13"/>
      <c r="P1198" s="14" t="str">
        <f t="shared" si="72"/>
        <v/>
      </c>
      <c r="Q1198" s="15" t="str">
        <f>IF(OR(J1198="",H1198=""),"",IFERROR(IF(ISNUMBER(N1198),N1198,IF(K1198&lt;N(INDEX(Platforms!$G$5:$G$14,MATCH(H1198,Lists!$A$2:$A$11,0))),N(INDEX(Platforms!$H$5:$H$14,MATCH(H1198,Lists!$A$2:$A$11,0))),MAX(N(INDEX(Platforms!$F$5:$F$14,MATCH(H1198,Lists!$A$2:$A$11,0))),N(INDEX(Platforms!$C$5:$C$14,MATCH(H1198,Lists!$A$2:$A$11,0)))*(K1198+IF(INDEX(Platforms!$E$5:$E$14,MATCH(H1198,Lists!$A$2:$A$11,0))="Yes",N(L1198),0))+N(INDEX(Platforms!$D$5:$D$14,MATCH(H1198,Lists!$A$2:$A$11,0)))))),""))</f>
        <v/>
      </c>
      <c r="R1198" s="16" t="str">
        <f t="shared" si="73"/>
        <v/>
      </c>
      <c r="S1198" s="17" t="str">
        <f t="shared" si="74"/>
        <v/>
      </c>
      <c r="T1198" s="18" t="str">
        <f t="shared" ca="1" si="75"/>
        <v/>
      </c>
    </row>
    <row r="1199" spans="1:20" x14ac:dyDescent="0.35">
      <c r="A1199" s="11"/>
      <c r="B1199" s="11"/>
      <c r="C1199" s="11"/>
      <c r="D1199" s="12"/>
      <c r="E1199" s="11"/>
      <c r="F1199" s="13"/>
      <c r="G1199" s="13"/>
      <c r="H1199" s="11"/>
      <c r="I1199" s="12"/>
      <c r="J1199" s="12"/>
      <c r="K1199" s="13"/>
      <c r="L1199" s="13"/>
      <c r="M1199" s="13"/>
      <c r="N1199" s="13"/>
      <c r="O1199" s="13"/>
      <c r="P1199" s="14" t="str">
        <f t="shared" si="72"/>
        <v/>
      </c>
      <c r="Q1199" s="15" t="str">
        <f>IF(OR(J1199="",H1199=""),"",IFERROR(IF(ISNUMBER(N1199),N1199,IF(K1199&lt;N(INDEX(Platforms!$G$5:$G$14,MATCH(H1199,Lists!$A$2:$A$11,0))),N(INDEX(Platforms!$H$5:$H$14,MATCH(H1199,Lists!$A$2:$A$11,0))),MAX(N(INDEX(Platforms!$F$5:$F$14,MATCH(H1199,Lists!$A$2:$A$11,0))),N(INDEX(Platforms!$C$5:$C$14,MATCH(H1199,Lists!$A$2:$A$11,0)))*(K1199+IF(INDEX(Platforms!$E$5:$E$14,MATCH(H1199,Lists!$A$2:$A$11,0))="Yes",N(L1199),0))+N(INDEX(Platforms!$D$5:$D$14,MATCH(H1199,Lists!$A$2:$A$11,0)))))),""))</f>
        <v/>
      </c>
      <c r="R1199" s="16" t="str">
        <f t="shared" si="73"/>
        <v/>
      </c>
      <c r="S1199" s="17" t="str">
        <f t="shared" si="74"/>
        <v/>
      </c>
      <c r="T1199" s="18" t="str">
        <f t="shared" ca="1" si="75"/>
        <v/>
      </c>
    </row>
    <row r="1200" spans="1:20" x14ac:dyDescent="0.35">
      <c r="A1200" s="11"/>
      <c r="B1200" s="11"/>
      <c r="C1200" s="11"/>
      <c r="D1200" s="12"/>
      <c r="E1200" s="11"/>
      <c r="F1200" s="13"/>
      <c r="G1200" s="13"/>
      <c r="H1200" s="11"/>
      <c r="I1200" s="12"/>
      <c r="J1200" s="12"/>
      <c r="K1200" s="13"/>
      <c r="L1200" s="13"/>
      <c r="M1200" s="13"/>
      <c r="N1200" s="13"/>
      <c r="O1200" s="13"/>
      <c r="P1200" s="14" t="str">
        <f t="shared" si="72"/>
        <v/>
      </c>
      <c r="Q1200" s="15" t="str">
        <f>IF(OR(J1200="",H1200=""),"",IFERROR(IF(ISNUMBER(N1200),N1200,IF(K1200&lt;N(INDEX(Platforms!$G$5:$G$14,MATCH(H1200,Lists!$A$2:$A$11,0))),N(INDEX(Platforms!$H$5:$H$14,MATCH(H1200,Lists!$A$2:$A$11,0))),MAX(N(INDEX(Platforms!$F$5:$F$14,MATCH(H1200,Lists!$A$2:$A$11,0))),N(INDEX(Platforms!$C$5:$C$14,MATCH(H1200,Lists!$A$2:$A$11,0)))*(K1200+IF(INDEX(Platforms!$E$5:$E$14,MATCH(H1200,Lists!$A$2:$A$11,0))="Yes",N(L1200),0))+N(INDEX(Platforms!$D$5:$D$14,MATCH(H1200,Lists!$A$2:$A$11,0)))))),""))</f>
        <v/>
      </c>
      <c r="R1200" s="16" t="str">
        <f t="shared" si="73"/>
        <v/>
      </c>
      <c r="S1200" s="17" t="str">
        <f t="shared" si="74"/>
        <v/>
      </c>
      <c r="T1200" s="18" t="str">
        <f t="shared" ca="1" si="75"/>
        <v/>
      </c>
    </row>
    <row r="1201" spans="1:20" x14ac:dyDescent="0.35">
      <c r="A1201" s="11"/>
      <c r="B1201" s="11"/>
      <c r="C1201" s="11"/>
      <c r="D1201" s="12"/>
      <c r="E1201" s="11"/>
      <c r="F1201" s="13"/>
      <c r="G1201" s="13"/>
      <c r="H1201" s="11"/>
      <c r="I1201" s="12"/>
      <c r="J1201" s="12"/>
      <c r="K1201" s="13"/>
      <c r="L1201" s="13"/>
      <c r="M1201" s="13"/>
      <c r="N1201" s="13"/>
      <c r="O1201" s="13"/>
      <c r="P1201" s="14" t="str">
        <f t="shared" si="72"/>
        <v/>
      </c>
      <c r="Q1201" s="15" t="str">
        <f>IF(OR(J1201="",H1201=""),"",IFERROR(IF(ISNUMBER(N1201),N1201,IF(K1201&lt;N(INDEX(Platforms!$G$5:$G$14,MATCH(H1201,Lists!$A$2:$A$11,0))),N(INDEX(Platforms!$H$5:$H$14,MATCH(H1201,Lists!$A$2:$A$11,0))),MAX(N(INDEX(Platforms!$F$5:$F$14,MATCH(H1201,Lists!$A$2:$A$11,0))),N(INDEX(Platforms!$C$5:$C$14,MATCH(H1201,Lists!$A$2:$A$11,0)))*(K1201+IF(INDEX(Platforms!$E$5:$E$14,MATCH(H1201,Lists!$A$2:$A$11,0))="Yes",N(L1201),0))+N(INDEX(Platforms!$D$5:$D$14,MATCH(H1201,Lists!$A$2:$A$11,0)))))),""))</f>
        <v/>
      </c>
      <c r="R1201" s="16" t="str">
        <f t="shared" si="73"/>
        <v/>
      </c>
      <c r="S1201" s="17" t="str">
        <f t="shared" si="74"/>
        <v/>
      </c>
      <c r="T1201" s="18" t="str">
        <f t="shared" ca="1" si="75"/>
        <v/>
      </c>
    </row>
    <row r="1202" spans="1:20" x14ac:dyDescent="0.35">
      <c r="A1202" s="11"/>
      <c r="B1202" s="11"/>
      <c r="C1202" s="11"/>
      <c r="D1202" s="12"/>
      <c r="E1202" s="11"/>
      <c r="F1202" s="13"/>
      <c r="G1202" s="13"/>
      <c r="H1202" s="11"/>
      <c r="I1202" s="12"/>
      <c r="J1202" s="12"/>
      <c r="K1202" s="13"/>
      <c r="L1202" s="13"/>
      <c r="M1202" s="13"/>
      <c r="N1202" s="13"/>
      <c r="O1202" s="13"/>
      <c r="P1202" s="14" t="str">
        <f t="shared" si="72"/>
        <v/>
      </c>
      <c r="Q1202" s="15" t="str">
        <f>IF(OR(J1202="",H1202=""),"",IFERROR(IF(ISNUMBER(N1202),N1202,IF(K1202&lt;N(INDEX(Platforms!$G$5:$G$14,MATCH(H1202,Lists!$A$2:$A$11,0))),N(INDEX(Platforms!$H$5:$H$14,MATCH(H1202,Lists!$A$2:$A$11,0))),MAX(N(INDEX(Platforms!$F$5:$F$14,MATCH(H1202,Lists!$A$2:$A$11,0))),N(INDEX(Platforms!$C$5:$C$14,MATCH(H1202,Lists!$A$2:$A$11,0)))*(K1202+IF(INDEX(Platforms!$E$5:$E$14,MATCH(H1202,Lists!$A$2:$A$11,0))="Yes",N(L1202),0))+N(INDEX(Platforms!$D$5:$D$14,MATCH(H1202,Lists!$A$2:$A$11,0)))))),""))</f>
        <v/>
      </c>
      <c r="R1202" s="16" t="str">
        <f t="shared" si="73"/>
        <v/>
      </c>
      <c r="S1202" s="17" t="str">
        <f t="shared" si="74"/>
        <v/>
      </c>
      <c r="T1202" s="18" t="str">
        <f t="shared" ca="1" si="75"/>
        <v/>
      </c>
    </row>
    <row r="1203" spans="1:20" x14ac:dyDescent="0.35">
      <c r="A1203" s="11"/>
      <c r="B1203" s="11"/>
      <c r="C1203" s="11"/>
      <c r="D1203" s="12"/>
      <c r="E1203" s="11"/>
      <c r="F1203" s="13"/>
      <c r="G1203" s="13"/>
      <c r="H1203" s="11"/>
      <c r="I1203" s="12"/>
      <c r="J1203" s="12"/>
      <c r="K1203" s="13"/>
      <c r="L1203" s="13"/>
      <c r="M1203" s="13"/>
      <c r="N1203" s="13"/>
      <c r="O1203" s="13"/>
      <c r="P1203" s="14" t="str">
        <f t="shared" si="72"/>
        <v/>
      </c>
      <c r="Q1203" s="15" t="str">
        <f>IF(OR(J1203="",H1203=""),"",IFERROR(IF(ISNUMBER(N1203),N1203,IF(K1203&lt;N(INDEX(Platforms!$G$5:$G$14,MATCH(H1203,Lists!$A$2:$A$11,0))),N(INDEX(Platforms!$H$5:$H$14,MATCH(H1203,Lists!$A$2:$A$11,0))),MAX(N(INDEX(Platforms!$F$5:$F$14,MATCH(H1203,Lists!$A$2:$A$11,0))),N(INDEX(Platforms!$C$5:$C$14,MATCH(H1203,Lists!$A$2:$A$11,0)))*(K1203+IF(INDEX(Platforms!$E$5:$E$14,MATCH(H1203,Lists!$A$2:$A$11,0))="Yes",N(L1203),0))+N(INDEX(Platforms!$D$5:$D$14,MATCH(H1203,Lists!$A$2:$A$11,0)))))),""))</f>
        <v/>
      </c>
      <c r="R1203" s="16" t="str">
        <f t="shared" si="73"/>
        <v/>
      </c>
      <c r="S1203" s="17" t="str">
        <f t="shared" si="74"/>
        <v/>
      </c>
      <c r="T1203" s="18" t="str">
        <f t="shared" ca="1" si="75"/>
        <v/>
      </c>
    </row>
    <row r="1204" spans="1:20" x14ac:dyDescent="0.35">
      <c r="A1204" s="11"/>
      <c r="B1204" s="11"/>
      <c r="C1204" s="11"/>
      <c r="D1204" s="12"/>
      <c r="E1204" s="11"/>
      <c r="F1204" s="13"/>
      <c r="G1204" s="13"/>
      <c r="H1204" s="11"/>
      <c r="I1204" s="12"/>
      <c r="J1204" s="12"/>
      <c r="K1204" s="13"/>
      <c r="L1204" s="13"/>
      <c r="M1204" s="13"/>
      <c r="N1204" s="13"/>
      <c r="O1204" s="13"/>
      <c r="P1204" s="14" t="str">
        <f t="shared" si="72"/>
        <v/>
      </c>
      <c r="Q1204" s="15" t="str">
        <f>IF(OR(J1204="",H1204=""),"",IFERROR(IF(ISNUMBER(N1204),N1204,IF(K1204&lt;N(INDEX(Platforms!$G$5:$G$14,MATCH(H1204,Lists!$A$2:$A$11,0))),N(INDEX(Platforms!$H$5:$H$14,MATCH(H1204,Lists!$A$2:$A$11,0))),MAX(N(INDEX(Platforms!$F$5:$F$14,MATCH(H1204,Lists!$A$2:$A$11,0))),N(INDEX(Platforms!$C$5:$C$14,MATCH(H1204,Lists!$A$2:$A$11,0)))*(K1204+IF(INDEX(Platforms!$E$5:$E$14,MATCH(H1204,Lists!$A$2:$A$11,0))="Yes",N(L1204),0))+N(INDEX(Platforms!$D$5:$D$14,MATCH(H1204,Lists!$A$2:$A$11,0)))))),""))</f>
        <v/>
      </c>
      <c r="R1204" s="16" t="str">
        <f t="shared" si="73"/>
        <v/>
      </c>
      <c r="S1204" s="17" t="str">
        <f t="shared" si="74"/>
        <v/>
      </c>
      <c r="T1204" s="18" t="str">
        <f t="shared" ca="1" si="75"/>
        <v/>
      </c>
    </row>
    <row r="1205" spans="1:20" x14ac:dyDescent="0.35">
      <c r="A1205" s="11"/>
      <c r="B1205" s="11"/>
      <c r="C1205" s="11"/>
      <c r="D1205" s="12"/>
      <c r="E1205" s="11"/>
      <c r="F1205" s="13"/>
      <c r="G1205" s="13"/>
      <c r="H1205" s="11"/>
      <c r="I1205" s="12"/>
      <c r="J1205" s="12"/>
      <c r="K1205" s="13"/>
      <c r="L1205" s="13"/>
      <c r="M1205" s="13"/>
      <c r="N1205" s="13"/>
      <c r="O1205" s="13"/>
      <c r="P1205" s="14" t="str">
        <f t="shared" si="72"/>
        <v/>
      </c>
      <c r="Q1205" s="15" t="str">
        <f>IF(OR(J1205="",H1205=""),"",IFERROR(IF(ISNUMBER(N1205),N1205,IF(K1205&lt;N(INDEX(Platforms!$G$5:$G$14,MATCH(H1205,Lists!$A$2:$A$11,0))),N(INDEX(Platforms!$H$5:$H$14,MATCH(H1205,Lists!$A$2:$A$11,0))),MAX(N(INDEX(Platforms!$F$5:$F$14,MATCH(H1205,Lists!$A$2:$A$11,0))),N(INDEX(Platforms!$C$5:$C$14,MATCH(H1205,Lists!$A$2:$A$11,0)))*(K1205+IF(INDEX(Platforms!$E$5:$E$14,MATCH(H1205,Lists!$A$2:$A$11,0))="Yes",N(L1205),0))+N(INDEX(Platforms!$D$5:$D$14,MATCH(H1205,Lists!$A$2:$A$11,0)))))),""))</f>
        <v/>
      </c>
      <c r="R1205" s="16" t="str">
        <f t="shared" si="73"/>
        <v/>
      </c>
      <c r="S1205" s="17" t="str">
        <f t="shared" si="74"/>
        <v/>
      </c>
      <c r="T1205" s="18" t="str">
        <f t="shared" ca="1" si="75"/>
        <v/>
      </c>
    </row>
    <row r="1206" spans="1:20" x14ac:dyDescent="0.35">
      <c r="A1206" s="11"/>
      <c r="B1206" s="11"/>
      <c r="C1206" s="11"/>
      <c r="D1206" s="12"/>
      <c r="E1206" s="11"/>
      <c r="F1206" s="13"/>
      <c r="G1206" s="13"/>
      <c r="H1206" s="11"/>
      <c r="I1206" s="12"/>
      <c r="J1206" s="12"/>
      <c r="K1206" s="13"/>
      <c r="L1206" s="13"/>
      <c r="M1206" s="13"/>
      <c r="N1206" s="13"/>
      <c r="O1206" s="13"/>
      <c r="P1206" s="14" t="str">
        <f t="shared" si="72"/>
        <v/>
      </c>
      <c r="Q1206" s="15" t="str">
        <f>IF(OR(J1206="",H1206=""),"",IFERROR(IF(ISNUMBER(N1206),N1206,IF(K1206&lt;N(INDEX(Platforms!$G$5:$G$14,MATCH(H1206,Lists!$A$2:$A$11,0))),N(INDEX(Platforms!$H$5:$H$14,MATCH(H1206,Lists!$A$2:$A$11,0))),MAX(N(INDEX(Platforms!$F$5:$F$14,MATCH(H1206,Lists!$A$2:$A$11,0))),N(INDEX(Platforms!$C$5:$C$14,MATCH(H1206,Lists!$A$2:$A$11,0)))*(K1206+IF(INDEX(Platforms!$E$5:$E$14,MATCH(H1206,Lists!$A$2:$A$11,0))="Yes",N(L1206),0))+N(INDEX(Platforms!$D$5:$D$14,MATCH(H1206,Lists!$A$2:$A$11,0)))))),""))</f>
        <v/>
      </c>
      <c r="R1206" s="16" t="str">
        <f t="shared" si="73"/>
        <v/>
      </c>
      <c r="S1206" s="17" t="str">
        <f t="shared" si="74"/>
        <v/>
      </c>
      <c r="T1206" s="18" t="str">
        <f t="shared" ca="1" si="75"/>
        <v/>
      </c>
    </row>
    <row r="1207" spans="1:20" x14ac:dyDescent="0.35">
      <c r="A1207" s="11"/>
      <c r="B1207" s="11"/>
      <c r="C1207" s="11"/>
      <c r="D1207" s="12"/>
      <c r="E1207" s="11"/>
      <c r="F1207" s="13"/>
      <c r="G1207" s="13"/>
      <c r="H1207" s="11"/>
      <c r="I1207" s="12"/>
      <c r="J1207" s="12"/>
      <c r="K1207" s="13"/>
      <c r="L1207" s="13"/>
      <c r="M1207" s="13"/>
      <c r="N1207" s="13"/>
      <c r="O1207" s="13"/>
      <c r="P1207" s="14" t="str">
        <f t="shared" si="72"/>
        <v/>
      </c>
      <c r="Q1207" s="15" t="str">
        <f>IF(OR(J1207="",H1207=""),"",IFERROR(IF(ISNUMBER(N1207),N1207,IF(K1207&lt;N(INDEX(Platforms!$G$5:$G$14,MATCH(H1207,Lists!$A$2:$A$11,0))),N(INDEX(Platforms!$H$5:$H$14,MATCH(H1207,Lists!$A$2:$A$11,0))),MAX(N(INDEX(Platforms!$F$5:$F$14,MATCH(H1207,Lists!$A$2:$A$11,0))),N(INDEX(Platforms!$C$5:$C$14,MATCH(H1207,Lists!$A$2:$A$11,0)))*(K1207+IF(INDEX(Platforms!$E$5:$E$14,MATCH(H1207,Lists!$A$2:$A$11,0))="Yes",N(L1207),0))+N(INDEX(Platforms!$D$5:$D$14,MATCH(H1207,Lists!$A$2:$A$11,0)))))),""))</f>
        <v/>
      </c>
      <c r="R1207" s="16" t="str">
        <f t="shared" si="73"/>
        <v/>
      </c>
      <c r="S1207" s="17" t="str">
        <f t="shared" si="74"/>
        <v/>
      </c>
      <c r="T1207" s="18" t="str">
        <f t="shared" ca="1" si="75"/>
        <v/>
      </c>
    </row>
    <row r="1208" spans="1:20" x14ac:dyDescent="0.35">
      <c r="A1208" s="11"/>
      <c r="B1208" s="11"/>
      <c r="C1208" s="11"/>
      <c r="D1208" s="12"/>
      <c r="E1208" s="11"/>
      <c r="F1208" s="13"/>
      <c r="G1208" s="13"/>
      <c r="H1208" s="11"/>
      <c r="I1208" s="12"/>
      <c r="J1208" s="12"/>
      <c r="K1208" s="13"/>
      <c r="L1208" s="13"/>
      <c r="M1208" s="13"/>
      <c r="N1208" s="13"/>
      <c r="O1208" s="13"/>
      <c r="P1208" s="14" t="str">
        <f t="shared" si="72"/>
        <v/>
      </c>
      <c r="Q1208" s="15" t="str">
        <f>IF(OR(J1208="",H1208=""),"",IFERROR(IF(ISNUMBER(N1208),N1208,IF(K1208&lt;N(INDEX(Platforms!$G$5:$G$14,MATCH(H1208,Lists!$A$2:$A$11,0))),N(INDEX(Platforms!$H$5:$H$14,MATCH(H1208,Lists!$A$2:$A$11,0))),MAX(N(INDEX(Platforms!$F$5:$F$14,MATCH(H1208,Lists!$A$2:$A$11,0))),N(INDEX(Platforms!$C$5:$C$14,MATCH(H1208,Lists!$A$2:$A$11,0)))*(K1208+IF(INDEX(Platforms!$E$5:$E$14,MATCH(H1208,Lists!$A$2:$A$11,0))="Yes",N(L1208),0))+N(INDEX(Platforms!$D$5:$D$14,MATCH(H1208,Lists!$A$2:$A$11,0)))))),""))</f>
        <v/>
      </c>
      <c r="R1208" s="16" t="str">
        <f t="shared" si="73"/>
        <v/>
      </c>
      <c r="S1208" s="17" t="str">
        <f t="shared" si="74"/>
        <v/>
      </c>
      <c r="T1208" s="18" t="str">
        <f t="shared" ca="1" si="75"/>
        <v/>
      </c>
    </row>
    <row r="1209" spans="1:20" x14ac:dyDescent="0.35">
      <c r="A1209" s="11"/>
      <c r="B1209" s="11"/>
      <c r="C1209" s="11"/>
      <c r="D1209" s="12"/>
      <c r="E1209" s="11"/>
      <c r="F1209" s="13"/>
      <c r="G1209" s="13"/>
      <c r="H1209" s="11"/>
      <c r="I1209" s="12"/>
      <c r="J1209" s="12"/>
      <c r="K1209" s="13"/>
      <c r="L1209" s="13"/>
      <c r="M1209" s="13"/>
      <c r="N1209" s="13"/>
      <c r="O1209" s="13"/>
      <c r="P1209" s="14" t="str">
        <f t="shared" si="72"/>
        <v/>
      </c>
      <c r="Q1209" s="15" t="str">
        <f>IF(OR(J1209="",H1209=""),"",IFERROR(IF(ISNUMBER(N1209),N1209,IF(K1209&lt;N(INDEX(Platforms!$G$5:$G$14,MATCH(H1209,Lists!$A$2:$A$11,0))),N(INDEX(Platforms!$H$5:$H$14,MATCH(H1209,Lists!$A$2:$A$11,0))),MAX(N(INDEX(Platforms!$F$5:$F$14,MATCH(H1209,Lists!$A$2:$A$11,0))),N(INDEX(Platforms!$C$5:$C$14,MATCH(H1209,Lists!$A$2:$A$11,0)))*(K1209+IF(INDEX(Platforms!$E$5:$E$14,MATCH(H1209,Lists!$A$2:$A$11,0))="Yes",N(L1209),0))+N(INDEX(Platforms!$D$5:$D$14,MATCH(H1209,Lists!$A$2:$A$11,0)))))),""))</f>
        <v/>
      </c>
      <c r="R1209" s="16" t="str">
        <f t="shared" si="73"/>
        <v/>
      </c>
      <c r="S1209" s="17" t="str">
        <f t="shared" si="74"/>
        <v/>
      </c>
      <c r="T1209" s="18" t="str">
        <f t="shared" ca="1" si="75"/>
        <v/>
      </c>
    </row>
    <row r="1210" spans="1:20" x14ac:dyDescent="0.35">
      <c r="A1210" s="11"/>
      <c r="B1210" s="11"/>
      <c r="C1210" s="11"/>
      <c r="D1210" s="12"/>
      <c r="E1210" s="11"/>
      <c r="F1210" s="13"/>
      <c r="G1210" s="13"/>
      <c r="H1210" s="11"/>
      <c r="I1210" s="12"/>
      <c r="J1210" s="12"/>
      <c r="K1210" s="13"/>
      <c r="L1210" s="13"/>
      <c r="M1210" s="13"/>
      <c r="N1210" s="13"/>
      <c r="O1210" s="13"/>
      <c r="P1210" s="14" t="str">
        <f t="shared" si="72"/>
        <v/>
      </c>
      <c r="Q1210" s="15" t="str">
        <f>IF(OR(J1210="",H1210=""),"",IFERROR(IF(ISNUMBER(N1210),N1210,IF(K1210&lt;N(INDEX(Platforms!$G$5:$G$14,MATCH(H1210,Lists!$A$2:$A$11,0))),N(INDEX(Platforms!$H$5:$H$14,MATCH(H1210,Lists!$A$2:$A$11,0))),MAX(N(INDEX(Platforms!$F$5:$F$14,MATCH(H1210,Lists!$A$2:$A$11,0))),N(INDEX(Platforms!$C$5:$C$14,MATCH(H1210,Lists!$A$2:$A$11,0)))*(K1210+IF(INDEX(Platforms!$E$5:$E$14,MATCH(H1210,Lists!$A$2:$A$11,0))="Yes",N(L1210),0))+N(INDEX(Platforms!$D$5:$D$14,MATCH(H1210,Lists!$A$2:$A$11,0)))))),""))</f>
        <v/>
      </c>
      <c r="R1210" s="16" t="str">
        <f t="shared" si="73"/>
        <v/>
      </c>
      <c r="S1210" s="17" t="str">
        <f t="shared" si="74"/>
        <v/>
      </c>
      <c r="T1210" s="18" t="str">
        <f t="shared" ca="1" si="75"/>
        <v/>
      </c>
    </row>
    <row r="1211" spans="1:20" x14ac:dyDescent="0.35">
      <c r="A1211" s="11"/>
      <c r="B1211" s="11"/>
      <c r="C1211" s="11"/>
      <c r="D1211" s="12"/>
      <c r="E1211" s="11"/>
      <c r="F1211" s="13"/>
      <c r="G1211" s="13"/>
      <c r="H1211" s="11"/>
      <c r="I1211" s="12"/>
      <c r="J1211" s="12"/>
      <c r="K1211" s="13"/>
      <c r="L1211" s="13"/>
      <c r="M1211" s="13"/>
      <c r="N1211" s="13"/>
      <c r="O1211" s="13"/>
      <c r="P1211" s="14" t="str">
        <f t="shared" si="72"/>
        <v/>
      </c>
      <c r="Q1211" s="15" t="str">
        <f>IF(OR(J1211="",H1211=""),"",IFERROR(IF(ISNUMBER(N1211),N1211,IF(K1211&lt;N(INDEX(Platforms!$G$5:$G$14,MATCH(H1211,Lists!$A$2:$A$11,0))),N(INDEX(Platforms!$H$5:$H$14,MATCH(H1211,Lists!$A$2:$A$11,0))),MAX(N(INDEX(Platforms!$F$5:$F$14,MATCH(H1211,Lists!$A$2:$A$11,0))),N(INDEX(Platforms!$C$5:$C$14,MATCH(H1211,Lists!$A$2:$A$11,0)))*(K1211+IF(INDEX(Platforms!$E$5:$E$14,MATCH(H1211,Lists!$A$2:$A$11,0))="Yes",N(L1211),0))+N(INDEX(Platforms!$D$5:$D$14,MATCH(H1211,Lists!$A$2:$A$11,0)))))),""))</f>
        <v/>
      </c>
      <c r="R1211" s="16" t="str">
        <f t="shared" si="73"/>
        <v/>
      </c>
      <c r="S1211" s="17" t="str">
        <f t="shared" si="74"/>
        <v/>
      </c>
      <c r="T1211" s="18" t="str">
        <f t="shared" ca="1" si="75"/>
        <v/>
      </c>
    </row>
    <row r="1212" spans="1:20" x14ac:dyDescent="0.35">
      <c r="A1212" s="11"/>
      <c r="B1212" s="11"/>
      <c r="C1212" s="11"/>
      <c r="D1212" s="12"/>
      <c r="E1212" s="11"/>
      <c r="F1212" s="13"/>
      <c r="G1212" s="13"/>
      <c r="H1212" s="11"/>
      <c r="I1212" s="12"/>
      <c r="J1212" s="12"/>
      <c r="K1212" s="13"/>
      <c r="L1212" s="13"/>
      <c r="M1212" s="13"/>
      <c r="N1212" s="13"/>
      <c r="O1212" s="13"/>
      <c r="P1212" s="14" t="str">
        <f t="shared" si="72"/>
        <v/>
      </c>
      <c r="Q1212" s="15" t="str">
        <f>IF(OR(J1212="",H1212=""),"",IFERROR(IF(ISNUMBER(N1212),N1212,IF(K1212&lt;N(INDEX(Platforms!$G$5:$G$14,MATCH(H1212,Lists!$A$2:$A$11,0))),N(INDEX(Platforms!$H$5:$H$14,MATCH(H1212,Lists!$A$2:$A$11,0))),MAX(N(INDEX(Platforms!$F$5:$F$14,MATCH(H1212,Lists!$A$2:$A$11,0))),N(INDEX(Platforms!$C$5:$C$14,MATCH(H1212,Lists!$A$2:$A$11,0)))*(K1212+IF(INDEX(Platforms!$E$5:$E$14,MATCH(H1212,Lists!$A$2:$A$11,0))="Yes",N(L1212),0))+N(INDEX(Platforms!$D$5:$D$14,MATCH(H1212,Lists!$A$2:$A$11,0)))))),""))</f>
        <v/>
      </c>
      <c r="R1212" s="16" t="str">
        <f t="shared" si="73"/>
        <v/>
      </c>
      <c r="S1212" s="17" t="str">
        <f t="shared" si="74"/>
        <v/>
      </c>
      <c r="T1212" s="18" t="str">
        <f t="shared" ca="1" si="75"/>
        <v/>
      </c>
    </row>
    <row r="1213" spans="1:20" x14ac:dyDescent="0.35">
      <c r="A1213" s="11"/>
      <c r="B1213" s="11"/>
      <c r="C1213" s="11"/>
      <c r="D1213" s="12"/>
      <c r="E1213" s="11"/>
      <c r="F1213" s="13"/>
      <c r="G1213" s="13"/>
      <c r="H1213" s="11"/>
      <c r="I1213" s="12"/>
      <c r="J1213" s="12"/>
      <c r="K1213" s="13"/>
      <c r="L1213" s="13"/>
      <c r="M1213" s="13"/>
      <c r="N1213" s="13"/>
      <c r="O1213" s="13"/>
      <c r="P1213" s="14" t="str">
        <f t="shared" si="72"/>
        <v/>
      </c>
      <c r="Q1213" s="15" t="str">
        <f>IF(OR(J1213="",H1213=""),"",IFERROR(IF(ISNUMBER(N1213),N1213,IF(K1213&lt;N(INDEX(Platforms!$G$5:$G$14,MATCH(H1213,Lists!$A$2:$A$11,0))),N(INDEX(Platforms!$H$5:$H$14,MATCH(H1213,Lists!$A$2:$A$11,0))),MAX(N(INDEX(Platforms!$F$5:$F$14,MATCH(H1213,Lists!$A$2:$A$11,0))),N(INDEX(Platforms!$C$5:$C$14,MATCH(H1213,Lists!$A$2:$A$11,0)))*(K1213+IF(INDEX(Platforms!$E$5:$E$14,MATCH(H1213,Lists!$A$2:$A$11,0))="Yes",N(L1213),0))+N(INDEX(Platforms!$D$5:$D$14,MATCH(H1213,Lists!$A$2:$A$11,0)))))),""))</f>
        <v/>
      </c>
      <c r="R1213" s="16" t="str">
        <f t="shared" si="73"/>
        <v/>
      </c>
      <c r="S1213" s="17" t="str">
        <f t="shared" si="74"/>
        <v/>
      </c>
      <c r="T1213" s="18" t="str">
        <f t="shared" ca="1" si="75"/>
        <v/>
      </c>
    </row>
    <row r="1214" spans="1:20" x14ac:dyDescent="0.35">
      <c r="A1214" s="11"/>
      <c r="B1214" s="11"/>
      <c r="C1214" s="11"/>
      <c r="D1214" s="12"/>
      <c r="E1214" s="11"/>
      <c r="F1214" s="13"/>
      <c r="G1214" s="13"/>
      <c r="H1214" s="11"/>
      <c r="I1214" s="12"/>
      <c r="J1214" s="12"/>
      <c r="K1214" s="13"/>
      <c r="L1214" s="13"/>
      <c r="M1214" s="13"/>
      <c r="N1214" s="13"/>
      <c r="O1214" s="13"/>
      <c r="P1214" s="14" t="str">
        <f t="shared" si="72"/>
        <v/>
      </c>
      <c r="Q1214" s="15" t="str">
        <f>IF(OR(J1214="",H1214=""),"",IFERROR(IF(ISNUMBER(N1214),N1214,IF(K1214&lt;N(INDEX(Platforms!$G$5:$G$14,MATCH(H1214,Lists!$A$2:$A$11,0))),N(INDEX(Platforms!$H$5:$H$14,MATCH(H1214,Lists!$A$2:$A$11,0))),MAX(N(INDEX(Platforms!$F$5:$F$14,MATCH(H1214,Lists!$A$2:$A$11,0))),N(INDEX(Platforms!$C$5:$C$14,MATCH(H1214,Lists!$A$2:$A$11,0)))*(K1214+IF(INDEX(Platforms!$E$5:$E$14,MATCH(H1214,Lists!$A$2:$A$11,0))="Yes",N(L1214),0))+N(INDEX(Platforms!$D$5:$D$14,MATCH(H1214,Lists!$A$2:$A$11,0)))))),""))</f>
        <v/>
      </c>
      <c r="R1214" s="16" t="str">
        <f t="shared" si="73"/>
        <v/>
      </c>
      <c r="S1214" s="17" t="str">
        <f t="shared" si="74"/>
        <v/>
      </c>
      <c r="T1214" s="18" t="str">
        <f t="shared" ca="1" si="75"/>
        <v/>
      </c>
    </row>
    <row r="1215" spans="1:20" x14ac:dyDescent="0.35">
      <c r="A1215" s="11"/>
      <c r="B1215" s="11"/>
      <c r="C1215" s="11"/>
      <c r="D1215" s="12"/>
      <c r="E1215" s="11"/>
      <c r="F1215" s="13"/>
      <c r="G1215" s="13"/>
      <c r="H1215" s="11"/>
      <c r="I1215" s="12"/>
      <c r="J1215" s="12"/>
      <c r="K1215" s="13"/>
      <c r="L1215" s="13"/>
      <c r="M1215" s="13"/>
      <c r="N1215" s="13"/>
      <c r="O1215" s="13"/>
      <c r="P1215" s="14" t="str">
        <f t="shared" si="72"/>
        <v/>
      </c>
      <c r="Q1215" s="15" t="str">
        <f>IF(OR(J1215="",H1215=""),"",IFERROR(IF(ISNUMBER(N1215),N1215,IF(K1215&lt;N(INDEX(Platforms!$G$5:$G$14,MATCH(H1215,Lists!$A$2:$A$11,0))),N(INDEX(Platforms!$H$5:$H$14,MATCH(H1215,Lists!$A$2:$A$11,0))),MAX(N(INDEX(Platforms!$F$5:$F$14,MATCH(H1215,Lists!$A$2:$A$11,0))),N(INDEX(Platforms!$C$5:$C$14,MATCH(H1215,Lists!$A$2:$A$11,0)))*(K1215+IF(INDEX(Platforms!$E$5:$E$14,MATCH(H1215,Lists!$A$2:$A$11,0))="Yes",N(L1215),0))+N(INDEX(Platforms!$D$5:$D$14,MATCH(H1215,Lists!$A$2:$A$11,0)))))),""))</f>
        <v/>
      </c>
      <c r="R1215" s="16" t="str">
        <f t="shared" si="73"/>
        <v/>
      </c>
      <c r="S1215" s="17" t="str">
        <f t="shared" si="74"/>
        <v/>
      </c>
      <c r="T1215" s="18" t="str">
        <f t="shared" ca="1" si="75"/>
        <v/>
      </c>
    </row>
    <row r="1216" spans="1:20" x14ac:dyDescent="0.35">
      <c r="A1216" s="11"/>
      <c r="B1216" s="11"/>
      <c r="C1216" s="11"/>
      <c r="D1216" s="12"/>
      <c r="E1216" s="11"/>
      <c r="F1216" s="13"/>
      <c r="G1216" s="13"/>
      <c r="H1216" s="11"/>
      <c r="I1216" s="12"/>
      <c r="J1216" s="12"/>
      <c r="K1216" s="13"/>
      <c r="L1216" s="13"/>
      <c r="M1216" s="13"/>
      <c r="N1216" s="13"/>
      <c r="O1216" s="13"/>
      <c r="P1216" s="14" t="str">
        <f t="shared" si="72"/>
        <v/>
      </c>
      <c r="Q1216" s="15" t="str">
        <f>IF(OR(J1216="",H1216=""),"",IFERROR(IF(ISNUMBER(N1216),N1216,IF(K1216&lt;N(INDEX(Platforms!$G$5:$G$14,MATCH(H1216,Lists!$A$2:$A$11,0))),N(INDEX(Platforms!$H$5:$H$14,MATCH(H1216,Lists!$A$2:$A$11,0))),MAX(N(INDEX(Platforms!$F$5:$F$14,MATCH(H1216,Lists!$A$2:$A$11,0))),N(INDEX(Platforms!$C$5:$C$14,MATCH(H1216,Lists!$A$2:$A$11,0)))*(K1216+IF(INDEX(Platforms!$E$5:$E$14,MATCH(H1216,Lists!$A$2:$A$11,0))="Yes",N(L1216),0))+N(INDEX(Platforms!$D$5:$D$14,MATCH(H1216,Lists!$A$2:$A$11,0)))))),""))</f>
        <v/>
      </c>
      <c r="R1216" s="16" t="str">
        <f t="shared" si="73"/>
        <v/>
      </c>
      <c r="S1216" s="17" t="str">
        <f t="shared" si="74"/>
        <v/>
      </c>
      <c r="T1216" s="18" t="str">
        <f t="shared" ca="1" si="75"/>
        <v/>
      </c>
    </row>
    <row r="1217" spans="1:20" x14ac:dyDescent="0.35">
      <c r="A1217" s="11"/>
      <c r="B1217" s="11"/>
      <c r="C1217" s="11"/>
      <c r="D1217" s="12"/>
      <c r="E1217" s="11"/>
      <c r="F1217" s="13"/>
      <c r="G1217" s="13"/>
      <c r="H1217" s="11"/>
      <c r="I1217" s="12"/>
      <c r="J1217" s="12"/>
      <c r="K1217" s="13"/>
      <c r="L1217" s="13"/>
      <c r="M1217" s="13"/>
      <c r="N1217" s="13"/>
      <c r="O1217" s="13"/>
      <c r="P1217" s="14" t="str">
        <f t="shared" si="72"/>
        <v/>
      </c>
      <c r="Q1217" s="15" t="str">
        <f>IF(OR(J1217="",H1217=""),"",IFERROR(IF(ISNUMBER(N1217),N1217,IF(K1217&lt;N(INDEX(Platforms!$G$5:$G$14,MATCH(H1217,Lists!$A$2:$A$11,0))),N(INDEX(Platforms!$H$5:$H$14,MATCH(H1217,Lists!$A$2:$A$11,0))),MAX(N(INDEX(Platforms!$F$5:$F$14,MATCH(H1217,Lists!$A$2:$A$11,0))),N(INDEX(Platforms!$C$5:$C$14,MATCH(H1217,Lists!$A$2:$A$11,0)))*(K1217+IF(INDEX(Platforms!$E$5:$E$14,MATCH(H1217,Lists!$A$2:$A$11,0))="Yes",N(L1217),0))+N(INDEX(Platforms!$D$5:$D$14,MATCH(H1217,Lists!$A$2:$A$11,0)))))),""))</f>
        <v/>
      </c>
      <c r="R1217" s="16" t="str">
        <f t="shared" si="73"/>
        <v/>
      </c>
      <c r="S1217" s="17" t="str">
        <f t="shared" si="74"/>
        <v/>
      </c>
      <c r="T1217" s="18" t="str">
        <f t="shared" ca="1" si="75"/>
        <v/>
      </c>
    </row>
    <row r="1218" spans="1:20" x14ac:dyDescent="0.35">
      <c r="A1218" s="11"/>
      <c r="B1218" s="11"/>
      <c r="C1218" s="11"/>
      <c r="D1218" s="12"/>
      <c r="E1218" s="11"/>
      <c r="F1218" s="13"/>
      <c r="G1218" s="13"/>
      <c r="H1218" s="11"/>
      <c r="I1218" s="12"/>
      <c r="J1218" s="12"/>
      <c r="K1218" s="13"/>
      <c r="L1218" s="13"/>
      <c r="M1218" s="13"/>
      <c r="N1218" s="13"/>
      <c r="O1218" s="13"/>
      <c r="P1218" s="14" t="str">
        <f t="shared" si="72"/>
        <v/>
      </c>
      <c r="Q1218" s="15" t="str">
        <f>IF(OR(J1218="",H1218=""),"",IFERROR(IF(ISNUMBER(N1218),N1218,IF(K1218&lt;N(INDEX(Platforms!$G$5:$G$14,MATCH(H1218,Lists!$A$2:$A$11,0))),N(INDEX(Platforms!$H$5:$H$14,MATCH(H1218,Lists!$A$2:$A$11,0))),MAX(N(INDEX(Platforms!$F$5:$F$14,MATCH(H1218,Lists!$A$2:$A$11,0))),N(INDEX(Platforms!$C$5:$C$14,MATCH(H1218,Lists!$A$2:$A$11,0)))*(K1218+IF(INDEX(Platforms!$E$5:$E$14,MATCH(H1218,Lists!$A$2:$A$11,0))="Yes",N(L1218),0))+N(INDEX(Platforms!$D$5:$D$14,MATCH(H1218,Lists!$A$2:$A$11,0)))))),""))</f>
        <v/>
      </c>
      <c r="R1218" s="16" t="str">
        <f t="shared" si="73"/>
        <v/>
      </c>
      <c r="S1218" s="17" t="str">
        <f t="shared" si="74"/>
        <v/>
      </c>
      <c r="T1218" s="18" t="str">
        <f t="shared" ca="1" si="75"/>
        <v/>
      </c>
    </row>
    <row r="1219" spans="1:20" x14ac:dyDescent="0.35">
      <c r="A1219" s="11"/>
      <c r="B1219" s="11"/>
      <c r="C1219" s="11"/>
      <c r="D1219" s="12"/>
      <c r="E1219" s="11"/>
      <c r="F1219" s="13"/>
      <c r="G1219" s="13"/>
      <c r="H1219" s="11"/>
      <c r="I1219" s="12"/>
      <c r="J1219" s="12"/>
      <c r="K1219" s="13"/>
      <c r="L1219" s="13"/>
      <c r="M1219" s="13"/>
      <c r="N1219" s="13"/>
      <c r="O1219" s="13"/>
      <c r="P1219" s="14" t="str">
        <f t="shared" si="72"/>
        <v/>
      </c>
      <c r="Q1219" s="15" t="str">
        <f>IF(OR(J1219="",H1219=""),"",IFERROR(IF(ISNUMBER(N1219),N1219,IF(K1219&lt;N(INDEX(Platforms!$G$5:$G$14,MATCH(H1219,Lists!$A$2:$A$11,0))),N(INDEX(Platforms!$H$5:$H$14,MATCH(H1219,Lists!$A$2:$A$11,0))),MAX(N(INDEX(Platforms!$F$5:$F$14,MATCH(H1219,Lists!$A$2:$A$11,0))),N(INDEX(Platforms!$C$5:$C$14,MATCH(H1219,Lists!$A$2:$A$11,0)))*(K1219+IF(INDEX(Platforms!$E$5:$E$14,MATCH(H1219,Lists!$A$2:$A$11,0))="Yes",N(L1219),0))+N(INDEX(Platforms!$D$5:$D$14,MATCH(H1219,Lists!$A$2:$A$11,0)))))),""))</f>
        <v/>
      </c>
      <c r="R1219" s="16" t="str">
        <f t="shared" si="73"/>
        <v/>
      </c>
      <c r="S1219" s="17" t="str">
        <f t="shared" si="74"/>
        <v/>
      </c>
      <c r="T1219" s="18" t="str">
        <f t="shared" ca="1" si="75"/>
        <v/>
      </c>
    </row>
    <row r="1220" spans="1:20" x14ac:dyDescent="0.35">
      <c r="A1220" s="11"/>
      <c r="B1220" s="11"/>
      <c r="C1220" s="11"/>
      <c r="D1220" s="12"/>
      <c r="E1220" s="11"/>
      <c r="F1220" s="13"/>
      <c r="G1220" s="13"/>
      <c r="H1220" s="11"/>
      <c r="I1220" s="12"/>
      <c r="J1220" s="12"/>
      <c r="K1220" s="13"/>
      <c r="L1220" s="13"/>
      <c r="M1220" s="13"/>
      <c r="N1220" s="13"/>
      <c r="O1220" s="13"/>
      <c r="P1220" s="14" t="str">
        <f t="shared" si="72"/>
        <v/>
      </c>
      <c r="Q1220" s="15" t="str">
        <f>IF(OR(J1220="",H1220=""),"",IFERROR(IF(ISNUMBER(N1220),N1220,IF(K1220&lt;N(INDEX(Platforms!$G$5:$G$14,MATCH(H1220,Lists!$A$2:$A$11,0))),N(INDEX(Platforms!$H$5:$H$14,MATCH(H1220,Lists!$A$2:$A$11,0))),MAX(N(INDEX(Platforms!$F$5:$F$14,MATCH(H1220,Lists!$A$2:$A$11,0))),N(INDEX(Platforms!$C$5:$C$14,MATCH(H1220,Lists!$A$2:$A$11,0)))*(K1220+IF(INDEX(Platforms!$E$5:$E$14,MATCH(H1220,Lists!$A$2:$A$11,0))="Yes",N(L1220),0))+N(INDEX(Platforms!$D$5:$D$14,MATCH(H1220,Lists!$A$2:$A$11,0)))))),""))</f>
        <v/>
      </c>
      <c r="R1220" s="16" t="str">
        <f t="shared" si="73"/>
        <v/>
      </c>
      <c r="S1220" s="17" t="str">
        <f t="shared" si="74"/>
        <v/>
      </c>
      <c r="T1220" s="18" t="str">
        <f t="shared" ca="1" si="75"/>
        <v/>
      </c>
    </row>
    <row r="1221" spans="1:20" x14ac:dyDescent="0.35">
      <c r="A1221" s="11"/>
      <c r="B1221" s="11"/>
      <c r="C1221" s="11"/>
      <c r="D1221" s="12"/>
      <c r="E1221" s="11"/>
      <c r="F1221" s="13"/>
      <c r="G1221" s="13"/>
      <c r="H1221" s="11"/>
      <c r="I1221" s="12"/>
      <c r="J1221" s="12"/>
      <c r="K1221" s="13"/>
      <c r="L1221" s="13"/>
      <c r="M1221" s="13"/>
      <c r="N1221" s="13"/>
      <c r="O1221" s="13"/>
      <c r="P1221" s="14" t="str">
        <f t="shared" ref="P1221:P1284" si="76">IF(OR(B1221&lt;&gt;"",F1221&lt;&gt;"",H1221&lt;&gt;"",J1221&lt;&gt;"",K1221&lt;&gt;""),IF(J1221&lt;&gt;"","Sold",IF(I1221&lt;&gt;"","Listed","In stock")),"")</f>
        <v/>
      </c>
      <c r="Q1221" s="15" t="str">
        <f>IF(OR(J1221="",H1221=""),"",IFERROR(IF(ISNUMBER(N1221),N1221,IF(K1221&lt;N(INDEX(Platforms!$G$5:$G$14,MATCH(H1221,Lists!$A$2:$A$11,0))),N(INDEX(Platforms!$H$5:$H$14,MATCH(H1221,Lists!$A$2:$A$11,0))),MAX(N(INDEX(Platforms!$F$5:$F$14,MATCH(H1221,Lists!$A$2:$A$11,0))),N(INDEX(Platforms!$C$5:$C$14,MATCH(H1221,Lists!$A$2:$A$11,0)))*(K1221+IF(INDEX(Platforms!$E$5:$E$14,MATCH(H1221,Lists!$A$2:$A$11,0))="Yes",N(L1221),0))+N(INDEX(Platforms!$D$5:$D$14,MATCH(H1221,Lists!$A$2:$A$11,0)))))),""))</f>
        <v/>
      </c>
      <c r="R1221" s="16" t="str">
        <f t="shared" ref="R1221:R1284" si="77">IF(J1221="","",IFERROR(K1221+N(L1221)-N(O1221)-Q1221-N(M1221)-N(F1221)-N(G1221),""))</f>
        <v/>
      </c>
      <c r="S1221" s="17" t="str">
        <f t="shared" ref="S1221:S1284" si="78">IF(OR(R1221="",N(F1221)+N(G1221)=0),"",R1221/(N(F1221)+N(G1221)))</f>
        <v/>
      </c>
      <c r="T1221" s="18" t="str">
        <f t="shared" ref="T1221:T1284" ca="1" si="79">IFERROR(IF(ISNUMBER(D1221),IF(ISNUMBER(J1221),J1221,IF(J1221="",TODAY(),""))-D1221,""),"")</f>
        <v/>
      </c>
    </row>
    <row r="1222" spans="1:20" x14ac:dyDescent="0.35">
      <c r="A1222" s="11"/>
      <c r="B1222" s="11"/>
      <c r="C1222" s="11"/>
      <c r="D1222" s="12"/>
      <c r="E1222" s="11"/>
      <c r="F1222" s="13"/>
      <c r="G1222" s="13"/>
      <c r="H1222" s="11"/>
      <c r="I1222" s="12"/>
      <c r="J1222" s="12"/>
      <c r="K1222" s="13"/>
      <c r="L1222" s="13"/>
      <c r="M1222" s="13"/>
      <c r="N1222" s="13"/>
      <c r="O1222" s="13"/>
      <c r="P1222" s="14" t="str">
        <f t="shared" si="76"/>
        <v/>
      </c>
      <c r="Q1222" s="15" t="str">
        <f>IF(OR(J1222="",H1222=""),"",IFERROR(IF(ISNUMBER(N1222),N1222,IF(K1222&lt;N(INDEX(Platforms!$G$5:$G$14,MATCH(H1222,Lists!$A$2:$A$11,0))),N(INDEX(Platforms!$H$5:$H$14,MATCH(H1222,Lists!$A$2:$A$11,0))),MAX(N(INDEX(Platforms!$F$5:$F$14,MATCH(H1222,Lists!$A$2:$A$11,0))),N(INDEX(Platforms!$C$5:$C$14,MATCH(H1222,Lists!$A$2:$A$11,0)))*(K1222+IF(INDEX(Platforms!$E$5:$E$14,MATCH(H1222,Lists!$A$2:$A$11,0))="Yes",N(L1222),0))+N(INDEX(Platforms!$D$5:$D$14,MATCH(H1222,Lists!$A$2:$A$11,0)))))),""))</f>
        <v/>
      </c>
      <c r="R1222" s="16" t="str">
        <f t="shared" si="77"/>
        <v/>
      </c>
      <c r="S1222" s="17" t="str">
        <f t="shared" si="78"/>
        <v/>
      </c>
      <c r="T1222" s="18" t="str">
        <f t="shared" ca="1" si="79"/>
        <v/>
      </c>
    </row>
    <row r="1223" spans="1:20" x14ac:dyDescent="0.35">
      <c r="A1223" s="11"/>
      <c r="B1223" s="11"/>
      <c r="C1223" s="11"/>
      <c r="D1223" s="12"/>
      <c r="E1223" s="11"/>
      <c r="F1223" s="13"/>
      <c r="G1223" s="13"/>
      <c r="H1223" s="11"/>
      <c r="I1223" s="12"/>
      <c r="J1223" s="12"/>
      <c r="K1223" s="13"/>
      <c r="L1223" s="13"/>
      <c r="M1223" s="13"/>
      <c r="N1223" s="13"/>
      <c r="O1223" s="13"/>
      <c r="P1223" s="14" t="str">
        <f t="shared" si="76"/>
        <v/>
      </c>
      <c r="Q1223" s="15" t="str">
        <f>IF(OR(J1223="",H1223=""),"",IFERROR(IF(ISNUMBER(N1223),N1223,IF(K1223&lt;N(INDEX(Platforms!$G$5:$G$14,MATCH(H1223,Lists!$A$2:$A$11,0))),N(INDEX(Platforms!$H$5:$H$14,MATCH(H1223,Lists!$A$2:$A$11,0))),MAX(N(INDEX(Platforms!$F$5:$F$14,MATCH(H1223,Lists!$A$2:$A$11,0))),N(INDEX(Platforms!$C$5:$C$14,MATCH(H1223,Lists!$A$2:$A$11,0)))*(K1223+IF(INDEX(Platforms!$E$5:$E$14,MATCH(H1223,Lists!$A$2:$A$11,0))="Yes",N(L1223),0))+N(INDEX(Platforms!$D$5:$D$14,MATCH(H1223,Lists!$A$2:$A$11,0)))))),""))</f>
        <v/>
      </c>
      <c r="R1223" s="16" t="str">
        <f t="shared" si="77"/>
        <v/>
      </c>
      <c r="S1223" s="17" t="str">
        <f t="shared" si="78"/>
        <v/>
      </c>
      <c r="T1223" s="18" t="str">
        <f t="shared" ca="1" si="79"/>
        <v/>
      </c>
    </row>
    <row r="1224" spans="1:20" x14ac:dyDescent="0.35">
      <c r="A1224" s="11"/>
      <c r="B1224" s="11"/>
      <c r="C1224" s="11"/>
      <c r="D1224" s="12"/>
      <c r="E1224" s="11"/>
      <c r="F1224" s="13"/>
      <c r="G1224" s="13"/>
      <c r="H1224" s="11"/>
      <c r="I1224" s="12"/>
      <c r="J1224" s="12"/>
      <c r="K1224" s="13"/>
      <c r="L1224" s="13"/>
      <c r="M1224" s="13"/>
      <c r="N1224" s="13"/>
      <c r="O1224" s="13"/>
      <c r="P1224" s="14" t="str">
        <f t="shared" si="76"/>
        <v/>
      </c>
      <c r="Q1224" s="15" t="str">
        <f>IF(OR(J1224="",H1224=""),"",IFERROR(IF(ISNUMBER(N1224),N1224,IF(K1224&lt;N(INDEX(Platforms!$G$5:$G$14,MATCH(H1224,Lists!$A$2:$A$11,0))),N(INDEX(Platforms!$H$5:$H$14,MATCH(H1224,Lists!$A$2:$A$11,0))),MAX(N(INDEX(Platforms!$F$5:$F$14,MATCH(H1224,Lists!$A$2:$A$11,0))),N(INDEX(Platforms!$C$5:$C$14,MATCH(H1224,Lists!$A$2:$A$11,0)))*(K1224+IF(INDEX(Platforms!$E$5:$E$14,MATCH(H1224,Lists!$A$2:$A$11,0))="Yes",N(L1224),0))+N(INDEX(Platforms!$D$5:$D$14,MATCH(H1224,Lists!$A$2:$A$11,0)))))),""))</f>
        <v/>
      </c>
      <c r="R1224" s="16" t="str">
        <f t="shared" si="77"/>
        <v/>
      </c>
      <c r="S1224" s="17" t="str">
        <f t="shared" si="78"/>
        <v/>
      </c>
      <c r="T1224" s="18" t="str">
        <f t="shared" ca="1" si="79"/>
        <v/>
      </c>
    </row>
    <row r="1225" spans="1:20" x14ac:dyDescent="0.35">
      <c r="A1225" s="11"/>
      <c r="B1225" s="11"/>
      <c r="C1225" s="11"/>
      <c r="D1225" s="12"/>
      <c r="E1225" s="11"/>
      <c r="F1225" s="13"/>
      <c r="G1225" s="13"/>
      <c r="H1225" s="11"/>
      <c r="I1225" s="12"/>
      <c r="J1225" s="12"/>
      <c r="K1225" s="13"/>
      <c r="L1225" s="13"/>
      <c r="M1225" s="13"/>
      <c r="N1225" s="13"/>
      <c r="O1225" s="13"/>
      <c r="P1225" s="14" t="str">
        <f t="shared" si="76"/>
        <v/>
      </c>
      <c r="Q1225" s="15" t="str">
        <f>IF(OR(J1225="",H1225=""),"",IFERROR(IF(ISNUMBER(N1225),N1225,IF(K1225&lt;N(INDEX(Platforms!$G$5:$G$14,MATCH(H1225,Lists!$A$2:$A$11,0))),N(INDEX(Platforms!$H$5:$H$14,MATCH(H1225,Lists!$A$2:$A$11,0))),MAX(N(INDEX(Platforms!$F$5:$F$14,MATCH(H1225,Lists!$A$2:$A$11,0))),N(INDEX(Platforms!$C$5:$C$14,MATCH(H1225,Lists!$A$2:$A$11,0)))*(K1225+IF(INDEX(Platforms!$E$5:$E$14,MATCH(H1225,Lists!$A$2:$A$11,0))="Yes",N(L1225),0))+N(INDEX(Platforms!$D$5:$D$14,MATCH(H1225,Lists!$A$2:$A$11,0)))))),""))</f>
        <v/>
      </c>
      <c r="R1225" s="16" t="str">
        <f t="shared" si="77"/>
        <v/>
      </c>
      <c r="S1225" s="17" t="str">
        <f t="shared" si="78"/>
        <v/>
      </c>
      <c r="T1225" s="18" t="str">
        <f t="shared" ca="1" si="79"/>
        <v/>
      </c>
    </row>
    <row r="1226" spans="1:20" x14ac:dyDescent="0.35">
      <c r="A1226" s="11"/>
      <c r="B1226" s="11"/>
      <c r="C1226" s="11"/>
      <c r="D1226" s="12"/>
      <c r="E1226" s="11"/>
      <c r="F1226" s="13"/>
      <c r="G1226" s="13"/>
      <c r="H1226" s="11"/>
      <c r="I1226" s="12"/>
      <c r="J1226" s="12"/>
      <c r="K1226" s="13"/>
      <c r="L1226" s="13"/>
      <c r="M1226" s="13"/>
      <c r="N1226" s="13"/>
      <c r="O1226" s="13"/>
      <c r="P1226" s="14" t="str">
        <f t="shared" si="76"/>
        <v/>
      </c>
      <c r="Q1226" s="15" t="str">
        <f>IF(OR(J1226="",H1226=""),"",IFERROR(IF(ISNUMBER(N1226),N1226,IF(K1226&lt;N(INDEX(Platforms!$G$5:$G$14,MATCH(H1226,Lists!$A$2:$A$11,0))),N(INDEX(Platforms!$H$5:$H$14,MATCH(H1226,Lists!$A$2:$A$11,0))),MAX(N(INDEX(Platforms!$F$5:$F$14,MATCH(H1226,Lists!$A$2:$A$11,0))),N(INDEX(Platforms!$C$5:$C$14,MATCH(H1226,Lists!$A$2:$A$11,0)))*(K1226+IF(INDEX(Platforms!$E$5:$E$14,MATCH(H1226,Lists!$A$2:$A$11,0))="Yes",N(L1226),0))+N(INDEX(Platforms!$D$5:$D$14,MATCH(H1226,Lists!$A$2:$A$11,0)))))),""))</f>
        <v/>
      </c>
      <c r="R1226" s="16" t="str">
        <f t="shared" si="77"/>
        <v/>
      </c>
      <c r="S1226" s="17" t="str">
        <f t="shared" si="78"/>
        <v/>
      </c>
      <c r="T1226" s="18" t="str">
        <f t="shared" ca="1" si="79"/>
        <v/>
      </c>
    </row>
    <row r="1227" spans="1:20" x14ac:dyDescent="0.35">
      <c r="A1227" s="11"/>
      <c r="B1227" s="11"/>
      <c r="C1227" s="11"/>
      <c r="D1227" s="12"/>
      <c r="E1227" s="11"/>
      <c r="F1227" s="13"/>
      <c r="G1227" s="13"/>
      <c r="H1227" s="11"/>
      <c r="I1227" s="12"/>
      <c r="J1227" s="12"/>
      <c r="K1227" s="13"/>
      <c r="L1227" s="13"/>
      <c r="M1227" s="13"/>
      <c r="N1227" s="13"/>
      <c r="O1227" s="13"/>
      <c r="P1227" s="14" t="str">
        <f t="shared" si="76"/>
        <v/>
      </c>
      <c r="Q1227" s="15" t="str">
        <f>IF(OR(J1227="",H1227=""),"",IFERROR(IF(ISNUMBER(N1227),N1227,IF(K1227&lt;N(INDEX(Platforms!$G$5:$G$14,MATCH(H1227,Lists!$A$2:$A$11,0))),N(INDEX(Platforms!$H$5:$H$14,MATCH(H1227,Lists!$A$2:$A$11,0))),MAX(N(INDEX(Platforms!$F$5:$F$14,MATCH(H1227,Lists!$A$2:$A$11,0))),N(INDEX(Platforms!$C$5:$C$14,MATCH(H1227,Lists!$A$2:$A$11,0)))*(K1227+IF(INDEX(Platforms!$E$5:$E$14,MATCH(H1227,Lists!$A$2:$A$11,0))="Yes",N(L1227),0))+N(INDEX(Platforms!$D$5:$D$14,MATCH(H1227,Lists!$A$2:$A$11,0)))))),""))</f>
        <v/>
      </c>
      <c r="R1227" s="16" t="str">
        <f t="shared" si="77"/>
        <v/>
      </c>
      <c r="S1227" s="17" t="str">
        <f t="shared" si="78"/>
        <v/>
      </c>
      <c r="T1227" s="18" t="str">
        <f t="shared" ca="1" si="79"/>
        <v/>
      </c>
    </row>
    <row r="1228" spans="1:20" x14ac:dyDescent="0.35">
      <c r="A1228" s="11"/>
      <c r="B1228" s="11"/>
      <c r="C1228" s="11"/>
      <c r="D1228" s="12"/>
      <c r="E1228" s="11"/>
      <c r="F1228" s="13"/>
      <c r="G1228" s="13"/>
      <c r="H1228" s="11"/>
      <c r="I1228" s="12"/>
      <c r="J1228" s="12"/>
      <c r="K1228" s="13"/>
      <c r="L1228" s="13"/>
      <c r="M1228" s="13"/>
      <c r="N1228" s="13"/>
      <c r="O1228" s="13"/>
      <c r="P1228" s="14" t="str">
        <f t="shared" si="76"/>
        <v/>
      </c>
      <c r="Q1228" s="15" t="str">
        <f>IF(OR(J1228="",H1228=""),"",IFERROR(IF(ISNUMBER(N1228),N1228,IF(K1228&lt;N(INDEX(Platforms!$G$5:$G$14,MATCH(H1228,Lists!$A$2:$A$11,0))),N(INDEX(Platforms!$H$5:$H$14,MATCH(H1228,Lists!$A$2:$A$11,0))),MAX(N(INDEX(Platforms!$F$5:$F$14,MATCH(H1228,Lists!$A$2:$A$11,0))),N(INDEX(Platforms!$C$5:$C$14,MATCH(H1228,Lists!$A$2:$A$11,0)))*(K1228+IF(INDEX(Platforms!$E$5:$E$14,MATCH(H1228,Lists!$A$2:$A$11,0))="Yes",N(L1228),0))+N(INDEX(Platforms!$D$5:$D$14,MATCH(H1228,Lists!$A$2:$A$11,0)))))),""))</f>
        <v/>
      </c>
      <c r="R1228" s="16" t="str">
        <f t="shared" si="77"/>
        <v/>
      </c>
      <c r="S1228" s="17" t="str">
        <f t="shared" si="78"/>
        <v/>
      </c>
      <c r="T1228" s="18" t="str">
        <f t="shared" ca="1" si="79"/>
        <v/>
      </c>
    </row>
    <row r="1229" spans="1:20" x14ac:dyDescent="0.35">
      <c r="A1229" s="11"/>
      <c r="B1229" s="11"/>
      <c r="C1229" s="11"/>
      <c r="D1229" s="12"/>
      <c r="E1229" s="11"/>
      <c r="F1229" s="13"/>
      <c r="G1229" s="13"/>
      <c r="H1229" s="11"/>
      <c r="I1229" s="12"/>
      <c r="J1229" s="12"/>
      <c r="K1229" s="13"/>
      <c r="L1229" s="13"/>
      <c r="M1229" s="13"/>
      <c r="N1229" s="13"/>
      <c r="O1229" s="13"/>
      <c r="P1229" s="14" t="str">
        <f t="shared" si="76"/>
        <v/>
      </c>
      <c r="Q1229" s="15" t="str">
        <f>IF(OR(J1229="",H1229=""),"",IFERROR(IF(ISNUMBER(N1229),N1229,IF(K1229&lt;N(INDEX(Platforms!$G$5:$G$14,MATCH(H1229,Lists!$A$2:$A$11,0))),N(INDEX(Platforms!$H$5:$H$14,MATCH(H1229,Lists!$A$2:$A$11,0))),MAX(N(INDEX(Platforms!$F$5:$F$14,MATCH(H1229,Lists!$A$2:$A$11,0))),N(INDEX(Platforms!$C$5:$C$14,MATCH(H1229,Lists!$A$2:$A$11,0)))*(K1229+IF(INDEX(Platforms!$E$5:$E$14,MATCH(H1229,Lists!$A$2:$A$11,0))="Yes",N(L1229),0))+N(INDEX(Platforms!$D$5:$D$14,MATCH(H1229,Lists!$A$2:$A$11,0)))))),""))</f>
        <v/>
      </c>
      <c r="R1229" s="16" t="str">
        <f t="shared" si="77"/>
        <v/>
      </c>
      <c r="S1229" s="17" t="str">
        <f t="shared" si="78"/>
        <v/>
      </c>
      <c r="T1229" s="18" t="str">
        <f t="shared" ca="1" si="79"/>
        <v/>
      </c>
    </row>
    <row r="1230" spans="1:20" x14ac:dyDescent="0.35">
      <c r="A1230" s="11"/>
      <c r="B1230" s="11"/>
      <c r="C1230" s="11"/>
      <c r="D1230" s="12"/>
      <c r="E1230" s="11"/>
      <c r="F1230" s="13"/>
      <c r="G1230" s="13"/>
      <c r="H1230" s="11"/>
      <c r="I1230" s="12"/>
      <c r="J1230" s="12"/>
      <c r="K1230" s="13"/>
      <c r="L1230" s="13"/>
      <c r="M1230" s="13"/>
      <c r="N1230" s="13"/>
      <c r="O1230" s="13"/>
      <c r="P1230" s="14" t="str">
        <f t="shared" si="76"/>
        <v/>
      </c>
      <c r="Q1230" s="15" t="str">
        <f>IF(OR(J1230="",H1230=""),"",IFERROR(IF(ISNUMBER(N1230),N1230,IF(K1230&lt;N(INDEX(Platforms!$G$5:$G$14,MATCH(H1230,Lists!$A$2:$A$11,0))),N(INDEX(Platforms!$H$5:$H$14,MATCH(H1230,Lists!$A$2:$A$11,0))),MAX(N(INDEX(Platforms!$F$5:$F$14,MATCH(H1230,Lists!$A$2:$A$11,0))),N(INDEX(Platforms!$C$5:$C$14,MATCH(H1230,Lists!$A$2:$A$11,0)))*(K1230+IF(INDEX(Platforms!$E$5:$E$14,MATCH(H1230,Lists!$A$2:$A$11,0))="Yes",N(L1230),0))+N(INDEX(Platforms!$D$5:$D$14,MATCH(H1230,Lists!$A$2:$A$11,0)))))),""))</f>
        <v/>
      </c>
      <c r="R1230" s="16" t="str">
        <f t="shared" si="77"/>
        <v/>
      </c>
      <c r="S1230" s="17" t="str">
        <f t="shared" si="78"/>
        <v/>
      </c>
      <c r="T1230" s="18" t="str">
        <f t="shared" ca="1" si="79"/>
        <v/>
      </c>
    </row>
    <row r="1231" spans="1:20" x14ac:dyDescent="0.35">
      <c r="A1231" s="11"/>
      <c r="B1231" s="11"/>
      <c r="C1231" s="11"/>
      <c r="D1231" s="12"/>
      <c r="E1231" s="11"/>
      <c r="F1231" s="13"/>
      <c r="G1231" s="13"/>
      <c r="H1231" s="11"/>
      <c r="I1231" s="12"/>
      <c r="J1231" s="12"/>
      <c r="K1231" s="13"/>
      <c r="L1231" s="13"/>
      <c r="M1231" s="13"/>
      <c r="N1231" s="13"/>
      <c r="O1231" s="13"/>
      <c r="P1231" s="14" t="str">
        <f t="shared" si="76"/>
        <v/>
      </c>
      <c r="Q1231" s="15" t="str">
        <f>IF(OR(J1231="",H1231=""),"",IFERROR(IF(ISNUMBER(N1231),N1231,IF(K1231&lt;N(INDEX(Platforms!$G$5:$G$14,MATCH(H1231,Lists!$A$2:$A$11,0))),N(INDEX(Platforms!$H$5:$H$14,MATCH(H1231,Lists!$A$2:$A$11,0))),MAX(N(INDEX(Platforms!$F$5:$F$14,MATCH(H1231,Lists!$A$2:$A$11,0))),N(INDEX(Platforms!$C$5:$C$14,MATCH(H1231,Lists!$A$2:$A$11,0)))*(K1231+IF(INDEX(Platforms!$E$5:$E$14,MATCH(H1231,Lists!$A$2:$A$11,0))="Yes",N(L1231),0))+N(INDEX(Platforms!$D$5:$D$14,MATCH(H1231,Lists!$A$2:$A$11,0)))))),""))</f>
        <v/>
      </c>
      <c r="R1231" s="16" t="str">
        <f t="shared" si="77"/>
        <v/>
      </c>
      <c r="S1231" s="17" t="str">
        <f t="shared" si="78"/>
        <v/>
      </c>
      <c r="T1231" s="18" t="str">
        <f t="shared" ca="1" si="79"/>
        <v/>
      </c>
    </row>
    <row r="1232" spans="1:20" x14ac:dyDescent="0.35">
      <c r="A1232" s="11"/>
      <c r="B1232" s="11"/>
      <c r="C1232" s="11"/>
      <c r="D1232" s="12"/>
      <c r="E1232" s="11"/>
      <c r="F1232" s="13"/>
      <c r="G1232" s="13"/>
      <c r="H1232" s="11"/>
      <c r="I1232" s="12"/>
      <c r="J1232" s="12"/>
      <c r="K1232" s="13"/>
      <c r="L1232" s="13"/>
      <c r="M1232" s="13"/>
      <c r="N1232" s="13"/>
      <c r="O1232" s="13"/>
      <c r="P1232" s="14" t="str">
        <f t="shared" si="76"/>
        <v/>
      </c>
      <c r="Q1232" s="15" t="str">
        <f>IF(OR(J1232="",H1232=""),"",IFERROR(IF(ISNUMBER(N1232),N1232,IF(K1232&lt;N(INDEX(Platforms!$G$5:$G$14,MATCH(H1232,Lists!$A$2:$A$11,0))),N(INDEX(Platforms!$H$5:$H$14,MATCH(H1232,Lists!$A$2:$A$11,0))),MAX(N(INDEX(Platforms!$F$5:$F$14,MATCH(H1232,Lists!$A$2:$A$11,0))),N(INDEX(Platforms!$C$5:$C$14,MATCH(H1232,Lists!$A$2:$A$11,0)))*(K1232+IF(INDEX(Platforms!$E$5:$E$14,MATCH(H1232,Lists!$A$2:$A$11,0))="Yes",N(L1232),0))+N(INDEX(Platforms!$D$5:$D$14,MATCH(H1232,Lists!$A$2:$A$11,0)))))),""))</f>
        <v/>
      </c>
      <c r="R1232" s="16" t="str">
        <f t="shared" si="77"/>
        <v/>
      </c>
      <c r="S1232" s="17" t="str">
        <f t="shared" si="78"/>
        <v/>
      </c>
      <c r="T1232" s="18" t="str">
        <f t="shared" ca="1" si="79"/>
        <v/>
      </c>
    </row>
    <row r="1233" spans="1:20" x14ac:dyDescent="0.35">
      <c r="A1233" s="11"/>
      <c r="B1233" s="11"/>
      <c r="C1233" s="11"/>
      <c r="D1233" s="12"/>
      <c r="E1233" s="11"/>
      <c r="F1233" s="13"/>
      <c r="G1233" s="13"/>
      <c r="H1233" s="11"/>
      <c r="I1233" s="12"/>
      <c r="J1233" s="12"/>
      <c r="K1233" s="13"/>
      <c r="L1233" s="13"/>
      <c r="M1233" s="13"/>
      <c r="N1233" s="13"/>
      <c r="O1233" s="13"/>
      <c r="P1233" s="14" t="str">
        <f t="shared" si="76"/>
        <v/>
      </c>
      <c r="Q1233" s="15" t="str">
        <f>IF(OR(J1233="",H1233=""),"",IFERROR(IF(ISNUMBER(N1233),N1233,IF(K1233&lt;N(INDEX(Platforms!$G$5:$G$14,MATCH(H1233,Lists!$A$2:$A$11,0))),N(INDEX(Platforms!$H$5:$H$14,MATCH(H1233,Lists!$A$2:$A$11,0))),MAX(N(INDEX(Platforms!$F$5:$F$14,MATCH(H1233,Lists!$A$2:$A$11,0))),N(INDEX(Platforms!$C$5:$C$14,MATCH(H1233,Lists!$A$2:$A$11,0)))*(K1233+IF(INDEX(Platforms!$E$5:$E$14,MATCH(H1233,Lists!$A$2:$A$11,0))="Yes",N(L1233),0))+N(INDEX(Platforms!$D$5:$D$14,MATCH(H1233,Lists!$A$2:$A$11,0)))))),""))</f>
        <v/>
      </c>
      <c r="R1233" s="16" t="str">
        <f t="shared" si="77"/>
        <v/>
      </c>
      <c r="S1233" s="17" t="str">
        <f t="shared" si="78"/>
        <v/>
      </c>
      <c r="T1233" s="18" t="str">
        <f t="shared" ca="1" si="79"/>
        <v/>
      </c>
    </row>
    <row r="1234" spans="1:20" x14ac:dyDescent="0.35">
      <c r="A1234" s="11"/>
      <c r="B1234" s="11"/>
      <c r="C1234" s="11"/>
      <c r="D1234" s="12"/>
      <c r="E1234" s="11"/>
      <c r="F1234" s="13"/>
      <c r="G1234" s="13"/>
      <c r="H1234" s="11"/>
      <c r="I1234" s="12"/>
      <c r="J1234" s="12"/>
      <c r="K1234" s="13"/>
      <c r="L1234" s="13"/>
      <c r="M1234" s="13"/>
      <c r="N1234" s="13"/>
      <c r="O1234" s="13"/>
      <c r="P1234" s="14" t="str">
        <f t="shared" si="76"/>
        <v/>
      </c>
      <c r="Q1234" s="15" t="str">
        <f>IF(OR(J1234="",H1234=""),"",IFERROR(IF(ISNUMBER(N1234),N1234,IF(K1234&lt;N(INDEX(Platforms!$G$5:$G$14,MATCH(H1234,Lists!$A$2:$A$11,0))),N(INDEX(Platforms!$H$5:$H$14,MATCH(H1234,Lists!$A$2:$A$11,0))),MAX(N(INDEX(Platforms!$F$5:$F$14,MATCH(H1234,Lists!$A$2:$A$11,0))),N(INDEX(Platforms!$C$5:$C$14,MATCH(H1234,Lists!$A$2:$A$11,0)))*(K1234+IF(INDEX(Platforms!$E$5:$E$14,MATCH(H1234,Lists!$A$2:$A$11,0))="Yes",N(L1234),0))+N(INDEX(Platforms!$D$5:$D$14,MATCH(H1234,Lists!$A$2:$A$11,0)))))),""))</f>
        <v/>
      </c>
      <c r="R1234" s="16" t="str">
        <f t="shared" si="77"/>
        <v/>
      </c>
      <c r="S1234" s="17" t="str">
        <f t="shared" si="78"/>
        <v/>
      </c>
      <c r="T1234" s="18" t="str">
        <f t="shared" ca="1" si="79"/>
        <v/>
      </c>
    </row>
    <row r="1235" spans="1:20" x14ac:dyDescent="0.35">
      <c r="A1235" s="11"/>
      <c r="B1235" s="11"/>
      <c r="C1235" s="11"/>
      <c r="D1235" s="12"/>
      <c r="E1235" s="11"/>
      <c r="F1235" s="13"/>
      <c r="G1235" s="13"/>
      <c r="H1235" s="11"/>
      <c r="I1235" s="12"/>
      <c r="J1235" s="12"/>
      <c r="K1235" s="13"/>
      <c r="L1235" s="13"/>
      <c r="M1235" s="13"/>
      <c r="N1235" s="13"/>
      <c r="O1235" s="13"/>
      <c r="P1235" s="14" t="str">
        <f t="shared" si="76"/>
        <v/>
      </c>
      <c r="Q1235" s="15" t="str">
        <f>IF(OR(J1235="",H1235=""),"",IFERROR(IF(ISNUMBER(N1235),N1235,IF(K1235&lt;N(INDEX(Platforms!$G$5:$G$14,MATCH(H1235,Lists!$A$2:$A$11,0))),N(INDEX(Platforms!$H$5:$H$14,MATCH(H1235,Lists!$A$2:$A$11,0))),MAX(N(INDEX(Platforms!$F$5:$F$14,MATCH(H1235,Lists!$A$2:$A$11,0))),N(INDEX(Platforms!$C$5:$C$14,MATCH(H1235,Lists!$A$2:$A$11,0)))*(K1235+IF(INDEX(Platforms!$E$5:$E$14,MATCH(H1235,Lists!$A$2:$A$11,0))="Yes",N(L1235),0))+N(INDEX(Platforms!$D$5:$D$14,MATCH(H1235,Lists!$A$2:$A$11,0)))))),""))</f>
        <v/>
      </c>
      <c r="R1235" s="16" t="str">
        <f t="shared" si="77"/>
        <v/>
      </c>
      <c r="S1235" s="17" t="str">
        <f t="shared" si="78"/>
        <v/>
      </c>
      <c r="T1235" s="18" t="str">
        <f t="shared" ca="1" si="79"/>
        <v/>
      </c>
    </row>
    <row r="1236" spans="1:20" x14ac:dyDescent="0.35">
      <c r="A1236" s="11"/>
      <c r="B1236" s="11"/>
      <c r="C1236" s="11"/>
      <c r="D1236" s="12"/>
      <c r="E1236" s="11"/>
      <c r="F1236" s="13"/>
      <c r="G1236" s="13"/>
      <c r="H1236" s="11"/>
      <c r="I1236" s="12"/>
      <c r="J1236" s="12"/>
      <c r="K1236" s="13"/>
      <c r="L1236" s="13"/>
      <c r="M1236" s="13"/>
      <c r="N1236" s="13"/>
      <c r="O1236" s="13"/>
      <c r="P1236" s="14" t="str">
        <f t="shared" si="76"/>
        <v/>
      </c>
      <c r="Q1236" s="15" t="str">
        <f>IF(OR(J1236="",H1236=""),"",IFERROR(IF(ISNUMBER(N1236),N1236,IF(K1236&lt;N(INDEX(Platforms!$G$5:$G$14,MATCH(H1236,Lists!$A$2:$A$11,0))),N(INDEX(Platforms!$H$5:$H$14,MATCH(H1236,Lists!$A$2:$A$11,0))),MAX(N(INDEX(Platforms!$F$5:$F$14,MATCH(H1236,Lists!$A$2:$A$11,0))),N(INDEX(Platforms!$C$5:$C$14,MATCH(H1236,Lists!$A$2:$A$11,0)))*(K1236+IF(INDEX(Platforms!$E$5:$E$14,MATCH(H1236,Lists!$A$2:$A$11,0))="Yes",N(L1236),0))+N(INDEX(Platforms!$D$5:$D$14,MATCH(H1236,Lists!$A$2:$A$11,0)))))),""))</f>
        <v/>
      </c>
      <c r="R1236" s="16" t="str">
        <f t="shared" si="77"/>
        <v/>
      </c>
      <c r="S1236" s="17" t="str">
        <f t="shared" si="78"/>
        <v/>
      </c>
      <c r="T1236" s="18" t="str">
        <f t="shared" ca="1" si="79"/>
        <v/>
      </c>
    </row>
    <row r="1237" spans="1:20" x14ac:dyDescent="0.35">
      <c r="A1237" s="11"/>
      <c r="B1237" s="11"/>
      <c r="C1237" s="11"/>
      <c r="D1237" s="12"/>
      <c r="E1237" s="11"/>
      <c r="F1237" s="13"/>
      <c r="G1237" s="13"/>
      <c r="H1237" s="11"/>
      <c r="I1237" s="12"/>
      <c r="J1237" s="12"/>
      <c r="K1237" s="13"/>
      <c r="L1237" s="13"/>
      <c r="M1237" s="13"/>
      <c r="N1237" s="13"/>
      <c r="O1237" s="13"/>
      <c r="P1237" s="14" t="str">
        <f t="shared" si="76"/>
        <v/>
      </c>
      <c r="Q1237" s="15" t="str">
        <f>IF(OR(J1237="",H1237=""),"",IFERROR(IF(ISNUMBER(N1237),N1237,IF(K1237&lt;N(INDEX(Platforms!$G$5:$G$14,MATCH(H1237,Lists!$A$2:$A$11,0))),N(INDEX(Platforms!$H$5:$H$14,MATCH(H1237,Lists!$A$2:$A$11,0))),MAX(N(INDEX(Platforms!$F$5:$F$14,MATCH(H1237,Lists!$A$2:$A$11,0))),N(INDEX(Platforms!$C$5:$C$14,MATCH(H1237,Lists!$A$2:$A$11,0)))*(K1237+IF(INDEX(Platforms!$E$5:$E$14,MATCH(H1237,Lists!$A$2:$A$11,0))="Yes",N(L1237),0))+N(INDEX(Platforms!$D$5:$D$14,MATCH(H1237,Lists!$A$2:$A$11,0)))))),""))</f>
        <v/>
      </c>
      <c r="R1237" s="16" t="str">
        <f t="shared" si="77"/>
        <v/>
      </c>
      <c r="S1237" s="17" t="str">
        <f t="shared" si="78"/>
        <v/>
      </c>
      <c r="T1237" s="18" t="str">
        <f t="shared" ca="1" si="79"/>
        <v/>
      </c>
    </row>
    <row r="1238" spans="1:20" x14ac:dyDescent="0.35">
      <c r="A1238" s="11"/>
      <c r="B1238" s="11"/>
      <c r="C1238" s="11"/>
      <c r="D1238" s="12"/>
      <c r="E1238" s="11"/>
      <c r="F1238" s="13"/>
      <c r="G1238" s="13"/>
      <c r="H1238" s="11"/>
      <c r="I1238" s="12"/>
      <c r="J1238" s="12"/>
      <c r="K1238" s="13"/>
      <c r="L1238" s="13"/>
      <c r="M1238" s="13"/>
      <c r="N1238" s="13"/>
      <c r="O1238" s="13"/>
      <c r="P1238" s="14" t="str">
        <f t="shared" si="76"/>
        <v/>
      </c>
      <c r="Q1238" s="15" t="str">
        <f>IF(OR(J1238="",H1238=""),"",IFERROR(IF(ISNUMBER(N1238),N1238,IF(K1238&lt;N(INDEX(Platforms!$G$5:$G$14,MATCH(H1238,Lists!$A$2:$A$11,0))),N(INDEX(Platforms!$H$5:$H$14,MATCH(H1238,Lists!$A$2:$A$11,0))),MAX(N(INDEX(Platforms!$F$5:$F$14,MATCH(H1238,Lists!$A$2:$A$11,0))),N(INDEX(Platforms!$C$5:$C$14,MATCH(H1238,Lists!$A$2:$A$11,0)))*(K1238+IF(INDEX(Platforms!$E$5:$E$14,MATCH(H1238,Lists!$A$2:$A$11,0))="Yes",N(L1238),0))+N(INDEX(Platforms!$D$5:$D$14,MATCH(H1238,Lists!$A$2:$A$11,0)))))),""))</f>
        <v/>
      </c>
      <c r="R1238" s="16" t="str">
        <f t="shared" si="77"/>
        <v/>
      </c>
      <c r="S1238" s="17" t="str">
        <f t="shared" si="78"/>
        <v/>
      </c>
      <c r="T1238" s="18" t="str">
        <f t="shared" ca="1" si="79"/>
        <v/>
      </c>
    </row>
    <row r="1239" spans="1:20" x14ac:dyDescent="0.35">
      <c r="A1239" s="11"/>
      <c r="B1239" s="11"/>
      <c r="C1239" s="11"/>
      <c r="D1239" s="12"/>
      <c r="E1239" s="11"/>
      <c r="F1239" s="13"/>
      <c r="G1239" s="13"/>
      <c r="H1239" s="11"/>
      <c r="I1239" s="12"/>
      <c r="J1239" s="12"/>
      <c r="K1239" s="13"/>
      <c r="L1239" s="13"/>
      <c r="M1239" s="13"/>
      <c r="N1239" s="13"/>
      <c r="O1239" s="13"/>
      <c r="P1239" s="14" t="str">
        <f t="shared" si="76"/>
        <v/>
      </c>
      <c r="Q1239" s="15" t="str">
        <f>IF(OR(J1239="",H1239=""),"",IFERROR(IF(ISNUMBER(N1239),N1239,IF(K1239&lt;N(INDEX(Platforms!$G$5:$G$14,MATCH(H1239,Lists!$A$2:$A$11,0))),N(INDEX(Platforms!$H$5:$H$14,MATCH(H1239,Lists!$A$2:$A$11,0))),MAX(N(INDEX(Platforms!$F$5:$F$14,MATCH(H1239,Lists!$A$2:$A$11,0))),N(INDEX(Platforms!$C$5:$C$14,MATCH(H1239,Lists!$A$2:$A$11,0)))*(K1239+IF(INDEX(Platforms!$E$5:$E$14,MATCH(H1239,Lists!$A$2:$A$11,0))="Yes",N(L1239),0))+N(INDEX(Platforms!$D$5:$D$14,MATCH(H1239,Lists!$A$2:$A$11,0)))))),""))</f>
        <v/>
      </c>
      <c r="R1239" s="16" t="str">
        <f t="shared" si="77"/>
        <v/>
      </c>
      <c r="S1239" s="17" t="str">
        <f t="shared" si="78"/>
        <v/>
      </c>
      <c r="T1239" s="18" t="str">
        <f t="shared" ca="1" si="79"/>
        <v/>
      </c>
    </row>
    <row r="1240" spans="1:20" x14ac:dyDescent="0.35">
      <c r="A1240" s="11"/>
      <c r="B1240" s="11"/>
      <c r="C1240" s="11"/>
      <c r="D1240" s="12"/>
      <c r="E1240" s="11"/>
      <c r="F1240" s="13"/>
      <c r="G1240" s="13"/>
      <c r="H1240" s="11"/>
      <c r="I1240" s="12"/>
      <c r="J1240" s="12"/>
      <c r="K1240" s="13"/>
      <c r="L1240" s="13"/>
      <c r="M1240" s="13"/>
      <c r="N1240" s="13"/>
      <c r="O1240" s="13"/>
      <c r="P1240" s="14" t="str">
        <f t="shared" si="76"/>
        <v/>
      </c>
      <c r="Q1240" s="15" t="str">
        <f>IF(OR(J1240="",H1240=""),"",IFERROR(IF(ISNUMBER(N1240),N1240,IF(K1240&lt;N(INDEX(Platforms!$G$5:$G$14,MATCH(H1240,Lists!$A$2:$A$11,0))),N(INDEX(Platforms!$H$5:$H$14,MATCH(H1240,Lists!$A$2:$A$11,0))),MAX(N(INDEX(Platforms!$F$5:$F$14,MATCH(H1240,Lists!$A$2:$A$11,0))),N(INDEX(Platforms!$C$5:$C$14,MATCH(H1240,Lists!$A$2:$A$11,0)))*(K1240+IF(INDEX(Platforms!$E$5:$E$14,MATCH(H1240,Lists!$A$2:$A$11,0))="Yes",N(L1240),0))+N(INDEX(Platforms!$D$5:$D$14,MATCH(H1240,Lists!$A$2:$A$11,0)))))),""))</f>
        <v/>
      </c>
      <c r="R1240" s="16" t="str">
        <f t="shared" si="77"/>
        <v/>
      </c>
      <c r="S1240" s="17" t="str">
        <f t="shared" si="78"/>
        <v/>
      </c>
      <c r="T1240" s="18" t="str">
        <f t="shared" ca="1" si="79"/>
        <v/>
      </c>
    </row>
    <row r="1241" spans="1:20" x14ac:dyDescent="0.35">
      <c r="A1241" s="11"/>
      <c r="B1241" s="11"/>
      <c r="C1241" s="11"/>
      <c r="D1241" s="12"/>
      <c r="E1241" s="11"/>
      <c r="F1241" s="13"/>
      <c r="G1241" s="13"/>
      <c r="H1241" s="11"/>
      <c r="I1241" s="12"/>
      <c r="J1241" s="12"/>
      <c r="K1241" s="13"/>
      <c r="L1241" s="13"/>
      <c r="M1241" s="13"/>
      <c r="N1241" s="13"/>
      <c r="O1241" s="13"/>
      <c r="P1241" s="14" t="str">
        <f t="shared" si="76"/>
        <v/>
      </c>
      <c r="Q1241" s="15" t="str">
        <f>IF(OR(J1241="",H1241=""),"",IFERROR(IF(ISNUMBER(N1241),N1241,IF(K1241&lt;N(INDEX(Platforms!$G$5:$G$14,MATCH(H1241,Lists!$A$2:$A$11,0))),N(INDEX(Platforms!$H$5:$H$14,MATCH(H1241,Lists!$A$2:$A$11,0))),MAX(N(INDEX(Platforms!$F$5:$F$14,MATCH(H1241,Lists!$A$2:$A$11,0))),N(INDEX(Platforms!$C$5:$C$14,MATCH(H1241,Lists!$A$2:$A$11,0)))*(K1241+IF(INDEX(Platforms!$E$5:$E$14,MATCH(H1241,Lists!$A$2:$A$11,0))="Yes",N(L1241),0))+N(INDEX(Platforms!$D$5:$D$14,MATCH(H1241,Lists!$A$2:$A$11,0)))))),""))</f>
        <v/>
      </c>
      <c r="R1241" s="16" t="str">
        <f t="shared" si="77"/>
        <v/>
      </c>
      <c r="S1241" s="17" t="str">
        <f t="shared" si="78"/>
        <v/>
      </c>
      <c r="T1241" s="18" t="str">
        <f t="shared" ca="1" si="79"/>
        <v/>
      </c>
    </row>
    <row r="1242" spans="1:20" x14ac:dyDescent="0.35">
      <c r="A1242" s="11"/>
      <c r="B1242" s="11"/>
      <c r="C1242" s="11"/>
      <c r="D1242" s="12"/>
      <c r="E1242" s="11"/>
      <c r="F1242" s="13"/>
      <c r="G1242" s="13"/>
      <c r="H1242" s="11"/>
      <c r="I1242" s="12"/>
      <c r="J1242" s="12"/>
      <c r="K1242" s="13"/>
      <c r="L1242" s="13"/>
      <c r="M1242" s="13"/>
      <c r="N1242" s="13"/>
      <c r="O1242" s="13"/>
      <c r="P1242" s="14" t="str">
        <f t="shared" si="76"/>
        <v/>
      </c>
      <c r="Q1242" s="15" t="str">
        <f>IF(OR(J1242="",H1242=""),"",IFERROR(IF(ISNUMBER(N1242),N1242,IF(K1242&lt;N(INDEX(Platforms!$G$5:$G$14,MATCH(H1242,Lists!$A$2:$A$11,0))),N(INDEX(Platforms!$H$5:$H$14,MATCH(H1242,Lists!$A$2:$A$11,0))),MAX(N(INDEX(Platforms!$F$5:$F$14,MATCH(H1242,Lists!$A$2:$A$11,0))),N(INDEX(Platforms!$C$5:$C$14,MATCH(H1242,Lists!$A$2:$A$11,0)))*(K1242+IF(INDEX(Platforms!$E$5:$E$14,MATCH(H1242,Lists!$A$2:$A$11,0))="Yes",N(L1242),0))+N(INDEX(Platforms!$D$5:$D$14,MATCH(H1242,Lists!$A$2:$A$11,0)))))),""))</f>
        <v/>
      </c>
      <c r="R1242" s="16" t="str">
        <f t="shared" si="77"/>
        <v/>
      </c>
      <c r="S1242" s="17" t="str">
        <f t="shared" si="78"/>
        <v/>
      </c>
      <c r="T1242" s="18" t="str">
        <f t="shared" ca="1" si="79"/>
        <v/>
      </c>
    </row>
    <row r="1243" spans="1:20" x14ac:dyDescent="0.35">
      <c r="A1243" s="11"/>
      <c r="B1243" s="11"/>
      <c r="C1243" s="11"/>
      <c r="D1243" s="12"/>
      <c r="E1243" s="11"/>
      <c r="F1243" s="13"/>
      <c r="G1243" s="13"/>
      <c r="H1243" s="11"/>
      <c r="I1243" s="12"/>
      <c r="J1243" s="12"/>
      <c r="K1243" s="13"/>
      <c r="L1243" s="13"/>
      <c r="M1243" s="13"/>
      <c r="N1243" s="13"/>
      <c r="O1243" s="13"/>
      <c r="P1243" s="14" t="str">
        <f t="shared" si="76"/>
        <v/>
      </c>
      <c r="Q1243" s="15" t="str">
        <f>IF(OR(J1243="",H1243=""),"",IFERROR(IF(ISNUMBER(N1243),N1243,IF(K1243&lt;N(INDEX(Platforms!$G$5:$G$14,MATCH(H1243,Lists!$A$2:$A$11,0))),N(INDEX(Platforms!$H$5:$H$14,MATCH(H1243,Lists!$A$2:$A$11,0))),MAX(N(INDEX(Platforms!$F$5:$F$14,MATCH(H1243,Lists!$A$2:$A$11,0))),N(INDEX(Platforms!$C$5:$C$14,MATCH(H1243,Lists!$A$2:$A$11,0)))*(K1243+IF(INDEX(Platforms!$E$5:$E$14,MATCH(H1243,Lists!$A$2:$A$11,0))="Yes",N(L1243),0))+N(INDEX(Platforms!$D$5:$D$14,MATCH(H1243,Lists!$A$2:$A$11,0)))))),""))</f>
        <v/>
      </c>
      <c r="R1243" s="16" t="str">
        <f t="shared" si="77"/>
        <v/>
      </c>
      <c r="S1243" s="17" t="str">
        <f t="shared" si="78"/>
        <v/>
      </c>
      <c r="T1243" s="18" t="str">
        <f t="shared" ca="1" si="79"/>
        <v/>
      </c>
    </row>
    <row r="1244" spans="1:20" x14ac:dyDescent="0.35">
      <c r="A1244" s="11"/>
      <c r="B1244" s="11"/>
      <c r="C1244" s="11"/>
      <c r="D1244" s="12"/>
      <c r="E1244" s="11"/>
      <c r="F1244" s="13"/>
      <c r="G1244" s="13"/>
      <c r="H1244" s="11"/>
      <c r="I1244" s="12"/>
      <c r="J1244" s="12"/>
      <c r="K1244" s="13"/>
      <c r="L1244" s="13"/>
      <c r="M1244" s="13"/>
      <c r="N1244" s="13"/>
      <c r="O1244" s="13"/>
      <c r="P1244" s="14" t="str">
        <f t="shared" si="76"/>
        <v/>
      </c>
      <c r="Q1244" s="15" t="str">
        <f>IF(OR(J1244="",H1244=""),"",IFERROR(IF(ISNUMBER(N1244),N1244,IF(K1244&lt;N(INDEX(Platforms!$G$5:$G$14,MATCH(H1244,Lists!$A$2:$A$11,0))),N(INDEX(Platforms!$H$5:$H$14,MATCH(H1244,Lists!$A$2:$A$11,0))),MAX(N(INDEX(Platforms!$F$5:$F$14,MATCH(H1244,Lists!$A$2:$A$11,0))),N(INDEX(Platforms!$C$5:$C$14,MATCH(H1244,Lists!$A$2:$A$11,0)))*(K1244+IF(INDEX(Platforms!$E$5:$E$14,MATCH(H1244,Lists!$A$2:$A$11,0))="Yes",N(L1244),0))+N(INDEX(Platforms!$D$5:$D$14,MATCH(H1244,Lists!$A$2:$A$11,0)))))),""))</f>
        <v/>
      </c>
      <c r="R1244" s="16" t="str">
        <f t="shared" si="77"/>
        <v/>
      </c>
      <c r="S1244" s="17" t="str">
        <f t="shared" si="78"/>
        <v/>
      </c>
      <c r="T1244" s="18" t="str">
        <f t="shared" ca="1" si="79"/>
        <v/>
      </c>
    </row>
    <row r="1245" spans="1:20" x14ac:dyDescent="0.35">
      <c r="A1245" s="11"/>
      <c r="B1245" s="11"/>
      <c r="C1245" s="11"/>
      <c r="D1245" s="12"/>
      <c r="E1245" s="11"/>
      <c r="F1245" s="13"/>
      <c r="G1245" s="13"/>
      <c r="H1245" s="11"/>
      <c r="I1245" s="12"/>
      <c r="J1245" s="12"/>
      <c r="K1245" s="13"/>
      <c r="L1245" s="13"/>
      <c r="M1245" s="13"/>
      <c r="N1245" s="13"/>
      <c r="O1245" s="13"/>
      <c r="P1245" s="14" t="str">
        <f t="shared" si="76"/>
        <v/>
      </c>
      <c r="Q1245" s="15" t="str">
        <f>IF(OR(J1245="",H1245=""),"",IFERROR(IF(ISNUMBER(N1245),N1245,IF(K1245&lt;N(INDEX(Platforms!$G$5:$G$14,MATCH(H1245,Lists!$A$2:$A$11,0))),N(INDEX(Platforms!$H$5:$H$14,MATCH(H1245,Lists!$A$2:$A$11,0))),MAX(N(INDEX(Platforms!$F$5:$F$14,MATCH(H1245,Lists!$A$2:$A$11,0))),N(INDEX(Platforms!$C$5:$C$14,MATCH(H1245,Lists!$A$2:$A$11,0)))*(K1245+IF(INDEX(Platforms!$E$5:$E$14,MATCH(H1245,Lists!$A$2:$A$11,0))="Yes",N(L1245),0))+N(INDEX(Platforms!$D$5:$D$14,MATCH(H1245,Lists!$A$2:$A$11,0)))))),""))</f>
        <v/>
      </c>
      <c r="R1245" s="16" t="str">
        <f t="shared" si="77"/>
        <v/>
      </c>
      <c r="S1245" s="17" t="str">
        <f t="shared" si="78"/>
        <v/>
      </c>
      <c r="T1245" s="18" t="str">
        <f t="shared" ca="1" si="79"/>
        <v/>
      </c>
    </row>
    <row r="1246" spans="1:20" x14ac:dyDescent="0.35">
      <c r="A1246" s="11"/>
      <c r="B1246" s="11"/>
      <c r="C1246" s="11"/>
      <c r="D1246" s="12"/>
      <c r="E1246" s="11"/>
      <c r="F1246" s="13"/>
      <c r="G1246" s="13"/>
      <c r="H1246" s="11"/>
      <c r="I1246" s="12"/>
      <c r="J1246" s="12"/>
      <c r="K1246" s="13"/>
      <c r="L1246" s="13"/>
      <c r="M1246" s="13"/>
      <c r="N1246" s="13"/>
      <c r="O1246" s="13"/>
      <c r="P1246" s="14" t="str">
        <f t="shared" si="76"/>
        <v/>
      </c>
      <c r="Q1246" s="15" t="str">
        <f>IF(OR(J1246="",H1246=""),"",IFERROR(IF(ISNUMBER(N1246),N1246,IF(K1246&lt;N(INDEX(Platforms!$G$5:$G$14,MATCH(H1246,Lists!$A$2:$A$11,0))),N(INDEX(Platforms!$H$5:$H$14,MATCH(H1246,Lists!$A$2:$A$11,0))),MAX(N(INDEX(Platforms!$F$5:$F$14,MATCH(H1246,Lists!$A$2:$A$11,0))),N(INDEX(Platforms!$C$5:$C$14,MATCH(H1246,Lists!$A$2:$A$11,0)))*(K1246+IF(INDEX(Platforms!$E$5:$E$14,MATCH(H1246,Lists!$A$2:$A$11,0))="Yes",N(L1246),0))+N(INDEX(Platforms!$D$5:$D$14,MATCH(H1246,Lists!$A$2:$A$11,0)))))),""))</f>
        <v/>
      </c>
      <c r="R1246" s="16" t="str">
        <f t="shared" si="77"/>
        <v/>
      </c>
      <c r="S1246" s="17" t="str">
        <f t="shared" si="78"/>
        <v/>
      </c>
      <c r="T1246" s="18" t="str">
        <f t="shared" ca="1" si="79"/>
        <v/>
      </c>
    </row>
    <row r="1247" spans="1:20" x14ac:dyDescent="0.35">
      <c r="A1247" s="11"/>
      <c r="B1247" s="11"/>
      <c r="C1247" s="11"/>
      <c r="D1247" s="12"/>
      <c r="E1247" s="11"/>
      <c r="F1247" s="13"/>
      <c r="G1247" s="13"/>
      <c r="H1247" s="11"/>
      <c r="I1247" s="12"/>
      <c r="J1247" s="12"/>
      <c r="K1247" s="13"/>
      <c r="L1247" s="13"/>
      <c r="M1247" s="13"/>
      <c r="N1247" s="13"/>
      <c r="O1247" s="13"/>
      <c r="P1247" s="14" t="str">
        <f t="shared" si="76"/>
        <v/>
      </c>
      <c r="Q1247" s="15" t="str">
        <f>IF(OR(J1247="",H1247=""),"",IFERROR(IF(ISNUMBER(N1247),N1247,IF(K1247&lt;N(INDEX(Platforms!$G$5:$G$14,MATCH(H1247,Lists!$A$2:$A$11,0))),N(INDEX(Platforms!$H$5:$H$14,MATCH(H1247,Lists!$A$2:$A$11,0))),MAX(N(INDEX(Platforms!$F$5:$F$14,MATCH(H1247,Lists!$A$2:$A$11,0))),N(INDEX(Platforms!$C$5:$C$14,MATCH(H1247,Lists!$A$2:$A$11,0)))*(K1247+IF(INDEX(Platforms!$E$5:$E$14,MATCH(H1247,Lists!$A$2:$A$11,0))="Yes",N(L1247),0))+N(INDEX(Platforms!$D$5:$D$14,MATCH(H1247,Lists!$A$2:$A$11,0)))))),""))</f>
        <v/>
      </c>
      <c r="R1247" s="16" t="str">
        <f t="shared" si="77"/>
        <v/>
      </c>
      <c r="S1247" s="17" t="str">
        <f t="shared" si="78"/>
        <v/>
      </c>
      <c r="T1247" s="18" t="str">
        <f t="shared" ca="1" si="79"/>
        <v/>
      </c>
    </row>
    <row r="1248" spans="1:20" x14ac:dyDescent="0.35">
      <c r="A1248" s="11"/>
      <c r="B1248" s="11"/>
      <c r="C1248" s="11"/>
      <c r="D1248" s="12"/>
      <c r="E1248" s="11"/>
      <c r="F1248" s="13"/>
      <c r="G1248" s="13"/>
      <c r="H1248" s="11"/>
      <c r="I1248" s="12"/>
      <c r="J1248" s="12"/>
      <c r="K1248" s="13"/>
      <c r="L1248" s="13"/>
      <c r="M1248" s="13"/>
      <c r="N1248" s="13"/>
      <c r="O1248" s="13"/>
      <c r="P1248" s="14" t="str">
        <f t="shared" si="76"/>
        <v/>
      </c>
      <c r="Q1248" s="15" t="str">
        <f>IF(OR(J1248="",H1248=""),"",IFERROR(IF(ISNUMBER(N1248),N1248,IF(K1248&lt;N(INDEX(Platforms!$G$5:$G$14,MATCH(H1248,Lists!$A$2:$A$11,0))),N(INDEX(Platforms!$H$5:$H$14,MATCH(H1248,Lists!$A$2:$A$11,0))),MAX(N(INDEX(Platforms!$F$5:$F$14,MATCH(H1248,Lists!$A$2:$A$11,0))),N(INDEX(Platforms!$C$5:$C$14,MATCH(H1248,Lists!$A$2:$A$11,0)))*(K1248+IF(INDEX(Platforms!$E$5:$E$14,MATCH(H1248,Lists!$A$2:$A$11,0))="Yes",N(L1248),0))+N(INDEX(Platforms!$D$5:$D$14,MATCH(H1248,Lists!$A$2:$A$11,0)))))),""))</f>
        <v/>
      </c>
      <c r="R1248" s="16" t="str">
        <f t="shared" si="77"/>
        <v/>
      </c>
      <c r="S1248" s="17" t="str">
        <f t="shared" si="78"/>
        <v/>
      </c>
      <c r="T1248" s="18" t="str">
        <f t="shared" ca="1" si="79"/>
        <v/>
      </c>
    </row>
    <row r="1249" spans="1:20" x14ac:dyDescent="0.35">
      <c r="A1249" s="11"/>
      <c r="B1249" s="11"/>
      <c r="C1249" s="11"/>
      <c r="D1249" s="12"/>
      <c r="E1249" s="11"/>
      <c r="F1249" s="13"/>
      <c r="G1249" s="13"/>
      <c r="H1249" s="11"/>
      <c r="I1249" s="12"/>
      <c r="J1249" s="12"/>
      <c r="K1249" s="13"/>
      <c r="L1249" s="13"/>
      <c r="M1249" s="13"/>
      <c r="N1249" s="13"/>
      <c r="O1249" s="13"/>
      <c r="P1249" s="14" t="str">
        <f t="shared" si="76"/>
        <v/>
      </c>
      <c r="Q1249" s="15" t="str">
        <f>IF(OR(J1249="",H1249=""),"",IFERROR(IF(ISNUMBER(N1249),N1249,IF(K1249&lt;N(INDEX(Platforms!$G$5:$G$14,MATCH(H1249,Lists!$A$2:$A$11,0))),N(INDEX(Platforms!$H$5:$H$14,MATCH(H1249,Lists!$A$2:$A$11,0))),MAX(N(INDEX(Platforms!$F$5:$F$14,MATCH(H1249,Lists!$A$2:$A$11,0))),N(INDEX(Platforms!$C$5:$C$14,MATCH(H1249,Lists!$A$2:$A$11,0)))*(K1249+IF(INDEX(Platforms!$E$5:$E$14,MATCH(H1249,Lists!$A$2:$A$11,0))="Yes",N(L1249),0))+N(INDEX(Platforms!$D$5:$D$14,MATCH(H1249,Lists!$A$2:$A$11,0)))))),""))</f>
        <v/>
      </c>
      <c r="R1249" s="16" t="str">
        <f t="shared" si="77"/>
        <v/>
      </c>
      <c r="S1249" s="17" t="str">
        <f t="shared" si="78"/>
        <v/>
      </c>
      <c r="T1249" s="18" t="str">
        <f t="shared" ca="1" si="79"/>
        <v/>
      </c>
    </row>
    <row r="1250" spans="1:20" x14ac:dyDescent="0.35">
      <c r="A1250" s="11"/>
      <c r="B1250" s="11"/>
      <c r="C1250" s="11"/>
      <c r="D1250" s="12"/>
      <c r="E1250" s="11"/>
      <c r="F1250" s="13"/>
      <c r="G1250" s="13"/>
      <c r="H1250" s="11"/>
      <c r="I1250" s="12"/>
      <c r="J1250" s="12"/>
      <c r="K1250" s="13"/>
      <c r="L1250" s="13"/>
      <c r="M1250" s="13"/>
      <c r="N1250" s="13"/>
      <c r="O1250" s="13"/>
      <c r="P1250" s="14" t="str">
        <f t="shared" si="76"/>
        <v/>
      </c>
      <c r="Q1250" s="15" t="str">
        <f>IF(OR(J1250="",H1250=""),"",IFERROR(IF(ISNUMBER(N1250),N1250,IF(K1250&lt;N(INDEX(Platforms!$G$5:$G$14,MATCH(H1250,Lists!$A$2:$A$11,0))),N(INDEX(Platforms!$H$5:$H$14,MATCH(H1250,Lists!$A$2:$A$11,0))),MAX(N(INDEX(Platforms!$F$5:$F$14,MATCH(H1250,Lists!$A$2:$A$11,0))),N(INDEX(Platforms!$C$5:$C$14,MATCH(H1250,Lists!$A$2:$A$11,0)))*(K1250+IF(INDEX(Platforms!$E$5:$E$14,MATCH(H1250,Lists!$A$2:$A$11,0))="Yes",N(L1250),0))+N(INDEX(Platforms!$D$5:$D$14,MATCH(H1250,Lists!$A$2:$A$11,0)))))),""))</f>
        <v/>
      </c>
      <c r="R1250" s="16" t="str">
        <f t="shared" si="77"/>
        <v/>
      </c>
      <c r="S1250" s="17" t="str">
        <f t="shared" si="78"/>
        <v/>
      </c>
      <c r="T1250" s="18" t="str">
        <f t="shared" ca="1" si="79"/>
        <v/>
      </c>
    </row>
    <row r="1251" spans="1:20" x14ac:dyDescent="0.35">
      <c r="A1251" s="11"/>
      <c r="B1251" s="11"/>
      <c r="C1251" s="11"/>
      <c r="D1251" s="12"/>
      <c r="E1251" s="11"/>
      <c r="F1251" s="13"/>
      <c r="G1251" s="13"/>
      <c r="H1251" s="11"/>
      <c r="I1251" s="12"/>
      <c r="J1251" s="12"/>
      <c r="K1251" s="13"/>
      <c r="L1251" s="13"/>
      <c r="M1251" s="13"/>
      <c r="N1251" s="13"/>
      <c r="O1251" s="13"/>
      <c r="P1251" s="14" t="str">
        <f t="shared" si="76"/>
        <v/>
      </c>
      <c r="Q1251" s="15" t="str">
        <f>IF(OR(J1251="",H1251=""),"",IFERROR(IF(ISNUMBER(N1251),N1251,IF(K1251&lt;N(INDEX(Platforms!$G$5:$G$14,MATCH(H1251,Lists!$A$2:$A$11,0))),N(INDEX(Platforms!$H$5:$H$14,MATCH(H1251,Lists!$A$2:$A$11,0))),MAX(N(INDEX(Platforms!$F$5:$F$14,MATCH(H1251,Lists!$A$2:$A$11,0))),N(INDEX(Platforms!$C$5:$C$14,MATCH(H1251,Lists!$A$2:$A$11,0)))*(K1251+IF(INDEX(Platforms!$E$5:$E$14,MATCH(H1251,Lists!$A$2:$A$11,0))="Yes",N(L1251),0))+N(INDEX(Platforms!$D$5:$D$14,MATCH(H1251,Lists!$A$2:$A$11,0)))))),""))</f>
        <v/>
      </c>
      <c r="R1251" s="16" t="str">
        <f t="shared" si="77"/>
        <v/>
      </c>
      <c r="S1251" s="17" t="str">
        <f t="shared" si="78"/>
        <v/>
      </c>
      <c r="T1251" s="18" t="str">
        <f t="shared" ca="1" si="79"/>
        <v/>
      </c>
    </row>
    <row r="1252" spans="1:20" x14ac:dyDescent="0.35">
      <c r="A1252" s="11"/>
      <c r="B1252" s="11"/>
      <c r="C1252" s="11"/>
      <c r="D1252" s="12"/>
      <c r="E1252" s="11"/>
      <c r="F1252" s="13"/>
      <c r="G1252" s="13"/>
      <c r="H1252" s="11"/>
      <c r="I1252" s="12"/>
      <c r="J1252" s="12"/>
      <c r="K1252" s="13"/>
      <c r="L1252" s="13"/>
      <c r="M1252" s="13"/>
      <c r="N1252" s="13"/>
      <c r="O1252" s="13"/>
      <c r="P1252" s="14" t="str">
        <f t="shared" si="76"/>
        <v/>
      </c>
      <c r="Q1252" s="15" t="str">
        <f>IF(OR(J1252="",H1252=""),"",IFERROR(IF(ISNUMBER(N1252),N1252,IF(K1252&lt;N(INDEX(Platforms!$G$5:$G$14,MATCH(H1252,Lists!$A$2:$A$11,0))),N(INDEX(Platforms!$H$5:$H$14,MATCH(H1252,Lists!$A$2:$A$11,0))),MAX(N(INDEX(Platforms!$F$5:$F$14,MATCH(H1252,Lists!$A$2:$A$11,0))),N(INDEX(Platforms!$C$5:$C$14,MATCH(H1252,Lists!$A$2:$A$11,0)))*(K1252+IF(INDEX(Platforms!$E$5:$E$14,MATCH(H1252,Lists!$A$2:$A$11,0))="Yes",N(L1252),0))+N(INDEX(Platforms!$D$5:$D$14,MATCH(H1252,Lists!$A$2:$A$11,0)))))),""))</f>
        <v/>
      </c>
      <c r="R1252" s="16" t="str">
        <f t="shared" si="77"/>
        <v/>
      </c>
      <c r="S1252" s="17" t="str">
        <f t="shared" si="78"/>
        <v/>
      </c>
      <c r="T1252" s="18" t="str">
        <f t="shared" ca="1" si="79"/>
        <v/>
      </c>
    </row>
    <row r="1253" spans="1:20" x14ac:dyDescent="0.35">
      <c r="A1253" s="11"/>
      <c r="B1253" s="11"/>
      <c r="C1253" s="11"/>
      <c r="D1253" s="12"/>
      <c r="E1253" s="11"/>
      <c r="F1253" s="13"/>
      <c r="G1253" s="13"/>
      <c r="H1253" s="11"/>
      <c r="I1253" s="12"/>
      <c r="J1253" s="12"/>
      <c r="K1253" s="13"/>
      <c r="L1253" s="13"/>
      <c r="M1253" s="13"/>
      <c r="N1253" s="13"/>
      <c r="O1253" s="13"/>
      <c r="P1253" s="14" t="str">
        <f t="shared" si="76"/>
        <v/>
      </c>
      <c r="Q1253" s="15" t="str">
        <f>IF(OR(J1253="",H1253=""),"",IFERROR(IF(ISNUMBER(N1253),N1253,IF(K1253&lt;N(INDEX(Platforms!$G$5:$G$14,MATCH(H1253,Lists!$A$2:$A$11,0))),N(INDEX(Platforms!$H$5:$H$14,MATCH(H1253,Lists!$A$2:$A$11,0))),MAX(N(INDEX(Platforms!$F$5:$F$14,MATCH(H1253,Lists!$A$2:$A$11,0))),N(INDEX(Platforms!$C$5:$C$14,MATCH(H1253,Lists!$A$2:$A$11,0)))*(K1253+IF(INDEX(Platforms!$E$5:$E$14,MATCH(H1253,Lists!$A$2:$A$11,0))="Yes",N(L1253),0))+N(INDEX(Platforms!$D$5:$D$14,MATCH(H1253,Lists!$A$2:$A$11,0)))))),""))</f>
        <v/>
      </c>
      <c r="R1253" s="16" t="str">
        <f t="shared" si="77"/>
        <v/>
      </c>
      <c r="S1253" s="17" t="str">
        <f t="shared" si="78"/>
        <v/>
      </c>
      <c r="T1253" s="18" t="str">
        <f t="shared" ca="1" si="79"/>
        <v/>
      </c>
    </row>
    <row r="1254" spans="1:20" x14ac:dyDescent="0.35">
      <c r="A1254" s="11"/>
      <c r="B1254" s="11"/>
      <c r="C1254" s="11"/>
      <c r="D1254" s="12"/>
      <c r="E1254" s="11"/>
      <c r="F1254" s="13"/>
      <c r="G1254" s="13"/>
      <c r="H1254" s="11"/>
      <c r="I1254" s="12"/>
      <c r="J1254" s="12"/>
      <c r="K1254" s="13"/>
      <c r="L1254" s="13"/>
      <c r="M1254" s="13"/>
      <c r="N1254" s="13"/>
      <c r="O1254" s="13"/>
      <c r="P1254" s="14" t="str">
        <f t="shared" si="76"/>
        <v/>
      </c>
      <c r="Q1254" s="15" t="str">
        <f>IF(OR(J1254="",H1254=""),"",IFERROR(IF(ISNUMBER(N1254),N1254,IF(K1254&lt;N(INDEX(Platforms!$G$5:$G$14,MATCH(H1254,Lists!$A$2:$A$11,0))),N(INDEX(Platforms!$H$5:$H$14,MATCH(H1254,Lists!$A$2:$A$11,0))),MAX(N(INDEX(Platforms!$F$5:$F$14,MATCH(H1254,Lists!$A$2:$A$11,0))),N(INDEX(Platforms!$C$5:$C$14,MATCH(H1254,Lists!$A$2:$A$11,0)))*(K1254+IF(INDEX(Platforms!$E$5:$E$14,MATCH(H1254,Lists!$A$2:$A$11,0))="Yes",N(L1254),0))+N(INDEX(Platforms!$D$5:$D$14,MATCH(H1254,Lists!$A$2:$A$11,0)))))),""))</f>
        <v/>
      </c>
      <c r="R1254" s="16" t="str">
        <f t="shared" si="77"/>
        <v/>
      </c>
      <c r="S1254" s="17" t="str">
        <f t="shared" si="78"/>
        <v/>
      </c>
      <c r="T1254" s="18" t="str">
        <f t="shared" ca="1" si="79"/>
        <v/>
      </c>
    </row>
    <row r="1255" spans="1:20" x14ac:dyDescent="0.35">
      <c r="A1255" s="11"/>
      <c r="B1255" s="11"/>
      <c r="C1255" s="11"/>
      <c r="D1255" s="12"/>
      <c r="E1255" s="11"/>
      <c r="F1255" s="13"/>
      <c r="G1255" s="13"/>
      <c r="H1255" s="11"/>
      <c r="I1255" s="12"/>
      <c r="J1255" s="12"/>
      <c r="K1255" s="13"/>
      <c r="L1255" s="13"/>
      <c r="M1255" s="13"/>
      <c r="N1255" s="13"/>
      <c r="O1255" s="13"/>
      <c r="P1255" s="14" t="str">
        <f t="shared" si="76"/>
        <v/>
      </c>
      <c r="Q1255" s="15" t="str">
        <f>IF(OR(J1255="",H1255=""),"",IFERROR(IF(ISNUMBER(N1255),N1255,IF(K1255&lt;N(INDEX(Platforms!$G$5:$G$14,MATCH(H1255,Lists!$A$2:$A$11,0))),N(INDEX(Platforms!$H$5:$H$14,MATCH(H1255,Lists!$A$2:$A$11,0))),MAX(N(INDEX(Platforms!$F$5:$F$14,MATCH(H1255,Lists!$A$2:$A$11,0))),N(INDEX(Platforms!$C$5:$C$14,MATCH(H1255,Lists!$A$2:$A$11,0)))*(K1255+IF(INDEX(Platforms!$E$5:$E$14,MATCH(H1255,Lists!$A$2:$A$11,0))="Yes",N(L1255),0))+N(INDEX(Platforms!$D$5:$D$14,MATCH(H1255,Lists!$A$2:$A$11,0)))))),""))</f>
        <v/>
      </c>
      <c r="R1255" s="16" t="str">
        <f t="shared" si="77"/>
        <v/>
      </c>
      <c r="S1255" s="17" t="str">
        <f t="shared" si="78"/>
        <v/>
      </c>
      <c r="T1255" s="18" t="str">
        <f t="shared" ca="1" si="79"/>
        <v/>
      </c>
    </row>
    <row r="1256" spans="1:20" x14ac:dyDescent="0.35">
      <c r="A1256" s="11"/>
      <c r="B1256" s="11"/>
      <c r="C1256" s="11"/>
      <c r="D1256" s="12"/>
      <c r="E1256" s="11"/>
      <c r="F1256" s="13"/>
      <c r="G1256" s="13"/>
      <c r="H1256" s="11"/>
      <c r="I1256" s="12"/>
      <c r="J1256" s="12"/>
      <c r="K1256" s="13"/>
      <c r="L1256" s="13"/>
      <c r="M1256" s="13"/>
      <c r="N1256" s="13"/>
      <c r="O1256" s="13"/>
      <c r="P1256" s="14" t="str">
        <f t="shared" si="76"/>
        <v/>
      </c>
      <c r="Q1256" s="15" t="str">
        <f>IF(OR(J1256="",H1256=""),"",IFERROR(IF(ISNUMBER(N1256),N1256,IF(K1256&lt;N(INDEX(Platforms!$G$5:$G$14,MATCH(H1256,Lists!$A$2:$A$11,0))),N(INDEX(Platforms!$H$5:$H$14,MATCH(H1256,Lists!$A$2:$A$11,0))),MAX(N(INDEX(Platforms!$F$5:$F$14,MATCH(H1256,Lists!$A$2:$A$11,0))),N(INDEX(Platforms!$C$5:$C$14,MATCH(H1256,Lists!$A$2:$A$11,0)))*(K1256+IF(INDEX(Platforms!$E$5:$E$14,MATCH(H1256,Lists!$A$2:$A$11,0))="Yes",N(L1256),0))+N(INDEX(Platforms!$D$5:$D$14,MATCH(H1256,Lists!$A$2:$A$11,0)))))),""))</f>
        <v/>
      </c>
      <c r="R1256" s="16" t="str">
        <f t="shared" si="77"/>
        <v/>
      </c>
      <c r="S1256" s="17" t="str">
        <f t="shared" si="78"/>
        <v/>
      </c>
      <c r="T1256" s="18" t="str">
        <f t="shared" ca="1" si="79"/>
        <v/>
      </c>
    </row>
    <row r="1257" spans="1:20" x14ac:dyDescent="0.35">
      <c r="A1257" s="11"/>
      <c r="B1257" s="11"/>
      <c r="C1257" s="11"/>
      <c r="D1257" s="12"/>
      <c r="E1257" s="11"/>
      <c r="F1257" s="13"/>
      <c r="G1257" s="13"/>
      <c r="H1257" s="11"/>
      <c r="I1257" s="12"/>
      <c r="J1257" s="12"/>
      <c r="K1257" s="13"/>
      <c r="L1257" s="13"/>
      <c r="M1257" s="13"/>
      <c r="N1257" s="13"/>
      <c r="O1257" s="13"/>
      <c r="P1257" s="14" t="str">
        <f t="shared" si="76"/>
        <v/>
      </c>
      <c r="Q1257" s="15" t="str">
        <f>IF(OR(J1257="",H1257=""),"",IFERROR(IF(ISNUMBER(N1257),N1257,IF(K1257&lt;N(INDEX(Platforms!$G$5:$G$14,MATCH(H1257,Lists!$A$2:$A$11,0))),N(INDEX(Platforms!$H$5:$H$14,MATCH(H1257,Lists!$A$2:$A$11,0))),MAX(N(INDEX(Platforms!$F$5:$F$14,MATCH(H1257,Lists!$A$2:$A$11,0))),N(INDEX(Platforms!$C$5:$C$14,MATCH(H1257,Lists!$A$2:$A$11,0)))*(K1257+IF(INDEX(Platforms!$E$5:$E$14,MATCH(H1257,Lists!$A$2:$A$11,0))="Yes",N(L1257),0))+N(INDEX(Platforms!$D$5:$D$14,MATCH(H1257,Lists!$A$2:$A$11,0)))))),""))</f>
        <v/>
      </c>
      <c r="R1257" s="16" t="str">
        <f t="shared" si="77"/>
        <v/>
      </c>
      <c r="S1257" s="17" t="str">
        <f t="shared" si="78"/>
        <v/>
      </c>
      <c r="T1257" s="18" t="str">
        <f t="shared" ca="1" si="79"/>
        <v/>
      </c>
    </row>
    <row r="1258" spans="1:20" x14ac:dyDescent="0.35">
      <c r="A1258" s="11"/>
      <c r="B1258" s="11"/>
      <c r="C1258" s="11"/>
      <c r="D1258" s="12"/>
      <c r="E1258" s="11"/>
      <c r="F1258" s="13"/>
      <c r="G1258" s="13"/>
      <c r="H1258" s="11"/>
      <c r="I1258" s="12"/>
      <c r="J1258" s="12"/>
      <c r="K1258" s="13"/>
      <c r="L1258" s="13"/>
      <c r="M1258" s="13"/>
      <c r="N1258" s="13"/>
      <c r="O1258" s="13"/>
      <c r="P1258" s="14" t="str">
        <f t="shared" si="76"/>
        <v/>
      </c>
      <c r="Q1258" s="15" t="str">
        <f>IF(OR(J1258="",H1258=""),"",IFERROR(IF(ISNUMBER(N1258),N1258,IF(K1258&lt;N(INDEX(Platforms!$G$5:$G$14,MATCH(H1258,Lists!$A$2:$A$11,0))),N(INDEX(Platforms!$H$5:$H$14,MATCH(H1258,Lists!$A$2:$A$11,0))),MAX(N(INDEX(Platforms!$F$5:$F$14,MATCH(H1258,Lists!$A$2:$A$11,0))),N(INDEX(Platforms!$C$5:$C$14,MATCH(H1258,Lists!$A$2:$A$11,0)))*(K1258+IF(INDEX(Platforms!$E$5:$E$14,MATCH(H1258,Lists!$A$2:$A$11,0))="Yes",N(L1258),0))+N(INDEX(Platforms!$D$5:$D$14,MATCH(H1258,Lists!$A$2:$A$11,0)))))),""))</f>
        <v/>
      </c>
      <c r="R1258" s="16" t="str">
        <f t="shared" si="77"/>
        <v/>
      </c>
      <c r="S1258" s="17" t="str">
        <f t="shared" si="78"/>
        <v/>
      </c>
      <c r="T1258" s="18" t="str">
        <f t="shared" ca="1" si="79"/>
        <v/>
      </c>
    </row>
    <row r="1259" spans="1:20" x14ac:dyDescent="0.35">
      <c r="A1259" s="11"/>
      <c r="B1259" s="11"/>
      <c r="C1259" s="11"/>
      <c r="D1259" s="12"/>
      <c r="E1259" s="11"/>
      <c r="F1259" s="13"/>
      <c r="G1259" s="13"/>
      <c r="H1259" s="11"/>
      <c r="I1259" s="12"/>
      <c r="J1259" s="12"/>
      <c r="K1259" s="13"/>
      <c r="L1259" s="13"/>
      <c r="M1259" s="13"/>
      <c r="N1259" s="13"/>
      <c r="O1259" s="13"/>
      <c r="P1259" s="14" t="str">
        <f t="shared" si="76"/>
        <v/>
      </c>
      <c r="Q1259" s="15" t="str">
        <f>IF(OR(J1259="",H1259=""),"",IFERROR(IF(ISNUMBER(N1259),N1259,IF(K1259&lt;N(INDEX(Platforms!$G$5:$G$14,MATCH(H1259,Lists!$A$2:$A$11,0))),N(INDEX(Platforms!$H$5:$H$14,MATCH(H1259,Lists!$A$2:$A$11,0))),MAX(N(INDEX(Platforms!$F$5:$F$14,MATCH(H1259,Lists!$A$2:$A$11,0))),N(INDEX(Platforms!$C$5:$C$14,MATCH(H1259,Lists!$A$2:$A$11,0)))*(K1259+IF(INDEX(Platforms!$E$5:$E$14,MATCH(H1259,Lists!$A$2:$A$11,0))="Yes",N(L1259),0))+N(INDEX(Platforms!$D$5:$D$14,MATCH(H1259,Lists!$A$2:$A$11,0)))))),""))</f>
        <v/>
      </c>
      <c r="R1259" s="16" t="str">
        <f t="shared" si="77"/>
        <v/>
      </c>
      <c r="S1259" s="17" t="str">
        <f t="shared" si="78"/>
        <v/>
      </c>
      <c r="T1259" s="18" t="str">
        <f t="shared" ca="1" si="79"/>
        <v/>
      </c>
    </row>
    <row r="1260" spans="1:20" x14ac:dyDescent="0.35">
      <c r="A1260" s="11"/>
      <c r="B1260" s="11"/>
      <c r="C1260" s="11"/>
      <c r="D1260" s="12"/>
      <c r="E1260" s="11"/>
      <c r="F1260" s="13"/>
      <c r="G1260" s="13"/>
      <c r="H1260" s="11"/>
      <c r="I1260" s="12"/>
      <c r="J1260" s="12"/>
      <c r="K1260" s="13"/>
      <c r="L1260" s="13"/>
      <c r="M1260" s="13"/>
      <c r="N1260" s="13"/>
      <c r="O1260" s="13"/>
      <c r="P1260" s="14" t="str">
        <f t="shared" si="76"/>
        <v/>
      </c>
      <c r="Q1260" s="15" t="str">
        <f>IF(OR(J1260="",H1260=""),"",IFERROR(IF(ISNUMBER(N1260),N1260,IF(K1260&lt;N(INDEX(Platforms!$G$5:$G$14,MATCH(H1260,Lists!$A$2:$A$11,0))),N(INDEX(Platforms!$H$5:$H$14,MATCH(H1260,Lists!$A$2:$A$11,0))),MAX(N(INDEX(Platforms!$F$5:$F$14,MATCH(H1260,Lists!$A$2:$A$11,0))),N(INDEX(Platforms!$C$5:$C$14,MATCH(H1260,Lists!$A$2:$A$11,0)))*(K1260+IF(INDEX(Platforms!$E$5:$E$14,MATCH(H1260,Lists!$A$2:$A$11,0))="Yes",N(L1260),0))+N(INDEX(Platforms!$D$5:$D$14,MATCH(H1260,Lists!$A$2:$A$11,0)))))),""))</f>
        <v/>
      </c>
      <c r="R1260" s="16" t="str">
        <f t="shared" si="77"/>
        <v/>
      </c>
      <c r="S1260" s="17" t="str">
        <f t="shared" si="78"/>
        <v/>
      </c>
      <c r="T1260" s="18" t="str">
        <f t="shared" ca="1" si="79"/>
        <v/>
      </c>
    </row>
    <row r="1261" spans="1:20" x14ac:dyDescent="0.35">
      <c r="A1261" s="11"/>
      <c r="B1261" s="11"/>
      <c r="C1261" s="11"/>
      <c r="D1261" s="12"/>
      <c r="E1261" s="11"/>
      <c r="F1261" s="13"/>
      <c r="G1261" s="13"/>
      <c r="H1261" s="11"/>
      <c r="I1261" s="12"/>
      <c r="J1261" s="12"/>
      <c r="K1261" s="13"/>
      <c r="L1261" s="13"/>
      <c r="M1261" s="13"/>
      <c r="N1261" s="13"/>
      <c r="O1261" s="13"/>
      <c r="P1261" s="14" t="str">
        <f t="shared" si="76"/>
        <v/>
      </c>
      <c r="Q1261" s="15" t="str">
        <f>IF(OR(J1261="",H1261=""),"",IFERROR(IF(ISNUMBER(N1261),N1261,IF(K1261&lt;N(INDEX(Platforms!$G$5:$G$14,MATCH(H1261,Lists!$A$2:$A$11,0))),N(INDEX(Platforms!$H$5:$H$14,MATCH(H1261,Lists!$A$2:$A$11,0))),MAX(N(INDEX(Platforms!$F$5:$F$14,MATCH(H1261,Lists!$A$2:$A$11,0))),N(INDEX(Platforms!$C$5:$C$14,MATCH(H1261,Lists!$A$2:$A$11,0)))*(K1261+IF(INDEX(Platforms!$E$5:$E$14,MATCH(H1261,Lists!$A$2:$A$11,0))="Yes",N(L1261),0))+N(INDEX(Platforms!$D$5:$D$14,MATCH(H1261,Lists!$A$2:$A$11,0)))))),""))</f>
        <v/>
      </c>
      <c r="R1261" s="16" t="str">
        <f t="shared" si="77"/>
        <v/>
      </c>
      <c r="S1261" s="17" t="str">
        <f t="shared" si="78"/>
        <v/>
      </c>
      <c r="T1261" s="18" t="str">
        <f t="shared" ca="1" si="79"/>
        <v/>
      </c>
    </row>
    <row r="1262" spans="1:20" x14ac:dyDescent="0.35">
      <c r="A1262" s="11"/>
      <c r="B1262" s="11"/>
      <c r="C1262" s="11"/>
      <c r="D1262" s="12"/>
      <c r="E1262" s="11"/>
      <c r="F1262" s="13"/>
      <c r="G1262" s="13"/>
      <c r="H1262" s="11"/>
      <c r="I1262" s="12"/>
      <c r="J1262" s="12"/>
      <c r="K1262" s="13"/>
      <c r="L1262" s="13"/>
      <c r="M1262" s="13"/>
      <c r="N1262" s="13"/>
      <c r="O1262" s="13"/>
      <c r="P1262" s="14" t="str">
        <f t="shared" si="76"/>
        <v/>
      </c>
      <c r="Q1262" s="15" t="str">
        <f>IF(OR(J1262="",H1262=""),"",IFERROR(IF(ISNUMBER(N1262),N1262,IF(K1262&lt;N(INDEX(Platforms!$G$5:$G$14,MATCH(H1262,Lists!$A$2:$A$11,0))),N(INDEX(Platforms!$H$5:$H$14,MATCH(H1262,Lists!$A$2:$A$11,0))),MAX(N(INDEX(Platforms!$F$5:$F$14,MATCH(H1262,Lists!$A$2:$A$11,0))),N(INDEX(Platforms!$C$5:$C$14,MATCH(H1262,Lists!$A$2:$A$11,0)))*(K1262+IF(INDEX(Platforms!$E$5:$E$14,MATCH(H1262,Lists!$A$2:$A$11,0))="Yes",N(L1262),0))+N(INDEX(Platforms!$D$5:$D$14,MATCH(H1262,Lists!$A$2:$A$11,0)))))),""))</f>
        <v/>
      </c>
      <c r="R1262" s="16" t="str">
        <f t="shared" si="77"/>
        <v/>
      </c>
      <c r="S1262" s="17" t="str">
        <f t="shared" si="78"/>
        <v/>
      </c>
      <c r="T1262" s="18" t="str">
        <f t="shared" ca="1" si="79"/>
        <v/>
      </c>
    </row>
    <row r="1263" spans="1:20" x14ac:dyDescent="0.35">
      <c r="A1263" s="11"/>
      <c r="B1263" s="11"/>
      <c r="C1263" s="11"/>
      <c r="D1263" s="12"/>
      <c r="E1263" s="11"/>
      <c r="F1263" s="13"/>
      <c r="G1263" s="13"/>
      <c r="H1263" s="11"/>
      <c r="I1263" s="12"/>
      <c r="J1263" s="12"/>
      <c r="K1263" s="13"/>
      <c r="L1263" s="13"/>
      <c r="M1263" s="13"/>
      <c r="N1263" s="13"/>
      <c r="O1263" s="13"/>
      <c r="P1263" s="14" t="str">
        <f t="shared" si="76"/>
        <v/>
      </c>
      <c r="Q1263" s="15" t="str">
        <f>IF(OR(J1263="",H1263=""),"",IFERROR(IF(ISNUMBER(N1263),N1263,IF(K1263&lt;N(INDEX(Platforms!$G$5:$G$14,MATCH(H1263,Lists!$A$2:$A$11,0))),N(INDEX(Platforms!$H$5:$H$14,MATCH(H1263,Lists!$A$2:$A$11,0))),MAX(N(INDEX(Platforms!$F$5:$F$14,MATCH(H1263,Lists!$A$2:$A$11,0))),N(INDEX(Platforms!$C$5:$C$14,MATCH(H1263,Lists!$A$2:$A$11,0)))*(K1263+IF(INDEX(Platforms!$E$5:$E$14,MATCH(H1263,Lists!$A$2:$A$11,0))="Yes",N(L1263),0))+N(INDEX(Platforms!$D$5:$D$14,MATCH(H1263,Lists!$A$2:$A$11,0)))))),""))</f>
        <v/>
      </c>
      <c r="R1263" s="16" t="str">
        <f t="shared" si="77"/>
        <v/>
      </c>
      <c r="S1263" s="17" t="str">
        <f t="shared" si="78"/>
        <v/>
      </c>
      <c r="T1263" s="18" t="str">
        <f t="shared" ca="1" si="79"/>
        <v/>
      </c>
    </row>
    <row r="1264" spans="1:20" x14ac:dyDescent="0.35">
      <c r="A1264" s="11"/>
      <c r="B1264" s="11"/>
      <c r="C1264" s="11"/>
      <c r="D1264" s="12"/>
      <c r="E1264" s="11"/>
      <c r="F1264" s="13"/>
      <c r="G1264" s="13"/>
      <c r="H1264" s="11"/>
      <c r="I1264" s="12"/>
      <c r="J1264" s="12"/>
      <c r="K1264" s="13"/>
      <c r="L1264" s="13"/>
      <c r="M1264" s="13"/>
      <c r="N1264" s="13"/>
      <c r="O1264" s="13"/>
      <c r="P1264" s="14" t="str">
        <f t="shared" si="76"/>
        <v/>
      </c>
      <c r="Q1264" s="15" t="str">
        <f>IF(OR(J1264="",H1264=""),"",IFERROR(IF(ISNUMBER(N1264),N1264,IF(K1264&lt;N(INDEX(Platforms!$G$5:$G$14,MATCH(H1264,Lists!$A$2:$A$11,0))),N(INDEX(Platforms!$H$5:$H$14,MATCH(H1264,Lists!$A$2:$A$11,0))),MAX(N(INDEX(Platforms!$F$5:$F$14,MATCH(H1264,Lists!$A$2:$A$11,0))),N(INDEX(Platforms!$C$5:$C$14,MATCH(H1264,Lists!$A$2:$A$11,0)))*(K1264+IF(INDEX(Platforms!$E$5:$E$14,MATCH(H1264,Lists!$A$2:$A$11,0))="Yes",N(L1264),0))+N(INDEX(Platforms!$D$5:$D$14,MATCH(H1264,Lists!$A$2:$A$11,0)))))),""))</f>
        <v/>
      </c>
      <c r="R1264" s="16" t="str">
        <f t="shared" si="77"/>
        <v/>
      </c>
      <c r="S1264" s="17" t="str">
        <f t="shared" si="78"/>
        <v/>
      </c>
      <c r="T1264" s="18" t="str">
        <f t="shared" ca="1" si="79"/>
        <v/>
      </c>
    </row>
    <row r="1265" spans="1:20" x14ac:dyDescent="0.35">
      <c r="A1265" s="11"/>
      <c r="B1265" s="11"/>
      <c r="C1265" s="11"/>
      <c r="D1265" s="12"/>
      <c r="E1265" s="11"/>
      <c r="F1265" s="13"/>
      <c r="G1265" s="13"/>
      <c r="H1265" s="11"/>
      <c r="I1265" s="12"/>
      <c r="J1265" s="12"/>
      <c r="K1265" s="13"/>
      <c r="L1265" s="13"/>
      <c r="M1265" s="13"/>
      <c r="N1265" s="13"/>
      <c r="O1265" s="13"/>
      <c r="P1265" s="14" t="str">
        <f t="shared" si="76"/>
        <v/>
      </c>
      <c r="Q1265" s="15" t="str">
        <f>IF(OR(J1265="",H1265=""),"",IFERROR(IF(ISNUMBER(N1265),N1265,IF(K1265&lt;N(INDEX(Platforms!$G$5:$G$14,MATCH(H1265,Lists!$A$2:$A$11,0))),N(INDEX(Platforms!$H$5:$H$14,MATCH(H1265,Lists!$A$2:$A$11,0))),MAX(N(INDEX(Platforms!$F$5:$F$14,MATCH(H1265,Lists!$A$2:$A$11,0))),N(INDEX(Platforms!$C$5:$C$14,MATCH(H1265,Lists!$A$2:$A$11,0)))*(K1265+IF(INDEX(Platforms!$E$5:$E$14,MATCH(H1265,Lists!$A$2:$A$11,0))="Yes",N(L1265),0))+N(INDEX(Platforms!$D$5:$D$14,MATCH(H1265,Lists!$A$2:$A$11,0)))))),""))</f>
        <v/>
      </c>
      <c r="R1265" s="16" t="str">
        <f t="shared" si="77"/>
        <v/>
      </c>
      <c r="S1265" s="17" t="str">
        <f t="shared" si="78"/>
        <v/>
      </c>
      <c r="T1265" s="18" t="str">
        <f t="shared" ca="1" si="79"/>
        <v/>
      </c>
    </row>
    <row r="1266" spans="1:20" x14ac:dyDescent="0.35">
      <c r="A1266" s="11"/>
      <c r="B1266" s="11"/>
      <c r="C1266" s="11"/>
      <c r="D1266" s="12"/>
      <c r="E1266" s="11"/>
      <c r="F1266" s="13"/>
      <c r="G1266" s="13"/>
      <c r="H1266" s="11"/>
      <c r="I1266" s="12"/>
      <c r="J1266" s="12"/>
      <c r="K1266" s="13"/>
      <c r="L1266" s="13"/>
      <c r="M1266" s="13"/>
      <c r="N1266" s="13"/>
      <c r="O1266" s="13"/>
      <c r="P1266" s="14" t="str">
        <f t="shared" si="76"/>
        <v/>
      </c>
      <c r="Q1266" s="15" t="str">
        <f>IF(OR(J1266="",H1266=""),"",IFERROR(IF(ISNUMBER(N1266),N1266,IF(K1266&lt;N(INDEX(Platforms!$G$5:$G$14,MATCH(H1266,Lists!$A$2:$A$11,0))),N(INDEX(Platforms!$H$5:$H$14,MATCH(H1266,Lists!$A$2:$A$11,0))),MAX(N(INDEX(Platforms!$F$5:$F$14,MATCH(H1266,Lists!$A$2:$A$11,0))),N(INDEX(Platforms!$C$5:$C$14,MATCH(H1266,Lists!$A$2:$A$11,0)))*(K1266+IF(INDEX(Platforms!$E$5:$E$14,MATCH(H1266,Lists!$A$2:$A$11,0))="Yes",N(L1266),0))+N(INDEX(Platforms!$D$5:$D$14,MATCH(H1266,Lists!$A$2:$A$11,0)))))),""))</f>
        <v/>
      </c>
      <c r="R1266" s="16" t="str">
        <f t="shared" si="77"/>
        <v/>
      </c>
      <c r="S1266" s="17" t="str">
        <f t="shared" si="78"/>
        <v/>
      </c>
      <c r="T1266" s="18" t="str">
        <f t="shared" ca="1" si="79"/>
        <v/>
      </c>
    </row>
    <row r="1267" spans="1:20" x14ac:dyDescent="0.35">
      <c r="A1267" s="11"/>
      <c r="B1267" s="11"/>
      <c r="C1267" s="11"/>
      <c r="D1267" s="12"/>
      <c r="E1267" s="11"/>
      <c r="F1267" s="13"/>
      <c r="G1267" s="13"/>
      <c r="H1267" s="11"/>
      <c r="I1267" s="12"/>
      <c r="J1267" s="12"/>
      <c r="K1267" s="13"/>
      <c r="L1267" s="13"/>
      <c r="M1267" s="13"/>
      <c r="N1267" s="13"/>
      <c r="O1267" s="13"/>
      <c r="P1267" s="14" t="str">
        <f t="shared" si="76"/>
        <v/>
      </c>
      <c r="Q1267" s="15" t="str">
        <f>IF(OR(J1267="",H1267=""),"",IFERROR(IF(ISNUMBER(N1267),N1267,IF(K1267&lt;N(INDEX(Platforms!$G$5:$G$14,MATCH(H1267,Lists!$A$2:$A$11,0))),N(INDEX(Platforms!$H$5:$H$14,MATCH(H1267,Lists!$A$2:$A$11,0))),MAX(N(INDEX(Platforms!$F$5:$F$14,MATCH(H1267,Lists!$A$2:$A$11,0))),N(INDEX(Platforms!$C$5:$C$14,MATCH(H1267,Lists!$A$2:$A$11,0)))*(K1267+IF(INDEX(Platforms!$E$5:$E$14,MATCH(H1267,Lists!$A$2:$A$11,0))="Yes",N(L1267),0))+N(INDEX(Platforms!$D$5:$D$14,MATCH(H1267,Lists!$A$2:$A$11,0)))))),""))</f>
        <v/>
      </c>
      <c r="R1267" s="16" t="str">
        <f t="shared" si="77"/>
        <v/>
      </c>
      <c r="S1267" s="17" t="str">
        <f t="shared" si="78"/>
        <v/>
      </c>
      <c r="T1267" s="18" t="str">
        <f t="shared" ca="1" si="79"/>
        <v/>
      </c>
    </row>
    <row r="1268" spans="1:20" x14ac:dyDescent="0.35">
      <c r="A1268" s="11"/>
      <c r="B1268" s="11"/>
      <c r="C1268" s="11"/>
      <c r="D1268" s="12"/>
      <c r="E1268" s="11"/>
      <c r="F1268" s="13"/>
      <c r="G1268" s="13"/>
      <c r="H1268" s="11"/>
      <c r="I1268" s="12"/>
      <c r="J1268" s="12"/>
      <c r="K1268" s="13"/>
      <c r="L1268" s="13"/>
      <c r="M1268" s="13"/>
      <c r="N1268" s="13"/>
      <c r="O1268" s="13"/>
      <c r="P1268" s="14" t="str">
        <f t="shared" si="76"/>
        <v/>
      </c>
      <c r="Q1268" s="15" t="str">
        <f>IF(OR(J1268="",H1268=""),"",IFERROR(IF(ISNUMBER(N1268),N1268,IF(K1268&lt;N(INDEX(Platforms!$G$5:$G$14,MATCH(H1268,Lists!$A$2:$A$11,0))),N(INDEX(Platforms!$H$5:$H$14,MATCH(H1268,Lists!$A$2:$A$11,0))),MAX(N(INDEX(Platforms!$F$5:$F$14,MATCH(H1268,Lists!$A$2:$A$11,0))),N(INDEX(Platforms!$C$5:$C$14,MATCH(H1268,Lists!$A$2:$A$11,0)))*(K1268+IF(INDEX(Platforms!$E$5:$E$14,MATCH(H1268,Lists!$A$2:$A$11,0))="Yes",N(L1268),0))+N(INDEX(Platforms!$D$5:$D$14,MATCH(H1268,Lists!$A$2:$A$11,0)))))),""))</f>
        <v/>
      </c>
      <c r="R1268" s="16" t="str">
        <f t="shared" si="77"/>
        <v/>
      </c>
      <c r="S1268" s="17" t="str">
        <f t="shared" si="78"/>
        <v/>
      </c>
      <c r="T1268" s="18" t="str">
        <f t="shared" ca="1" si="79"/>
        <v/>
      </c>
    </row>
    <row r="1269" spans="1:20" x14ac:dyDescent="0.35">
      <c r="A1269" s="11"/>
      <c r="B1269" s="11"/>
      <c r="C1269" s="11"/>
      <c r="D1269" s="12"/>
      <c r="E1269" s="11"/>
      <c r="F1269" s="13"/>
      <c r="G1269" s="13"/>
      <c r="H1269" s="11"/>
      <c r="I1269" s="12"/>
      <c r="J1269" s="12"/>
      <c r="K1269" s="13"/>
      <c r="L1269" s="13"/>
      <c r="M1269" s="13"/>
      <c r="N1269" s="13"/>
      <c r="O1269" s="13"/>
      <c r="P1269" s="14" t="str">
        <f t="shared" si="76"/>
        <v/>
      </c>
      <c r="Q1269" s="15" t="str">
        <f>IF(OR(J1269="",H1269=""),"",IFERROR(IF(ISNUMBER(N1269),N1269,IF(K1269&lt;N(INDEX(Platforms!$G$5:$G$14,MATCH(H1269,Lists!$A$2:$A$11,0))),N(INDEX(Platforms!$H$5:$H$14,MATCH(H1269,Lists!$A$2:$A$11,0))),MAX(N(INDEX(Platforms!$F$5:$F$14,MATCH(H1269,Lists!$A$2:$A$11,0))),N(INDEX(Platforms!$C$5:$C$14,MATCH(H1269,Lists!$A$2:$A$11,0)))*(K1269+IF(INDEX(Platforms!$E$5:$E$14,MATCH(H1269,Lists!$A$2:$A$11,0))="Yes",N(L1269),0))+N(INDEX(Platforms!$D$5:$D$14,MATCH(H1269,Lists!$A$2:$A$11,0)))))),""))</f>
        <v/>
      </c>
      <c r="R1269" s="16" t="str">
        <f t="shared" si="77"/>
        <v/>
      </c>
      <c r="S1269" s="17" t="str">
        <f t="shared" si="78"/>
        <v/>
      </c>
      <c r="T1269" s="18" t="str">
        <f t="shared" ca="1" si="79"/>
        <v/>
      </c>
    </row>
    <row r="1270" spans="1:20" x14ac:dyDescent="0.35">
      <c r="A1270" s="11"/>
      <c r="B1270" s="11"/>
      <c r="C1270" s="11"/>
      <c r="D1270" s="12"/>
      <c r="E1270" s="11"/>
      <c r="F1270" s="13"/>
      <c r="G1270" s="13"/>
      <c r="H1270" s="11"/>
      <c r="I1270" s="12"/>
      <c r="J1270" s="12"/>
      <c r="K1270" s="13"/>
      <c r="L1270" s="13"/>
      <c r="M1270" s="13"/>
      <c r="N1270" s="13"/>
      <c r="O1270" s="13"/>
      <c r="P1270" s="14" t="str">
        <f t="shared" si="76"/>
        <v/>
      </c>
      <c r="Q1270" s="15" t="str">
        <f>IF(OR(J1270="",H1270=""),"",IFERROR(IF(ISNUMBER(N1270),N1270,IF(K1270&lt;N(INDEX(Platforms!$G$5:$G$14,MATCH(H1270,Lists!$A$2:$A$11,0))),N(INDEX(Platforms!$H$5:$H$14,MATCH(H1270,Lists!$A$2:$A$11,0))),MAX(N(INDEX(Platforms!$F$5:$F$14,MATCH(H1270,Lists!$A$2:$A$11,0))),N(INDEX(Platforms!$C$5:$C$14,MATCH(H1270,Lists!$A$2:$A$11,0)))*(K1270+IF(INDEX(Platforms!$E$5:$E$14,MATCH(H1270,Lists!$A$2:$A$11,0))="Yes",N(L1270),0))+N(INDEX(Platforms!$D$5:$D$14,MATCH(H1270,Lists!$A$2:$A$11,0)))))),""))</f>
        <v/>
      </c>
      <c r="R1270" s="16" t="str">
        <f t="shared" si="77"/>
        <v/>
      </c>
      <c r="S1270" s="17" t="str">
        <f t="shared" si="78"/>
        <v/>
      </c>
      <c r="T1270" s="18" t="str">
        <f t="shared" ca="1" si="79"/>
        <v/>
      </c>
    </row>
    <row r="1271" spans="1:20" x14ac:dyDescent="0.35">
      <c r="A1271" s="11"/>
      <c r="B1271" s="11"/>
      <c r="C1271" s="11"/>
      <c r="D1271" s="12"/>
      <c r="E1271" s="11"/>
      <c r="F1271" s="13"/>
      <c r="G1271" s="13"/>
      <c r="H1271" s="11"/>
      <c r="I1271" s="12"/>
      <c r="J1271" s="12"/>
      <c r="K1271" s="13"/>
      <c r="L1271" s="13"/>
      <c r="M1271" s="13"/>
      <c r="N1271" s="13"/>
      <c r="O1271" s="13"/>
      <c r="P1271" s="14" t="str">
        <f t="shared" si="76"/>
        <v/>
      </c>
      <c r="Q1271" s="15" t="str">
        <f>IF(OR(J1271="",H1271=""),"",IFERROR(IF(ISNUMBER(N1271),N1271,IF(K1271&lt;N(INDEX(Platforms!$G$5:$G$14,MATCH(H1271,Lists!$A$2:$A$11,0))),N(INDEX(Platforms!$H$5:$H$14,MATCH(H1271,Lists!$A$2:$A$11,0))),MAX(N(INDEX(Platforms!$F$5:$F$14,MATCH(H1271,Lists!$A$2:$A$11,0))),N(INDEX(Platforms!$C$5:$C$14,MATCH(H1271,Lists!$A$2:$A$11,0)))*(K1271+IF(INDEX(Platforms!$E$5:$E$14,MATCH(H1271,Lists!$A$2:$A$11,0))="Yes",N(L1271),0))+N(INDEX(Platforms!$D$5:$D$14,MATCH(H1271,Lists!$A$2:$A$11,0)))))),""))</f>
        <v/>
      </c>
      <c r="R1271" s="16" t="str">
        <f t="shared" si="77"/>
        <v/>
      </c>
      <c r="S1271" s="17" t="str">
        <f t="shared" si="78"/>
        <v/>
      </c>
      <c r="T1271" s="18" t="str">
        <f t="shared" ca="1" si="79"/>
        <v/>
      </c>
    </row>
    <row r="1272" spans="1:20" x14ac:dyDescent="0.35">
      <c r="A1272" s="11"/>
      <c r="B1272" s="11"/>
      <c r="C1272" s="11"/>
      <c r="D1272" s="12"/>
      <c r="E1272" s="11"/>
      <c r="F1272" s="13"/>
      <c r="G1272" s="13"/>
      <c r="H1272" s="11"/>
      <c r="I1272" s="12"/>
      <c r="J1272" s="12"/>
      <c r="K1272" s="13"/>
      <c r="L1272" s="13"/>
      <c r="M1272" s="13"/>
      <c r="N1272" s="13"/>
      <c r="O1272" s="13"/>
      <c r="P1272" s="14" t="str">
        <f t="shared" si="76"/>
        <v/>
      </c>
      <c r="Q1272" s="15" t="str">
        <f>IF(OR(J1272="",H1272=""),"",IFERROR(IF(ISNUMBER(N1272),N1272,IF(K1272&lt;N(INDEX(Platforms!$G$5:$G$14,MATCH(H1272,Lists!$A$2:$A$11,0))),N(INDEX(Platforms!$H$5:$H$14,MATCH(H1272,Lists!$A$2:$A$11,0))),MAX(N(INDEX(Platforms!$F$5:$F$14,MATCH(H1272,Lists!$A$2:$A$11,0))),N(INDEX(Platforms!$C$5:$C$14,MATCH(H1272,Lists!$A$2:$A$11,0)))*(K1272+IF(INDEX(Platforms!$E$5:$E$14,MATCH(H1272,Lists!$A$2:$A$11,0))="Yes",N(L1272),0))+N(INDEX(Platforms!$D$5:$D$14,MATCH(H1272,Lists!$A$2:$A$11,0)))))),""))</f>
        <v/>
      </c>
      <c r="R1272" s="16" t="str">
        <f t="shared" si="77"/>
        <v/>
      </c>
      <c r="S1272" s="17" t="str">
        <f t="shared" si="78"/>
        <v/>
      </c>
      <c r="T1272" s="18" t="str">
        <f t="shared" ca="1" si="79"/>
        <v/>
      </c>
    </row>
    <row r="1273" spans="1:20" x14ac:dyDescent="0.35">
      <c r="A1273" s="11"/>
      <c r="B1273" s="11"/>
      <c r="C1273" s="11"/>
      <c r="D1273" s="12"/>
      <c r="E1273" s="11"/>
      <c r="F1273" s="13"/>
      <c r="G1273" s="13"/>
      <c r="H1273" s="11"/>
      <c r="I1273" s="12"/>
      <c r="J1273" s="12"/>
      <c r="K1273" s="13"/>
      <c r="L1273" s="13"/>
      <c r="M1273" s="13"/>
      <c r="N1273" s="13"/>
      <c r="O1273" s="13"/>
      <c r="P1273" s="14" t="str">
        <f t="shared" si="76"/>
        <v/>
      </c>
      <c r="Q1273" s="15" t="str">
        <f>IF(OR(J1273="",H1273=""),"",IFERROR(IF(ISNUMBER(N1273),N1273,IF(K1273&lt;N(INDEX(Platforms!$G$5:$G$14,MATCH(H1273,Lists!$A$2:$A$11,0))),N(INDEX(Platforms!$H$5:$H$14,MATCH(H1273,Lists!$A$2:$A$11,0))),MAX(N(INDEX(Platforms!$F$5:$F$14,MATCH(H1273,Lists!$A$2:$A$11,0))),N(INDEX(Platforms!$C$5:$C$14,MATCH(H1273,Lists!$A$2:$A$11,0)))*(K1273+IF(INDEX(Platforms!$E$5:$E$14,MATCH(H1273,Lists!$A$2:$A$11,0))="Yes",N(L1273),0))+N(INDEX(Platforms!$D$5:$D$14,MATCH(H1273,Lists!$A$2:$A$11,0)))))),""))</f>
        <v/>
      </c>
      <c r="R1273" s="16" t="str">
        <f t="shared" si="77"/>
        <v/>
      </c>
      <c r="S1273" s="17" t="str">
        <f t="shared" si="78"/>
        <v/>
      </c>
      <c r="T1273" s="18" t="str">
        <f t="shared" ca="1" si="79"/>
        <v/>
      </c>
    </row>
    <row r="1274" spans="1:20" x14ac:dyDescent="0.35">
      <c r="A1274" s="11"/>
      <c r="B1274" s="11"/>
      <c r="C1274" s="11"/>
      <c r="D1274" s="12"/>
      <c r="E1274" s="11"/>
      <c r="F1274" s="13"/>
      <c r="G1274" s="13"/>
      <c r="H1274" s="11"/>
      <c r="I1274" s="12"/>
      <c r="J1274" s="12"/>
      <c r="K1274" s="13"/>
      <c r="L1274" s="13"/>
      <c r="M1274" s="13"/>
      <c r="N1274" s="13"/>
      <c r="O1274" s="13"/>
      <c r="P1274" s="14" t="str">
        <f t="shared" si="76"/>
        <v/>
      </c>
      <c r="Q1274" s="15" t="str">
        <f>IF(OR(J1274="",H1274=""),"",IFERROR(IF(ISNUMBER(N1274),N1274,IF(K1274&lt;N(INDEX(Platforms!$G$5:$G$14,MATCH(H1274,Lists!$A$2:$A$11,0))),N(INDEX(Platforms!$H$5:$H$14,MATCH(H1274,Lists!$A$2:$A$11,0))),MAX(N(INDEX(Platforms!$F$5:$F$14,MATCH(H1274,Lists!$A$2:$A$11,0))),N(INDEX(Platforms!$C$5:$C$14,MATCH(H1274,Lists!$A$2:$A$11,0)))*(K1274+IF(INDEX(Platforms!$E$5:$E$14,MATCH(H1274,Lists!$A$2:$A$11,0))="Yes",N(L1274),0))+N(INDEX(Platforms!$D$5:$D$14,MATCH(H1274,Lists!$A$2:$A$11,0)))))),""))</f>
        <v/>
      </c>
      <c r="R1274" s="16" t="str">
        <f t="shared" si="77"/>
        <v/>
      </c>
      <c r="S1274" s="17" t="str">
        <f t="shared" si="78"/>
        <v/>
      </c>
      <c r="T1274" s="18" t="str">
        <f t="shared" ca="1" si="79"/>
        <v/>
      </c>
    </row>
    <row r="1275" spans="1:20" x14ac:dyDescent="0.35">
      <c r="A1275" s="11"/>
      <c r="B1275" s="11"/>
      <c r="C1275" s="11"/>
      <c r="D1275" s="12"/>
      <c r="E1275" s="11"/>
      <c r="F1275" s="13"/>
      <c r="G1275" s="13"/>
      <c r="H1275" s="11"/>
      <c r="I1275" s="12"/>
      <c r="J1275" s="12"/>
      <c r="K1275" s="13"/>
      <c r="L1275" s="13"/>
      <c r="M1275" s="13"/>
      <c r="N1275" s="13"/>
      <c r="O1275" s="13"/>
      <c r="P1275" s="14" t="str">
        <f t="shared" si="76"/>
        <v/>
      </c>
      <c r="Q1275" s="15" t="str">
        <f>IF(OR(J1275="",H1275=""),"",IFERROR(IF(ISNUMBER(N1275),N1275,IF(K1275&lt;N(INDEX(Platforms!$G$5:$G$14,MATCH(H1275,Lists!$A$2:$A$11,0))),N(INDEX(Platforms!$H$5:$H$14,MATCH(H1275,Lists!$A$2:$A$11,0))),MAX(N(INDEX(Platforms!$F$5:$F$14,MATCH(H1275,Lists!$A$2:$A$11,0))),N(INDEX(Platforms!$C$5:$C$14,MATCH(H1275,Lists!$A$2:$A$11,0)))*(K1275+IF(INDEX(Platforms!$E$5:$E$14,MATCH(H1275,Lists!$A$2:$A$11,0))="Yes",N(L1275),0))+N(INDEX(Platforms!$D$5:$D$14,MATCH(H1275,Lists!$A$2:$A$11,0)))))),""))</f>
        <v/>
      </c>
      <c r="R1275" s="16" t="str">
        <f t="shared" si="77"/>
        <v/>
      </c>
      <c r="S1275" s="17" t="str">
        <f t="shared" si="78"/>
        <v/>
      </c>
      <c r="T1275" s="18" t="str">
        <f t="shared" ca="1" si="79"/>
        <v/>
      </c>
    </row>
    <row r="1276" spans="1:20" x14ac:dyDescent="0.35">
      <c r="A1276" s="11"/>
      <c r="B1276" s="11"/>
      <c r="C1276" s="11"/>
      <c r="D1276" s="12"/>
      <c r="E1276" s="11"/>
      <c r="F1276" s="13"/>
      <c r="G1276" s="13"/>
      <c r="H1276" s="11"/>
      <c r="I1276" s="12"/>
      <c r="J1276" s="12"/>
      <c r="K1276" s="13"/>
      <c r="L1276" s="13"/>
      <c r="M1276" s="13"/>
      <c r="N1276" s="13"/>
      <c r="O1276" s="13"/>
      <c r="P1276" s="14" t="str">
        <f t="shared" si="76"/>
        <v/>
      </c>
      <c r="Q1276" s="15" t="str">
        <f>IF(OR(J1276="",H1276=""),"",IFERROR(IF(ISNUMBER(N1276),N1276,IF(K1276&lt;N(INDEX(Platforms!$G$5:$G$14,MATCH(H1276,Lists!$A$2:$A$11,0))),N(INDEX(Platforms!$H$5:$H$14,MATCH(H1276,Lists!$A$2:$A$11,0))),MAX(N(INDEX(Platforms!$F$5:$F$14,MATCH(H1276,Lists!$A$2:$A$11,0))),N(INDEX(Platforms!$C$5:$C$14,MATCH(H1276,Lists!$A$2:$A$11,0)))*(K1276+IF(INDEX(Platforms!$E$5:$E$14,MATCH(H1276,Lists!$A$2:$A$11,0))="Yes",N(L1276),0))+N(INDEX(Platforms!$D$5:$D$14,MATCH(H1276,Lists!$A$2:$A$11,0)))))),""))</f>
        <v/>
      </c>
      <c r="R1276" s="16" t="str">
        <f t="shared" si="77"/>
        <v/>
      </c>
      <c r="S1276" s="17" t="str">
        <f t="shared" si="78"/>
        <v/>
      </c>
      <c r="T1276" s="18" t="str">
        <f t="shared" ca="1" si="79"/>
        <v/>
      </c>
    </row>
    <row r="1277" spans="1:20" x14ac:dyDescent="0.35">
      <c r="A1277" s="11"/>
      <c r="B1277" s="11"/>
      <c r="C1277" s="11"/>
      <c r="D1277" s="12"/>
      <c r="E1277" s="11"/>
      <c r="F1277" s="13"/>
      <c r="G1277" s="13"/>
      <c r="H1277" s="11"/>
      <c r="I1277" s="12"/>
      <c r="J1277" s="12"/>
      <c r="K1277" s="13"/>
      <c r="L1277" s="13"/>
      <c r="M1277" s="13"/>
      <c r="N1277" s="13"/>
      <c r="O1277" s="13"/>
      <c r="P1277" s="14" t="str">
        <f t="shared" si="76"/>
        <v/>
      </c>
      <c r="Q1277" s="15" t="str">
        <f>IF(OR(J1277="",H1277=""),"",IFERROR(IF(ISNUMBER(N1277),N1277,IF(K1277&lt;N(INDEX(Platforms!$G$5:$G$14,MATCH(H1277,Lists!$A$2:$A$11,0))),N(INDEX(Platforms!$H$5:$H$14,MATCH(H1277,Lists!$A$2:$A$11,0))),MAX(N(INDEX(Platforms!$F$5:$F$14,MATCH(H1277,Lists!$A$2:$A$11,0))),N(INDEX(Platforms!$C$5:$C$14,MATCH(H1277,Lists!$A$2:$A$11,0)))*(K1277+IF(INDEX(Platforms!$E$5:$E$14,MATCH(H1277,Lists!$A$2:$A$11,0))="Yes",N(L1277),0))+N(INDEX(Platforms!$D$5:$D$14,MATCH(H1277,Lists!$A$2:$A$11,0)))))),""))</f>
        <v/>
      </c>
      <c r="R1277" s="16" t="str">
        <f t="shared" si="77"/>
        <v/>
      </c>
      <c r="S1277" s="17" t="str">
        <f t="shared" si="78"/>
        <v/>
      </c>
      <c r="T1277" s="18" t="str">
        <f t="shared" ca="1" si="79"/>
        <v/>
      </c>
    </row>
    <row r="1278" spans="1:20" x14ac:dyDescent="0.35">
      <c r="A1278" s="11"/>
      <c r="B1278" s="11"/>
      <c r="C1278" s="11"/>
      <c r="D1278" s="12"/>
      <c r="E1278" s="11"/>
      <c r="F1278" s="13"/>
      <c r="G1278" s="13"/>
      <c r="H1278" s="11"/>
      <c r="I1278" s="12"/>
      <c r="J1278" s="12"/>
      <c r="K1278" s="13"/>
      <c r="L1278" s="13"/>
      <c r="M1278" s="13"/>
      <c r="N1278" s="13"/>
      <c r="O1278" s="13"/>
      <c r="P1278" s="14" t="str">
        <f t="shared" si="76"/>
        <v/>
      </c>
      <c r="Q1278" s="15" t="str">
        <f>IF(OR(J1278="",H1278=""),"",IFERROR(IF(ISNUMBER(N1278),N1278,IF(K1278&lt;N(INDEX(Platforms!$G$5:$G$14,MATCH(H1278,Lists!$A$2:$A$11,0))),N(INDEX(Platforms!$H$5:$H$14,MATCH(H1278,Lists!$A$2:$A$11,0))),MAX(N(INDEX(Platforms!$F$5:$F$14,MATCH(H1278,Lists!$A$2:$A$11,0))),N(INDEX(Platforms!$C$5:$C$14,MATCH(H1278,Lists!$A$2:$A$11,0)))*(K1278+IF(INDEX(Platforms!$E$5:$E$14,MATCH(H1278,Lists!$A$2:$A$11,0))="Yes",N(L1278),0))+N(INDEX(Platforms!$D$5:$D$14,MATCH(H1278,Lists!$A$2:$A$11,0)))))),""))</f>
        <v/>
      </c>
      <c r="R1278" s="16" t="str">
        <f t="shared" si="77"/>
        <v/>
      </c>
      <c r="S1278" s="17" t="str">
        <f t="shared" si="78"/>
        <v/>
      </c>
      <c r="T1278" s="18" t="str">
        <f t="shared" ca="1" si="79"/>
        <v/>
      </c>
    </row>
    <row r="1279" spans="1:20" x14ac:dyDescent="0.35">
      <c r="A1279" s="11"/>
      <c r="B1279" s="11"/>
      <c r="C1279" s="11"/>
      <c r="D1279" s="12"/>
      <c r="E1279" s="11"/>
      <c r="F1279" s="13"/>
      <c r="G1279" s="13"/>
      <c r="H1279" s="11"/>
      <c r="I1279" s="12"/>
      <c r="J1279" s="12"/>
      <c r="K1279" s="13"/>
      <c r="L1279" s="13"/>
      <c r="M1279" s="13"/>
      <c r="N1279" s="13"/>
      <c r="O1279" s="13"/>
      <c r="P1279" s="14" t="str">
        <f t="shared" si="76"/>
        <v/>
      </c>
      <c r="Q1279" s="15" t="str">
        <f>IF(OR(J1279="",H1279=""),"",IFERROR(IF(ISNUMBER(N1279),N1279,IF(K1279&lt;N(INDEX(Platforms!$G$5:$G$14,MATCH(H1279,Lists!$A$2:$A$11,0))),N(INDEX(Platforms!$H$5:$H$14,MATCH(H1279,Lists!$A$2:$A$11,0))),MAX(N(INDEX(Platforms!$F$5:$F$14,MATCH(H1279,Lists!$A$2:$A$11,0))),N(INDEX(Platforms!$C$5:$C$14,MATCH(H1279,Lists!$A$2:$A$11,0)))*(K1279+IF(INDEX(Platforms!$E$5:$E$14,MATCH(H1279,Lists!$A$2:$A$11,0))="Yes",N(L1279),0))+N(INDEX(Platforms!$D$5:$D$14,MATCH(H1279,Lists!$A$2:$A$11,0)))))),""))</f>
        <v/>
      </c>
      <c r="R1279" s="16" t="str">
        <f t="shared" si="77"/>
        <v/>
      </c>
      <c r="S1279" s="17" t="str">
        <f t="shared" si="78"/>
        <v/>
      </c>
      <c r="T1279" s="18" t="str">
        <f t="shared" ca="1" si="79"/>
        <v/>
      </c>
    </row>
    <row r="1280" spans="1:20" x14ac:dyDescent="0.35">
      <c r="A1280" s="11"/>
      <c r="B1280" s="11"/>
      <c r="C1280" s="11"/>
      <c r="D1280" s="12"/>
      <c r="E1280" s="11"/>
      <c r="F1280" s="13"/>
      <c r="G1280" s="13"/>
      <c r="H1280" s="11"/>
      <c r="I1280" s="12"/>
      <c r="J1280" s="12"/>
      <c r="K1280" s="13"/>
      <c r="L1280" s="13"/>
      <c r="M1280" s="13"/>
      <c r="N1280" s="13"/>
      <c r="O1280" s="13"/>
      <c r="P1280" s="14" t="str">
        <f t="shared" si="76"/>
        <v/>
      </c>
      <c r="Q1280" s="15" t="str">
        <f>IF(OR(J1280="",H1280=""),"",IFERROR(IF(ISNUMBER(N1280),N1280,IF(K1280&lt;N(INDEX(Platforms!$G$5:$G$14,MATCH(H1280,Lists!$A$2:$A$11,0))),N(INDEX(Platforms!$H$5:$H$14,MATCH(H1280,Lists!$A$2:$A$11,0))),MAX(N(INDEX(Platforms!$F$5:$F$14,MATCH(H1280,Lists!$A$2:$A$11,0))),N(INDEX(Platforms!$C$5:$C$14,MATCH(H1280,Lists!$A$2:$A$11,0)))*(K1280+IF(INDEX(Platforms!$E$5:$E$14,MATCH(H1280,Lists!$A$2:$A$11,0))="Yes",N(L1280),0))+N(INDEX(Platforms!$D$5:$D$14,MATCH(H1280,Lists!$A$2:$A$11,0)))))),""))</f>
        <v/>
      </c>
      <c r="R1280" s="16" t="str">
        <f t="shared" si="77"/>
        <v/>
      </c>
      <c r="S1280" s="17" t="str">
        <f t="shared" si="78"/>
        <v/>
      </c>
      <c r="T1280" s="18" t="str">
        <f t="shared" ca="1" si="79"/>
        <v/>
      </c>
    </row>
    <row r="1281" spans="1:20" x14ac:dyDescent="0.35">
      <c r="A1281" s="11"/>
      <c r="B1281" s="11"/>
      <c r="C1281" s="11"/>
      <c r="D1281" s="12"/>
      <c r="E1281" s="11"/>
      <c r="F1281" s="13"/>
      <c r="G1281" s="13"/>
      <c r="H1281" s="11"/>
      <c r="I1281" s="12"/>
      <c r="J1281" s="12"/>
      <c r="K1281" s="13"/>
      <c r="L1281" s="13"/>
      <c r="M1281" s="13"/>
      <c r="N1281" s="13"/>
      <c r="O1281" s="13"/>
      <c r="P1281" s="14" t="str">
        <f t="shared" si="76"/>
        <v/>
      </c>
      <c r="Q1281" s="15" t="str">
        <f>IF(OR(J1281="",H1281=""),"",IFERROR(IF(ISNUMBER(N1281),N1281,IF(K1281&lt;N(INDEX(Platforms!$G$5:$G$14,MATCH(H1281,Lists!$A$2:$A$11,0))),N(INDEX(Platforms!$H$5:$H$14,MATCH(H1281,Lists!$A$2:$A$11,0))),MAX(N(INDEX(Platforms!$F$5:$F$14,MATCH(H1281,Lists!$A$2:$A$11,0))),N(INDEX(Platforms!$C$5:$C$14,MATCH(H1281,Lists!$A$2:$A$11,0)))*(K1281+IF(INDEX(Platforms!$E$5:$E$14,MATCH(H1281,Lists!$A$2:$A$11,0))="Yes",N(L1281),0))+N(INDEX(Platforms!$D$5:$D$14,MATCH(H1281,Lists!$A$2:$A$11,0)))))),""))</f>
        <v/>
      </c>
      <c r="R1281" s="16" t="str">
        <f t="shared" si="77"/>
        <v/>
      </c>
      <c r="S1281" s="17" t="str">
        <f t="shared" si="78"/>
        <v/>
      </c>
      <c r="T1281" s="18" t="str">
        <f t="shared" ca="1" si="79"/>
        <v/>
      </c>
    </row>
    <row r="1282" spans="1:20" x14ac:dyDescent="0.35">
      <c r="A1282" s="11"/>
      <c r="B1282" s="11"/>
      <c r="C1282" s="11"/>
      <c r="D1282" s="12"/>
      <c r="E1282" s="11"/>
      <c r="F1282" s="13"/>
      <c r="G1282" s="13"/>
      <c r="H1282" s="11"/>
      <c r="I1282" s="12"/>
      <c r="J1282" s="12"/>
      <c r="K1282" s="13"/>
      <c r="L1282" s="13"/>
      <c r="M1282" s="13"/>
      <c r="N1282" s="13"/>
      <c r="O1282" s="13"/>
      <c r="P1282" s="14" t="str">
        <f t="shared" si="76"/>
        <v/>
      </c>
      <c r="Q1282" s="15" t="str">
        <f>IF(OR(J1282="",H1282=""),"",IFERROR(IF(ISNUMBER(N1282),N1282,IF(K1282&lt;N(INDEX(Platforms!$G$5:$G$14,MATCH(H1282,Lists!$A$2:$A$11,0))),N(INDEX(Platforms!$H$5:$H$14,MATCH(H1282,Lists!$A$2:$A$11,0))),MAX(N(INDEX(Platforms!$F$5:$F$14,MATCH(H1282,Lists!$A$2:$A$11,0))),N(INDEX(Platforms!$C$5:$C$14,MATCH(H1282,Lists!$A$2:$A$11,0)))*(K1282+IF(INDEX(Platforms!$E$5:$E$14,MATCH(H1282,Lists!$A$2:$A$11,0))="Yes",N(L1282),0))+N(INDEX(Platforms!$D$5:$D$14,MATCH(H1282,Lists!$A$2:$A$11,0)))))),""))</f>
        <v/>
      </c>
      <c r="R1282" s="16" t="str">
        <f t="shared" si="77"/>
        <v/>
      </c>
      <c r="S1282" s="17" t="str">
        <f t="shared" si="78"/>
        <v/>
      </c>
      <c r="T1282" s="18" t="str">
        <f t="shared" ca="1" si="79"/>
        <v/>
      </c>
    </row>
    <row r="1283" spans="1:20" x14ac:dyDescent="0.35">
      <c r="A1283" s="11"/>
      <c r="B1283" s="11"/>
      <c r="C1283" s="11"/>
      <c r="D1283" s="12"/>
      <c r="E1283" s="11"/>
      <c r="F1283" s="13"/>
      <c r="G1283" s="13"/>
      <c r="H1283" s="11"/>
      <c r="I1283" s="12"/>
      <c r="J1283" s="12"/>
      <c r="K1283" s="13"/>
      <c r="L1283" s="13"/>
      <c r="M1283" s="13"/>
      <c r="N1283" s="13"/>
      <c r="O1283" s="13"/>
      <c r="P1283" s="14" t="str">
        <f t="shared" si="76"/>
        <v/>
      </c>
      <c r="Q1283" s="15" t="str">
        <f>IF(OR(J1283="",H1283=""),"",IFERROR(IF(ISNUMBER(N1283),N1283,IF(K1283&lt;N(INDEX(Platforms!$G$5:$G$14,MATCH(H1283,Lists!$A$2:$A$11,0))),N(INDEX(Platforms!$H$5:$H$14,MATCH(H1283,Lists!$A$2:$A$11,0))),MAX(N(INDEX(Platforms!$F$5:$F$14,MATCH(H1283,Lists!$A$2:$A$11,0))),N(INDEX(Platforms!$C$5:$C$14,MATCH(H1283,Lists!$A$2:$A$11,0)))*(K1283+IF(INDEX(Platforms!$E$5:$E$14,MATCH(H1283,Lists!$A$2:$A$11,0))="Yes",N(L1283),0))+N(INDEX(Platforms!$D$5:$D$14,MATCH(H1283,Lists!$A$2:$A$11,0)))))),""))</f>
        <v/>
      </c>
      <c r="R1283" s="16" t="str">
        <f t="shared" si="77"/>
        <v/>
      </c>
      <c r="S1283" s="17" t="str">
        <f t="shared" si="78"/>
        <v/>
      </c>
      <c r="T1283" s="18" t="str">
        <f t="shared" ca="1" si="79"/>
        <v/>
      </c>
    </row>
    <row r="1284" spans="1:20" x14ac:dyDescent="0.35">
      <c r="A1284" s="11"/>
      <c r="B1284" s="11"/>
      <c r="C1284" s="11"/>
      <c r="D1284" s="12"/>
      <c r="E1284" s="11"/>
      <c r="F1284" s="13"/>
      <c r="G1284" s="13"/>
      <c r="H1284" s="11"/>
      <c r="I1284" s="12"/>
      <c r="J1284" s="12"/>
      <c r="K1284" s="13"/>
      <c r="L1284" s="13"/>
      <c r="M1284" s="13"/>
      <c r="N1284" s="13"/>
      <c r="O1284" s="13"/>
      <c r="P1284" s="14" t="str">
        <f t="shared" si="76"/>
        <v/>
      </c>
      <c r="Q1284" s="15" t="str">
        <f>IF(OR(J1284="",H1284=""),"",IFERROR(IF(ISNUMBER(N1284),N1284,IF(K1284&lt;N(INDEX(Platforms!$G$5:$G$14,MATCH(H1284,Lists!$A$2:$A$11,0))),N(INDEX(Platforms!$H$5:$H$14,MATCH(H1284,Lists!$A$2:$A$11,0))),MAX(N(INDEX(Platforms!$F$5:$F$14,MATCH(H1284,Lists!$A$2:$A$11,0))),N(INDEX(Platforms!$C$5:$C$14,MATCH(H1284,Lists!$A$2:$A$11,0)))*(K1284+IF(INDEX(Platforms!$E$5:$E$14,MATCH(H1284,Lists!$A$2:$A$11,0))="Yes",N(L1284),0))+N(INDEX(Platforms!$D$5:$D$14,MATCH(H1284,Lists!$A$2:$A$11,0)))))),""))</f>
        <v/>
      </c>
      <c r="R1284" s="16" t="str">
        <f t="shared" si="77"/>
        <v/>
      </c>
      <c r="S1284" s="17" t="str">
        <f t="shared" si="78"/>
        <v/>
      </c>
      <c r="T1284" s="18" t="str">
        <f t="shared" ca="1" si="79"/>
        <v/>
      </c>
    </row>
    <row r="1285" spans="1:20" x14ac:dyDescent="0.35">
      <c r="A1285" s="11"/>
      <c r="B1285" s="11"/>
      <c r="C1285" s="11"/>
      <c r="D1285" s="12"/>
      <c r="E1285" s="11"/>
      <c r="F1285" s="13"/>
      <c r="G1285" s="13"/>
      <c r="H1285" s="11"/>
      <c r="I1285" s="12"/>
      <c r="J1285" s="12"/>
      <c r="K1285" s="13"/>
      <c r="L1285" s="13"/>
      <c r="M1285" s="13"/>
      <c r="N1285" s="13"/>
      <c r="O1285" s="13"/>
      <c r="P1285" s="14" t="str">
        <f t="shared" ref="P1285:P1348" si="80">IF(OR(B1285&lt;&gt;"",F1285&lt;&gt;"",H1285&lt;&gt;"",J1285&lt;&gt;"",K1285&lt;&gt;""),IF(J1285&lt;&gt;"","Sold",IF(I1285&lt;&gt;"","Listed","In stock")),"")</f>
        <v/>
      </c>
      <c r="Q1285" s="15" t="str">
        <f>IF(OR(J1285="",H1285=""),"",IFERROR(IF(ISNUMBER(N1285),N1285,IF(K1285&lt;N(INDEX(Platforms!$G$5:$G$14,MATCH(H1285,Lists!$A$2:$A$11,0))),N(INDEX(Platforms!$H$5:$H$14,MATCH(H1285,Lists!$A$2:$A$11,0))),MAX(N(INDEX(Platforms!$F$5:$F$14,MATCH(H1285,Lists!$A$2:$A$11,0))),N(INDEX(Platforms!$C$5:$C$14,MATCH(H1285,Lists!$A$2:$A$11,0)))*(K1285+IF(INDEX(Platforms!$E$5:$E$14,MATCH(H1285,Lists!$A$2:$A$11,0))="Yes",N(L1285),0))+N(INDEX(Platforms!$D$5:$D$14,MATCH(H1285,Lists!$A$2:$A$11,0)))))),""))</f>
        <v/>
      </c>
      <c r="R1285" s="16" t="str">
        <f t="shared" ref="R1285:R1348" si="81">IF(J1285="","",IFERROR(K1285+N(L1285)-N(O1285)-Q1285-N(M1285)-N(F1285)-N(G1285),""))</f>
        <v/>
      </c>
      <c r="S1285" s="17" t="str">
        <f t="shared" ref="S1285:S1348" si="82">IF(OR(R1285="",N(F1285)+N(G1285)=0),"",R1285/(N(F1285)+N(G1285)))</f>
        <v/>
      </c>
      <c r="T1285" s="18" t="str">
        <f t="shared" ref="T1285:T1348" ca="1" si="83">IFERROR(IF(ISNUMBER(D1285),IF(ISNUMBER(J1285),J1285,IF(J1285="",TODAY(),""))-D1285,""),"")</f>
        <v/>
      </c>
    </row>
    <row r="1286" spans="1:20" x14ac:dyDescent="0.35">
      <c r="A1286" s="11"/>
      <c r="B1286" s="11"/>
      <c r="C1286" s="11"/>
      <c r="D1286" s="12"/>
      <c r="E1286" s="11"/>
      <c r="F1286" s="13"/>
      <c r="G1286" s="13"/>
      <c r="H1286" s="11"/>
      <c r="I1286" s="12"/>
      <c r="J1286" s="12"/>
      <c r="K1286" s="13"/>
      <c r="L1286" s="13"/>
      <c r="M1286" s="13"/>
      <c r="N1286" s="13"/>
      <c r="O1286" s="13"/>
      <c r="P1286" s="14" t="str">
        <f t="shared" si="80"/>
        <v/>
      </c>
      <c r="Q1286" s="15" t="str">
        <f>IF(OR(J1286="",H1286=""),"",IFERROR(IF(ISNUMBER(N1286),N1286,IF(K1286&lt;N(INDEX(Platforms!$G$5:$G$14,MATCH(H1286,Lists!$A$2:$A$11,0))),N(INDEX(Platforms!$H$5:$H$14,MATCH(H1286,Lists!$A$2:$A$11,0))),MAX(N(INDEX(Platforms!$F$5:$F$14,MATCH(H1286,Lists!$A$2:$A$11,0))),N(INDEX(Platforms!$C$5:$C$14,MATCH(H1286,Lists!$A$2:$A$11,0)))*(K1286+IF(INDEX(Platforms!$E$5:$E$14,MATCH(H1286,Lists!$A$2:$A$11,0))="Yes",N(L1286),0))+N(INDEX(Platforms!$D$5:$D$14,MATCH(H1286,Lists!$A$2:$A$11,0)))))),""))</f>
        <v/>
      </c>
      <c r="R1286" s="16" t="str">
        <f t="shared" si="81"/>
        <v/>
      </c>
      <c r="S1286" s="17" t="str">
        <f t="shared" si="82"/>
        <v/>
      </c>
      <c r="T1286" s="18" t="str">
        <f t="shared" ca="1" si="83"/>
        <v/>
      </c>
    </row>
    <row r="1287" spans="1:20" x14ac:dyDescent="0.35">
      <c r="A1287" s="11"/>
      <c r="B1287" s="11"/>
      <c r="C1287" s="11"/>
      <c r="D1287" s="12"/>
      <c r="E1287" s="11"/>
      <c r="F1287" s="13"/>
      <c r="G1287" s="13"/>
      <c r="H1287" s="11"/>
      <c r="I1287" s="12"/>
      <c r="J1287" s="12"/>
      <c r="K1287" s="13"/>
      <c r="L1287" s="13"/>
      <c r="M1287" s="13"/>
      <c r="N1287" s="13"/>
      <c r="O1287" s="13"/>
      <c r="P1287" s="14" t="str">
        <f t="shared" si="80"/>
        <v/>
      </c>
      <c r="Q1287" s="15" t="str">
        <f>IF(OR(J1287="",H1287=""),"",IFERROR(IF(ISNUMBER(N1287),N1287,IF(K1287&lt;N(INDEX(Platforms!$G$5:$G$14,MATCH(H1287,Lists!$A$2:$A$11,0))),N(INDEX(Platforms!$H$5:$H$14,MATCH(H1287,Lists!$A$2:$A$11,0))),MAX(N(INDEX(Platforms!$F$5:$F$14,MATCH(H1287,Lists!$A$2:$A$11,0))),N(INDEX(Platforms!$C$5:$C$14,MATCH(H1287,Lists!$A$2:$A$11,0)))*(K1287+IF(INDEX(Platforms!$E$5:$E$14,MATCH(H1287,Lists!$A$2:$A$11,0))="Yes",N(L1287),0))+N(INDEX(Platforms!$D$5:$D$14,MATCH(H1287,Lists!$A$2:$A$11,0)))))),""))</f>
        <v/>
      </c>
      <c r="R1287" s="16" t="str">
        <f t="shared" si="81"/>
        <v/>
      </c>
      <c r="S1287" s="17" t="str">
        <f t="shared" si="82"/>
        <v/>
      </c>
      <c r="T1287" s="18" t="str">
        <f t="shared" ca="1" si="83"/>
        <v/>
      </c>
    </row>
    <row r="1288" spans="1:20" x14ac:dyDescent="0.35">
      <c r="A1288" s="11"/>
      <c r="B1288" s="11"/>
      <c r="C1288" s="11"/>
      <c r="D1288" s="12"/>
      <c r="E1288" s="11"/>
      <c r="F1288" s="13"/>
      <c r="G1288" s="13"/>
      <c r="H1288" s="11"/>
      <c r="I1288" s="12"/>
      <c r="J1288" s="12"/>
      <c r="K1288" s="13"/>
      <c r="L1288" s="13"/>
      <c r="M1288" s="13"/>
      <c r="N1288" s="13"/>
      <c r="O1288" s="13"/>
      <c r="P1288" s="14" t="str">
        <f t="shared" si="80"/>
        <v/>
      </c>
      <c r="Q1288" s="15" t="str">
        <f>IF(OR(J1288="",H1288=""),"",IFERROR(IF(ISNUMBER(N1288),N1288,IF(K1288&lt;N(INDEX(Platforms!$G$5:$G$14,MATCH(H1288,Lists!$A$2:$A$11,0))),N(INDEX(Platforms!$H$5:$H$14,MATCH(H1288,Lists!$A$2:$A$11,0))),MAX(N(INDEX(Platforms!$F$5:$F$14,MATCH(H1288,Lists!$A$2:$A$11,0))),N(INDEX(Platforms!$C$5:$C$14,MATCH(H1288,Lists!$A$2:$A$11,0)))*(K1288+IF(INDEX(Platforms!$E$5:$E$14,MATCH(H1288,Lists!$A$2:$A$11,0))="Yes",N(L1288),0))+N(INDEX(Platforms!$D$5:$D$14,MATCH(H1288,Lists!$A$2:$A$11,0)))))),""))</f>
        <v/>
      </c>
      <c r="R1288" s="16" t="str">
        <f t="shared" si="81"/>
        <v/>
      </c>
      <c r="S1288" s="17" t="str">
        <f t="shared" si="82"/>
        <v/>
      </c>
      <c r="T1288" s="18" t="str">
        <f t="shared" ca="1" si="83"/>
        <v/>
      </c>
    </row>
    <row r="1289" spans="1:20" x14ac:dyDescent="0.35">
      <c r="A1289" s="11"/>
      <c r="B1289" s="11"/>
      <c r="C1289" s="11"/>
      <c r="D1289" s="12"/>
      <c r="E1289" s="11"/>
      <c r="F1289" s="13"/>
      <c r="G1289" s="13"/>
      <c r="H1289" s="11"/>
      <c r="I1289" s="12"/>
      <c r="J1289" s="12"/>
      <c r="K1289" s="13"/>
      <c r="L1289" s="13"/>
      <c r="M1289" s="13"/>
      <c r="N1289" s="13"/>
      <c r="O1289" s="13"/>
      <c r="P1289" s="14" t="str">
        <f t="shared" si="80"/>
        <v/>
      </c>
      <c r="Q1289" s="15" t="str">
        <f>IF(OR(J1289="",H1289=""),"",IFERROR(IF(ISNUMBER(N1289),N1289,IF(K1289&lt;N(INDEX(Platforms!$G$5:$G$14,MATCH(H1289,Lists!$A$2:$A$11,0))),N(INDEX(Platforms!$H$5:$H$14,MATCH(H1289,Lists!$A$2:$A$11,0))),MAX(N(INDEX(Platforms!$F$5:$F$14,MATCH(H1289,Lists!$A$2:$A$11,0))),N(INDEX(Platforms!$C$5:$C$14,MATCH(H1289,Lists!$A$2:$A$11,0)))*(K1289+IF(INDEX(Platforms!$E$5:$E$14,MATCH(H1289,Lists!$A$2:$A$11,0))="Yes",N(L1289),0))+N(INDEX(Platforms!$D$5:$D$14,MATCH(H1289,Lists!$A$2:$A$11,0)))))),""))</f>
        <v/>
      </c>
      <c r="R1289" s="16" t="str">
        <f t="shared" si="81"/>
        <v/>
      </c>
      <c r="S1289" s="17" t="str">
        <f t="shared" si="82"/>
        <v/>
      </c>
      <c r="T1289" s="18" t="str">
        <f t="shared" ca="1" si="83"/>
        <v/>
      </c>
    </row>
    <row r="1290" spans="1:20" x14ac:dyDescent="0.35">
      <c r="A1290" s="11"/>
      <c r="B1290" s="11"/>
      <c r="C1290" s="11"/>
      <c r="D1290" s="12"/>
      <c r="E1290" s="11"/>
      <c r="F1290" s="13"/>
      <c r="G1290" s="13"/>
      <c r="H1290" s="11"/>
      <c r="I1290" s="12"/>
      <c r="J1290" s="12"/>
      <c r="K1290" s="13"/>
      <c r="L1290" s="13"/>
      <c r="M1290" s="13"/>
      <c r="N1290" s="13"/>
      <c r="O1290" s="13"/>
      <c r="P1290" s="14" t="str">
        <f t="shared" si="80"/>
        <v/>
      </c>
      <c r="Q1290" s="15" t="str">
        <f>IF(OR(J1290="",H1290=""),"",IFERROR(IF(ISNUMBER(N1290),N1290,IF(K1290&lt;N(INDEX(Platforms!$G$5:$G$14,MATCH(H1290,Lists!$A$2:$A$11,0))),N(INDEX(Platforms!$H$5:$H$14,MATCH(H1290,Lists!$A$2:$A$11,0))),MAX(N(INDEX(Platforms!$F$5:$F$14,MATCH(H1290,Lists!$A$2:$A$11,0))),N(INDEX(Platforms!$C$5:$C$14,MATCH(H1290,Lists!$A$2:$A$11,0)))*(K1290+IF(INDEX(Platforms!$E$5:$E$14,MATCH(H1290,Lists!$A$2:$A$11,0))="Yes",N(L1290),0))+N(INDEX(Platforms!$D$5:$D$14,MATCH(H1290,Lists!$A$2:$A$11,0)))))),""))</f>
        <v/>
      </c>
      <c r="R1290" s="16" t="str">
        <f t="shared" si="81"/>
        <v/>
      </c>
      <c r="S1290" s="17" t="str">
        <f t="shared" si="82"/>
        <v/>
      </c>
      <c r="T1290" s="18" t="str">
        <f t="shared" ca="1" si="83"/>
        <v/>
      </c>
    </row>
    <row r="1291" spans="1:20" x14ac:dyDescent="0.35">
      <c r="A1291" s="11"/>
      <c r="B1291" s="11"/>
      <c r="C1291" s="11"/>
      <c r="D1291" s="12"/>
      <c r="E1291" s="11"/>
      <c r="F1291" s="13"/>
      <c r="G1291" s="13"/>
      <c r="H1291" s="11"/>
      <c r="I1291" s="12"/>
      <c r="J1291" s="12"/>
      <c r="K1291" s="13"/>
      <c r="L1291" s="13"/>
      <c r="M1291" s="13"/>
      <c r="N1291" s="13"/>
      <c r="O1291" s="13"/>
      <c r="P1291" s="14" t="str">
        <f t="shared" si="80"/>
        <v/>
      </c>
      <c r="Q1291" s="15" t="str">
        <f>IF(OR(J1291="",H1291=""),"",IFERROR(IF(ISNUMBER(N1291),N1291,IF(K1291&lt;N(INDEX(Platforms!$G$5:$G$14,MATCH(H1291,Lists!$A$2:$A$11,0))),N(INDEX(Platforms!$H$5:$H$14,MATCH(H1291,Lists!$A$2:$A$11,0))),MAX(N(INDEX(Platforms!$F$5:$F$14,MATCH(H1291,Lists!$A$2:$A$11,0))),N(INDEX(Platforms!$C$5:$C$14,MATCH(H1291,Lists!$A$2:$A$11,0)))*(K1291+IF(INDEX(Platforms!$E$5:$E$14,MATCH(H1291,Lists!$A$2:$A$11,0))="Yes",N(L1291),0))+N(INDEX(Platforms!$D$5:$D$14,MATCH(H1291,Lists!$A$2:$A$11,0)))))),""))</f>
        <v/>
      </c>
      <c r="R1291" s="16" t="str">
        <f t="shared" si="81"/>
        <v/>
      </c>
      <c r="S1291" s="17" t="str">
        <f t="shared" si="82"/>
        <v/>
      </c>
      <c r="T1291" s="18" t="str">
        <f t="shared" ca="1" si="83"/>
        <v/>
      </c>
    </row>
    <row r="1292" spans="1:20" x14ac:dyDescent="0.35">
      <c r="A1292" s="11"/>
      <c r="B1292" s="11"/>
      <c r="C1292" s="11"/>
      <c r="D1292" s="12"/>
      <c r="E1292" s="11"/>
      <c r="F1292" s="13"/>
      <c r="G1292" s="13"/>
      <c r="H1292" s="11"/>
      <c r="I1292" s="12"/>
      <c r="J1292" s="12"/>
      <c r="K1292" s="13"/>
      <c r="L1292" s="13"/>
      <c r="M1292" s="13"/>
      <c r="N1292" s="13"/>
      <c r="O1292" s="13"/>
      <c r="P1292" s="14" t="str">
        <f t="shared" si="80"/>
        <v/>
      </c>
      <c r="Q1292" s="15" t="str">
        <f>IF(OR(J1292="",H1292=""),"",IFERROR(IF(ISNUMBER(N1292),N1292,IF(K1292&lt;N(INDEX(Platforms!$G$5:$G$14,MATCH(H1292,Lists!$A$2:$A$11,0))),N(INDEX(Platforms!$H$5:$H$14,MATCH(H1292,Lists!$A$2:$A$11,0))),MAX(N(INDEX(Platforms!$F$5:$F$14,MATCH(H1292,Lists!$A$2:$A$11,0))),N(INDEX(Platforms!$C$5:$C$14,MATCH(H1292,Lists!$A$2:$A$11,0)))*(K1292+IF(INDEX(Platforms!$E$5:$E$14,MATCH(H1292,Lists!$A$2:$A$11,0))="Yes",N(L1292),0))+N(INDEX(Platforms!$D$5:$D$14,MATCH(H1292,Lists!$A$2:$A$11,0)))))),""))</f>
        <v/>
      </c>
      <c r="R1292" s="16" t="str">
        <f t="shared" si="81"/>
        <v/>
      </c>
      <c r="S1292" s="17" t="str">
        <f t="shared" si="82"/>
        <v/>
      </c>
      <c r="T1292" s="18" t="str">
        <f t="shared" ca="1" si="83"/>
        <v/>
      </c>
    </row>
    <row r="1293" spans="1:20" x14ac:dyDescent="0.35">
      <c r="A1293" s="11"/>
      <c r="B1293" s="11"/>
      <c r="C1293" s="11"/>
      <c r="D1293" s="12"/>
      <c r="E1293" s="11"/>
      <c r="F1293" s="13"/>
      <c r="G1293" s="13"/>
      <c r="H1293" s="11"/>
      <c r="I1293" s="12"/>
      <c r="J1293" s="12"/>
      <c r="K1293" s="13"/>
      <c r="L1293" s="13"/>
      <c r="M1293" s="13"/>
      <c r="N1293" s="13"/>
      <c r="O1293" s="13"/>
      <c r="P1293" s="14" t="str">
        <f t="shared" si="80"/>
        <v/>
      </c>
      <c r="Q1293" s="15" t="str">
        <f>IF(OR(J1293="",H1293=""),"",IFERROR(IF(ISNUMBER(N1293),N1293,IF(K1293&lt;N(INDEX(Platforms!$G$5:$G$14,MATCH(H1293,Lists!$A$2:$A$11,0))),N(INDEX(Platforms!$H$5:$H$14,MATCH(H1293,Lists!$A$2:$A$11,0))),MAX(N(INDEX(Platforms!$F$5:$F$14,MATCH(H1293,Lists!$A$2:$A$11,0))),N(INDEX(Platforms!$C$5:$C$14,MATCH(H1293,Lists!$A$2:$A$11,0)))*(K1293+IF(INDEX(Platforms!$E$5:$E$14,MATCH(H1293,Lists!$A$2:$A$11,0))="Yes",N(L1293),0))+N(INDEX(Platforms!$D$5:$D$14,MATCH(H1293,Lists!$A$2:$A$11,0)))))),""))</f>
        <v/>
      </c>
      <c r="R1293" s="16" t="str">
        <f t="shared" si="81"/>
        <v/>
      </c>
      <c r="S1293" s="17" t="str">
        <f t="shared" si="82"/>
        <v/>
      </c>
      <c r="T1293" s="18" t="str">
        <f t="shared" ca="1" si="83"/>
        <v/>
      </c>
    </row>
    <row r="1294" spans="1:20" x14ac:dyDescent="0.35">
      <c r="A1294" s="11"/>
      <c r="B1294" s="11"/>
      <c r="C1294" s="11"/>
      <c r="D1294" s="12"/>
      <c r="E1294" s="11"/>
      <c r="F1294" s="13"/>
      <c r="G1294" s="13"/>
      <c r="H1294" s="11"/>
      <c r="I1294" s="12"/>
      <c r="J1294" s="12"/>
      <c r="K1294" s="13"/>
      <c r="L1294" s="13"/>
      <c r="M1294" s="13"/>
      <c r="N1294" s="13"/>
      <c r="O1294" s="13"/>
      <c r="P1294" s="14" t="str">
        <f t="shared" si="80"/>
        <v/>
      </c>
      <c r="Q1294" s="15" t="str">
        <f>IF(OR(J1294="",H1294=""),"",IFERROR(IF(ISNUMBER(N1294),N1294,IF(K1294&lt;N(INDEX(Platforms!$G$5:$G$14,MATCH(H1294,Lists!$A$2:$A$11,0))),N(INDEX(Platforms!$H$5:$H$14,MATCH(H1294,Lists!$A$2:$A$11,0))),MAX(N(INDEX(Platforms!$F$5:$F$14,MATCH(H1294,Lists!$A$2:$A$11,0))),N(INDEX(Platforms!$C$5:$C$14,MATCH(H1294,Lists!$A$2:$A$11,0)))*(K1294+IF(INDEX(Platforms!$E$5:$E$14,MATCH(H1294,Lists!$A$2:$A$11,0))="Yes",N(L1294),0))+N(INDEX(Platforms!$D$5:$D$14,MATCH(H1294,Lists!$A$2:$A$11,0)))))),""))</f>
        <v/>
      </c>
      <c r="R1294" s="16" t="str">
        <f t="shared" si="81"/>
        <v/>
      </c>
      <c r="S1294" s="17" t="str">
        <f t="shared" si="82"/>
        <v/>
      </c>
      <c r="T1294" s="18" t="str">
        <f t="shared" ca="1" si="83"/>
        <v/>
      </c>
    </row>
    <row r="1295" spans="1:20" x14ac:dyDescent="0.35">
      <c r="A1295" s="11"/>
      <c r="B1295" s="11"/>
      <c r="C1295" s="11"/>
      <c r="D1295" s="12"/>
      <c r="E1295" s="11"/>
      <c r="F1295" s="13"/>
      <c r="G1295" s="13"/>
      <c r="H1295" s="11"/>
      <c r="I1295" s="12"/>
      <c r="J1295" s="12"/>
      <c r="K1295" s="13"/>
      <c r="L1295" s="13"/>
      <c r="M1295" s="13"/>
      <c r="N1295" s="13"/>
      <c r="O1295" s="13"/>
      <c r="P1295" s="14" t="str">
        <f t="shared" si="80"/>
        <v/>
      </c>
      <c r="Q1295" s="15" t="str">
        <f>IF(OR(J1295="",H1295=""),"",IFERROR(IF(ISNUMBER(N1295),N1295,IF(K1295&lt;N(INDEX(Platforms!$G$5:$G$14,MATCH(H1295,Lists!$A$2:$A$11,0))),N(INDEX(Platforms!$H$5:$H$14,MATCH(H1295,Lists!$A$2:$A$11,0))),MAX(N(INDEX(Platforms!$F$5:$F$14,MATCH(H1295,Lists!$A$2:$A$11,0))),N(INDEX(Platforms!$C$5:$C$14,MATCH(H1295,Lists!$A$2:$A$11,0)))*(K1295+IF(INDEX(Platforms!$E$5:$E$14,MATCH(H1295,Lists!$A$2:$A$11,0))="Yes",N(L1295),0))+N(INDEX(Platforms!$D$5:$D$14,MATCH(H1295,Lists!$A$2:$A$11,0)))))),""))</f>
        <v/>
      </c>
      <c r="R1295" s="16" t="str">
        <f t="shared" si="81"/>
        <v/>
      </c>
      <c r="S1295" s="17" t="str">
        <f t="shared" si="82"/>
        <v/>
      </c>
      <c r="T1295" s="18" t="str">
        <f t="shared" ca="1" si="83"/>
        <v/>
      </c>
    </row>
    <row r="1296" spans="1:20" x14ac:dyDescent="0.35">
      <c r="A1296" s="11"/>
      <c r="B1296" s="11"/>
      <c r="C1296" s="11"/>
      <c r="D1296" s="12"/>
      <c r="E1296" s="11"/>
      <c r="F1296" s="13"/>
      <c r="G1296" s="13"/>
      <c r="H1296" s="11"/>
      <c r="I1296" s="12"/>
      <c r="J1296" s="12"/>
      <c r="K1296" s="13"/>
      <c r="L1296" s="13"/>
      <c r="M1296" s="13"/>
      <c r="N1296" s="13"/>
      <c r="O1296" s="13"/>
      <c r="P1296" s="14" t="str">
        <f t="shared" si="80"/>
        <v/>
      </c>
      <c r="Q1296" s="15" t="str">
        <f>IF(OR(J1296="",H1296=""),"",IFERROR(IF(ISNUMBER(N1296),N1296,IF(K1296&lt;N(INDEX(Platforms!$G$5:$G$14,MATCH(H1296,Lists!$A$2:$A$11,0))),N(INDEX(Platforms!$H$5:$H$14,MATCH(H1296,Lists!$A$2:$A$11,0))),MAX(N(INDEX(Platforms!$F$5:$F$14,MATCH(H1296,Lists!$A$2:$A$11,0))),N(INDEX(Platforms!$C$5:$C$14,MATCH(H1296,Lists!$A$2:$A$11,0)))*(K1296+IF(INDEX(Platforms!$E$5:$E$14,MATCH(H1296,Lists!$A$2:$A$11,0))="Yes",N(L1296),0))+N(INDEX(Platforms!$D$5:$D$14,MATCH(H1296,Lists!$A$2:$A$11,0)))))),""))</f>
        <v/>
      </c>
      <c r="R1296" s="16" t="str">
        <f t="shared" si="81"/>
        <v/>
      </c>
      <c r="S1296" s="17" t="str">
        <f t="shared" si="82"/>
        <v/>
      </c>
      <c r="T1296" s="18" t="str">
        <f t="shared" ca="1" si="83"/>
        <v/>
      </c>
    </row>
    <row r="1297" spans="1:20" x14ac:dyDescent="0.35">
      <c r="A1297" s="11"/>
      <c r="B1297" s="11"/>
      <c r="C1297" s="11"/>
      <c r="D1297" s="12"/>
      <c r="E1297" s="11"/>
      <c r="F1297" s="13"/>
      <c r="G1297" s="13"/>
      <c r="H1297" s="11"/>
      <c r="I1297" s="12"/>
      <c r="J1297" s="12"/>
      <c r="K1297" s="13"/>
      <c r="L1297" s="13"/>
      <c r="M1297" s="13"/>
      <c r="N1297" s="13"/>
      <c r="O1297" s="13"/>
      <c r="P1297" s="14" t="str">
        <f t="shared" si="80"/>
        <v/>
      </c>
      <c r="Q1297" s="15" t="str">
        <f>IF(OR(J1297="",H1297=""),"",IFERROR(IF(ISNUMBER(N1297),N1297,IF(K1297&lt;N(INDEX(Platforms!$G$5:$G$14,MATCH(H1297,Lists!$A$2:$A$11,0))),N(INDEX(Platforms!$H$5:$H$14,MATCH(H1297,Lists!$A$2:$A$11,0))),MAX(N(INDEX(Platforms!$F$5:$F$14,MATCH(H1297,Lists!$A$2:$A$11,0))),N(INDEX(Platforms!$C$5:$C$14,MATCH(H1297,Lists!$A$2:$A$11,0)))*(K1297+IF(INDEX(Platforms!$E$5:$E$14,MATCH(H1297,Lists!$A$2:$A$11,0))="Yes",N(L1297),0))+N(INDEX(Platforms!$D$5:$D$14,MATCH(H1297,Lists!$A$2:$A$11,0)))))),""))</f>
        <v/>
      </c>
      <c r="R1297" s="16" t="str">
        <f t="shared" si="81"/>
        <v/>
      </c>
      <c r="S1297" s="17" t="str">
        <f t="shared" si="82"/>
        <v/>
      </c>
      <c r="T1297" s="18" t="str">
        <f t="shared" ca="1" si="83"/>
        <v/>
      </c>
    </row>
    <row r="1298" spans="1:20" x14ac:dyDescent="0.35">
      <c r="A1298" s="11"/>
      <c r="B1298" s="11"/>
      <c r="C1298" s="11"/>
      <c r="D1298" s="12"/>
      <c r="E1298" s="11"/>
      <c r="F1298" s="13"/>
      <c r="G1298" s="13"/>
      <c r="H1298" s="11"/>
      <c r="I1298" s="12"/>
      <c r="J1298" s="12"/>
      <c r="K1298" s="13"/>
      <c r="L1298" s="13"/>
      <c r="M1298" s="13"/>
      <c r="N1298" s="13"/>
      <c r="O1298" s="13"/>
      <c r="P1298" s="14" t="str">
        <f t="shared" si="80"/>
        <v/>
      </c>
      <c r="Q1298" s="15" t="str">
        <f>IF(OR(J1298="",H1298=""),"",IFERROR(IF(ISNUMBER(N1298),N1298,IF(K1298&lt;N(INDEX(Platforms!$G$5:$G$14,MATCH(H1298,Lists!$A$2:$A$11,0))),N(INDEX(Platforms!$H$5:$H$14,MATCH(H1298,Lists!$A$2:$A$11,0))),MAX(N(INDEX(Platforms!$F$5:$F$14,MATCH(H1298,Lists!$A$2:$A$11,0))),N(INDEX(Platforms!$C$5:$C$14,MATCH(H1298,Lists!$A$2:$A$11,0)))*(K1298+IF(INDEX(Platforms!$E$5:$E$14,MATCH(H1298,Lists!$A$2:$A$11,0))="Yes",N(L1298),0))+N(INDEX(Platforms!$D$5:$D$14,MATCH(H1298,Lists!$A$2:$A$11,0)))))),""))</f>
        <v/>
      </c>
      <c r="R1298" s="16" t="str">
        <f t="shared" si="81"/>
        <v/>
      </c>
      <c r="S1298" s="17" t="str">
        <f t="shared" si="82"/>
        <v/>
      </c>
      <c r="T1298" s="18" t="str">
        <f t="shared" ca="1" si="83"/>
        <v/>
      </c>
    </row>
    <row r="1299" spans="1:20" x14ac:dyDescent="0.35">
      <c r="A1299" s="11"/>
      <c r="B1299" s="11"/>
      <c r="C1299" s="11"/>
      <c r="D1299" s="12"/>
      <c r="E1299" s="11"/>
      <c r="F1299" s="13"/>
      <c r="G1299" s="13"/>
      <c r="H1299" s="11"/>
      <c r="I1299" s="12"/>
      <c r="J1299" s="12"/>
      <c r="K1299" s="13"/>
      <c r="L1299" s="13"/>
      <c r="M1299" s="13"/>
      <c r="N1299" s="13"/>
      <c r="O1299" s="13"/>
      <c r="P1299" s="14" t="str">
        <f t="shared" si="80"/>
        <v/>
      </c>
      <c r="Q1299" s="15" t="str">
        <f>IF(OR(J1299="",H1299=""),"",IFERROR(IF(ISNUMBER(N1299),N1299,IF(K1299&lt;N(INDEX(Platforms!$G$5:$G$14,MATCH(H1299,Lists!$A$2:$A$11,0))),N(INDEX(Platforms!$H$5:$H$14,MATCH(H1299,Lists!$A$2:$A$11,0))),MAX(N(INDEX(Platforms!$F$5:$F$14,MATCH(H1299,Lists!$A$2:$A$11,0))),N(INDEX(Platforms!$C$5:$C$14,MATCH(H1299,Lists!$A$2:$A$11,0)))*(K1299+IF(INDEX(Platforms!$E$5:$E$14,MATCH(H1299,Lists!$A$2:$A$11,0))="Yes",N(L1299),0))+N(INDEX(Platforms!$D$5:$D$14,MATCH(H1299,Lists!$A$2:$A$11,0)))))),""))</f>
        <v/>
      </c>
      <c r="R1299" s="16" t="str">
        <f t="shared" si="81"/>
        <v/>
      </c>
      <c r="S1299" s="17" t="str">
        <f t="shared" si="82"/>
        <v/>
      </c>
      <c r="T1299" s="18" t="str">
        <f t="shared" ca="1" si="83"/>
        <v/>
      </c>
    </row>
    <row r="1300" spans="1:20" x14ac:dyDescent="0.35">
      <c r="A1300" s="11"/>
      <c r="B1300" s="11"/>
      <c r="C1300" s="11"/>
      <c r="D1300" s="12"/>
      <c r="E1300" s="11"/>
      <c r="F1300" s="13"/>
      <c r="G1300" s="13"/>
      <c r="H1300" s="11"/>
      <c r="I1300" s="12"/>
      <c r="J1300" s="12"/>
      <c r="K1300" s="13"/>
      <c r="L1300" s="13"/>
      <c r="M1300" s="13"/>
      <c r="N1300" s="13"/>
      <c r="O1300" s="13"/>
      <c r="P1300" s="14" t="str">
        <f t="shared" si="80"/>
        <v/>
      </c>
      <c r="Q1300" s="15" t="str">
        <f>IF(OR(J1300="",H1300=""),"",IFERROR(IF(ISNUMBER(N1300),N1300,IF(K1300&lt;N(INDEX(Platforms!$G$5:$G$14,MATCH(H1300,Lists!$A$2:$A$11,0))),N(INDEX(Platforms!$H$5:$H$14,MATCH(H1300,Lists!$A$2:$A$11,0))),MAX(N(INDEX(Platforms!$F$5:$F$14,MATCH(H1300,Lists!$A$2:$A$11,0))),N(INDEX(Platforms!$C$5:$C$14,MATCH(H1300,Lists!$A$2:$A$11,0)))*(K1300+IF(INDEX(Platforms!$E$5:$E$14,MATCH(H1300,Lists!$A$2:$A$11,0))="Yes",N(L1300),0))+N(INDEX(Platforms!$D$5:$D$14,MATCH(H1300,Lists!$A$2:$A$11,0)))))),""))</f>
        <v/>
      </c>
      <c r="R1300" s="16" t="str">
        <f t="shared" si="81"/>
        <v/>
      </c>
      <c r="S1300" s="17" t="str">
        <f t="shared" si="82"/>
        <v/>
      </c>
      <c r="T1300" s="18" t="str">
        <f t="shared" ca="1" si="83"/>
        <v/>
      </c>
    </row>
    <row r="1301" spans="1:20" x14ac:dyDescent="0.35">
      <c r="A1301" s="11"/>
      <c r="B1301" s="11"/>
      <c r="C1301" s="11"/>
      <c r="D1301" s="12"/>
      <c r="E1301" s="11"/>
      <c r="F1301" s="13"/>
      <c r="G1301" s="13"/>
      <c r="H1301" s="11"/>
      <c r="I1301" s="12"/>
      <c r="J1301" s="12"/>
      <c r="K1301" s="13"/>
      <c r="L1301" s="13"/>
      <c r="M1301" s="13"/>
      <c r="N1301" s="13"/>
      <c r="O1301" s="13"/>
      <c r="P1301" s="14" t="str">
        <f t="shared" si="80"/>
        <v/>
      </c>
      <c r="Q1301" s="15" t="str">
        <f>IF(OR(J1301="",H1301=""),"",IFERROR(IF(ISNUMBER(N1301),N1301,IF(K1301&lt;N(INDEX(Platforms!$G$5:$G$14,MATCH(H1301,Lists!$A$2:$A$11,0))),N(INDEX(Platforms!$H$5:$H$14,MATCH(H1301,Lists!$A$2:$A$11,0))),MAX(N(INDEX(Platforms!$F$5:$F$14,MATCH(H1301,Lists!$A$2:$A$11,0))),N(INDEX(Platforms!$C$5:$C$14,MATCH(H1301,Lists!$A$2:$A$11,0)))*(K1301+IF(INDEX(Platforms!$E$5:$E$14,MATCH(H1301,Lists!$A$2:$A$11,0))="Yes",N(L1301),0))+N(INDEX(Platforms!$D$5:$D$14,MATCH(H1301,Lists!$A$2:$A$11,0)))))),""))</f>
        <v/>
      </c>
      <c r="R1301" s="16" t="str">
        <f t="shared" si="81"/>
        <v/>
      </c>
      <c r="S1301" s="17" t="str">
        <f t="shared" si="82"/>
        <v/>
      </c>
      <c r="T1301" s="18" t="str">
        <f t="shared" ca="1" si="83"/>
        <v/>
      </c>
    </row>
    <row r="1302" spans="1:20" x14ac:dyDescent="0.35">
      <c r="A1302" s="11"/>
      <c r="B1302" s="11"/>
      <c r="C1302" s="11"/>
      <c r="D1302" s="12"/>
      <c r="E1302" s="11"/>
      <c r="F1302" s="13"/>
      <c r="G1302" s="13"/>
      <c r="H1302" s="11"/>
      <c r="I1302" s="12"/>
      <c r="J1302" s="12"/>
      <c r="K1302" s="13"/>
      <c r="L1302" s="13"/>
      <c r="M1302" s="13"/>
      <c r="N1302" s="13"/>
      <c r="O1302" s="13"/>
      <c r="P1302" s="14" t="str">
        <f t="shared" si="80"/>
        <v/>
      </c>
      <c r="Q1302" s="15" t="str">
        <f>IF(OR(J1302="",H1302=""),"",IFERROR(IF(ISNUMBER(N1302),N1302,IF(K1302&lt;N(INDEX(Platforms!$G$5:$G$14,MATCH(H1302,Lists!$A$2:$A$11,0))),N(INDEX(Platforms!$H$5:$H$14,MATCH(H1302,Lists!$A$2:$A$11,0))),MAX(N(INDEX(Platforms!$F$5:$F$14,MATCH(H1302,Lists!$A$2:$A$11,0))),N(INDEX(Platforms!$C$5:$C$14,MATCH(H1302,Lists!$A$2:$A$11,0)))*(K1302+IF(INDEX(Platforms!$E$5:$E$14,MATCH(H1302,Lists!$A$2:$A$11,0))="Yes",N(L1302),0))+N(INDEX(Platforms!$D$5:$D$14,MATCH(H1302,Lists!$A$2:$A$11,0)))))),""))</f>
        <v/>
      </c>
      <c r="R1302" s="16" t="str">
        <f t="shared" si="81"/>
        <v/>
      </c>
      <c r="S1302" s="17" t="str">
        <f t="shared" si="82"/>
        <v/>
      </c>
      <c r="T1302" s="18" t="str">
        <f t="shared" ca="1" si="83"/>
        <v/>
      </c>
    </row>
    <row r="1303" spans="1:20" x14ac:dyDescent="0.35">
      <c r="A1303" s="11"/>
      <c r="B1303" s="11"/>
      <c r="C1303" s="11"/>
      <c r="D1303" s="12"/>
      <c r="E1303" s="11"/>
      <c r="F1303" s="13"/>
      <c r="G1303" s="13"/>
      <c r="H1303" s="11"/>
      <c r="I1303" s="12"/>
      <c r="J1303" s="12"/>
      <c r="K1303" s="13"/>
      <c r="L1303" s="13"/>
      <c r="M1303" s="13"/>
      <c r="N1303" s="13"/>
      <c r="O1303" s="13"/>
      <c r="P1303" s="14" t="str">
        <f t="shared" si="80"/>
        <v/>
      </c>
      <c r="Q1303" s="15" t="str">
        <f>IF(OR(J1303="",H1303=""),"",IFERROR(IF(ISNUMBER(N1303),N1303,IF(K1303&lt;N(INDEX(Platforms!$G$5:$G$14,MATCH(H1303,Lists!$A$2:$A$11,0))),N(INDEX(Platforms!$H$5:$H$14,MATCH(H1303,Lists!$A$2:$A$11,0))),MAX(N(INDEX(Platforms!$F$5:$F$14,MATCH(H1303,Lists!$A$2:$A$11,0))),N(INDEX(Platforms!$C$5:$C$14,MATCH(H1303,Lists!$A$2:$A$11,0)))*(K1303+IF(INDEX(Platforms!$E$5:$E$14,MATCH(H1303,Lists!$A$2:$A$11,0))="Yes",N(L1303),0))+N(INDEX(Platforms!$D$5:$D$14,MATCH(H1303,Lists!$A$2:$A$11,0)))))),""))</f>
        <v/>
      </c>
      <c r="R1303" s="16" t="str">
        <f t="shared" si="81"/>
        <v/>
      </c>
      <c r="S1303" s="17" t="str">
        <f t="shared" si="82"/>
        <v/>
      </c>
      <c r="T1303" s="18" t="str">
        <f t="shared" ca="1" si="83"/>
        <v/>
      </c>
    </row>
    <row r="1304" spans="1:20" x14ac:dyDescent="0.35">
      <c r="A1304" s="11"/>
      <c r="B1304" s="11"/>
      <c r="C1304" s="11"/>
      <c r="D1304" s="12"/>
      <c r="E1304" s="11"/>
      <c r="F1304" s="13"/>
      <c r="G1304" s="13"/>
      <c r="H1304" s="11"/>
      <c r="I1304" s="12"/>
      <c r="J1304" s="12"/>
      <c r="K1304" s="13"/>
      <c r="L1304" s="13"/>
      <c r="M1304" s="13"/>
      <c r="N1304" s="13"/>
      <c r="O1304" s="13"/>
      <c r="P1304" s="14" t="str">
        <f t="shared" si="80"/>
        <v/>
      </c>
      <c r="Q1304" s="15" t="str">
        <f>IF(OR(J1304="",H1304=""),"",IFERROR(IF(ISNUMBER(N1304),N1304,IF(K1304&lt;N(INDEX(Platforms!$G$5:$G$14,MATCH(H1304,Lists!$A$2:$A$11,0))),N(INDEX(Platforms!$H$5:$H$14,MATCH(H1304,Lists!$A$2:$A$11,0))),MAX(N(INDEX(Platforms!$F$5:$F$14,MATCH(H1304,Lists!$A$2:$A$11,0))),N(INDEX(Platforms!$C$5:$C$14,MATCH(H1304,Lists!$A$2:$A$11,0)))*(K1304+IF(INDEX(Platforms!$E$5:$E$14,MATCH(H1304,Lists!$A$2:$A$11,0))="Yes",N(L1304),0))+N(INDEX(Platforms!$D$5:$D$14,MATCH(H1304,Lists!$A$2:$A$11,0)))))),""))</f>
        <v/>
      </c>
      <c r="R1304" s="16" t="str">
        <f t="shared" si="81"/>
        <v/>
      </c>
      <c r="S1304" s="17" t="str">
        <f t="shared" si="82"/>
        <v/>
      </c>
      <c r="T1304" s="18" t="str">
        <f t="shared" ca="1" si="83"/>
        <v/>
      </c>
    </row>
    <row r="1305" spans="1:20" x14ac:dyDescent="0.35">
      <c r="A1305" s="11"/>
      <c r="B1305" s="11"/>
      <c r="C1305" s="11"/>
      <c r="D1305" s="12"/>
      <c r="E1305" s="11"/>
      <c r="F1305" s="13"/>
      <c r="G1305" s="13"/>
      <c r="H1305" s="11"/>
      <c r="I1305" s="12"/>
      <c r="J1305" s="12"/>
      <c r="K1305" s="13"/>
      <c r="L1305" s="13"/>
      <c r="M1305" s="13"/>
      <c r="N1305" s="13"/>
      <c r="O1305" s="13"/>
      <c r="P1305" s="14" t="str">
        <f t="shared" si="80"/>
        <v/>
      </c>
      <c r="Q1305" s="15" t="str">
        <f>IF(OR(J1305="",H1305=""),"",IFERROR(IF(ISNUMBER(N1305),N1305,IF(K1305&lt;N(INDEX(Platforms!$G$5:$G$14,MATCH(H1305,Lists!$A$2:$A$11,0))),N(INDEX(Platforms!$H$5:$H$14,MATCH(H1305,Lists!$A$2:$A$11,0))),MAX(N(INDEX(Platforms!$F$5:$F$14,MATCH(H1305,Lists!$A$2:$A$11,0))),N(INDEX(Platforms!$C$5:$C$14,MATCH(H1305,Lists!$A$2:$A$11,0)))*(K1305+IF(INDEX(Platforms!$E$5:$E$14,MATCH(H1305,Lists!$A$2:$A$11,0))="Yes",N(L1305),0))+N(INDEX(Platforms!$D$5:$D$14,MATCH(H1305,Lists!$A$2:$A$11,0)))))),""))</f>
        <v/>
      </c>
      <c r="R1305" s="16" t="str">
        <f t="shared" si="81"/>
        <v/>
      </c>
      <c r="S1305" s="17" t="str">
        <f t="shared" si="82"/>
        <v/>
      </c>
      <c r="T1305" s="18" t="str">
        <f t="shared" ca="1" si="83"/>
        <v/>
      </c>
    </row>
    <row r="1306" spans="1:20" x14ac:dyDescent="0.35">
      <c r="A1306" s="11"/>
      <c r="B1306" s="11"/>
      <c r="C1306" s="11"/>
      <c r="D1306" s="12"/>
      <c r="E1306" s="11"/>
      <c r="F1306" s="13"/>
      <c r="G1306" s="13"/>
      <c r="H1306" s="11"/>
      <c r="I1306" s="12"/>
      <c r="J1306" s="12"/>
      <c r="K1306" s="13"/>
      <c r="L1306" s="13"/>
      <c r="M1306" s="13"/>
      <c r="N1306" s="13"/>
      <c r="O1306" s="13"/>
      <c r="P1306" s="14" t="str">
        <f t="shared" si="80"/>
        <v/>
      </c>
      <c r="Q1306" s="15" t="str">
        <f>IF(OR(J1306="",H1306=""),"",IFERROR(IF(ISNUMBER(N1306),N1306,IF(K1306&lt;N(INDEX(Platforms!$G$5:$G$14,MATCH(H1306,Lists!$A$2:$A$11,0))),N(INDEX(Platforms!$H$5:$H$14,MATCH(H1306,Lists!$A$2:$A$11,0))),MAX(N(INDEX(Platforms!$F$5:$F$14,MATCH(H1306,Lists!$A$2:$A$11,0))),N(INDEX(Platforms!$C$5:$C$14,MATCH(H1306,Lists!$A$2:$A$11,0)))*(K1306+IF(INDEX(Platforms!$E$5:$E$14,MATCH(H1306,Lists!$A$2:$A$11,0))="Yes",N(L1306),0))+N(INDEX(Platforms!$D$5:$D$14,MATCH(H1306,Lists!$A$2:$A$11,0)))))),""))</f>
        <v/>
      </c>
      <c r="R1306" s="16" t="str">
        <f t="shared" si="81"/>
        <v/>
      </c>
      <c r="S1306" s="17" t="str">
        <f t="shared" si="82"/>
        <v/>
      </c>
      <c r="T1306" s="18" t="str">
        <f t="shared" ca="1" si="83"/>
        <v/>
      </c>
    </row>
    <row r="1307" spans="1:20" x14ac:dyDescent="0.35">
      <c r="A1307" s="11"/>
      <c r="B1307" s="11"/>
      <c r="C1307" s="11"/>
      <c r="D1307" s="12"/>
      <c r="E1307" s="11"/>
      <c r="F1307" s="13"/>
      <c r="G1307" s="13"/>
      <c r="H1307" s="11"/>
      <c r="I1307" s="12"/>
      <c r="J1307" s="12"/>
      <c r="K1307" s="13"/>
      <c r="L1307" s="13"/>
      <c r="M1307" s="13"/>
      <c r="N1307" s="13"/>
      <c r="O1307" s="13"/>
      <c r="P1307" s="14" t="str">
        <f t="shared" si="80"/>
        <v/>
      </c>
      <c r="Q1307" s="15" t="str">
        <f>IF(OR(J1307="",H1307=""),"",IFERROR(IF(ISNUMBER(N1307),N1307,IF(K1307&lt;N(INDEX(Platforms!$G$5:$G$14,MATCH(H1307,Lists!$A$2:$A$11,0))),N(INDEX(Platforms!$H$5:$H$14,MATCH(H1307,Lists!$A$2:$A$11,0))),MAX(N(INDEX(Platforms!$F$5:$F$14,MATCH(H1307,Lists!$A$2:$A$11,0))),N(INDEX(Platforms!$C$5:$C$14,MATCH(H1307,Lists!$A$2:$A$11,0)))*(K1307+IF(INDEX(Platforms!$E$5:$E$14,MATCH(H1307,Lists!$A$2:$A$11,0))="Yes",N(L1307),0))+N(INDEX(Platforms!$D$5:$D$14,MATCH(H1307,Lists!$A$2:$A$11,0)))))),""))</f>
        <v/>
      </c>
      <c r="R1307" s="16" t="str">
        <f t="shared" si="81"/>
        <v/>
      </c>
      <c r="S1307" s="17" t="str">
        <f t="shared" si="82"/>
        <v/>
      </c>
      <c r="T1307" s="18" t="str">
        <f t="shared" ca="1" si="83"/>
        <v/>
      </c>
    </row>
    <row r="1308" spans="1:20" x14ac:dyDescent="0.35">
      <c r="A1308" s="11"/>
      <c r="B1308" s="11"/>
      <c r="C1308" s="11"/>
      <c r="D1308" s="12"/>
      <c r="E1308" s="11"/>
      <c r="F1308" s="13"/>
      <c r="G1308" s="13"/>
      <c r="H1308" s="11"/>
      <c r="I1308" s="12"/>
      <c r="J1308" s="12"/>
      <c r="K1308" s="13"/>
      <c r="L1308" s="13"/>
      <c r="M1308" s="13"/>
      <c r="N1308" s="13"/>
      <c r="O1308" s="13"/>
      <c r="P1308" s="14" t="str">
        <f t="shared" si="80"/>
        <v/>
      </c>
      <c r="Q1308" s="15" t="str">
        <f>IF(OR(J1308="",H1308=""),"",IFERROR(IF(ISNUMBER(N1308),N1308,IF(K1308&lt;N(INDEX(Platforms!$G$5:$G$14,MATCH(H1308,Lists!$A$2:$A$11,0))),N(INDEX(Platforms!$H$5:$H$14,MATCH(H1308,Lists!$A$2:$A$11,0))),MAX(N(INDEX(Platforms!$F$5:$F$14,MATCH(H1308,Lists!$A$2:$A$11,0))),N(INDEX(Platforms!$C$5:$C$14,MATCH(H1308,Lists!$A$2:$A$11,0)))*(K1308+IF(INDEX(Platforms!$E$5:$E$14,MATCH(H1308,Lists!$A$2:$A$11,0))="Yes",N(L1308),0))+N(INDEX(Platforms!$D$5:$D$14,MATCH(H1308,Lists!$A$2:$A$11,0)))))),""))</f>
        <v/>
      </c>
      <c r="R1308" s="16" t="str">
        <f t="shared" si="81"/>
        <v/>
      </c>
      <c r="S1308" s="17" t="str">
        <f t="shared" si="82"/>
        <v/>
      </c>
      <c r="T1308" s="18" t="str">
        <f t="shared" ca="1" si="83"/>
        <v/>
      </c>
    </row>
    <row r="1309" spans="1:20" x14ac:dyDescent="0.35">
      <c r="A1309" s="11"/>
      <c r="B1309" s="11"/>
      <c r="C1309" s="11"/>
      <c r="D1309" s="12"/>
      <c r="E1309" s="11"/>
      <c r="F1309" s="13"/>
      <c r="G1309" s="13"/>
      <c r="H1309" s="11"/>
      <c r="I1309" s="12"/>
      <c r="J1309" s="12"/>
      <c r="K1309" s="13"/>
      <c r="L1309" s="13"/>
      <c r="M1309" s="13"/>
      <c r="N1309" s="13"/>
      <c r="O1309" s="13"/>
      <c r="P1309" s="14" t="str">
        <f t="shared" si="80"/>
        <v/>
      </c>
      <c r="Q1309" s="15" t="str">
        <f>IF(OR(J1309="",H1309=""),"",IFERROR(IF(ISNUMBER(N1309),N1309,IF(K1309&lt;N(INDEX(Platforms!$G$5:$G$14,MATCH(H1309,Lists!$A$2:$A$11,0))),N(INDEX(Platforms!$H$5:$H$14,MATCH(H1309,Lists!$A$2:$A$11,0))),MAX(N(INDEX(Platforms!$F$5:$F$14,MATCH(H1309,Lists!$A$2:$A$11,0))),N(INDEX(Platforms!$C$5:$C$14,MATCH(H1309,Lists!$A$2:$A$11,0)))*(K1309+IF(INDEX(Platforms!$E$5:$E$14,MATCH(H1309,Lists!$A$2:$A$11,0))="Yes",N(L1309),0))+N(INDEX(Platforms!$D$5:$D$14,MATCH(H1309,Lists!$A$2:$A$11,0)))))),""))</f>
        <v/>
      </c>
      <c r="R1309" s="16" t="str">
        <f t="shared" si="81"/>
        <v/>
      </c>
      <c r="S1309" s="17" t="str">
        <f t="shared" si="82"/>
        <v/>
      </c>
      <c r="T1309" s="18" t="str">
        <f t="shared" ca="1" si="83"/>
        <v/>
      </c>
    </row>
    <row r="1310" spans="1:20" x14ac:dyDescent="0.35">
      <c r="A1310" s="11"/>
      <c r="B1310" s="11"/>
      <c r="C1310" s="11"/>
      <c r="D1310" s="12"/>
      <c r="E1310" s="11"/>
      <c r="F1310" s="13"/>
      <c r="G1310" s="13"/>
      <c r="H1310" s="11"/>
      <c r="I1310" s="12"/>
      <c r="J1310" s="12"/>
      <c r="K1310" s="13"/>
      <c r="L1310" s="13"/>
      <c r="M1310" s="13"/>
      <c r="N1310" s="13"/>
      <c r="O1310" s="13"/>
      <c r="P1310" s="14" t="str">
        <f t="shared" si="80"/>
        <v/>
      </c>
      <c r="Q1310" s="15" t="str">
        <f>IF(OR(J1310="",H1310=""),"",IFERROR(IF(ISNUMBER(N1310),N1310,IF(K1310&lt;N(INDEX(Platforms!$G$5:$G$14,MATCH(H1310,Lists!$A$2:$A$11,0))),N(INDEX(Platforms!$H$5:$H$14,MATCH(H1310,Lists!$A$2:$A$11,0))),MAX(N(INDEX(Platforms!$F$5:$F$14,MATCH(H1310,Lists!$A$2:$A$11,0))),N(INDEX(Platforms!$C$5:$C$14,MATCH(H1310,Lists!$A$2:$A$11,0)))*(K1310+IF(INDEX(Platforms!$E$5:$E$14,MATCH(H1310,Lists!$A$2:$A$11,0))="Yes",N(L1310),0))+N(INDEX(Platforms!$D$5:$D$14,MATCH(H1310,Lists!$A$2:$A$11,0)))))),""))</f>
        <v/>
      </c>
      <c r="R1310" s="16" t="str">
        <f t="shared" si="81"/>
        <v/>
      </c>
      <c r="S1310" s="17" t="str">
        <f t="shared" si="82"/>
        <v/>
      </c>
      <c r="T1310" s="18" t="str">
        <f t="shared" ca="1" si="83"/>
        <v/>
      </c>
    </row>
    <row r="1311" spans="1:20" x14ac:dyDescent="0.35">
      <c r="A1311" s="11"/>
      <c r="B1311" s="11"/>
      <c r="C1311" s="11"/>
      <c r="D1311" s="12"/>
      <c r="E1311" s="11"/>
      <c r="F1311" s="13"/>
      <c r="G1311" s="13"/>
      <c r="H1311" s="11"/>
      <c r="I1311" s="12"/>
      <c r="J1311" s="12"/>
      <c r="K1311" s="13"/>
      <c r="L1311" s="13"/>
      <c r="M1311" s="13"/>
      <c r="N1311" s="13"/>
      <c r="O1311" s="13"/>
      <c r="P1311" s="14" t="str">
        <f t="shared" si="80"/>
        <v/>
      </c>
      <c r="Q1311" s="15" t="str">
        <f>IF(OR(J1311="",H1311=""),"",IFERROR(IF(ISNUMBER(N1311),N1311,IF(K1311&lt;N(INDEX(Platforms!$G$5:$G$14,MATCH(H1311,Lists!$A$2:$A$11,0))),N(INDEX(Platforms!$H$5:$H$14,MATCH(H1311,Lists!$A$2:$A$11,0))),MAX(N(INDEX(Platforms!$F$5:$F$14,MATCH(H1311,Lists!$A$2:$A$11,0))),N(INDEX(Platforms!$C$5:$C$14,MATCH(H1311,Lists!$A$2:$A$11,0)))*(K1311+IF(INDEX(Platforms!$E$5:$E$14,MATCH(H1311,Lists!$A$2:$A$11,0))="Yes",N(L1311),0))+N(INDEX(Platforms!$D$5:$D$14,MATCH(H1311,Lists!$A$2:$A$11,0)))))),""))</f>
        <v/>
      </c>
      <c r="R1311" s="16" t="str">
        <f t="shared" si="81"/>
        <v/>
      </c>
      <c r="S1311" s="17" t="str">
        <f t="shared" si="82"/>
        <v/>
      </c>
      <c r="T1311" s="18" t="str">
        <f t="shared" ca="1" si="83"/>
        <v/>
      </c>
    </row>
    <row r="1312" spans="1:20" x14ac:dyDescent="0.35">
      <c r="A1312" s="11"/>
      <c r="B1312" s="11"/>
      <c r="C1312" s="11"/>
      <c r="D1312" s="12"/>
      <c r="E1312" s="11"/>
      <c r="F1312" s="13"/>
      <c r="G1312" s="13"/>
      <c r="H1312" s="11"/>
      <c r="I1312" s="12"/>
      <c r="J1312" s="12"/>
      <c r="K1312" s="13"/>
      <c r="L1312" s="13"/>
      <c r="M1312" s="13"/>
      <c r="N1312" s="13"/>
      <c r="O1312" s="13"/>
      <c r="P1312" s="14" t="str">
        <f t="shared" si="80"/>
        <v/>
      </c>
      <c r="Q1312" s="15" t="str">
        <f>IF(OR(J1312="",H1312=""),"",IFERROR(IF(ISNUMBER(N1312),N1312,IF(K1312&lt;N(INDEX(Platforms!$G$5:$G$14,MATCH(H1312,Lists!$A$2:$A$11,0))),N(INDEX(Platforms!$H$5:$H$14,MATCH(H1312,Lists!$A$2:$A$11,0))),MAX(N(INDEX(Platforms!$F$5:$F$14,MATCH(H1312,Lists!$A$2:$A$11,0))),N(INDEX(Platforms!$C$5:$C$14,MATCH(H1312,Lists!$A$2:$A$11,0)))*(K1312+IF(INDEX(Platforms!$E$5:$E$14,MATCH(H1312,Lists!$A$2:$A$11,0))="Yes",N(L1312),0))+N(INDEX(Platforms!$D$5:$D$14,MATCH(H1312,Lists!$A$2:$A$11,0)))))),""))</f>
        <v/>
      </c>
      <c r="R1312" s="16" t="str">
        <f t="shared" si="81"/>
        <v/>
      </c>
      <c r="S1312" s="17" t="str">
        <f t="shared" si="82"/>
        <v/>
      </c>
      <c r="T1312" s="18" t="str">
        <f t="shared" ca="1" si="83"/>
        <v/>
      </c>
    </row>
    <row r="1313" spans="1:20" x14ac:dyDescent="0.35">
      <c r="A1313" s="11"/>
      <c r="B1313" s="11"/>
      <c r="C1313" s="11"/>
      <c r="D1313" s="12"/>
      <c r="E1313" s="11"/>
      <c r="F1313" s="13"/>
      <c r="G1313" s="13"/>
      <c r="H1313" s="11"/>
      <c r="I1313" s="12"/>
      <c r="J1313" s="12"/>
      <c r="K1313" s="13"/>
      <c r="L1313" s="13"/>
      <c r="M1313" s="13"/>
      <c r="N1313" s="13"/>
      <c r="O1313" s="13"/>
      <c r="P1313" s="14" t="str">
        <f t="shared" si="80"/>
        <v/>
      </c>
      <c r="Q1313" s="15" t="str">
        <f>IF(OR(J1313="",H1313=""),"",IFERROR(IF(ISNUMBER(N1313),N1313,IF(K1313&lt;N(INDEX(Platforms!$G$5:$G$14,MATCH(H1313,Lists!$A$2:$A$11,0))),N(INDEX(Platforms!$H$5:$H$14,MATCH(H1313,Lists!$A$2:$A$11,0))),MAX(N(INDEX(Platforms!$F$5:$F$14,MATCH(H1313,Lists!$A$2:$A$11,0))),N(INDEX(Platforms!$C$5:$C$14,MATCH(H1313,Lists!$A$2:$A$11,0)))*(K1313+IF(INDEX(Platforms!$E$5:$E$14,MATCH(H1313,Lists!$A$2:$A$11,0))="Yes",N(L1313),0))+N(INDEX(Platforms!$D$5:$D$14,MATCH(H1313,Lists!$A$2:$A$11,0)))))),""))</f>
        <v/>
      </c>
      <c r="R1313" s="16" t="str">
        <f t="shared" si="81"/>
        <v/>
      </c>
      <c r="S1313" s="17" t="str">
        <f t="shared" si="82"/>
        <v/>
      </c>
      <c r="T1313" s="18" t="str">
        <f t="shared" ca="1" si="83"/>
        <v/>
      </c>
    </row>
    <row r="1314" spans="1:20" x14ac:dyDescent="0.35">
      <c r="A1314" s="11"/>
      <c r="B1314" s="11"/>
      <c r="C1314" s="11"/>
      <c r="D1314" s="12"/>
      <c r="E1314" s="11"/>
      <c r="F1314" s="13"/>
      <c r="G1314" s="13"/>
      <c r="H1314" s="11"/>
      <c r="I1314" s="12"/>
      <c r="J1314" s="12"/>
      <c r="K1314" s="13"/>
      <c r="L1314" s="13"/>
      <c r="M1314" s="13"/>
      <c r="N1314" s="13"/>
      <c r="O1314" s="13"/>
      <c r="P1314" s="14" t="str">
        <f t="shared" si="80"/>
        <v/>
      </c>
      <c r="Q1314" s="15" t="str">
        <f>IF(OR(J1314="",H1314=""),"",IFERROR(IF(ISNUMBER(N1314),N1314,IF(K1314&lt;N(INDEX(Platforms!$G$5:$G$14,MATCH(H1314,Lists!$A$2:$A$11,0))),N(INDEX(Platforms!$H$5:$H$14,MATCH(H1314,Lists!$A$2:$A$11,0))),MAX(N(INDEX(Platforms!$F$5:$F$14,MATCH(H1314,Lists!$A$2:$A$11,0))),N(INDEX(Platforms!$C$5:$C$14,MATCH(H1314,Lists!$A$2:$A$11,0)))*(K1314+IF(INDEX(Platforms!$E$5:$E$14,MATCH(H1314,Lists!$A$2:$A$11,0))="Yes",N(L1314),0))+N(INDEX(Platforms!$D$5:$D$14,MATCH(H1314,Lists!$A$2:$A$11,0)))))),""))</f>
        <v/>
      </c>
      <c r="R1314" s="16" t="str">
        <f t="shared" si="81"/>
        <v/>
      </c>
      <c r="S1314" s="17" t="str">
        <f t="shared" si="82"/>
        <v/>
      </c>
      <c r="T1314" s="18" t="str">
        <f t="shared" ca="1" si="83"/>
        <v/>
      </c>
    </row>
    <row r="1315" spans="1:20" x14ac:dyDescent="0.35">
      <c r="A1315" s="11"/>
      <c r="B1315" s="11"/>
      <c r="C1315" s="11"/>
      <c r="D1315" s="12"/>
      <c r="E1315" s="11"/>
      <c r="F1315" s="13"/>
      <c r="G1315" s="13"/>
      <c r="H1315" s="11"/>
      <c r="I1315" s="12"/>
      <c r="J1315" s="12"/>
      <c r="K1315" s="13"/>
      <c r="L1315" s="13"/>
      <c r="M1315" s="13"/>
      <c r="N1315" s="13"/>
      <c r="O1315" s="13"/>
      <c r="P1315" s="14" t="str">
        <f t="shared" si="80"/>
        <v/>
      </c>
      <c r="Q1315" s="15" t="str">
        <f>IF(OR(J1315="",H1315=""),"",IFERROR(IF(ISNUMBER(N1315),N1315,IF(K1315&lt;N(INDEX(Platforms!$G$5:$G$14,MATCH(H1315,Lists!$A$2:$A$11,0))),N(INDEX(Platforms!$H$5:$H$14,MATCH(H1315,Lists!$A$2:$A$11,0))),MAX(N(INDEX(Platforms!$F$5:$F$14,MATCH(H1315,Lists!$A$2:$A$11,0))),N(INDEX(Platforms!$C$5:$C$14,MATCH(H1315,Lists!$A$2:$A$11,0)))*(K1315+IF(INDEX(Platforms!$E$5:$E$14,MATCH(H1315,Lists!$A$2:$A$11,0))="Yes",N(L1315),0))+N(INDEX(Platforms!$D$5:$D$14,MATCH(H1315,Lists!$A$2:$A$11,0)))))),""))</f>
        <v/>
      </c>
      <c r="R1315" s="16" t="str">
        <f t="shared" si="81"/>
        <v/>
      </c>
      <c r="S1315" s="17" t="str">
        <f t="shared" si="82"/>
        <v/>
      </c>
      <c r="T1315" s="18" t="str">
        <f t="shared" ca="1" si="83"/>
        <v/>
      </c>
    </row>
    <row r="1316" spans="1:20" x14ac:dyDescent="0.35">
      <c r="A1316" s="11"/>
      <c r="B1316" s="11"/>
      <c r="C1316" s="11"/>
      <c r="D1316" s="12"/>
      <c r="E1316" s="11"/>
      <c r="F1316" s="13"/>
      <c r="G1316" s="13"/>
      <c r="H1316" s="11"/>
      <c r="I1316" s="12"/>
      <c r="J1316" s="12"/>
      <c r="K1316" s="13"/>
      <c r="L1316" s="13"/>
      <c r="M1316" s="13"/>
      <c r="N1316" s="13"/>
      <c r="O1316" s="13"/>
      <c r="P1316" s="14" t="str">
        <f t="shared" si="80"/>
        <v/>
      </c>
      <c r="Q1316" s="15" t="str">
        <f>IF(OR(J1316="",H1316=""),"",IFERROR(IF(ISNUMBER(N1316),N1316,IF(K1316&lt;N(INDEX(Platforms!$G$5:$G$14,MATCH(H1316,Lists!$A$2:$A$11,0))),N(INDEX(Platforms!$H$5:$H$14,MATCH(H1316,Lists!$A$2:$A$11,0))),MAX(N(INDEX(Platforms!$F$5:$F$14,MATCH(H1316,Lists!$A$2:$A$11,0))),N(INDEX(Platforms!$C$5:$C$14,MATCH(H1316,Lists!$A$2:$A$11,0)))*(K1316+IF(INDEX(Platforms!$E$5:$E$14,MATCH(H1316,Lists!$A$2:$A$11,0))="Yes",N(L1316),0))+N(INDEX(Platforms!$D$5:$D$14,MATCH(H1316,Lists!$A$2:$A$11,0)))))),""))</f>
        <v/>
      </c>
      <c r="R1316" s="16" t="str">
        <f t="shared" si="81"/>
        <v/>
      </c>
      <c r="S1316" s="17" t="str">
        <f t="shared" si="82"/>
        <v/>
      </c>
      <c r="T1316" s="18" t="str">
        <f t="shared" ca="1" si="83"/>
        <v/>
      </c>
    </row>
    <row r="1317" spans="1:20" x14ac:dyDescent="0.35">
      <c r="A1317" s="11"/>
      <c r="B1317" s="11"/>
      <c r="C1317" s="11"/>
      <c r="D1317" s="12"/>
      <c r="E1317" s="11"/>
      <c r="F1317" s="13"/>
      <c r="G1317" s="13"/>
      <c r="H1317" s="11"/>
      <c r="I1317" s="12"/>
      <c r="J1317" s="12"/>
      <c r="K1317" s="13"/>
      <c r="L1317" s="13"/>
      <c r="M1317" s="13"/>
      <c r="N1317" s="13"/>
      <c r="O1317" s="13"/>
      <c r="P1317" s="14" t="str">
        <f t="shared" si="80"/>
        <v/>
      </c>
      <c r="Q1317" s="15" t="str">
        <f>IF(OR(J1317="",H1317=""),"",IFERROR(IF(ISNUMBER(N1317),N1317,IF(K1317&lt;N(INDEX(Platforms!$G$5:$G$14,MATCH(H1317,Lists!$A$2:$A$11,0))),N(INDEX(Platforms!$H$5:$H$14,MATCH(H1317,Lists!$A$2:$A$11,0))),MAX(N(INDEX(Platforms!$F$5:$F$14,MATCH(H1317,Lists!$A$2:$A$11,0))),N(INDEX(Platforms!$C$5:$C$14,MATCH(H1317,Lists!$A$2:$A$11,0)))*(K1317+IF(INDEX(Platforms!$E$5:$E$14,MATCH(H1317,Lists!$A$2:$A$11,0))="Yes",N(L1317),0))+N(INDEX(Platforms!$D$5:$D$14,MATCH(H1317,Lists!$A$2:$A$11,0)))))),""))</f>
        <v/>
      </c>
      <c r="R1317" s="16" t="str">
        <f t="shared" si="81"/>
        <v/>
      </c>
      <c r="S1317" s="17" t="str">
        <f t="shared" si="82"/>
        <v/>
      </c>
      <c r="T1317" s="18" t="str">
        <f t="shared" ca="1" si="83"/>
        <v/>
      </c>
    </row>
    <row r="1318" spans="1:20" x14ac:dyDescent="0.35">
      <c r="A1318" s="11"/>
      <c r="B1318" s="11"/>
      <c r="C1318" s="11"/>
      <c r="D1318" s="12"/>
      <c r="E1318" s="11"/>
      <c r="F1318" s="13"/>
      <c r="G1318" s="13"/>
      <c r="H1318" s="11"/>
      <c r="I1318" s="12"/>
      <c r="J1318" s="12"/>
      <c r="K1318" s="13"/>
      <c r="L1318" s="13"/>
      <c r="M1318" s="13"/>
      <c r="N1318" s="13"/>
      <c r="O1318" s="13"/>
      <c r="P1318" s="14" t="str">
        <f t="shared" si="80"/>
        <v/>
      </c>
      <c r="Q1318" s="15" t="str">
        <f>IF(OR(J1318="",H1318=""),"",IFERROR(IF(ISNUMBER(N1318),N1318,IF(K1318&lt;N(INDEX(Platforms!$G$5:$G$14,MATCH(H1318,Lists!$A$2:$A$11,0))),N(INDEX(Platforms!$H$5:$H$14,MATCH(H1318,Lists!$A$2:$A$11,0))),MAX(N(INDEX(Platforms!$F$5:$F$14,MATCH(H1318,Lists!$A$2:$A$11,0))),N(INDEX(Platforms!$C$5:$C$14,MATCH(H1318,Lists!$A$2:$A$11,0)))*(K1318+IF(INDEX(Platforms!$E$5:$E$14,MATCH(H1318,Lists!$A$2:$A$11,0))="Yes",N(L1318),0))+N(INDEX(Platforms!$D$5:$D$14,MATCH(H1318,Lists!$A$2:$A$11,0)))))),""))</f>
        <v/>
      </c>
      <c r="R1318" s="16" t="str">
        <f t="shared" si="81"/>
        <v/>
      </c>
      <c r="S1318" s="17" t="str">
        <f t="shared" si="82"/>
        <v/>
      </c>
      <c r="T1318" s="18" t="str">
        <f t="shared" ca="1" si="83"/>
        <v/>
      </c>
    </row>
    <row r="1319" spans="1:20" x14ac:dyDescent="0.35">
      <c r="A1319" s="11"/>
      <c r="B1319" s="11"/>
      <c r="C1319" s="11"/>
      <c r="D1319" s="12"/>
      <c r="E1319" s="11"/>
      <c r="F1319" s="13"/>
      <c r="G1319" s="13"/>
      <c r="H1319" s="11"/>
      <c r="I1319" s="12"/>
      <c r="J1319" s="12"/>
      <c r="K1319" s="13"/>
      <c r="L1319" s="13"/>
      <c r="M1319" s="13"/>
      <c r="N1319" s="13"/>
      <c r="O1319" s="13"/>
      <c r="P1319" s="14" t="str">
        <f t="shared" si="80"/>
        <v/>
      </c>
      <c r="Q1319" s="15" t="str">
        <f>IF(OR(J1319="",H1319=""),"",IFERROR(IF(ISNUMBER(N1319),N1319,IF(K1319&lt;N(INDEX(Platforms!$G$5:$G$14,MATCH(H1319,Lists!$A$2:$A$11,0))),N(INDEX(Platforms!$H$5:$H$14,MATCH(H1319,Lists!$A$2:$A$11,0))),MAX(N(INDEX(Platforms!$F$5:$F$14,MATCH(H1319,Lists!$A$2:$A$11,0))),N(INDEX(Platforms!$C$5:$C$14,MATCH(H1319,Lists!$A$2:$A$11,0)))*(K1319+IF(INDEX(Platforms!$E$5:$E$14,MATCH(H1319,Lists!$A$2:$A$11,0))="Yes",N(L1319),0))+N(INDEX(Platforms!$D$5:$D$14,MATCH(H1319,Lists!$A$2:$A$11,0)))))),""))</f>
        <v/>
      </c>
      <c r="R1319" s="16" t="str">
        <f t="shared" si="81"/>
        <v/>
      </c>
      <c r="S1319" s="17" t="str">
        <f t="shared" si="82"/>
        <v/>
      </c>
      <c r="T1319" s="18" t="str">
        <f t="shared" ca="1" si="83"/>
        <v/>
      </c>
    </row>
    <row r="1320" spans="1:20" x14ac:dyDescent="0.35">
      <c r="A1320" s="11"/>
      <c r="B1320" s="11"/>
      <c r="C1320" s="11"/>
      <c r="D1320" s="12"/>
      <c r="E1320" s="11"/>
      <c r="F1320" s="13"/>
      <c r="G1320" s="13"/>
      <c r="H1320" s="11"/>
      <c r="I1320" s="12"/>
      <c r="J1320" s="12"/>
      <c r="K1320" s="13"/>
      <c r="L1320" s="13"/>
      <c r="M1320" s="13"/>
      <c r="N1320" s="13"/>
      <c r="O1320" s="13"/>
      <c r="P1320" s="14" t="str">
        <f t="shared" si="80"/>
        <v/>
      </c>
      <c r="Q1320" s="15" t="str">
        <f>IF(OR(J1320="",H1320=""),"",IFERROR(IF(ISNUMBER(N1320),N1320,IF(K1320&lt;N(INDEX(Platforms!$G$5:$G$14,MATCH(H1320,Lists!$A$2:$A$11,0))),N(INDEX(Platforms!$H$5:$H$14,MATCH(H1320,Lists!$A$2:$A$11,0))),MAX(N(INDEX(Platforms!$F$5:$F$14,MATCH(H1320,Lists!$A$2:$A$11,0))),N(INDEX(Platforms!$C$5:$C$14,MATCH(H1320,Lists!$A$2:$A$11,0)))*(K1320+IF(INDEX(Platforms!$E$5:$E$14,MATCH(H1320,Lists!$A$2:$A$11,0))="Yes",N(L1320),0))+N(INDEX(Platforms!$D$5:$D$14,MATCH(H1320,Lists!$A$2:$A$11,0)))))),""))</f>
        <v/>
      </c>
      <c r="R1320" s="16" t="str">
        <f t="shared" si="81"/>
        <v/>
      </c>
      <c r="S1320" s="17" t="str">
        <f t="shared" si="82"/>
        <v/>
      </c>
      <c r="T1320" s="18" t="str">
        <f t="shared" ca="1" si="83"/>
        <v/>
      </c>
    </row>
    <row r="1321" spans="1:20" x14ac:dyDescent="0.35">
      <c r="A1321" s="11"/>
      <c r="B1321" s="11"/>
      <c r="C1321" s="11"/>
      <c r="D1321" s="12"/>
      <c r="E1321" s="11"/>
      <c r="F1321" s="13"/>
      <c r="G1321" s="13"/>
      <c r="H1321" s="11"/>
      <c r="I1321" s="12"/>
      <c r="J1321" s="12"/>
      <c r="K1321" s="13"/>
      <c r="L1321" s="13"/>
      <c r="M1321" s="13"/>
      <c r="N1321" s="13"/>
      <c r="O1321" s="13"/>
      <c r="P1321" s="14" t="str">
        <f t="shared" si="80"/>
        <v/>
      </c>
      <c r="Q1321" s="15" t="str">
        <f>IF(OR(J1321="",H1321=""),"",IFERROR(IF(ISNUMBER(N1321),N1321,IF(K1321&lt;N(INDEX(Platforms!$G$5:$G$14,MATCH(H1321,Lists!$A$2:$A$11,0))),N(INDEX(Platforms!$H$5:$H$14,MATCH(H1321,Lists!$A$2:$A$11,0))),MAX(N(INDEX(Platforms!$F$5:$F$14,MATCH(H1321,Lists!$A$2:$A$11,0))),N(INDEX(Platforms!$C$5:$C$14,MATCH(H1321,Lists!$A$2:$A$11,0)))*(K1321+IF(INDEX(Platforms!$E$5:$E$14,MATCH(H1321,Lists!$A$2:$A$11,0))="Yes",N(L1321),0))+N(INDEX(Platforms!$D$5:$D$14,MATCH(H1321,Lists!$A$2:$A$11,0)))))),""))</f>
        <v/>
      </c>
      <c r="R1321" s="16" t="str">
        <f t="shared" si="81"/>
        <v/>
      </c>
      <c r="S1321" s="17" t="str">
        <f t="shared" si="82"/>
        <v/>
      </c>
      <c r="T1321" s="18" t="str">
        <f t="shared" ca="1" si="83"/>
        <v/>
      </c>
    </row>
    <row r="1322" spans="1:20" x14ac:dyDescent="0.35">
      <c r="A1322" s="11"/>
      <c r="B1322" s="11"/>
      <c r="C1322" s="11"/>
      <c r="D1322" s="12"/>
      <c r="E1322" s="11"/>
      <c r="F1322" s="13"/>
      <c r="G1322" s="13"/>
      <c r="H1322" s="11"/>
      <c r="I1322" s="12"/>
      <c r="J1322" s="12"/>
      <c r="K1322" s="13"/>
      <c r="L1322" s="13"/>
      <c r="M1322" s="13"/>
      <c r="N1322" s="13"/>
      <c r="O1322" s="13"/>
      <c r="P1322" s="14" t="str">
        <f t="shared" si="80"/>
        <v/>
      </c>
      <c r="Q1322" s="15" t="str">
        <f>IF(OR(J1322="",H1322=""),"",IFERROR(IF(ISNUMBER(N1322),N1322,IF(K1322&lt;N(INDEX(Platforms!$G$5:$G$14,MATCH(H1322,Lists!$A$2:$A$11,0))),N(INDEX(Platforms!$H$5:$H$14,MATCH(H1322,Lists!$A$2:$A$11,0))),MAX(N(INDEX(Platforms!$F$5:$F$14,MATCH(H1322,Lists!$A$2:$A$11,0))),N(INDEX(Platforms!$C$5:$C$14,MATCH(H1322,Lists!$A$2:$A$11,0)))*(K1322+IF(INDEX(Platforms!$E$5:$E$14,MATCH(H1322,Lists!$A$2:$A$11,0))="Yes",N(L1322),0))+N(INDEX(Platforms!$D$5:$D$14,MATCH(H1322,Lists!$A$2:$A$11,0)))))),""))</f>
        <v/>
      </c>
      <c r="R1322" s="16" t="str">
        <f t="shared" si="81"/>
        <v/>
      </c>
      <c r="S1322" s="17" t="str">
        <f t="shared" si="82"/>
        <v/>
      </c>
      <c r="T1322" s="18" t="str">
        <f t="shared" ca="1" si="83"/>
        <v/>
      </c>
    </row>
    <row r="1323" spans="1:20" x14ac:dyDescent="0.35">
      <c r="A1323" s="11"/>
      <c r="B1323" s="11"/>
      <c r="C1323" s="11"/>
      <c r="D1323" s="12"/>
      <c r="E1323" s="11"/>
      <c r="F1323" s="13"/>
      <c r="G1323" s="13"/>
      <c r="H1323" s="11"/>
      <c r="I1323" s="12"/>
      <c r="J1323" s="12"/>
      <c r="K1323" s="13"/>
      <c r="L1323" s="13"/>
      <c r="M1323" s="13"/>
      <c r="N1323" s="13"/>
      <c r="O1323" s="13"/>
      <c r="P1323" s="14" t="str">
        <f t="shared" si="80"/>
        <v/>
      </c>
      <c r="Q1323" s="15" t="str">
        <f>IF(OR(J1323="",H1323=""),"",IFERROR(IF(ISNUMBER(N1323),N1323,IF(K1323&lt;N(INDEX(Platforms!$G$5:$G$14,MATCH(H1323,Lists!$A$2:$A$11,0))),N(INDEX(Platforms!$H$5:$H$14,MATCH(H1323,Lists!$A$2:$A$11,0))),MAX(N(INDEX(Platforms!$F$5:$F$14,MATCH(H1323,Lists!$A$2:$A$11,0))),N(INDEX(Platforms!$C$5:$C$14,MATCH(H1323,Lists!$A$2:$A$11,0)))*(K1323+IF(INDEX(Platforms!$E$5:$E$14,MATCH(H1323,Lists!$A$2:$A$11,0))="Yes",N(L1323),0))+N(INDEX(Platforms!$D$5:$D$14,MATCH(H1323,Lists!$A$2:$A$11,0)))))),""))</f>
        <v/>
      </c>
      <c r="R1323" s="16" t="str">
        <f t="shared" si="81"/>
        <v/>
      </c>
      <c r="S1323" s="17" t="str">
        <f t="shared" si="82"/>
        <v/>
      </c>
      <c r="T1323" s="18" t="str">
        <f t="shared" ca="1" si="83"/>
        <v/>
      </c>
    </row>
    <row r="1324" spans="1:20" x14ac:dyDescent="0.35">
      <c r="A1324" s="11"/>
      <c r="B1324" s="11"/>
      <c r="C1324" s="11"/>
      <c r="D1324" s="12"/>
      <c r="E1324" s="11"/>
      <c r="F1324" s="13"/>
      <c r="G1324" s="13"/>
      <c r="H1324" s="11"/>
      <c r="I1324" s="12"/>
      <c r="J1324" s="12"/>
      <c r="K1324" s="13"/>
      <c r="L1324" s="13"/>
      <c r="M1324" s="13"/>
      <c r="N1324" s="13"/>
      <c r="O1324" s="13"/>
      <c r="P1324" s="14" t="str">
        <f t="shared" si="80"/>
        <v/>
      </c>
      <c r="Q1324" s="15" t="str">
        <f>IF(OR(J1324="",H1324=""),"",IFERROR(IF(ISNUMBER(N1324),N1324,IF(K1324&lt;N(INDEX(Platforms!$G$5:$G$14,MATCH(H1324,Lists!$A$2:$A$11,0))),N(INDEX(Platforms!$H$5:$H$14,MATCH(H1324,Lists!$A$2:$A$11,0))),MAX(N(INDEX(Platforms!$F$5:$F$14,MATCH(H1324,Lists!$A$2:$A$11,0))),N(INDEX(Platforms!$C$5:$C$14,MATCH(H1324,Lists!$A$2:$A$11,0)))*(K1324+IF(INDEX(Platforms!$E$5:$E$14,MATCH(H1324,Lists!$A$2:$A$11,0))="Yes",N(L1324),0))+N(INDEX(Platforms!$D$5:$D$14,MATCH(H1324,Lists!$A$2:$A$11,0)))))),""))</f>
        <v/>
      </c>
      <c r="R1324" s="16" t="str">
        <f t="shared" si="81"/>
        <v/>
      </c>
      <c r="S1324" s="17" t="str">
        <f t="shared" si="82"/>
        <v/>
      </c>
      <c r="T1324" s="18" t="str">
        <f t="shared" ca="1" si="83"/>
        <v/>
      </c>
    </row>
    <row r="1325" spans="1:20" x14ac:dyDescent="0.35">
      <c r="A1325" s="11"/>
      <c r="B1325" s="11"/>
      <c r="C1325" s="11"/>
      <c r="D1325" s="12"/>
      <c r="E1325" s="11"/>
      <c r="F1325" s="13"/>
      <c r="G1325" s="13"/>
      <c r="H1325" s="11"/>
      <c r="I1325" s="12"/>
      <c r="J1325" s="12"/>
      <c r="K1325" s="13"/>
      <c r="L1325" s="13"/>
      <c r="M1325" s="13"/>
      <c r="N1325" s="13"/>
      <c r="O1325" s="13"/>
      <c r="P1325" s="14" t="str">
        <f t="shared" si="80"/>
        <v/>
      </c>
      <c r="Q1325" s="15" t="str">
        <f>IF(OR(J1325="",H1325=""),"",IFERROR(IF(ISNUMBER(N1325),N1325,IF(K1325&lt;N(INDEX(Platforms!$G$5:$G$14,MATCH(H1325,Lists!$A$2:$A$11,0))),N(INDEX(Platforms!$H$5:$H$14,MATCH(H1325,Lists!$A$2:$A$11,0))),MAX(N(INDEX(Platforms!$F$5:$F$14,MATCH(H1325,Lists!$A$2:$A$11,0))),N(INDEX(Platforms!$C$5:$C$14,MATCH(H1325,Lists!$A$2:$A$11,0)))*(K1325+IF(INDEX(Platforms!$E$5:$E$14,MATCH(H1325,Lists!$A$2:$A$11,0))="Yes",N(L1325),0))+N(INDEX(Platforms!$D$5:$D$14,MATCH(H1325,Lists!$A$2:$A$11,0)))))),""))</f>
        <v/>
      </c>
      <c r="R1325" s="16" t="str">
        <f t="shared" si="81"/>
        <v/>
      </c>
      <c r="S1325" s="17" t="str">
        <f t="shared" si="82"/>
        <v/>
      </c>
      <c r="T1325" s="18" t="str">
        <f t="shared" ca="1" si="83"/>
        <v/>
      </c>
    </row>
    <row r="1326" spans="1:20" x14ac:dyDescent="0.35">
      <c r="A1326" s="11"/>
      <c r="B1326" s="11"/>
      <c r="C1326" s="11"/>
      <c r="D1326" s="12"/>
      <c r="E1326" s="11"/>
      <c r="F1326" s="13"/>
      <c r="G1326" s="13"/>
      <c r="H1326" s="11"/>
      <c r="I1326" s="12"/>
      <c r="J1326" s="12"/>
      <c r="K1326" s="13"/>
      <c r="L1326" s="13"/>
      <c r="M1326" s="13"/>
      <c r="N1326" s="13"/>
      <c r="O1326" s="13"/>
      <c r="P1326" s="14" t="str">
        <f t="shared" si="80"/>
        <v/>
      </c>
      <c r="Q1326" s="15" t="str">
        <f>IF(OR(J1326="",H1326=""),"",IFERROR(IF(ISNUMBER(N1326),N1326,IF(K1326&lt;N(INDEX(Platforms!$G$5:$G$14,MATCH(H1326,Lists!$A$2:$A$11,0))),N(INDEX(Platforms!$H$5:$H$14,MATCH(H1326,Lists!$A$2:$A$11,0))),MAX(N(INDEX(Platforms!$F$5:$F$14,MATCH(H1326,Lists!$A$2:$A$11,0))),N(INDEX(Platforms!$C$5:$C$14,MATCH(H1326,Lists!$A$2:$A$11,0)))*(K1326+IF(INDEX(Platforms!$E$5:$E$14,MATCH(H1326,Lists!$A$2:$A$11,0))="Yes",N(L1326),0))+N(INDEX(Platforms!$D$5:$D$14,MATCH(H1326,Lists!$A$2:$A$11,0)))))),""))</f>
        <v/>
      </c>
      <c r="R1326" s="16" t="str">
        <f t="shared" si="81"/>
        <v/>
      </c>
      <c r="S1326" s="17" t="str">
        <f t="shared" si="82"/>
        <v/>
      </c>
      <c r="T1326" s="18" t="str">
        <f t="shared" ca="1" si="83"/>
        <v/>
      </c>
    </row>
    <row r="1327" spans="1:20" x14ac:dyDescent="0.35">
      <c r="A1327" s="11"/>
      <c r="B1327" s="11"/>
      <c r="C1327" s="11"/>
      <c r="D1327" s="12"/>
      <c r="E1327" s="11"/>
      <c r="F1327" s="13"/>
      <c r="G1327" s="13"/>
      <c r="H1327" s="11"/>
      <c r="I1327" s="12"/>
      <c r="J1327" s="12"/>
      <c r="K1327" s="13"/>
      <c r="L1327" s="13"/>
      <c r="M1327" s="13"/>
      <c r="N1327" s="13"/>
      <c r="O1327" s="13"/>
      <c r="P1327" s="14" t="str">
        <f t="shared" si="80"/>
        <v/>
      </c>
      <c r="Q1327" s="15" t="str">
        <f>IF(OR(J1327="",H1327=""),"",IFERROR(IF(ISNUMBER(N1327),N1327,IF(K1327&lt;N(INDEX(Platforms!$G$5:$G$14,MATCH(H1327,Lists!$A$2:$A$11,0))),N(INDEX(Platforms!$H$5:$H$14,MATCH(H1327,Lists!$A$2:$A$11,0))),MAX(N(INDEX(Platforms!$F$5:$F$14,MATCH(H1327,Lists!$A$2:$A$11,0))),N(INDEX(Platforms!$C$5:$C$14,MATCH(H1327,Lists!$A$2:$A$11,0)))*(K1327+IF(INDEX(Platforms!$E$5:$E$14,MATCH(H1327,Lists!$A$2:$A$11,0))="Yes",N(L1327),0))+N(INDEX(Platforms!$D$5:$D$14,MATCH(H1327,Lists!$A$2:$A$11,0)))))),""))</f>
        <v/>
      </c>
      <c r="R1327" s="16" t="str">
        <f t="shared" si="81"/>
        <v/>
      </c>
      <c r="S1327" s="17" t="str">
        <f t="shared" si="82"/>
        <v/>
      </c>
      <c r="T1327" s="18" t="str">
        <f t="shared" ca="1" si="83"/>
        <v/>
      </c>
    </row>
    <row r="1328" spans="1:20" x14ac:dyDescent="0.35">
      <c r="A1328" s="11"/>
      <c r="B1328" s="11"/>
      <c r="C1328" s="11"/>
      <c r="D1328" s="12"/>
      <c r="E1328" s="11"/>
      <c r="F1328" s="13"/>
      <c r="G1328" s="13"/>
      <c r="H1328" s="11"/>
      <c r="I1328" s="12"/>
      <c r="J1328" s="12"/>
      <c r="K1328" s="13"/>
      <c r="L1328" s="13"/>
      <c r="M1328" s="13"/>
      <c r="N1328" s="13"/>
      <c r="O1328" s="13"/>
      <c r="P1328" s="14" t="str">
        <f t="shared" si="80"/>
        <v/>
      </c>
      <c r="Q1328" s="15" t="str">
        <f>IF(OR(J1328="",H1328=""),"",IFERROR(IF(ISNUMBER(N1328),N1328,IF(K1328&lt;N(INDEX(Platforms!$G$5:$G$14,MATCH(H1328,Lists!$A$2:$A$11,0))),N(INDEX(Platforms!$H$5:$H$14,MATCH(H1328,Lists!$A$2:$A$11,0))),MAX(N(INDEX(Platforms!$F$5:$F$14,MATCH(H1328,Lists!$A$2:$A$11,0))),N(INDEX(Platforms!$C$5:$C$14,MATCH(H1328,Lists!$A$2:$A$11,0)))*(K1328+IF(INDEX(Platforms!$E$5:$E$14,MATCH(H1328,Lists!$A$2:$A$11,0))="Yes",N(L1328),0))+N(INDEX(Platforms!$D$5:$D$14,MATCH(H1328,Lists!$A$2:$A$11,0)))))),""))</f>
        <v/>
      </c>
      <c r="R1328" s="16" t="str">
        <f t="shared" si="81"/>
        <v/>
      </c>
      <c r="S1328" s="17" t="str">
        <f t="shared" si="82"/>
        <v/>
      </c>
      <c r="T1328" s="18" t="str">
        <f t="shared" ca="1" si="83"/>
        <v/>
      </c>
    </row>
    <row r="1329" spans="1:20" x14ac:dyDescent="0.35">
      <c r="A1329" s="11"/>
      <c r="B1329" s="11"/>
      <c r="C1329" s="11"/>
      <c r="D1329" s="12"/>
      <c r="E1329" s="11"/>
      <c r="F1329" s="13"/>
      <c r="G1329" s="13"/>
      <c r="H1329" s="11"/>
      <c r="I1329" s="12"/>
      <c r="J1329" s="12"/>
      <c r="K1329" s="13"/>
      <c r="L1329" s="13"/>
      <c r="M1329" s="13"/>
      <c r="N1329" s="13"/>
      <c r="O1329" s="13"/>
      <c r="P1329" s="14" t="str">
        <f t="shared" si="80"/>
        <v/>
      </c>
      <c r="Q1329" s="15" t="str">
        <f>IF(OR(J1329="",H1329=""),"",IFERROR(IF(ISNUMBER(N1329),N1329,IF(K1329&lt;N(INDEX(Platforms!$G$5:$G$14,MATCH(H1329,Lists!$A$2:$A$11,0))),N(INDEX(Platforms!$H$5:$H$14,MATCH(H1329,Lists!$A$2:$A$11,0))),MAX(N(INDEX(Platforms!$F$5:$F$14,MATCH(H1329,Lists!$A$2:$A$11,0))),N(INDEX(Platforms!$C$5:$C$14,MATCH(H1329,Lists!$A$2:$A$11,0)))*(K1329+IF(INDEX(Platforms!$E$5:$E$14,MATCH(H1329,Lists!$A$2:$A$11,0))="Yes",N(L1329),0))+N(INDEX(Platforms!$D$5:$D$14,MATCH(H1329,Lists!$A$2:$A$11,0)))))),""))</f>
        <v/>
      </c>
      <c r="R1329" s="16" t="str">
        <f t="shared" si="81"/>
        <v/>
      </c>
      <c r="S1329" s="17" t="str">
        <f t="shared" si="82"/>
        <v/>
      </c>
      <c r="T1329" s="18" t="str">
        <f t="shared" ca="1" si="83"/>
        <v/>
      </c>
    </row>
    <row r="1330" spans="1:20" x14ac:dyDescent="0.35">
      <c r="A1330" s="11"/>
      <c r="B1330" s="11"/>
      <c r="C1330" s="11"/>
      <c r="D1330" s="12"/>
      <c r="E1330" s="11"/>
      <c r="F1330" s="13"/>
      <c r="G1330" s="13"/>
      <c r="H1330" s="11"/>
      <c r="I1330" s="12"/>
      <c r="J1330" s="12"/>
      <c r="K1330" s="13"/>
      <c r="L1330" s="13"/>
      <c r="M1330" s="13"/>
      <c r="N1330" s="13"/>
      <c r="O1330" s="13"/>
      <c r="P1330" s="14" t="str">
        <f t="shared" si="80"/>
        <v/>
      </c>
      <c r="Q1330" s="15" t="str">
        <f>IF(OR(J1330="",H1330=""),"",IFERROR(IF(ISNUMBER(N1330),N1330,IF(K1330&lt;N(INDEX(Platforms!$G$5:$G$14,MATCH(H1330,Lists!$A$2:$A$11,0))),N(INDEX(Platforms!$H$5:$H$14,MATCH(H1330,Lists!$A$2:$A$11,0))),MAX(N(INDEX(Platforms!$F$5:$F$14,MATCH(H1330,Lists!$A$2:$A$11,0))),N(INDEX(Platforms!$C$5:$C$14,MATCH(H1330,Lists!$A$2:$A$11,0)))*(K1330+IF(INDEX(Platforms!$E$5:$E$14,MATCH(H1330,Lists!$A$2:$A$11,0))="Yes",N(L1330),0))+N(INDEX(Platforms!$D$5:$D$14,MATCH(H1330,Lists!$A$2:$A$11,0)))))),""))</f>
        <v/>
      </c>
      <c r="R1330" s="16" t="str">
        <f t="shared" si="81"/>
        <v/>
      </c>
      <c r="S1330" s="17" t="str">
        <f t="shared" si="82"/>
        <v/>
      </c>
      <c r="T1330" s="18" t="str">
        <f t="shared" ca="1" si="83"/>
        <v/>
      </c>
    </row>
    <row r="1331" spans="1:20" x14ac:dyDescent="0.35">
      <c r="A1331" s="11"/>
      <c r="B1331" s="11"/>
      <c r="C1331" s="11"/>
      <c r="D1331" s="12"/>
      <c r="E1331" s="11"/>
      <c r="F1331" s="13"/>
      <c r="G1331" s="13"/>
      <c r="H1331" s="11"/>
      <c r="I1331" s="12"/>
      <c r="J1331" s="12"/>
      <c r="K1331" s="13"/>
      <c r="L1331" s="13"/>
      <c r="M1331" s="13"/>
      <c r="N1331" s="13"/>
      <c r="O1331" s="13"/>
      <c r="P1331" s="14" t="str">
        <f t="shared" si="80"/>
        <v/>
      </c>
      <c r="Q1331" s="15" t="str">
        <f>IF(OR(J1331="",H1331=""),"",IFERROR(IF(ISNUMBER(N1331),N1331,IF(K1331&lt;N(INDEX(Platforms!$G$5:$G$14,MATCH(H1331,Lists!$A$2:$A$11,0))),N(INDEX(Platforms!$H$5:$H$14,MATCH(H1331,Lists!$A$2:$A$11,0))),MAX(N(INDEX(Platforms!$F$5:$F$14,MATCH(H1331,Lists!$A$2:$A$11,0))),N(INDEX(Platforms!$C$5:$C$14,MATCH(H1331,Lists!$A$2:$A$11,0)))*(K1331+IF(INDEX(Platforms!$E$5:$E$14,MATCH(H1331,Lists!$A$2:$A$11,0))="Yes",N(L1331),0))+N(INDEX(Platforms!$D$5:$D$14,MATCH(H1331,Lists!$A$2:$A$11,0)))))),""))</f>
        <v/>
      </c>
      <c r="R1331" s="16" t="str">
        <f t="shared" si="81"/>
        <v/>
      </c>
      <c r="S1331" s="17" t="str">
        <f t="shared" si="82"/>
        <v/>
      </c>
      <c r="T1331" s="18" t="str">
        <f t="shared" ca="1" si="83"/>
        <v/>
      </c>
    </row>
    <row r="1332" spans="1:20" x14ac:dyDescent="0.35">
      <c r="A1332" s="11"/>
      <c r="B1332" s="11"/>
      <c r="C1332" s="11"/>
      <c r="D1332" s="12"/>
      <c r="E1332" s="11"/>
      <c r="F1332" s="13"/>
      <c r="G1332" s="13"/>
      <c r="H1332" s="11"/>
      <c r="I1332" s="12"/>
      <c r="J1332" s="12"/>
      <c r="K1332" s="13"/>
      <c r="L1332" s="13"/>
      <c r="M1332" s="13"/>
      <c r="N1332" s="13"/>
      <c r="O1332" s="13"/>
      <c r="P1332" s="14" t="str">
        <f t="shared" si="80"/>
        <v/>
      </c>
      <c r="Q1332" s="15" t="str">
        <f>IF(OR(J1332="",H1332=""),"",IFERROR(IF(ISNUMBER(N1332),N1332,IF(K1332&lt;N(INDEX(Platforms!$G$5:$G$14,MATCH(H1332,Lists!$A$2:$A$11,0))),N(INDEX(Platforms!$H$5:$H$14,MATCH(H1332,Lists!$A$2:$A$11,0))),MAX(N(INDEX(Platforms!$F$5:$F$14,MATCH(H1332,Lists!$A$2:$A$11,0))),N(INDEX(Platforms!$C$5:$C$14,MATCH(H1332,Lists!$A$2:$A$11,0)))*(K1332+IF(INDEX(Platforms!$E$5:$E$14,MATCH(H1332,Lists!$A$2:$A$11,0))="Yes",N(L1332),0))+N(INDEX(Platforms!$D$5:$D$14,MATCH(H1332,Lists!$A$2:$A$11,0)))))),""))</f>
        <v/>
      </c>
      <c r="R1332" s="16" t="str">
        <f t="shared" si="81"/>
        <v/>
      </c>
      <c r="S1332" s="17" t="str">
        <f t="shared" si="82"/>
        <v/>
      </c>
      <c r="T1332" s="18" t="str">
        <f t="shared" ca="1" si="83"/>
        <v/>
      </c>
    </row>
    <row r="1333" spans="1:20" x14ac:dyDescent="0.35">
      <c r="A1333" s="11"/>
      <c r="B1333" s="11"/>
      <c r="C1333" s="11"/>
      <c r="D1333" s="12"/>
      <c r="E1333" s="11"/>
      <c r="F1333" s="13"/>
      <c r="G1333" s="13"/>
      <c r="H1333" s="11"/>
      <c r="I1333" s="12"/>
      <c r="J1333" s="12"/>
      <c r="K1333" s="13"/>
      <c r="L1333" s="13"/>
      <c r="M1333" s="13"/>
      <c r="N1333" s="13"/>
      <c r="O1333" s="13"/>
      <c r="P1333" s="14" t="str">
        <f t="shared" si="80"/>
        <v/>
      </c>
      <c r="Q1333" s="15" t="str">
        <f>IF(OR(J1333="",H1333=""),"",IFERROR(IF(ISNUMBER(N1333),N1333,IF(K1333&lt;N(INDEX(Platforms!$G$5:$G$14,MATCH(H1333,Lists!$A$2:$A$11,0))),N(INDEX(Platforms!$H$5:$H$14,MATCH(H1333,Lists!$A$2:$A$11,0))),MAX(N(INDEX(Platforms!$F$5:$F$14,MATCH(H1333,Lists!$A$2:$A$11,0))),N(INDEX(Platforms!$C$5:$C$14,MATCH(H1333,Lists!$A$2:$A$11,0)))*(K1333+IF(INDEX(Platforms!$E$5:$E$14,MATCH(H1333,Lists!$A$2:$A$11,0))="Yes",N(L1333),0))+N(INDEX(Platforms!$D$5:$D$14,MATCH(H1333,Lists!$A$2:$A$11,0)))))),""))</f>
        <v/>
      </c>
      <c r="R1333" s="16" t="str">
        <f t="shared" si="81"/>
        <v/>
      </c>
      <c r="S1333" s="17" t="str">
        <f t="shared" si="82"/>
        <v/>
      </c>
      <c r="T1333" s="18" t="str">
        <f t="shared" ca="1" si="83"/>
        <v/>
      </c>
    </row>
    <row r="1334" spans="1:20" x14ac:dyDescent="0.35">
      <c r="A1334" s="11"/>
      <c r="B1334" s="11"/>
      <c r="C1334" s="11"/>
      <c r="D1334" s="12"/>
      <c r="E1334" s="11"/>
      <c r="F1334" s="13"/>
      <c r="G1334" s="13"/>
      <c r="H1334" s="11"/>
      <c r="I1334" s="12"/>
      <c r="J1334" s="12"/>
      <c r="K1334" s="13"/>
      <c r="L1334" s="13"/>
      <c r="M1334" s="13"/>
      <c r="N1334" s="13"/>
      <c r="O1334" s="13"/>
      <c r="P1334" s="14" t="str">
        <f t="shared" si="80"/>
        <v/>
      </c>
      <c r="Q1334" s="15" t="str">
        <f>IF(OR(J1334="",H1334=""),"",IFERROR(IF(ISNUMBER(N1334),N1334,IF(K1334&lt;N(INDEX(Platforms!$G$5:$G$14,MATCH(H1334,Lists!$A$2:$A$11,0))),N(INDEX(Platforms!$H$5:$H$14,MATCH(H1334,Lists!$A$2:$A$11,0))),MAX(N(INDEX(Platforms!$F$5:$F$14,MATCH(H1334,Lists!$A$2:$A$11,0))),N(INDEX(Platforms!$C$5:$C$14,MATCH(H1334,Lists!$A$2:$A$11,0)))*(K1334+IF(INDEX(Platforms!$E$5:$E$14,MATCH(H1334,Lists!$A$2:$A$11,0))="Yes",N(L1334),0))+N(INDEX(Platforms!$D$5:$D$14,MATCH(H1334,Lists!$A$2:$A$11,0)))))),""))</f>
        <v/>
      </c>
      <c r="R1334" s="16" t="str">
        <f t="shared" si="81"/>
        <v/>
      </c>
      <c r="S1334" s="17" t="str">
        <f t="shared" si="82"/>
        <v/>
      </c>
      <c r="T1334" s="18" t="str">
        <f t="shared" ca="1" si="83"/>
        <v/>
      </c>
    </row>
    <row r="1335" spans="1:20" x14ac:dyDescent="0.35">
      <c r="A1335" s="11"/>
      <c r="B1335" s="11"/>
      <c r="C1335" s="11"/>
      <c r="D1335" s="12"/>
      <c r="E1335" s="11"/>
      <c r="F1335" s="13"/>
      <c r="G1335" s="13"/>
      <c r="H1335" s="11"/>
      <c r="I1335" s="12"/>
      <c r="J1335" s="12"/>
      <c r="K1335" s="13"/>
      <c r="L1335" s="13"/>
      <c r="M1335" s="13"/>
      <c r="N1335" s="13"/>
      <c r="O1335" s="13"/>
      <c r="P1335" s="14" t="str">
        <f t="shared" si="80"/>
        <v/>
      </c>
      <c r="Q1335" s="15" t="str">
        <f>IF(OR(J1335="",H1335=""),"",IFERROR(IF(ISNUMBER(N1335),N1335,IF(K1335&lt;N(INDEX(Platforms!$G$5:$G$14,MATCH(H1335,Lists!$A$2:$A$11,0))),N(INDEX(Platforms!$H$5:$H$14,MATCH(H1335,Lists!$A$2:$A$11,0))),MAX(N(INDEX(Platforms!$F$5:$F$14,MATCH(H1335,Lists!$A$2:$A$11,0))),N(INDEX(Platforms!$C$5:$C$14,MATCH(H1335,Lists!$A$2:$A$11,0)))*(K1335+IF(INDEX(Platforms!$E$5:$E$14,MATCH(H1335,Lists!$A$2:$A$11,0))="Yes",N(L1335),0))+N(INDEX(Platforms!$D$5:$D$14,MATCH(H1335,Lists!$A$2:$A$11,0)))))),""))</f>
        <v/>
      </c>
      <c r="R1335" s="16" t="str">
        <f t="shared" si="81"/>
        <v/>
      </c>
      <c r="S1335" s="17" t="str">
        <f t="shared" si="82"/>
        <v/>
      </c>
      <c r="T1335" s="18" t="str">
        <f t="shared" ca="1" si="83"/>
        <v/>
      </c>
    </row>
    <row r="1336" spans="1:20" x14ac:dyDescent="0.35">
      <c r="A1336" s="11"/>
      <c r="B1336" s="11"/>
      <c r="C1336" s="11"/>
      <c r="D1336" s="12"/>
      <c r="E1336" s="11"/>
      <c r="F1336" s="13"/>
      <c r="G1336" s="13"/>
      <c r="H1336" s="11"/>
      <c r="I1336" s="12"/>
      <c r="J1336" s="12"/>
      <c r="K1336" s="13"/>
      <c r="L1336" s="13"/>
      <c r="M1336" s="13"/>
      <c r="N1336" s="13"/>
      <c r="O1336" s="13"/>
      <c r="P1336" s="14" t="str">
        <f t="shared" si="80"/>
        <v/>
      </c>
      <c r="Q1336" s="15" t="str">
        <f>IF(OR(J1336="",H1336=""),"",IFERROR(IF(ISNUMBER(N1336),N1336,IF(K1336&lt;N(INDEX(Platforms!$G$5:$G$14,MATCH(H1336,Lists!$A$2:$A$11,0))),N(INDEX(Platforms!$H$5:$H$14,MATCH(H1336,Lists!$A$2:$A$11,0))),MAX(N(INDEX(Platforms!$F$5:$F$14,MATCH(H1336,Lists!$A$2:$A$11,0))),N(INDEX(Platforms!$C$5:$C$14,MATCH(H1336,Lists!$A$2:$A$11,0)))*(K1336+IF(INDEX(Platforms!$E$5:$E$14,MATCH(H1336,Lists!$A$2:$A$11,0))="Yes",N(L1336),0))+N(INDEX(Platforms!$D$5:$D$14,MATCH(H1336,Lists!$A$2:$A$11,0)))))),""))</f>
        <v/>
      </c>
      <c r="R1336" s="16" t="str">
        <f t="shared" si="81"/>
        <v/>
      </c>
      <c r="S1336" s="17" t="str">
        <f t="shared" si="82"/>
        <v/>
      </c>
      <c r="T1336" s="18" t="str">
        <f t="shared" ca="1" si="83"/>
        <v/>
      </c>
    </row>
    <row r="1337" spans="1:20" x14ac:dyDescent="0.35">
      <c r="A1337" s="11"/>
      <c r="B1337" s="11"/>
      <c r="C1337" s="11"/>
      <c r="D1337" s="12"/>
      <c r="E1337" s="11"/>
      <c r="F1337" s="13"/>
      <c r="G1337" s="13"/>
      <c r="H1337" s="11"/>
      <c r="I1337" s="12"/>
      <c r="J1337" s="12"/>
      <c r="K1337" s="13"/>
      <c r="L1337" s="13"/>
      <c r="M1337" s="13"/>
      <c r="N1337" s="13"/>
      <c r="O1337" s="13"/>
      <c r="P1337" s="14" t="str">
        <f t="shared" si="80"/>
        <v/>
      </c>
      <c r="Q1337" s="15" t="str">
        <f>IF(OR(J1337="",H1337=""),"",IFERROR(IF(ISNUMBER(N1337),N1337,IF(K1337&lt;N(INDEX(Platforms!$G$5:$G$14,MATCH(H1337,Lists!$A$2:$A$11,0))),N(INDEX(Platforms!$H$5:$H$14,MATCH(H1337,Lists!$A$2:$A$11,0))),MAX(N(INDEX(Platforms!$F$5:$F$14,MATCH(H1337,Lists!$A$2:$A$11,0))),N(INDEX(Platforms!$C$5:$C$14,MATCH(H1337,Lists!$A$2:$A$11,0)))*(K1337+IF(INDEX(Platforms!$E$5:$E$14,MATCH(H1337,Lists!$A$2:$A$11,0))="Yes",N(L1337),0))+N(INDEX(Platforms!$D$5:$D$14,MATCH(H1337,Lists!$A$2:$A$11,0)))))),""))</f>
        <v/>
      </c>
      <c r="R1337" s="16" t="str">
        <f t="shared" si="81"/>
        <v/>
      </c>
      <c r="S1337" s="17" t="str">
        <f t="shared" si="82"/>
        <v/>
      </c>
      <c r="T1337" s="18" t="str">
        <f t="shared" ca="1" si="83"/>
        <v/>
      </c>
    </row>
    <row r="1338" spans="1:20" x14ac:dyDescent="0.35">
      <c r="A1338" s="11"/>
      <c r="B1338" s="11"/>
      <c r="C1338" s="11"/>
      <c r="D1338" s="12"/>
      <c r="E1338" s="11"/>
      <c r="F1338" s="13"/>
      <c r="G1338" s="13"/>
      <c r="H1338" s="11"/>
      <c r="I1338" s="12"/>
      <c r="J1338" s="12"/>
      <c r="K1338" s="13"/>
      <c r="L1338" s="13"/>
      <c r="M1338" s="13"/>
      <c r="N1338" s="13"/>
      <c r="O1338" s="13"/>
      <c r="P1338" s="14" t="str">
        <f t="shared" si="80"/>
        <v/>
      </c>
      <c r="Q1338" s="15" t="str">
        <f>IF(OR(J1338="",H1338=""),"",IFERROR(IF(ISNUMBER(N1338),N1338,IF(K1338&lt;N(INDEX(Platforms!$G$5:$G$14,MATCH(H1338,Lists!$A$2:$A$11,0))),N(INDEX(Platforms!$H$5:$H$14,MATCH(H1338,Lists!$A$2:$A$11,0))),MAX(N(INDEX(Platforms!$F$5:$F$14,MATCH(H1338,Lists!$A$2:$A$11,0))),N(INDEX(Platforms!$C$5:$C$14,MATCH(H1338,Lists!$A$2:$A$11,0)))*(K1338+IF(INDEX(Platforms!$E$5:$E$14,MATCH(H1338,Lists!$A$2:$A$11,0))="Yes",N(L1338),0))+N(INDEX(Platforms!$D$5:$D$14,MATCH(H1338,Lists!$A$2:$A$11,0)))))),""))</f>
        <v/>
      </c>
      <c r="R1338" s="16" t="str">
        <f t="shared" si="81"/>
        <v/>
      </c>
      <c r="S1338" s="17" t="str">
        <f t="shared" si="82"/>
        <v/>
      </c>
      <c r="T1338" s="18" t="str">
        <f t="shared" ca="1" si="83"/>
        <v/>
      </c>
    </row>
    <row r="1339" spans="1:20" x14ac:dyDescent="0.35">
      <c r="A1339" s="11"/>
      <c r="B1339" s="11"/>
      <c r="C1339" s="11"/>
      <c r="D1339" s="12"/>
      <c r="E1339" s="11"/>
      <c r="F1339" s="13"/>
      <c r="G1339" s="13"/>
      <c r="H1339" s="11"/>
      <c r="I1339" s="12"/>
      <c r="J1339" s="12"/>
      <c r="K1339" s="13"/>
      <c r="L1339" s="13"/>
      <c r="M1339" s="13"/>
      <c r="N1339" s="13"/>
      <c r="O1339" s="13"/>
      <c r="P1339" s="14" t="str">
        <f t="shared" si="80"/>
        <v/>
      </c>
      <c r="Q1339" s="15" t="str">
        <f>IF(OR(J1339="",H1339=""),"",IFERROR(IF(ISNUMBER(N1339),N1339,IF(K1339&lt;N(INDEX(Platforms!$G$5:$G$14,MATCH(H1339,Lists!$A$2:$A$11,0))),N(INDEX(Platforms!$H$5:$H$14,MATCH(H1339,Lists!$A$2:$A$11,0))),MAX(N(INDEX(Platforms!$F$5:$F$14,MATCH(H1339,Lists!$A$2:$A$11,0))),N(INDEX(Platforms!$C$5:$C$14,MATCH(H1339,Lists!$A$2:$A$11,0)))*(K1339+IF(INDEX(Platforms!$E$5:$E$14,MATCH(H1339,Lists!$A$2:$A$11,0))="Yes",N(L1339),0))+N(INDEX(Platforms!$D$5:$D$14,MATCH(H1339,Lists!$A$2:$A$11,0)))))),""))</f>
        <v/>
      </c>
      <c r="R1339" s="16" t="str">
        <f t="shared" si="81"/>
        <v/>
      </c>
      <c r="S1339" s="17" t="str">
        <f t="shared" si="82"/>
        <v/>
      </c>
      <c r="T1339" s="18" t="str">
        <f t="shared" ca="1" si="83"/>
        <v/>
      </c>
    </row>
    <row r="1340" spans="1:20" x14ac:dyDescent="0.35">
      <c r="A1340" s="11"/>
      <c r="B1340" s="11"/>
      <c r="C1340" s="11"/>
      <c r="D1340" s="12"/>
      <c r="E1340" s="11"/>
      <c r="F1340" s="13"/>
      <c r="G1340" s="13"/>
      <c r="H1340" s="11"/>
      <c r="I1340" s="12"/>
      <c r="J1340" s="12"/>
      <c r="K1340" s="13"/>
      <c r="L1340" s="13"/>
      <c r="M1340" s="13"/>
      <c r="N1340" s="13"/>
      <c r="O1340" s="13"/>
      <c r="P1340" s="14" t="str">
        <f t="shared" si="80"/>
        <v/>
      </c>
      <c r="Q1340" s="15" t="str">
        <f>IF(OR(J1340="",H1340=""),"",IFERROR(IF(ISNUMBER(N1340),N1340,IF(K1340&lt;N(INDEX(Platforms!$G$5:$G$14,MATCH(H1340,Lists!$A$2:$A$11,0))),N(INDEX(Platforms!$H$5:$H$14,MATCH(H1340,Lists!$A$2:$A$11,0))),MAX(N(INDEX(Platforms!$F$5:$F$14,MATCH(H1340,Lists!$A$2:$A$11,0))),N(INDEX(Platforms!$C$5:$C$14,MATCH(H1340,Lists!$A$2:$A$11,0)))*(K1340+IF(INDEX(Platforms!$E$5:$E$14,MATCH(H1340,Lists!$A$2:$A$11,0))="Yes",N(L1340),0))+N(INDEX(Platforms!$D$5:$D$14,MATCH(H1340,Lists!$A$2:$A$11,0)))))),""))</f>
        <v/>
      </c>
      <c r="R1340" s="16" t="str">
        <f t="shared" si="81"/>
        <v/>
      </c>
      <c r="S1340" s="17" t="str">
        <f t="shared" si="82"/>
        <v/>
      </c>
      <c r="T1340" s="18" t="str">
        <f t="shared" ca="1" si="83"/>
        <v/>
      </c>
    </row>
    <row r="1341" spans="1:20" x14ac:dyDescent="0.35">
      <c r="A1341" s="11"/>
      <c r="B1341" s="11"/>
      <c r="C1341" s="11"/>
      <c r="D1341" s="12"/>
      <c r="E1341" s="11"/>
      <c r="F1341" s="13"/>
      <c r="G1341" s="13"/>
      <c r="H1341" s="11"/>
      <c r="I1341" s="12"/>
      <c r="J1341" s="12"/>
      <c r="K1341" s="13"/>
      <c r="L1341" s="13"/>
      <c r="M1341" s="13"/>
      <c r="N1341" s="13"/>
      <c r="O1341" s="13"/>
      <c r="P1341" s="14" t="str">
        <f t="shared" si="80"/>
        <v/>
      </c>
      <c r="Q1341" s="15" t="str">
        <f>IF(OR(J1341="",H1341=""),"",IFERROR(IF(ISNUMBER(N1341),N1341,IF(K1341&lt;N(INDEX(Platforms!$G$5:$G$14,MATCH(H1341,Lists!$A$2:$A$11,0))),N(INDEX(Platforms!$H$5:$H$14,MATCH(H1341,Lists!$A$2:$A$11,0))),MAX(N(INDEX(Platforms!$F$5:$F$14,MATCH(H1341,Lists!$A$2:$A$11,0))),N(INDEX(Platforms!$C$5:$C$14,MATCH(H1341,Lists!$A$2:$A$11,0)))*(K1341+IF(INDEX(Platforms!$E$5:$E$14,MATCH(H1341,Lists!$A$2:$A$11,0))="Yes",N(L1341),0))+N(INDEX(Platforms!$D$5:$D$14,MATCH(H1341,Lists!$A$2:$A$11,0)))))),""))</f>
        <v/>
      </c>
      <c r="R1341" s="16" t="str">
        <f t="shared" si="81"/>
        <v/>
      </c>
      <c r="S1341" s="17" t="str">
        <f t="shared" si="82"/>
        <v/>
      </c>
      <c r="T1341" s="18" t="str">
        <f t="shared" ca="1" si="83"/>
        <v/>
      </c>
    </row>
    <row r="1342" spans="1:20" x14ac:dyDescent="0.35">
      <c r="A1342" s="11"/>
      <c r="B1342" s="11"/>
      <c r="C1342" s="11"/>
      <c r="D1342" s="12"/>
      <c r="E1342" s="11"/>
      <c r="F1342" s="13"/>
      <c r="G1342" s="13"/>
      <c r="H1342" s="11"/>
      <c r="I1342" s="12"/>
      <c r="J1342" s="12"/>
      <c r="K1342" s="13"/>
      <c r="L1342" s="13"/>
      <c r="M1342" s="13"/>
      <c r="N1342" s="13"/>
      <c r="O1342" s="13"/>
      <c r="P1342" s="14" t="str">
        <f t="shared" si="80"/>
        <v/>
      </c>
      <c r="Q1342" s="15" t="str">
        <f>IF(OR(J1342="",H1342=""),"",IFERROR(IF(ISNUMBER(N1342),N1342,IF(K1342&lt;N(INDEX(Platforms!$G$5:$G$14,MATCH(H1342,Lists!$A$2:$A$11,0))),N(INDEX(Platforms!$H$5:$H$14,MATCH(H1342,Lists!$A$2:$A$11,0))),MAX(N(INDEX(Platforms!$F$5:$F$14,MATCH(H1342,Lists!$A$2:$A$11,0))),N(INDEX(Platforms!$C$5:$C$14,MATCH(H1342,Lists!$A$2:$A$11,0)))*(K1342+IF(INDEX(Platforms!$E$5:$E$14,MATCH(H1342,Lists!$A$2:$A$11,0))="Yes",N(L1342),0))+N(INDEX(Platforms!$D$5:$D$14,MATCH(H1342,Lists!$A$2:$A$11,0)))))),""))</f>
        <v/>
      </c>
      <c r="R1342" s="16" t="str">
        <f t="shared" si="81"/>
        <v/>
      </c>
      <c r="S1342" s="17" t="str">
        <f t="shared" si="82"/>
        <v/>
      </c>
      <c r="T1342" s="18" t="str">
        <f t="shared" ca="1" si="83"/>
        <v/>
      </c>
    </row>
    <row r="1343" spans="1:20" x14ac:dyDescent="0.35">
      <c r="A1343" s="11"/>
      <c r="B1343" s="11"/>
      <c r="C1343" s="11"/>
      <c r="D1343" s="12"/>
      <c r="E1343" s="11"/>
      <c r="F1343" s="13"/>
      <c r="G1343" s="13"/>
      <c r="H1343" s="11"/>
      <c r="I1343" s="12"/>
      <c r="J1343" s="12"/>
      <c r="K1343" s="13"/>
      <c r="L1343" s="13"/>
      <c r="M1343" s="13"/>
      <c r="N1343" s="13"/>
      <c r="O1343" s="13"/>
      <c r="P1343" s="14" t="str">
        <f t="shared" si="80"/>
        <v/>
      </c>
      <c r="Q1343" s="15" t="str">
        <f>IF(OR(J1343="",H1343=""),"",IFERROR(IF(ISNUMBER(N1343),N1343,IF(K1343&lt;N(INDEX(Platforms!$G$5:$G$14,MATCH(H1343,Lists!$A$2:$A$11,0))),N(INDEX(Platforms!$H$5:$H$14,MATCH(H1343,Lists!$A$2:$A$11,0))),MAX(N(INDEX(Platforms!$F$5:$F$14,MATCH(H1343,Lists!$A$2:$A$11,0))),N(INDEX(Platforms!$C$5:$C$14,MATCH(H1343,Lists!$A$2:$A$11,0)))*(K1343+IF(INDEX(Platforms!$E$5:$E$14,MATCH(H1343,Lists!$A$2:$A$11,0))="Yes",N(L1343),0))+N(INDEX(Platforms!$D$5:$D$14,MATCH(H1343,Lists!$A$2:$A$11,0)))))),""))</f>
        <v/>
      </c>
      <c r="R1343" s="16" t="str">
        <f t="shared" si="81"/>
        <v/>
      </c>
      <c r="S1343" s="17" t="str">
        <f t="shared" si="82"/>
        <v/>
      </c>
      <c r="T1343" s="18" t="str">
        <f t="shared" ca="1" si="83"/>
        <v/>
      </c>
    </row>
    <row r="1344" spans="1:20" x14ac:dyDescent="0.35">
      <c r="A1344" s="11"/>
      <c r="B1344" s="11"/>
      <c r="C1344" s="11"/>
      <c r="D1344" s="12"/>
      <c r="E1344" s="11"/>
      <c r="F1344" s="13"/>
      <c r="G1344" s="13"/>
      <c r="H1344" s="11"/>
      <c r="I1344" s="12"/>
      <c r="J1344" s="12"/>
      <c r="K1344" s="13"/>
      <c r="L1344" s="13"/>
      <c r="M1344" s="13"/>
      <c r="N1344" s="13"/>
      <c r="O1344" s="13"/>
      <c r="P1344" s="14" t="str">
        <f t="shared" si="80"/>
        <v/>
      </c>
      <c r="Q1344" s="15" t="str">
        <f>IF(OR(J1344="",H1344=""),"",IFERROR(IF(ISNUMBER(N1344),N1344,IF(K1344&lt;N(INDEX(Platforms!$G$5:$G$14,MATCH(H1344,Lists!$A$2:$A$11,0))),N(INDEX(Platforms!$H$5:$H$14,MATCH(H1344,Lists!$A$2:$A$11,0))),MAX(N(INDEX(Platforms!$F$5:$F$14,MATCH(H1344,Lists!$A$2:$A$11,0))),N(INDEX(Platforms!$C$5:$C$14,MATCH(H1344,Lists!$A$2:$A$11,0)))*(K1344+IF(INDEX(Platforms!$E$5:$E$14,MATCH(H1344,Lists!$A$2:$A$11,0))="Yes",N(L1344),0))+N(INDEX(Platforms!$D$5:$D$14,MATCH(H1344,Lists!$A$2:$A$11,0)))))),""))</f>
        <v/>
      </c>
      <c r="R1344" s="16" t="str">
        <f t="shared" si="81"/>
        <v/>
      </c>
      <c r="S1344" s="17" t="str">
        <f t="shared" si="82"/>
        <v/>
      </c>
      <c r="T1344" s="18" t="str">
        <f t="shared" ca="1" si="83"/>
        <v/>
      </c>
    </row>
    <row r="1345" spans="1:20" x14ac:dyDescent="0.35">
      <c r="A1345" s="11"/>
      <c r="B1345" s="11"/>
      <c r="C1345" s="11"/>
      <c r="D1345" s="12"/>
      <c r="E1345" s="11"/>
      <c r="F1345" s="13"/>
      <c r="G1345" s="13"/>
      <c r="H1345" s="11"/>
      <c r="I1345" s="12"/>
      <c r="J1345" s="12"/>
      <c r="K1345" s="13"/>
      <c r="L1345" s="13"/>
      <c r="M1345" s="13"/>
      <c r="N1345" s="13"/>
      <c r="O1345" s="13"/>
      <c r="P1345" s="14" t="str">
        <f t="shared" si="80"/>
        <v/>
      </c>
      <c r="Q1345" s="15" t="str">
        <f>IF(OR(J1345="",H1345=""),"",IFERROR(IF(ISNUMBER(N1345),N1345,IF(K1345&lt;N(INDEX(Platforms!$G$5:$G$14,MATCH(H1345,Lists!$A$2:$A$11,0))),N(INDEX(Platforms!$H$5:$H$14,MATCH(H1345,Lists!$A$2:$A$11,0))),MAX(N(INDEX(Platforms!$F$5:$F$14,MATCH(H1345,Lists!$A$2:$A$11,0))),N(INDEX(Platforms!$C$5:$C$14,MATCH(H1345,Lists!$A$2:$A$11,0)))*(K1345+IF(INDEX(Platforms!$E$5:$E$14,MATCH(H1345,Lists!$A$2:$A$11,0))="Yes",N(L1345),0))+N(INDEX(Platforms!$D$5:$D$14,MATCH(H1345,Lists!$A$2:$A$11,0)))))),""))</f>
        <v/>
      </c>
      <c r="R1345" s="16" t="str">
        <f t="shared" si="81"/>
        <v/>
      </c>
      <c r="S1345" s="17" t="str">
        <f t="shared" si="82"/>
        <v/>
      </c>
      <c r="T1345" s="18" t="str">
        <f t="shared" ca="1" si="83"/>
        <v/>
      </c>
    </row>
    <row r="1346" spans="1:20" x14ac:dyDescent="0.35">
      <c r="A1346" s="11"/>
      <c r="B1346" s="11"/>
      <c r="C1346" s="11"/>
      <c r="D1346" s="12"/>
      <c r="E1346" s="11"/>
      <c r="F1346" s="13"/>
      <c r="G1346" s="13"/>
      <c r="H1346" s="11"/>
      <c r="I1346" s="12"/>
      <c r="J1346" s="12"/>
      <c r="K1346" s="13"/>
      <c r="L1346" s="13"/>
      <c r="M1346" s="13"/>
      <c r="N1346" s="13"/>
      <c r="O1346" s="13"/>
      <c r="P1346" s="14" t="str">
        <f t="shared" si="80"/>
        <v/>
      </c>
      <c r="Q1346" s="15" t="str">
        <f>IF(OR(J1346="",H1346=""),"",IFERROR(IF(ISNUMBER(N1346),N1346,IF(K1346&lt;N(INDEX(Platforms!$G$5:$G$14,MATCH(H1346,Lists!$A$2:$A$11,0))),N(INDEX(Platforms!$H$5:$H$14,MATCH(H1346,Lists!$A$2:$A$11,0))),MAX(N(INDEX(Platforms!$F$5:$F$14,MATCH(H1346,Lists!$A$2:$A$11,0))),N(INDEX(Platforms!$C$5:$C$14,MATCH(H1346,Lists!$A$2:$A$11,0)))*(K1346+IF(INDEX(Platforms!$E$5:$E$14,MATCH(H1346,Lists!$A$2:$A$11,0))="Yes",N(L1346),0))+N(INDEX(Platforms!$D$5:$D$14,MATCH(H1346,Lists!$A$2:$A$11,0)))))),""))</f>
        <v/>
      </c>
      <c r="R1346" s="16" t="str">
        <f t="shared" si="81"/>
        <v/>
      </c>
      <c r="S1346" s="17" t="str">
        <f t="shared" si="82"/>
        <v/>
      </c>
      <c r="T1346" s="18" t="str">
        <f t="shared" ca="1" si="83"/>
        <v/>
      </c>
    </row>
    <row r="1347" spans="1:20" x14ac:dyDescent="0.35">
      <c r="A1347" s="11"/>
      <c r="B1347" s="11"/>
      <c r="C1347" s="11"/>
      <c r="D1347" s="12"/>
      <c r="E1347" s="11"/>
      <c r="F1347" s="13"/>
      <c r="G1347" s="13"/>
      <c r="H1347" s="11"/>
      <c r="I1347" s="12"/>
      <c r="J1347" s="12"/>
      <c r="K1347" s="13"/>
      <c r="L1347" s="13"/>
      <c r="M1347" s="13"/>
      <c r="N1347" s="13"/>
      <c r="O1347" s="13"/>
      <c r="P1347" s="14" t="str">
        <f t="shared" si="80"/>
        <v/>
      </c>
      <c r="Q1347" s="15" t="str">
        <f>IF(OR(J1347="",H1347=""),"",IFERROR(IF(ISNUMBER(N1347),N1347,IF(K1347&lt;N(INDEX(Platforms!$G$5:$G$14,MATCH(H1347,Lists!$A$2:$A$11,0))),N(INDEX(Platforms!$H$5:$H$14,MATCH(H1347,Lists!$A$2:$A$11,0))),MAX(N(INDEX(Platforms!$F$5:$F$14,MATCH(H1347,Lists!$A$2:$A$11,0))),N(INDEX(Platforms!$C$5:$C$14,MATCH(H1347,Lists!$A$2:$A$11,0)))*(K1347+IF(INDEX(Platforms!$E$5:$E$14,MATCH(H1347,Lists!$A$2:$A$11,0))="Yes",N(L1347),0))+N(INDEX(Platforms!$D$5:$D$14,MATCH(H1347,Lists!$A$2:$A$11,0)))))),""))</f>
        <v/>
      </c>
      <c r="R1347" s="16" t="str">
        <f t="shared" si="81"/>
        <v/>
      </c>
      <c r="S1347" s="17" t="str">
        <f t="shared" si="82"/>
        <v/>
      </c>
      <c r="T1347" s="18" t="str">
        <f t="shared" ca="1" si="83"/>
        <v/>
      </c>
    </row>
    <row r="1348" spans="1:20" x14ac:dyDescent="0.35">
      <c r="A1348" s="11"/>
      <c r="B1348" s="11"/>
      <c r="C1348" s="11"/>
      <c r="D1348" s="12"/>
      <c r="E1348" s="11"/>
      <c r="F1348" s="13"/>
      <c r="G1348" s="13"/>
      <c r="H1348" s="11"/>
      <c r="I1348" s="12"/>
      <c r="J1348" s="12"/>
      <c r="K1348" s="13"/>
      <c r="L1348" s="13"/>
      <c r="M1348" s="13"/>
      <c r="N1348" s="13"/>
      <c r="O1348" s="13"/>
      <c r="P1348" s="14" t="str">
        <f t="shared" si="80"/>
        <v/>
      </c>
      <c r="Q1348" s="15" t="str">
        <f>IF(OR(J1348="",H1348=""),"",IFERROR(IF(ISNUMBER(N1348),N1348,IF(K1348&lt;N(INDEX(Platforms!$G$5:$G$14,MATCH(H1348,Lists!$A$2:$A$11,0))),N(INDEX(Platforms!$H$5:$H$14,MATCH(H1348,Lists!$A$2:$A$11,0))),MAX(N(INDEX(Platforms!$F$5:$F$14,MATCH(H1348,Lists!$A$2:$A$11,0))),N(INDEX(Platforms!$C$5:$C$14,MATCH(H1348,Lists!$A$2:$A$11,0)))*(K1348+IF(INDEX(Platforms!$E$5:$E$14,MATCH(H1348,Lists!$A$2:$A$11,0))="Yes",N(L1348),0))+N(INDEX(Platforms!$D$5:$D$14,MATCH(H1348,Lists!$A$2:$A$11,0)))))),""))</f>
        <v/>
      </c>
      <c r="R1348" s="16" t="str">
        <f t="shared" si="81"/>
        <v/>
      </c>
      <c r="S1348" s="17" t="str">
        <f t="shared" si="82"/>
        <v/>
      </c>
      <c r="T1348" s="18" t="str">
        <f t="shared" ca="1" si="83"/>
        <v/>
      </c>
    </row>
    <row r="1349" spans="1:20" x14ac:dyDescent="0.35">
      <c r="A1349" s="11"/>
      <c r="B1349" s="11"/>
      <c r="C1349" s="11"/>
      <c r="D1349" s="12"/>
      <c r="E1349" s="11"/>
      <c r="F1349" s="13"/>
      <c r="G1349" s="13"/>
      <c r="H1349" s="11"/>
      <c r="I1349" s="12"/>
      <c r="J1349" s="12"/>
      <c r="K1349" s="13"/>
      <c r="L1349" s="13"/>
      <c r="M1349" s="13"/>
      <c r="N1349" s="13"/>
      <c r="O1349" s="13"/>
      <c r="P1349" s="14" t="str">
        <f t="shared" ref="P1349:P1412" si="84">IF(OR(B1349&lt;&gt;"",F1349&lt;&gt;"",H1349&lt;&gt;"",J1349&lt;&gt;"",K1349&lt;&gt;""),IF(J1349&lt;&gt;"","Sold",IF(I1349&lt;&gt;"","Listed","In stock")),"")</f>
        <v/>
      </c>
      <c r="Q1349" s="15" t="str">
        <f>IF(OR(J1349="",H1349=""),"",IFERROR(IF(ISNUMBER(N1349),N1349,IF(K1349&lt;N(INDEX(Platforms!$G$5:$G$14,MATCH(H1349,Lists!$A$2:$A$11,0))),N(INDEX(Platforms!$H$5:$H$14,MATCH(H1349,Lists!$A$2:$A$11,0))),MAX(N(INDEX(Platforms!$F$5:$F$14,MATCH(H1349,Lists!$A$2:$A$11,0))),N(INDEX(Platforms!$C$5:$C$14,MATCH(H1349,Lists!$A$2:$A$11,0)))*(K1349+IF(INDEX(Platforms!$E$5:$E$14,MATCH(H1349,Lists!$A$2:$A$11,0))="Yes",N(L1349),0))+N(INDEX(Platforms!$D$5:$D$14,MATCH(H1349,Lists!$A$2:$A$11,0)))))),""))</f>
        <v/>
      </c>
      <c r="R1349" s="16" t="str">
        <f t="shared" ref="R1349:R1412" si="85">IF(J1349="","",IFERROR(K1349+N(L1349)-N(O1349)-Q1349-N(M1349)-N(F1349)-N(G1349),""))</f>
        <v/>
      </c>
      <c r="S1349" s="17" t="str">
        <f t="shared" ref="S1349:S1412" si="86">IF(OR(R1349="",N(F1349)+N(G1349)=0),"",R1349/(N(F1349)+N(G1349)))</f>
        <v/>
      </c>
      <c r="T1349" s="18" t="str">
        <f t="shared" ref="T1349:T1412" ca="1" si="87">IFERROR(IF(ISNUMBER(D1349),IF(ISNUMBER(J1349),J1349,IF(J1349="",TODAY(),""))-D1349,""),"")</f>
        <v/>
      </c>
    </row>
    <row r="1350" spans="1:20" x14ac:dyDescent="0.35">
      <c r="A1350" s="11"/>
      <c r="B1350" s="11"/>
      <c r="C1350" s="11"/>
      <c r="D1350" s="12"/>
      <c r="E1350" s="11"/>
      <c r="F1350" s="13"/>
      <c r="G1350" s="13"/>
      <c r="H1350" s="11"/>
      <c r="I1350" s="12"/>
      <c r="J1350" s="12"/>
      <c r="K1350" s="13"/>
      <c r="L1350" s="13"/>
      <c r="M1350" s="13"/>
      <c r="N1350" s="13"/>
      <c r="O1350" s="13"/>
      <c r="P1350" s="14" t="str">
        <f t="shared" si="84"/>
        <v/>
      </c>
      <c r="Q1350" s="15" t="str">
        <f>IF(OR(J1350="",H1350=""),"",IFERROR(IF(ISNUMBER(N1350),N1350,IF(K1350&lt;N(INDEX(Platforms!$G$5:$G$14,MATCH(H1350,Lists!$A$2:$A$11,0))),N(INDEX(Platforms!$H$5:$H$14,MATCH(H1350,Lists!$A$2:$A$11,0))),MAX(N(INDEX(Platforms!$F$5:$F$14,MATCH(H1350,Lists!$A$2:$A$11,0))),N(INDEX(Platforms!$C$5:$C$14,MATCH(H1350,Lists!$A$2:$A$11,0)))*(K1350+IF(INDEX(Platforms!$E$5:$E$14,MATCH(H1350,Lists!$A$2:$A$11,0))="Yes",N(L1350),0))+N(INDEX(Platforms!$D$5:$D$14,MATCH(H1350,Lists!$A$2:$A$11,0)))))),""))</f>
        <v/>
      </c>
      <c r="R1350" s="16" t="str">
        <f t="shared" si="85"/>
        <v/>
      </c>
      <c r="S1350" s="17" t="str">
        <f t="shared" si="86"/>
        <v/>
      </c>
      <c r="T1350" s="18" t="str">
        <f t="shared" ca="1" si="87"/>
        <v/>
      </c>
    </row>
    <row r="1351" spans="1:20" x14ac:dyDescent="0.35">
      <c r="A1351" s="11"/>
      <c r="B1351" s="11"/>
      <c r="C1351" s="11"/>
      <c r="D1351" s="12"/>
      <c r="E1351" s="11"/>
      <c r="F1351" s="13"/>
      <c r="G1351" s="13"/>
      <c r="H1351" s="11"/>
      <c r="I1351" s="12"/>
      <c r="J1351" s="12"/>
      <c r="K1351" s="13"/>
      <c r="L1351" s="13"/>
      <c r="M1351" s="13"/>
      <c r="N1351" s="13"/>
      <c r="O1351" s="13"/>
      <c r="P1351" s="14" t="str">
        <f t="shared" si="84"/>
        <v/>
      </c>
      <c r="Q1351" s="15" t="str">
        <f>IF(OR(J1351="",H1351=""),"",IFERROR(IF(ISNUMBER(N1351),N1351,IF(K1351&lt;N(INDEX(Platforms!$G$5:$G$14,MATCH(H1351,Lists!$A$2:$A$11,0))),N(INDEX(Platforms!$H$5:$H$14,MATCH(H1351,Lists!$A$2:$A$11,0))),MAX(N(INDEX(Platforms!$F$5:$F$14,MATCH(H1351,Lists!$A$2:$A$11,0))),N(INDEX(Platforms!$C$5:$C$14,MATCH(H1351,Lists!$A$2:$A$11,0)))*(K1351+IF(INDEX(Platforms!$E$5:$E$14,MATCH(H1351,Lists!$A$2:$A$11,0))="Yes",N(L1351),0))+N(INDEX(Platforms!$D$5:$D$14,MATCH(H1351,Lists!$A$2:$A$11,0)))))),""))</f>
        <v/>
      </c>
      <c r="R1351" s="16" t="str">
        <f t="shared" si="85"/>
        <v/>
      </c>
      <c r="S1351" s="17" t="str">
        <f t="shared" si="86"/>
        <v/>
      </c>
      <c r="T1351" s="18" t="str">
        <f t="shared" ca="1" si="87"/>
        <v/>
      </c>
    </row>
    <row r="1352" spans="1:20" x14ac:dyDescent="0.35">
      <c r="A1352" s="11"/>
      <c r="B1352" s="11"/>
      <c r="C1352" s="11"/>
      <c r="D1352" s="12"/>
      <c r="E1352" s="11"/>
      <c r="F1352" s="13"/>
      <c r="G1352" s="13"/>
      <c r="H1352" s="11"/>
      <c r="I1352" s="12"/>
      <c r="J1352" s="12"/>
      <c r="K1352" s="13"/>
      <c r="L1352" s="13"/>
      <c r="M1352" s="13"/>
      <c r="N1352" s="13"/>
      <c r="O1352" s="13"/>
      <c r="P1352" s="14" t="str">
        <f t="shared" si="84"/>
        <v/>
      </c>
      <c r="Q1352" s="15" t="str">
        <f>IF(OR(J1352="",H1352=""),"",IFERROR(IF(ISNUMBER(N1352),N1352,IF(K1352&lt;N(INDEX(Platforms!$G$5:$G$14,MATCH(H1352,Lists!$A$2:$A$11,0))),N(INDEX(Platforms!$H$5:$H$14,MATCH(H1352,Lists!$A$2:$A$11,0))),MAX(N(INDEX(Platforms!$F$5:$F$14,MATCH(H1352,Lists!$A$2:$A$11,0))),N(INDEX(Platforms!$C$5:$C$14,MATCH(H1352,Lists!$A$2:$A$11,0)))*(K1352+IF(INDEX(Platforms!$E$5:$E$14,MATCH(H1352,Lists!$A$2:$A$11,0))="Yes",N(L1352),0))+N(INDEX(Platforms!$D$5:$D$14,MATCH(H1352,Lists!$A$2:$A$11,0)))))),""))</f>
        <v/>
      </c>
      <c r="R1352" s="16" t="str">
        <f t="shared" si="85"/>
        <v/>
      </c>
      <c r="S1352" s="17" t="str">
        <f t="shared" si="86"/>
        <v/>
      </c>
      <c r="T1352" s="18" t="str">
        <f t="shared" ca="1" si="87"/>
        <v/>
      </c>
    </row>
    <row r="1353" spans="1:20" x14ac:dyDescent="0.35">
      <c r="A1353" s="11"/>
      <c r="B1353" s="11"/>
      <c r="C1353" s="11"/>
      <c r="D1353" s="12"/>
      <c r="E1353" s="11"/>
      <c r="F1353" s="13"/>
      <c r="G1353" s="13"/>
      <c r="H1353" s="11"/>
      <c r="I1353" s="12"/>
      <c r="J1353" s="12"/>
      <c r="K1353" s="13"/>
      <c r="L1353" s="13"/>
      <c r="M1353" s="13"/>
      <c r="N1353" s="13"/>
      <c r="O1353" s="13"/>
      <c r="P1353" s="14" t="str">
        <f t="shared" si="84"/>
        <v/>
      </c>
      <c r="Q1353" s="15" t="str">
        <f>IF(OR(J1353="",H1353=""),"",IFERROR(IF(ISNUMBER(N1353),N1353,IF(K1353&lt;N(INDEX(Platforms!$G$5:$G$14,MATCH(H1353,Lists!$A$2:$A$11,0))),N(INDEX(Platforms!$H$5:$H$14,MATCH(H1353,Lists!$A$2:$A$11,0))),MAX(N(INDEX(Platforms!$F$5:$F$14,MATCH(H1353,Lists!$A$2:$A$11,0))),N(INDEX(Platforms!$C$5:$C$14,MATCH(H1353,Lists!$A$2:$A$11,0)))*(K1353+IF(INDEX(Platforms!$E$5:$E$14,MATCH(H1353,Lists!$A$2:$A$11,0))="Yes",N(L1353),0))+N(INDEX(Platforms!$D$5:$D$14,MATCH(H1353,Lists!$A$2:$A$11,0)))))),""))</f>
        <v/>
      </c>
      <c r="R1353" s="16" t="str">
        <f t="shared" si="85"/>
        <v/>
      </c>
      <c r="S1353" s="17" t="str">
        <f t="shared" si="86"/>
        <v/>
      </c>
      <c r="T1353" s="18" t="str">
        <f t="shared" ca="1" si="87"/>
        <v/>
      </c>
    </row>
    <row r="1354" spans="1:20" x14ac:dyDescent="0.35">
      <c r="A1354" s="11"/>
      <c r="B1354" s="11"/>
      <c r="C1354" s="11"/>
      <c r="D1354" s="12"/>
      <c r="E1354" s="11"/>
      <c r="F1354" s="13"/>
      <c r="G1354" s="13"/>
      <c r="H1354" s="11"/>
      <c r="I1354" s="12"/>
      <c r="J1354" s="12"/>
      <c r="K1354" s="13"/>
      <c r="L1354" s="13"/>
      <c r="M1354" s="13"/>
      <c r="N1354" s="13"/>
      <c r="O1354" s="13"/>
      <c r="P1354" s="14" t="str">
        <f t="shared" si="84"/>
        <v/>
      </c>
      <c r="Q1354" s="15" t="str">
        <f>IF(OR(J1354="",H1354=""),"",IFERROR(IF(ISNUMBER(N1354),N1354,IF(K1354&lt;N(INDEX(Platforms!$G$5:$G$14,MATCH(H1354,Lists!$A$2:$A$11,0))),N(INDEX(Platforms!$H$5:$H$14,MATCH(H1354,Lists!$A$2:$A$11,0))),MAX(N(INDEX(Platforms!$F$5:$F$14,MATCH(H1354,Lists!$A$2:$A$11,0))),N(INDEX(Platforms!$C$5:$C$14,MATCH(H1354,Lists!$A$2:$A$11,0)))*(K1354+IF(INDEX(Platforms!$E$5:$E$14,MATCH(H1354,Lists!$A$2:$A$11,0))="Yes",N(L1354),0))+N(INDEX(Platforms!$D$5:$D$14,MATCH(H1354,Lists!$A$2:$A$11,0)))))),""))</f>
        <v/>
      </c>
      <c r="R1354" s="16" t="str">
        <f t="shared" si="85"/>
        <v/>
      </c>
      <c r="S1354" s="17" t="str">
        <f t="shared" si="86"/>
        <v/>
      </c>
      <c r="T1354" s="18" t="str">
        <f t="shared" ca="1" si="87"/>
        <v/>
      </c>
    </row>
    <row r="1355" spans="1:20" x14ac:dyDescent="0.35">
      <c r="A1355" s="11"/>
      <c r="B1355" s="11"/>
      <c r="C1355" s="11"/>
      <c r="D1355" s="12"/>
      <c r="E1355" s="11"/>
      <c r="F1355" s="13"/>
      <c r="G1355" s="13"/>
      <c r="H1355" s="11"/>
      <c r="I1355" s="12"/>
      <c r="J1355" s="12"/>
      <c r="K1355" s="13"/>
      <c r="L1355" s="13"/>
      <c r="M1355" s="13"/>
      <c r="N1355" s="13"/>
      <c r="O1355" s="13"/>
      <c r="P1355" s="14" t="str">
        <f t="shared" si="84"/>
        <v/>
      </c>
      <c r="Q1355" s="15" t="str">
        <f>IF(OR(J1355="",H1355=""),"",IFERROR(IF(ISNUMBER(N1355),N1355,IF(K1355&lt;N(INDEX(Platforms!$G$5:$G$14,MATCH(H1355,Lists!$A$2:$A$11,0))),N(INDEX(Platforms!$H$5:$H$14,MATCH(H1355,Lists!$A$2:$A$11,0))),MAX(N(INDEX(Platforms!$F$5:$F$14,MATCH(H1355,Lists!$A$2:$A$11,0))),N(INDEX(Platforms!$C$5:$C$14,MATCH(H1355,Lists!$A$2:$A$11,0)))*(K1355+IF(INDEX(Platforms!$E$5:$E$14,MATCH(H1355,Lists!$A$2:$A$11,0))="Yes",N(L1355),0))+N(INDEX(Platforms!$D$5:$D$14,MATCH(H1355,Lists!$A$2:$A$11,0)))))),""))</f>
        <v/>
      </c>
      <c r="R1355" s="16" t="str">
        <f t="shared" si="85"/>
        <v/>
      </c>
      <c r="S1355" s="17" t="str">
        <f t="shared" si="86"/>
        <v/>
      </c>
      <c r="T1355" s="18" t="str">
        <f t="shared" ca="1" si="87"/>
        <v/>
      </c>
    </row>
    <row r="1356" spans="1:20" x14ac:dyDescent="0.35">
      <c r="A1356" s="11"/>
      <c r="B1356" s="11"/>
      <c r="C1356" s="11"/>
      <c r="D1356" s="12"/>
      <c r="E1356" s="11"/>
      <c r="F1356" s="13"/>
      <c r="G1356" s="13"/>
      <c r="H1356" s="11"/>
      <c r="I1356" s="12"/>
      <c r="J1356" s="12"/>
      <c r="K1356" s="13"/>
      <c r="L1356" s="13"/>
      <c r="M1356" s="13"/>
      <c r="N1356" s="13"/>
      <c r="O1356" s="13"/>
      <c r="P1356" s="14" t="str">
        <f t="shared" si="84"/>
        <v/>
      </c>
      <c r="Q1356" s="15" t="str">
        <f>IF(OR(J1356="",H1356=""),"",IFERROR(IF(ISNUMBER(N1356),N1356,IF(K1356&lt;N(INDEX(Platforms!$G$5:$G$14,MATCH(H1356,Lists!$A$2:$A$11,0))),N(INDEX(Platforms!$H$5:$H$14,MATCH(H1356,Lists!$A$2:$A$11,0))),MAX(N(INDEX(Platforms!$F$5:$F$14,MATCH(H1356,Lists!$A$2:$A$11,0))),N(INDEX(Platforms!$C$5:$C$14,MATCH(H1356,Lists!$A$2:$A$11,0)))*(K1356+IF(INDEX(Platforms!$E$5:$E$14,MATCH(H1356,Lists!$A$2:$A$11,0))="Yes",N(L1356),0))+N(INDEX(Platforms!$D$5:$D$14,MATCH(H1356,Lists!$A$2:$A$11,0)))))),""))</f>
        <v/>
      </c>
      <c r="R1356" s="16" t="str">
        <f t="shared" si="85"/>
        <v/>
      </c>
      <c r="S1356" s="17" t="str">
        <f t="shared" si="86"/>
        <v/>
      </c>
      <c r="T1356" s="18" t="str">
        <f t="shared" ca="1" si="87"/>
        <v/>
      </c>
    </row>
    <row r="1357" spans="1:20" x14ac:dyDescent="0.35">
      <c r="A1357" s="11"/>
      <c r="B1357" s="11"/>
      <c r="C1357" s="11"/>
      <c r="D1357" s="12"/>
      <c r="E1357" s="11"/>
      <c r="F1357" s="13"/>
      <c r="G1357" s="13"/>
      <c r="H1357" s="11"/>
      <c r="I1357" s="12"/>
      <c r="J1357" s="12"/>
      <c r="K1357" s="13"/>
      <c r="L1357" s="13"/>
      <c r="M1357" s="13"/>
      <c r="N1357" s="13"/>
      <c r="O1357" s="13"/>
      <c r="P1357" s="14" t="str">
        <f t="shared" si="84"/>
        <v/>
      </c>
      <c r="Q1357" s="15" t="str">
        <f>IF(OR(J1357="",H1357=""),"",IFERROR(IF(ISNUMBER(N1357),N1357,IF(K1357&lt;N(INDEX(Platforms!$G$5:$G$14,MATCH(H1357,Lists!$A$2:$A$11,0))),N(INDEX(Platforms!$H$5:$H$14,MATCH(H1357,Lists!$A$2:$A$11,0))),MAX(N(INDEX(Platforms!$F$5:$F$14,MATCH(H1357,Lists!$A$2:$A$11,0))),N(INDEX(Platforms!$C$5:$C$14,MATCH(H1357,Lists!$A$2:$A$11,0)))*(K1357+IF(INDEX(Platforms!$E$5:$E$14,MATCH(H1357,Lists!$A$2:$A$11,0))="Yes",N(L1357),0))+N(INDEX(Platforms!$D$5:$D$14,MATCH(H1357,Lists!$A$2:$A$11,0)))))),""))</f>
        <v/>
      </c>
      <c r="R1357" s="16" t="str">
        <f t="shared" si="85"/>
        <v/>
      </c>
      <c r="S1357" s="17" t="str">
        <f t="shared" si="86"/>
        <v/>
      </c>
      <c r="T1357" s="18" t="str">
        <f t="shared" ca="1" si="87"/>
        <v/>
      </c>
    </row>
    <row r="1358" spans="1:20" x14ac:dyDescent="0.35">
      <c r="A1358" s="11"/>
      <c r="B1358" s="11"/>
      <c r="C1358" s="11"/>
      <c r="D1358" s="12"/>
      <c r="E1358" s="11"/>
      <c r="F1358" s="13"/>
      <c r="G1358" s="13"/>
      <c r="H1358" s="11"/>
      <c r="I1358" s="12"/>
      <c r="J1358" s="12"/>
      <c r="K1358" s="13"/>
      <c r="L1358" s="13"/>
      <c r="M1358" s="13"/>
      <c r="N1358" s="13"/>
      <c r="O1358" s="13"/>
      <c r="P1358" s="14" t="str">
        <f t="shared" si="84"/>
        <v/>
      </c>
      <c r="Q1358" s="15" t="str">
        <f>IF(OR(J1358="",H1358=""),"",IFERROR(IF(ISNUMBER(N1358),N1358,IF(K1358&lt;N(INDEX(Platforms!$G$5:$G$14,MATCH(H1358,Lists!$A$2:$A$11,0))),N(INDEX(Platforms!$H$5:$H$14,MATCH(H1358,Lists!$A$2:$A$11,0))),MAX(N(INDEX(Platforms!$F$5:$F$14,MATCH(H1358,Lists!$A$2:$A$11,0))),N(INDEX(Platforms!$C$5:$C$14,MATCH(H1358,Lists!$A$2:$A$11,0)))*(K1358+IF(INDEX(Platforms!$E$5:$E$14,MATCH(H1358,Lists!$A$2:$A$11,0))="Yes",N(L1358),0))+N(INDEX(Platforms!$D$5:$D$14,MATCH(H1358,Lists!$A$2:$A$11,0)))))),""))</f>
        <v/>
      </c>
      <c r="R1358" s="16" t="str">
        <f t="shared" si="85"/>
        <v/>
      </c>
      <c r="S1358" s="17" t="str">
        <f t="shared" si="86"/>
        <v/>
      </c>
      <c r="T1358" s="18" t="str">
        <f t="shared" ca="1" si="87"/>
        <v/>
      </c>
    </row>
    <row r="1359" spans="1:20" x14ac:dyDescent="0.35">
      <c r="A1359" s="11"/>
      <c r="B1359" s="11"/>
      <c r="C1359" s="11"/>
      <c r="D1359" s="12"/>
      <c r="E1359" s="11"/>
      <c r="F1359" s="13"/>
      <c r="G1359" s="13"/>
      <c r="H1359" s="11"/>
      <c r="I1359" s="12"/>
      <c r="J1359" s="12"/>
      <c r="K1359" s="13"/>
      <c r="L1359" s="13"/>
      <c r="M1359" s="13"/>
      <c r="N1359" s="13"/>
      <c r="O1359" s="13"/>
      <c r="P1359" s="14" t="str">
        <f t="shared" si="84"/>
        <v/>
      </c>
      <c r="Q1359" s="15" t="str">
        <f>IF(OR(J1359="",H1359=""),"",IFERROR(IF(ISNUMBER(N1359),N1359,IF(K1359&lt;N(INDEX(Platforms!$G$5:$G$14,MATCH(H1359,Lists!$A$2:$A$11,0))),N(INDEX(Platforms!$H$5:$H$14,MATCH(H1359,Lists!$A$2:$A$11,0))),MAX(N(INDEX(Platforms!$F$5:$F$14,MATCH(H1359,Lists!$A$2:$A$11,0))),N(INDEX(Platforms!$C$5:$C$14,MATCH(H1359,Lists!$A$2:$A$11,0)))*(K1359+IF(INDEX(Platforms!$E$5:$E$14,MATCH(H1359,Lists!$A$2:$A$11,0))="Yes",N(L1359),0))+N(INDEX(Platforms!$D$5:$D$14,MATCH(H1359,Lists!$A$2:$A$11,0)))))),""))</f>
        <v/>
      </c>
      <c r="R1359" s="16" t="str">
        <f t="shared" si="85"/>
        <v/>
      </c>
      <c r="S1359" s="17" t="str">
        <f t="shared" si="86"/>
        <v/>
      </c>
      <c r="T1359" s="18" t="str">
        <f t="shared" ca="1" si="87"/>
        <v/>
      </c>
    </row>
    <row r="1360" spans="1:20" x14ac:dyDescent="0.35">
      <c r="A1360" s="11"/>
      <c r="B1360" s="11"/>
      <c r="C1360" s="11"/>
      <c r="D1360" s="12"/>
      <c r="E1360" s="11"/>
      <c r="F1360" s="13"/>
      <c r="G1360" s="13"/>
      <c r="H1360" s="11"/>
      <c r="I1360" s="12"/>
      <c r="J1360" s="12"/>
      <c r="K1360" s="13"/>
      <c r="L1360" s="13"/>
      <c r="M1360" s="13"/>
      <c r="N1360" s="13"/>
      <c r="O1360" s="13"/>
      <c r="P1360" s="14" t="str">
        <f t="shared" si="84"/>
        <v/>
      </c>
      <c r="Q1360" s="15" t="str">
        <f>IF(OR(J1360="",H1360=""),"",IFERROR(IF(ISNUMBER(N1360),N1360,IF(K1360&lt;N(INDEX(Platforms!$G$5:$G$14,MATCH(H1360,Lists!$A$2:$A$11,0))),N(INDEX(Platforms!$H$5:$H$14,MATCH(H1360,Lists!$A$2:$A$11,0))),MAX(N(INDEX(Platforms!$F$5:$F$14,MATCH(H1360,Lists!$A$2:$A$11,0))),N(INDEX(Platforms!$C$5:$C$14,MATCH(H1360,Lists!$A$2:$A$11,0)))*(K1360+IF(INDEX(Platforms!$E$5:$E$14,MATCH(H1360,Lists!$A$2:$A$11,0))="Yes",N(L1360),0))+N(INDEX(Platforms!$D$5:$D$14,MATCH(H1360,Lists!$A$2:$A$11,0)))))),""))</f>
        <v/>
      </c>
      <c r="R1360" s="16" t="str">
        <f t="shared" si="85"/>
        <v/>
      </c>
      <c r="S1360" s="17" t="str">
        <f t="shared" si="86"/>
        <v/>
      </c>
      <c r="T1360" s="18" t="str">
        <f t="shared" ca="1" si="87"/>
        <v/>
      </c>
    </row>
    <row r="1361" spans="1:20" x14ac:dyDescent="0.35">
      <c r="A1361" s="11"/>
      <c r="B1361" s="11"/>
      <c r="C1361" s="11"/>
      <c r="D1361" s="12"/>
      <c r="E1361" s="11"/>
      <c r="F1361" s="13"/>
      <c r="G1361" s="13"/>
      <c r="H1361" s="11"/>
      <c r="I1361" s="12"/>
      <c r="J1361" s="12"/>
      <c r="K1361" s="13"/>
      <c r="L1361" s="13"/>
      <c r="M1361" s="13"/>
      <c r="N1361" s="13"/>
      <c r="O1361" s="13"/>
      <c r="P1361" s="14" t="str">
        <f t="shared" si="84"/>
        <v/>
      </c>
      <c r="Q1361" s="15" t="str">
        <f>IF(OR(J1361="",H1361=""),"",IFERROR(IF(ISNUMBER(N1361),N1361,IF(K1361&lt;N(INDEX(Platforms!$G$5:$G$14,MATCH(H1361,Lists!$A$2:$A$11,0))),N(INDEX(Platforms!$H$5:$H$14,MATCH(H1361,Lists!$A$2:$A$11,0))),MAX(N(INDEX(Platforms!$F$5:$F$14,MATCH(H1361,Lists!$A$2:$A$11,0))),N(INDEX(Platforms!$C$5:$C$14,MATCH(H1361,Lists!$A$2:$A$11,0)))*(K1361+IF(INDEX(Platforms!$E$5:$E$14,MATCH(H1361,Lists!$A$2:$A$11,0))="Yes",N(L1361),0))+N(INDEX(Platforms!$D$5:$D$14,MATCH(H1361,Lists!$A$2:$A$11,0)))))),""))</f>
        <v/>
      </c>
      <c r="R1361" s="16" t="str">
        <f t="shared" si="85"/>
        <v/>
      </c>
      <c r="S1361" s="17" t="str">
        <f t="shared" si="86"/>
        <v/>
      </c>
      <c r="T1361" s="18" t="str">
        <f t="shared" ca="1" si="87"/>
        <v/>
      </c>
    </row>
    <row r="1362" spans="1:20" x14ac:dyDescent="0.35">
      <c r="A1362" s="11"/>
      <c r="B1362" s="11"/>
      <c r="C1362" s="11"/>
      <c r="D1362" s="12"/>
      <c r="E1362" s="11"/>
      <c r="F1362" s="13"/>
      <c r="G1362" s="13"/>
      <c r="H1362" s="11"/>
      <c r="I1362" s="12"/>
      <c r="J1362" s="12"/>
      <c r="K1362" s="13"/>
      <c r="L1362" s="13"/>
      <c r="M1362" s="13"/>
      <c r="N1362" s="13"/>
      <c r="O1362" s="13"/>
      <c r="P1362" s="14" t="str">
        <f t="shared" si="84"/>
        <v/>
      </c>
      <c r="Q1362" s="15" t="str">
        <f>IF(OR(J1362="",H1362=""),"",IFERROR(IF(ISNUMBER(N1362),N1362,IF(K1362&lt;N(INDEX(Platforms!$G$5:$G$14,MATCH(H1362,Lists!$A$2:$A$11,0))),N(INDEX(Platforms!$H$5:$H$14,MATCH(H1362,Lists!$A$2:$A$11,0))),MAX(N(INDEX(Platforms!$F$5:$F$14,MATCH(H1362,Lists!$A$2:$A$11,0))),N(INDEX(Platforms!$C$5:$C$14,MATCH(H1362,Lists!$A$2:$A$11,0)))*(K1362+IF(INDEX(Platforms!$E$5:$E$14,MATCH(H1362,Lists!$A$2:$A$11,0))="Yes",N(L1362),0))+N(INDEX(Platforms!$D$5:$D$14,MATCH(H1362,Lists!$A$2:$A$11,0)))))),""))</f>
        <v/>
      </c>
      <c r="R1362" s="16" t="str">
        <f t="shared" si="85"/>
        <v/>
      </c>
      <c r="S1362" s="17" t="str">
        <f t="shared" si="86"/>
        <v/>
      </c>
      <c r="T1362" s="18" t="str">
        <f t="shared" ca="1" si="87"/>
        <v/>
      </c>
    </row>
    <row r="1363" spans="1:20" x14ac:dyDescent="0.35">
      <c r="A1363" s="11"/>
      <c r="B1363" s="11"/>
      <c r="C1363" s="11"/>
      <c r="D1363" s="12"/>
      <c r="E1363" s="11"/>
      <c r="F1363" s="13"/>
      <c r="G1363" s="13"/>
      <c r="H1363" s="11"/>
      <c r="I1363" s="12"/>
      <c r="J1363" s="12"/>
      <c r="K1363" s="13"/>
      <c r="L1363" s="13"/>
      <c r="M1363" s="13"/>
      <c r="N1363" s="13"/>
      <c r="O1363" s="13"/>
      <c r="P1363" s="14" t="str">
        <f t="shared" si="84"/>
        <v/>
      </c>
      <c r="Q1363" s="15" t="str">
        <f>IF(OR(J1363="",H1363=""),"",IFERROR(IF(ISNUMBER(N1363),N1363,IF(K1363&lt;N(INDEX(Platforms!$G$5:$G$14,MATCH(H1363,Lists!$A$2:$A$11,0))),N(INDEX(Platforms!$H$5:$H$14,MATCH(H1363,Lists!$A$2:$A$11,0))),MAX(N(INDEX(Platforms!$F$5:$F$14,MATCH(H1363,Lists!$A$2:$A$11,0))),N(INDEX(Platforms!$C$5:$C$14,MATCH(H1363,Lists!$A$2:$A$11,0)))*(K1363+IF(INDEX(Platforms!$E$5:$E$14,MATCH(H1363,Lists!$A$2:$A$11,0))="Yes",N(L1363),0))+N(INDEX(Platforms!$D$5:$D$14,MATCH(H1363,Lists!$A$2:$A$11,0)))))),""))</f>
        <v/>
      </c>
      <c r="R1363" s="16" t="str">
        <f t="shared" si="85"/>
        <v/>
      </c>
      <c r="S1363" s="17" t="str">
        <f t="shared" si="86"/>
        <v/>
      </c>
      <c r="T1363" s="18" t="str">
        <f t="shared" ca="1" si="87"/>
        <v/>
      </c>
    </row>
    <row r="1364" spans="1:20" x14ac:dyDescent="0.35">
      <c r="A1364" s="11"/>
      <c r="B1364" s="11"/>
      <c r="C1364" s="11"/>
      <c r="D1364" s="12"/>
      <c r="E1364" s="11"/>
      <c r="F1364" s="13"/>
      <c r="G1364" s="13"/>
      <c r="H1364" s="11"/>
      <c r="I1364" s="12"/>
      <c r="J1364" s="12"/>
      <c r="K1364" s="13"/>
      <c r="L1364" s="13"/>
      <c r="M1364" s="13"/>
      <c r="N1364" s="13"/>
      <c r="O1364" s="13"/>
      <c r="P1364" s="14" t="str">
        <f t="shared" si="84"/>
        <v/>
      </c>
      <c r="Q1364" s="15" t="str">
        <f>IF(OR(J1364="",H1364=""),"",IFERROR(IF(ISNUMBER(N1364),N1364,IF(K1364&lt;N(INDEX(Platforms!$G$5:$G$14,MATCH(H1364,Lists!$A$2:$A$11,0))),N(INDEX(Platforms!$H$5:$H$14,MATCH(H1364,Lists!$A$2:$A$11,0))),MAX(N(INDEX(Platforms!$F$5:$F$14,MATCH(H1364,Lists!$A$2:$A$11,0))),N(INDEX(Platforms!$C$5:$C$14,MATCH(H1364,Lists!$A$2:$A$11,0)))*(K1364+IF(INDEX(Platforms!$E$5:$E$14,MATCH(H1364,Lists!$A$2:$A$11,0))="Yes",N(L1364),0))+N(INDEX(Platforms!$D$5:$D$14,MATCH(H1364,Lists!$A$2:$A$11,0)))))),""))</f>
        <v/>
      </c>
      <c r="R1364" s="16" t="str">
        <f t="shared" si="85"/>
        <v/>
      </c>
      <c r="S1364" s="17" t="str">
        <f t="shared" si="86"/>
        <v/>
      </c>
      <c r="T1364" s="18" t="str">
        <f t="shared" ca="1" si="87"/>
        <v/>
      </c>
    </row>
    <row r="1365" spans="1:20" x14ac:dyDescent="0.35">
      <c r="A1365" s="11"/>
      <c r="B1365" s="11"/>
      <c r="C1365" s="11"/>
      <c r="D1365" s="12"/>
      <c r="E1365" s="11"/>
      <c r="F1365" s="13"/>
      <c r="G1365" s="13"/>
      <c r="H1365" s="11"/>
      <c r="I1365" s="12"/>
      <c r="J1365" s="12"/>
      <c r="K1365" s="13"/>
      <c r="L1365" s="13"/>
      <c r="M1365" s="13"/>
      <c r="N1365" s="13"/>
      <c r="O1365" s="13"/>
      <c r="P1365" s="14" t="str">
        <f t="shared" si="84"/>
        <v/>
      </c>
      <c r="Q1365" s="15" t="str">
        <f>IF(OR(J1365="",H1365=""),"",IFERROR(IF(ISNUMBER(N1365),N1365,IF(K1365&lt;N(INDEX(Platforms!$G$5:$G$14,MATCH(H1365,Lists!$A$2:$A$11,0))),N(INDEX(Platforms!$H$5:$H$14,MATCH(H1365,Lists!$A$2:$A$11,0))),MAX(N(INDEX(Platforms!$F$5:$F$14,MATCH(H1365,Lists!$A$2:$A$11,0))),N(INDEX(Platforms!$C$5:$C$14,MATCH(H1365,Lists!$A$2:$A$11,0)))*(K1365+IF(INDEX(Platforms!$E$5:$E$14,MATCH(H1365,Lists!$A$2:$A$11,0))="Yes",N(L1365),0))+N(INDEX(Platforms!$D$5:$D$14,MATCH(H1365,Lists!$A$2:$A$11,0)))))),""))</f>
        <v/>
      </c>
      <c r="R1365" s="16" t="str">
        <f t="shared" si="85"/>
        <v/>
      </c>
      <c r="S1365" s="17" t="str">
        <f t="shared" si="86"/>
        <v/>
      </c>
      <c r="T1365" s="18" t="str">
        <f t="shared" ca="1" si="87"/>
        <v/>
      </c>
    </row>
    <row r="1366" spans="1:20" x14ac:dyDescent="0.35">
      <c r="A1366" s="11"/>
      <c r="B1366" s="11"/>
      <c r="C1366" s="11"/>
      <c r="D1366" s="12"/>
      <c r="E1366" s="11"/>
      <c r="F1366" s="13"/>
      <c r="G1366" s="13"/>
      <c r="H1366" s="11"/>
      <c r="I1366" s="12"/>
      <c r="J1366" s="12"/>
      <c r="K1366" s="13"/>
      <c r="L1366" s="13"/>
      <c r="M1366" s="13"/>
      <c r="N1366" s="13"/>
      <c r="O1366" s="13"/>
      <c r="P1366" s="14" t="str">
        <f t="shared" si="84"/>
        <v/>
      </c>
      <c r="Q1366" s="15" t="str">
        <f>IF(OR(J1366="",H1366=""),"",IFERROR(IF(ISNUMBER(N1366),N1366,IF(K1366&lt;N(INDEX(Platforms!$G$5:$G$14,MATCH(H1366,Lists!$A$2:$A$11,0))),N(INDEX(Platforms!$H$5:$H$14,MATCH(H1366,Lists!$A$2:$A$11,0))),MAX(N(INDEX(Platforms!$F$5:$F$14,MATCH(H1366,Lists!$A$2:$A$11,0))),N(INDEX(Platforms!$C$5:$C$14,MATCH(H1366,Lists!$A$2:$A$11,0)))*(K1366+IF(INDEX(Platforms!$E$5:$E$14,MATCH(H1366,Lists!$A$2:$A$11,0))="Yes",N(L1366),0))+N(INDEX(Platforms!$D$5:$D$14,MATCH(H1366,Lists!$A$2:$A$11,0)))))),""))</f>
        <v/>
      </c>
      <c r="R1366" s="16" t="str">
        <f t="shared" si="85"/>
        <v/>
      </c>
      <c r="S1366" s="17" t="str">
        <f t="shared" si="86"/>
        <v/>
      </c>
      <c r="T1366" s="18" t="str">
        <f t="shared" ca="1" si="87"/>
        <v/>
      </c>
    </row>
    <row r="1367" spans="1:20" x14ac:dyDescent="0.35">
      <c r="A1367" s="11"/>
      <c r="B1367" s="11"/>
      <c r="C1367" s="11"/>
      <c r="D1367" s="12"/>
      <c r="E1367" s="11"/>
      <c r="F1367" s="13"/>
      <c r="G1367" s="13"/>
      <c r="H1367" s="11"/>
      <c r="I1367" s="12"/>
      <c r="J1367" s="12"/>
      <c r="K1367" s="13"/>
      <c r="L1367" s="13"/>
      <c r="M1367" s="13"/>
      <c r="N1367" s="13"/>
      <c r="O1367" s="13"/>
      <c r="P1367" s="14" t="str">
        <f t="shared" si="84"/>
        <v/>
      </c>
      <c r="Q1367" s="15" t="str">
        <f>IF(OR(J1367="",H1367=""),"",IFERROR(IF(ISNUMBER(N1367),N1367,IF(K1367&lt;N(INDEX(Platforms!$G$5:$G$14,MATCH(H1367,Lists!$A$2:$A$11,0))),N(INDEX(Platforms!$H$5:$H$14,MATCH(H1367,Lists!$A$2:$A$11,0))),MAX(N(INDEX(Platforms!$F$5:$F$14,MATCH(H1367,Lists!$A$2:$A$11,0))),N(INDEX(Platforms!$C$5:$C$14,MATCH(H1367,Lists!$A$2:$A$11,0)))*(K1367+IF(INDEX(Platforms!$E$5:$E$14,MATCH(H1367,Lists!$A$2:$A$11,0))="Yes",N(L1367),0))+N(INDEX(Platforms!$D$5:$D$14,MATCH(H1367,Lists!$A$2:$A$11,0)))))),""))</f>
        <v/>
      </c>
      <c r="R1367" s="16" t="str">
        <f t="shared" si="85"/>
        <v/>
      </c>
      <c r="S1367" s="17" t="str">
        <f t="shared" si="86"/>
        <v/>
      </c>
      <c r="T1367" s="18" t="str">
        <f t="shared" ca="1" si="87"/>
        <v/>
      </c>
    </row>
    <row r="1368" spans="1:20" x14ac:dyDescent="0.35">
      <c r="A1368" s="11"/>
      <c r="B1368" s="11"/>
      <c r="C1368" s="11"/>
      <c r="D1368" s="12"/>
      <c r="E1368" s="11"/>
      <c r="F1368" s="13"/>
      <c r="G1368" s="13"/>
      <c r="H1368" s="11"/>
      <c r="I1368" s="12"/>
      <c r="J1368" s="12"/>
      <c r="K1368" s="13"/>
      <c r="L1368" s="13"/>
      <c r="M1368" s="13"/>
      <c r="N1368" s="13"/>
      <c r="O1368" s="13"/>
      <c r="P1368" s="14" t="str">
        <f t="shared" si="84"/>
        <v/>
      </c>
      <c r="Q1368" s="15" t="str">
        <f>IF(OR(J1368="",H1368=""),"",IFERROR(IF(ISNUMBER(N1368),N1368,IF(K1368&lt;N(INDEX(Platforms!$G$5:$G$14,MATCH(H1368,Lists!$A$2:$A$11,0))),N(INDEX(Platforms!$H$5:$H$14,MATCH(H1368,Lists!$A$2:$A$11,0))),MAX(N(INDEX(Platforms!$F$5:$F$14,MATCH(H1368,Lists!$A$2:$A$11,0))),N(INDEX(Platforms!$C$5:$C$14,MATCH(H1368,Lists!$A$2:$A$11,0)))*(K1368+IF(INDEX(Platforms!$E$5:$E$14,MATCH(H1368,Lists!$A$2:$A$11,0))="Yes",N(L1368),0))+N(INDEX(Platforms!$D$5:$D$14,MATCH(H1368,Lists!$A$2:$A$11,0)))))),""))</f>
        <v/>
      </c>
      <c r="R1368" s="16" t="str">
        <f t="shared" si="85"/>
        <v/>
      </c>
      <c r="S1368" s="17" t="str">
        <f t="shared" si="86"/>
        <v/>
      </c>
      <c r="T1368" s="18" t="str">
        <f t="shared" ca="1" si="87"/>
        <v/>
      </c>
    </row>
    <row r="1369" spans="1:20" x14ac:dyDescent="0.35">
      <c r="A1369" s="11"/>
      <c r="B1369" s="11"/>
      <c r="C1369" s="11"/>
      <c r="D1369" s="12"/>
      <c r="E1369" s="11"/>
      <c r="F1369" s="13"/>
      <c r="G1369" s="13"/>
      <c r="H1369" s="11"/>
      <c r="I1369" s="12"/>
      <c r="J1369" s="12"/>
      <c r="K1369" s="13"/>
      <c r="L1369" s="13"/>
      <c r="M1369" s="13"/>
      <c r="N1369" s="13"/>
      <c r="O1369" s="13"/>
      <c r="P1369" s="14" t="str">
        <f t="shared" si="84"/>
        <v/>
      </c>
      <c r="Q1369" s="15" t="str">
        <f>IF(OR(J1369="",H1369=""),"",IFERROR(IF(ISNUMBER(N1369),N1369,IF(K1369&lt;N(INDEX(Platforms!$G$5:$G$14,MATCH(H1369,Lists!$A$2:$A$11,0))),N(INDEX(Platforms!$H$5:$H$14,MATCH(H1369,Lists!$A$2:$A$11,0))),MAX(N(INDEX(Platforms!$F$5:$F$14,MATCH(H1369,Lists!$A$2:$A$11,0))),N(INDEX(Platforms!$C$5:$C$14,MATCH(H1369,Lists!$A$2:$A$11,0)))*(K1369+IF(INDEX(Platforms!$E$5:$E$14,MATCH(H1369,Lists!$A$2:$A$11,0))="Yes",N(L1369),0))+N(INDEX(Platforms!$D$5:$D$14,MATCH(H1369,Lists!$A$2:$A$11,0)))))),""))</f>
        <v/>
      </c>
      <c r="R1369" s="16" t="str">
        <f t="shared" si="85"/>
        <v/>
      </c>
      <c r="S1369" s="17" t="str">
        <f t="shared" si="86"/>
        <v/>
      </c>
      <c r="T1369" s="18" t="str">
        <f t="shared" ca="1" si="87"/>
        <v/>
      </c>
    </row>
    <row r="1370" spans="1:20" x14ac:dyDescent="0.35">
      <c r="A1370" s="11"/>
      <c r="B1370" s="11"/>
      <c r="C1370" s="11"/>
      <c r="D1370" s="12"/>
      <c r="E1370" s="11"/>
      <c r="F1370" s="13"/>
      <c r="G1370" s="13"/>
      <c r="H1370" s="11"/>
      <c r="I1370" s="12"/>
      <c r="J1370" s="12"/>
      <c r="K1370" s="13"/>
      <c r="L1370" s="13"/>
      <c r="M1370" s="13"/>
      <c r="N1370" s="13"/>
      <c r="O1370" s="13"/>
      <c r="P1370" s="14" t="str">
        <f t="shared" si="84"/>
        <v/>
      </c>
      <c r="Q1370" s="15" t="str">
        <f>IF(OR(J1370="",H1370=""),"",IFERROR(IF(ISNUMBER(N1370),N1370,IF(K1370&lt;N(INDEX(Platforms!$G$5:$G$14,MATCH(H1370,Lists!$A$2:$A$11,0))),N(INDEX(Platforms!$H$5:$H$14,MATCH(H1370,Lists!$A$2:$A$11,0))),MAX(N(INDEX(Platforms!$F$5:$F$14,MATCH(H1370,Lists!$A$2:$A$11,0))),N(INDEX(Platforms!$C$5:$C$14,MATCH(H1370,Lists!$A$2:$A$11,0)))*(K1370+IF(INDEX(Platforms!$E$5:$E$14,MATCH(H1370,Lists!$A$2:$A$11,0))="Yes",N(L1370),0))+N(INDEX(Platforms!$D$5:$D$14,MATCH(H1370,Lists!$A$2:$A$11,0)))))),""))</f>
        <v/>
      </c>
      <c r="R1370" s="16" t="str">
        <f t="shared" si="85"/>
        <v/>
      </c>
      <c r="S1370" s="17" t="str">
        <f t="shared" si="86"/>
        <v/>
      </c>
      <c r="T1370" s="18" t="str">
        <f t="shared" ca="1" si="87"/>
        <v/>
      </c>
    </row>
    <row r="1371" spans="1:20" x14ac:dyDescent="0.35">
      <c r="A1371" s="11"/>
      <c r="B1371" s="11"/>
      <c r="C1371" s="11"/>
      <c r="D1371" s="12"/>
      <c r="E1371" s="11"/>
      <c r="F1371" s="13"/>
      <c r="G1371" s="13"/>
      <c r="H1371" s="11"/>
      <c r="I1371" s="12"/>
      <c r="J1371" s="12"/>
      <c r="K1371" s="13"/>
      <c r="L1371" s="13"/>
      <c r="M1371" s="13"/>
      <c r="N1371" s="13"/>
      <c r="O1371" s="13"/>
      <c r="P1371" s="14" t="str">
        <f t="shared" si="84"/>
        <v/>
      </c>
      <c r="Q1371" s="15" t="str">
        <f>IF(OR(J1371="",H1371=""),"",IFERROR(IF(ISNUMBER(N1371),N1371,IF(K1371&lt;N(INDEX(Platforms!$G$5:$G$14,MATCH(H1371,Lists!$A$2:$A$11,0))),N(INDEX(Platforms!$H$5:$H$14,MATCH(H1371,Lists!$A$2:$A$11,0))),MAX(N(INDEX(Platforms!$F$5:$F$14,MATCH(H1371,Lists!$A$2:$A$11,0))),N(INDEX(Platforms!$C$5:$C$14,MATCH(H1371,Lists!$A$2:$A$11,0)))*(K1371+IF(INDEX(Platforms!$E$5:$E$14,MATCH(H1371,Lists!$A$2:$A$11,0))="Yes",N(L1371),0))+N(INDEX(Platforms!$D$5:$D$14,MATCH(H1371,Lists!$A$2:$A$11,0)))))),""))</f>
        <v/>
      </c>
      <c r="R1371" s="16" t="str">
        <f t="shared" si="85"/>
        <v/>
      </c>
      <c r="S1371" s="17" t="str">
        <f t="shared" si="86"/>
        <v/>
      </c>
      <c r="T1371" s="18" t="str">
        <f t="shared" ca="1" si="87"/>
        <v/>
      </c>
    </row>
    <row r="1372" spans="1:20" x14ac:dyDescent="0.35">
      <c r="A1372" s="11"/>
      <c r="B1372" s="11"/>
      <c r="C1372" s="11"/>
      <c r="D1372" s="12"/>
      <c r="E1372" s="11"/>
      <c r="F1372" s="13"/>
      <c r="G1372" s="13"/>
      <c r="H1372" s="11"/>
      <c r="I1372" s="12"/>
      <c r="J1372" s="12"/>
      <c r="K1372" s="13"/>
      <c r="L1372" s="13"/>
      <c r="M1372" s="13"/>
      <c r="N1372" s="13"/>
      <c r="O1372" s="13"/>
      <c r="P1372" s="14" t="str">
        <f t="shared" si="84"/>
        <v/>
      </c>
      <c r="Q1372" s="15" t="str">
        <f>IF(OR(J1372="",H1372=""),"",IFERROR(IF(ISNUMBER(N1372),N1372,IF(K1372&lt;N(INDEX(Platforms!$G$5:$G$14,MATCH(H1372,Lists!$A$2:$A$11,0))),N(INDEX(Platforms!$H$5:$H$14,MATCH(H1372,Lists!$A$2:$A$11,0))),MAX(N(INDEX(Platforms!$F$5:$F$14,MATCH(H1372,Lists!$A$2:$A$11,0))),N(INDEX(Platforms!$C$5:$C$14,MATCH(H1372,Lists!$A$2:$A$11,0)))*(K1372+IF(INDEX(Platforms!$E$5:$E$14,MATCH(H1372,Lists!$A$2:$A$11,0))="Yes",N(L1372),0))+N(INDEX(Platforms!$D$5:$D$14,MATCH(H1372,Lists!$A$2:$A$11,0)))))),""))</f>
        <v/>
      </c>
      <c r="R1372" s="16" t="str">
        <f t="shared" si="85"/>
        <v/>
      </c>
      <c r="S1372" s="17" t="str">
        <f t="shared" si="86"/>
        <v/>
      </c>
      <c r="T1372" s="18" t="str">
        <f t="shared" ca="1" si="87"/>
        <v/>
      </c>
    </row>
    <row r="1373" spans="1:20" x14ac:dyDescent="0.35">
      <c r="A1373" s="11"/>
      <c r="B1373" s="11"/>
      <c r="C1373" s="11"/>
      <c r="D1373" s="12"/>
      <c r="E1373" s="11"/>
      <c r="F1373" s="13"/>
      <c r="G1373" s="13"/>
      <c r="H1373" s="11"/>
      <c r="I1373" s="12"/>
      <c r="J1373" s="12"/>
      <c r="K1373" s="13"/>
      <c r="L1373" s="13"/>
      <c r="M1373" s="13"/>
      <c r="N1373" s="13"/>
      <c r="O1373" s="13"/>
      <c r="P1373" s="14" t="str">
        <f t="shared" si="84"/>
        <v/>
      </c>
      <c r="Q1373" s="15" t="str">
        <f>IF(OR(J1373="",H1373=""),"",IFERROR(IF(ISNUMBER(N1373),N1373,IF(K1373&lt;N(INDEX(Platforms!$G$5:$G$14,MATCH(H1373,Lists!$A$2:$A$11,0))),N(INDEX(Platforms!$H$5:$H$14,MATCH(H1373,Lists!$A$2:$A$11,0))),MAX(N(INDEX(Platforms!$F$5:$F$14,MATCH(H1373,Lists!$A$2:$A$11,0))),N(INDEX(Platforms!$C$5:$C$14,MATCH(H1373,Lists!$A$2:$A$11,0)))*(K1373+IF(INDEX(Platforms!$E$5:$E$14,MATCH(H1373,Lists!$A$2:$A$11,0))="Yes",N(L1373),0))+N(INDEX(Platforms!$D$5:$D$14,MATCH(H1373,Lists!$A$2:$A$11,0)))))),""))</f>
        <v/>
      </c>
      <c r="R1373" s="16" t="str">
        <f t="shared" si="85"/>
        <v/>
      </c>
      <c r="S1373" s="17" t="str">
        <f t="shared" si="86"/>
        <v/>
      </c>
      <c r="T1373" s="18" t="str">
        <f t="shared" ca="1" si="87"/>
        <v/>
      </c>
    </row>
    <row r="1374" spans="1:20" x14ac:dyDescent="0.35">
      <c r="A1374" s="11"/>
      <c r="B1374" s="11"/>
      <c r="C1374" s="11"/>
      <c r="D1374" s="12"/>
      <c r="E1374" s="11"/>
      <c r="F1374" s="13"/>
      <c r="G1374" s="13"/>
      <c r="H1374" s="11"/>
      <c r="I1374" s="12"/>
      <c r="J1374" s="12"/>
      <c r="K1374" s="13"/>
      <c r="L1374" s="13"/>
      <c r="M1374" s="13"/>
      <c r="N1374" s="13"/>
      <c r="O1374" s="13"/>
      <c r="P1374" s="14" t="str">
        <f t="shared" si="84"/>
        <v/>
      </c>
      <c r="Q1374" s="15" t="str">
        <f>IF(OR(J1374="",H1374=""),"",IFERROR(IF(ISNUMBER(N1374),N1374,IF(K1374&lt;N(INDEX(Platforms!$G$5:$G$14,MATCH(H1374,Lists!$A$2:$A$11,0))),N(INDEX(Platforms!$H$5:$H$14,MATCH(H1374,Lists!$A$2:$A$11,0))),MAX(N(INDEX(Platforms!$F$5:$F$14,MATCH(H1374,Lists!$A$2:$A$11,0))),N(INDEX(Platforms!$C$5:$C$14,MATCH(H1374,Lists!$A$2:$A$11,0)))*(K1374+IF(INDEX(Platforms!$E$5:$E$14,MATCH(H1374,Lists!$A$2:$A$11,0))="Yes",N(L1374),0))+N(INDEX(Platforms!$D$5:$D$14,MATCH(H1374,Lists!$A$2:$A$11,0)))))),""))</f>
        <v/>
      </c>
      <c r="R1374" s="16" t="str">
        <f t="shared" si="85"/>
        <v/>
      </c>
      <c r="S1374" s="17" t="str">
        <f t="shared" si="86"/>
        <v/>
      </c>
      <c r="T1374" s="18" t="str">
        <f t="shared" ca="1" si="87"/>
        <v/>
      </c>
    </row>
    <row r="1375" spans="1:20" x14ac:dyDescent="0.35">
      <c r="A1375" s="11"/>
      <c r="B1375" s="11"/>
      <c r="C1375" s="11"/>
      <c r="D1375" s="12"/>
      <c r="E1375" s="11"/>
      <c r="F1375" s="13"/>
      <c r="G1375" s="13"/>
      <c r="H1375" s="11"/>
      <c r="I1375" s="12"/>
      <c r="J1375" s="12"/>
      <c r="K1375" s="13"/>
      <c r="L1375" s="13"/>
      <c r="M1375" s="13"/>
      <c r="N1375" s="13"/>
      <c r="O1375" s="13"/>
      <c r="P1375" s="14" t="str">
        <f t="shared" si="84"/>
        <v/>
      </c>
      <c r="Q1375" s="15" t="str">
        <f>IF(OR(J1375="",H1375=""),"",IFERROR(IF(ISNUMBER(N1375),N1375,IF(K1375&lt;N(INDEX(Platforms!$G$5:$G$14,MATCH(H1375,Lists!$A$2:$A$11,0))),N(INDEX(Platforms!$H$5:$H$14,MATCH(H1375,Lists!$A$2:$A$11,0))),MAX(N(INDEX(Platforms!$F$5:$F$14,MATCH(H1375,Lists!$A$2:$A$11,0))),N(INDEX(Platforms!$C$5:$C$14,MATCH(H1375,Lists!$A$2:$A$11,0)))*(K1375+IF(INDEX(Platforms!$E$5:$E$14,MATCH(H1375,Lists!$A$2:$A$11,0))="Yes",N(L1375),0))+N(INDEX(Platforms!$D$5:$D$14,MATCH(H1375,Lists!$A$2:$A$11,0)))))),""))</f>
        <v/>
      </c>
      <c r="R1375" s="16" t="str">
        <f t="shared" si="85"/>
        <v/>
      </c>
      <c r="S1375" s="17" t="str">
        <f t="shared" si="86"/>
        <v/>
      </c>
      <c r="T1375" s="18" t="str">
        <f t="shared" ca="1" si="87"/>
        <v/>
      </c>
    </row>
    <row r="1376" spans="1:20" x14ac:dyDescent="0.35">
      <c r="A1376" s="11"/>
      <c r="B1376" s="11"/>
      <c r="C1376" s="11"/>
      <c r="D1376" s="12"/>
      <c r="E1376" s="11"/>
      <c r="F1376" s="13"/>
      <c r="G1376" s="13"/>
      <c r="H1376" s="11"/>
      <c r="I1376" s="12"/>
      <c r="J1376" s="12"/>
      <c r="K1376" s="13"/>
      <c r="L1376" s="13"/>
      <c r="M1376" s="13"/>
      <c r="N1376" s="13"/>
      <c r="O1376" s="13"/>
      <c r="P1376" s="14" t="str">
        <f t="shared" si="84"/>
        <v/>
      </c>
      <c r="Q1376" s="15" t="str">
        <f>IF(OR(J1376="",H1376=""),"",IFERROR(IF(ISNUMBER(N1376),N1376,IF(K1376&lt;N(INDEX(Platforms!$G$5:$G$14,MATCH(H1376,Lists!$A$2:$A$11,0))),N(INDEX(Platforms!$H$5:$H$14,MATCH(H1376,Lists!$A$2:$A$11,0))),MAX(N(INDEX(Platforms!$F$5:$F$14,MATCH(H1376,Lists!$A$2:$A$11,0))),N(INDEX(Platforms!$C$5:$C$14,MATCH(H1376,Lists!$A$2:$A$11,0)))*(K1376+IF(INDEX(Platforms!$E$5:$E$14,MATCH(H1376,Lists!$A$2:$A$11,0))="Yes",N(L1376),0))+N(INDEX(Platforms!$D$5:$D$14,MATCH(H1376,Lists!$A$2:$A$11,0)))))),""))</f>
        <v/>
      </c>
      <c r="R1376" s="16" t="str">
        <f t="shared" si="85"/>
        <v/>
      </c>
      <c r="S1376" s="17" t="str">
        <f t="shared" si="86"/>
        <v/>
      </c>
      <c r="T1376" s="18" t="str">
        <f t="shared" ca="1" si="87"/>
        <v/>
      </c>
    </row>
    <row r="1377" spans="1:20" x14ac:dyDescent="0.35">
      <c r="A1377" s="11"/>
      <c r="B1377" s="11"/>
      <c r="C1377" s="11"/>
      <c r="D1377" s="12"/>
      <c r="E1377" s="11"/>
      <c r="F1377" s="13"/>
      <c r="G1377" s="13"/>
      <c r="H1377" s="11"/>
      <c r="I1377" s="12"/>
      <c r="J1377" s="12"/>
      <c r="K1377" s="13"/>
      <c r="L1377" s="13"/>
      <c r="M1377" s="13"/>
      <c r="N1377" s="13"/>
      <c r="O1377" s="13"/>
      <c r="P1377" s="14" t="str">
        <f t="shared" si="84"/>
        <v/>
      </c>
      <c r="Q1377" s="15" t="str">
        <f>IF(OR(J1377="",H1377=""),"",IFERROR(IF(ISNUMBER(N1377),N1377,IF(K1377&lt;N(INDEX(Platforms!$G$5:$G$14,MATCH(H1377,Lists!$A$2:$A$11,0))),N(INDEX(Platforms!$H$5:$H$14,MATCH(H1377,Lists!$A$2:$A$11,0))),MAX(N(INDEX(Platforms!$F$5:$F$14,MATCH(H1377,Lists!$A$2:$A$11,0))),N(INDEX(Platforms!$C$5:$C$14,MATCH(H1377,Lists!$A$2:$A$11,0)))*(K1377+IF(INDEX(Platforms!$E$5:$E$14,MATCH(H1377,Lists!$A$2:$A$11,0))="Yes",N(L1377),0))+N(INDEX(Platforms!$D$5:$D$14,MATCH(H1377,Lists!$A$2:$A$11,0)))))),""))</f>
        <v/>
      </c>
      <c r="R1377" s="16" t="str">
        <f t="shared" si="85"/>
        <v/>
      </c>
      <c r="S1377" s="17" t="str">
        <f t="shared" si="86"/>
        <v/>
      </c>
      <c r="T1377" s="18" t="str">
        <f t="shared" ca="1" si="87"/>
        <v/>
      </c>
    </row>
    <row r="1378" spans="1:20" x14ac:dyDescent="0.35">
      <c r="A1378" s="11"/>
      <c r="B1378" s="11"/>
      <c r="C1378" s="11"/>
      <c r="D1378" s="12"/>
      <c r="E1378" s="11"/>
      <c r="F1378" s="13"/>
      <c r="G1378" s="13"/>
      <c r="H1378" s="11"/>
      <c r="I1378" s="12"/>
      <c r="J1378" s="12"/>
      <c r="K1378" s="13"/>
      <c r="L1378" s="13"/>
      <c r="M1378" s="13"/>
      <c r="N1378" s="13"/>
      <c r="O1378" s="13"/>
      <c r="P1378" s="14" t="str">
        <f t="shared" si="84"/>
        <v/>
      </c>
      <c r="Q1378" s="15" t="str">
        <f>IF(OR(J1378="",H1378=""),"",IFERROR(IF(ISNUMBER(N1378),N1378,IF(K1378&lt;N(INDEX(Platforms!$G$5:$G$14,MATCH(H1378,Lists!$A$2:$A$11,0))),N(INDEX(Platforms!$H$5:$H$14,MATCH(H1378,Lists!$A$2:$A$11,0))),MAX(N(INDEX(Platforms!$F$5:$F$14,MATCH(H1378,Lists!$A$2:$A$11,0))),N(INDEX(Platforms!$C$5:$C$14,MATCH(H1378,Lists!$A$2:$A$11,0)))*(K1378+IF(INDEX(Platforms!$E$5:$E$14,MATCH(H1378,Lists!$A$2:$A$11,0))="Yes",N(L1378),0))+N(INDEX(Platforms!$D$5:$D$14,MATCH(H1378,Lists!$A$2:$A$11,0)))))),""))</f>
        <v/>
      </c>
      <c r="R1378" s="16" t="str">
        <f t="shared" si="85"/>
        <v/>
      </c>
      <c r="S1378" s="17" t="str">
        <f t="shared" si="86"/>
        <v/>
      </c>
      <c r="T1378" s="18" t="str">
        <f t="shared" ca="1" si="87"/>
        <v/>
      </c>
    </row>
    <row r="1379" spans="1:20" x14ac:dyDescent="0.35">
      <c r="A1379" s="11"/>
      <c r="B1379" s="11"/>
      <c r="C1379" s="11"/>
      <c r="D1379" s="12"/>
      <c r="E1379" s="11"/>
      <c r="F1379" s="13"/>
      <c r="G1379" s="13"/>
      <c r="H1379" s="11"/>
      <c r="I1379" s="12"/>
      <c r="J1379" s="12"/>
      <c r="K1379" s="13"/>
      <c r="L1379" s="13"/>
      <c r="M1379" s="13"/>
      <c r="N1379" s="13"/>
      <c r="O1379" s="13"/>
      <c r="P1379" s="14" t="str">
        <f t="shared" si="84"/>
        <v/>
      </c>
      <c r="Q1379" s="15" t="str">
        <f>IF(OR(J1379="",H1379=""),"",IFERROR(IF(ISNUMBER(N1379),N1379,IF(K1379&lt;N(INDEX(Platforms!$G$5:$G$14,MATCH(H1379,Lists!$A$2:$A$11,0))),N(INDEX(Platforms!$H$5:$H$14,MATCH(H1379,Lists!$A$2:$A$11,0))),MAX(N(INDEX(Platforms!$F$5:$F$14,MATCH(H1379,Lists!$A$2:$A$11,0))),N(INDEX(Platforms!$C$5:$C$14,MATCH(H1379,Lists!$A$2:$A$11,0)))*(K1379+IF(INDEX(Platforms!$E$5:$E$14,MATCH(H1379,Lists!$A$2:$A$11,0))="Yes",N(L1379),0))+N(INDEX(Platforms!$D$5:$D$14,MATCH(H1379,Lists!$A$2:$A$11,0)))))),""))</f>
        <v/>
      </c>
      <c r="R1379" s="16" t="str">
        <f t="shared" si="85"/>
        <v/>
      </c>
      <c r="S1379" s="17" t="str">
        <f t="shared" si="86"/>
        <v/>
      </c>
      <c r="T1379" s="18" t="str">
        <f t="shared" ca="1" si="87"/>
        <v/>
      </c>
    </row>
    <row r="1380" spans="1:20" x14ac:dyDescent="0.35">
      <c r="A1380" s="11"/>
      <c r="B1380" s="11"/>
      <c r="C1380" s="11"/>
      <c r="D1380" s="12"/>
      <c r="E1380" s="11"/>
      <c r="F1380" s="13"/>
      <c r="G1380" s="13"/>
      <c r="H1380" s="11"/>
      <c r="I1380" s="12"/>
      <c r="J1380" s="12"/>
      <c r="K1380" s="13"/>
      <c r="L1380" s="13"/>
      <c r="M1380" s="13"/>
      <c r="N1380" s="13"/>
      <c r="O1380" s="13"/>
      <c r="P1380" s="14" t="str">
        <f t="shared" si="84"/>
        <v/>
      </c>
      <c r="Q1380" s="15" t="str">
        <f>IF(OR(J1380="",H1380=""),"",IFERROR(IF(ISNUMBER(N1380),N1380,IF(K1380&lt;N(INDEX(Platforms!$G$5:$G$14,MATCH(H1380,Lists!$A$2:$A$11,0))),N(INDEX(Platforms!$H$5:$H$14,MATCH(H1380,Lists!$A$2:$A$11,0))),MAX(N(INDEX(Platforms!$F$5:$F$14,MATCH(H1380,Lists!$A$2:$A$11,0))),N(INDEX(Platforms!$C$5:$C$14,MATCH(H1380,Lists!$A$2:$A$11,0)))*(K1380+IF(INDEX(Platforms!$E$5:$E$14,MATCH(H1380,Lists!$A$2:$A$11,0))="Yes",N(L1380),0))+N(INDEX(Platforms!$D$5:$D$14,MATCH(H1380,Lists!$A$2:$A$11,0)))))),""))</f>
        <v/>
      </c>
      <c r="R1380" s="16" t="str">
        <f t="shared" si="85"/>
        <v/>
      </c>
      <c r="S1380" s="17" t="str">
        <f t="shared" si="86"/>
        <v/>
      </c>
      <c r="T1380" s="18" t="str">
        <f t="shared" ca="1" si="87"/>
        <v/>
      </c>
    </row>
    <row r="1381" spans="1:20" x14ac:dyDescent="0.35">
      <c r="A1381" s="11"/>
      <c r="B1381" s="11"/>
      <c r="C1381" s="11"/>
      <c r="D1381" s="12"/>
      <c r="E1381" s="11"/>
      <c r="F1381" s="13"/>
      <c r="G1381" s="13"/>
      <c r="H1381" s="11"/>
      <c r="I1381" s="12"/>
      <c r="J1381" s="12"/>
      <c r="K1381" s="13"/>
      <c r="L1381" s="13"/>
      <c r="M1381" s="13"/>
      <c r="N1381" s="13"/>
      <c r="O1381" s="13"/>
      <c r="P1381" s="14" t="str">
        <f t="shared" si="84"/>
        <v/>
      </c>
      <c r="Q1381" s="15" t="str">
        <f>IF(OR(J1381="",H1381=""),"",IFERROR(IF(ISNUMBER(N1381),N1381,IF(K1381&lt;N(INDEX(Platforms!$G$5:$G$14,MATCH(H1381,Lists!$A$2:$A$11,0))),N(INDEX(Platforms!$H$5:$H$14,MATCH(H1381,Lists!$A$2:$A$11,0))),MAX(N(INDEX(Platforms!$F$5:$F$14,MATCH(H1381,Lists!$A$2:$A$11,0))),N(INDEX(Platforms!$C$5:$C$14,MATCH(H1381,Lists!$A$2:$A$11,0)))*(K1381+IF(INDEX(Platforms!$E$5:$E$14,MATCH(H1381,Lists!$A$2:$A$11,0))="Yes",N(L1381),0))+N(INDEX(Platforms!$D$5:$D$14,MATCH(H1381,Lists!$A$2:$A$11,0)))))),""))</f>
        <v/>
      </c>
      <c r="R1381" s="16" t="str">
        <f t="shared" si="85"/>
        <v/>
      </c>
      <c r="S1381" s="17" t="str">
        <f t="shared" si="86"/>
        <v/>
      </c>
      <c r="T1381" s="18" t="str">
        <f t="shared" ca="1" si="87"/>
        <v/>
      </c>
    </row>
    <row r="1382" spans="1:20" x14ac:dyDescent="0.35">
      <c r="A1382" s="11"/>
      <c r="B1382" s="11"/>
      <c r="C1382" s="11"/>
      <c r="D1382" s="12"/>
      <c r="E1382" s="11"/>
      <c r="F1382" s="13"/>
      <c r="G1382" s="13"/>
      <c r="H1382" s="11"/>
      <c r="I1382" s="12"/>
      <c r="J1382" s="12"/>
      <c r="K1382" s="13"/>
      <c r="L1382" s="13"/>
      <c r="M1382" s="13"/>
      <c r="N1382" s="13"/>
      <c r="O1382" s="13"/>
      <c r="P1382" s="14" t="str">
        <f t="shared" si="84"/>
        <v/>
      </c>
      <c r="Q1382" s="15" t="str">
        <f>IF(OR(J1382="",H1382=""),"",IFERROR(IF(ISNUMBER(N1382),N1382,IF(K1382&lt;N(INDEX(Platforms!$G$5:$G$14,MATCH(H1382,Lists!$A$2:$A$11,0))),N(INDEX(Platforms!$H$5:$H$14,MATCH(H1382,Lists!$A$2:$A$11,0))),MAX(N(INDEX(Platforms!$F$5:$F$14,MATCH(H1382,Lists!$A$2:$A$11,0))),N(INDEX(Platforms!$C$5:$C$14,MATCH(H1382,Lists!$A$2:$A$11,0)))*(K1382+IF(INDEX(Platforms!$E$5:$E$14,MATCH(H1382,Lists!$A$2:$A$11,0))="Yes",N(L1382),0))+N(INDEX(Platforms!$D$5:$D$14,MATCH(H1382,Lists!$A$2:$A$11,0)))))),""))</f>
        <v/>
      </c>
      <c r="R1382" s="16" t="str">
        <f t="shared" si="85"/>
        <v/>
      </c>
      <c r="S1382" s="17" t="str">
        <f t="shared" si="86"/>
        <v/>
      </c>
      <c r="T1382" s="18" t="str">
        <f t="shared" ca="1" si="87"/>
        <v/>
      </c>
    </row>
    <row r="1383" spans="1:20" x14ac:dyDescent="0.35">
      <c r="A1383" s="11"/>
      <c r="B1383" s="11"/>
      <c r="C1383" s="11"/>
      <c r="D1383" s="12"/>
      <c r="E1383" s="11"/>
      <c r="F1383" s="13"/>
      <c r="G1383" s="13"/>
      <c r="H1383" s="11"/>
      <c r="I1383" s="12"/>
      <c r="J1383" s="12"/>
      <c r="K1383" s="13"/>
      <c r="L1383" s="13"/>
      <c r="M1383" s="13"/>
      <c r="N1383" s="13"/>
      <c r="O1383" s="13"/>
      <c r="P1383" s="14" t="str">
        <f t="shared" si="84"/>
        <v/>
      </c>
      <c r="Q1383" s="15" t="str">
        <f>IF(OR(J1383="",H1383=""),"",IFERROR(IF(ISNUMBER(N1383),N1383,IF(K1383&lt;N(INDEX(Platforms!$G$5:$G$14,MATCH(H1383,Lists!$A$2:$A$11,0))),N(INDEX(Platforms!$H$5:$H$14,MATCH(H1383,Lists!$A$2:$A$11,0))),MAX(N(INDEX(Platforms!$F$5:$F$14,MATCH(H1383,Lists!$A$2:$A$11,0))),N(INDEX(Platforms!$C$5:$C$14,MATCH(H1383,Lists!$A$2:$A$11,0)))*(K1383+IF(INDEX(Platforms!$E$5:$E$14,MATCH(H1383,Lists!$A$2:$A$11,0))="Yes",N(L1383),0))+N(INDEX(Platforms!$D$5:$D$14,MATCH(H1383,Lists!$A$2:$A$11,0)))))),""))</f>
        <v/>
      </c>
      <c r="R1383" s="16" t="str">
        <f t="shared" si="85"/>
        <v/>
      </c>
      <c r="S1383" s="17" t="str">
        <f t="shared" si="86"/>
        <v/>
      </c>
      <c r="T1383" s="18" t="str">
        <f t="shared" ca="1" si="87"/>
        <v/>
      </c>
    </row>
    <row r="1384" spans="1:20" x14ac:dyDescent="0.35">
      <c r="A1384" s="11"/>
      <c r="B1384" s="11"/>
      <c r="C1384" s="11"/>
      <c r="D1384" s="12"/>
      <c r="E1384" s="11"/>
      <c r="F1384" s="13"/>
      <c r="G1384" s="13"/>
      <c r="H1384" s="11"/>
      <c r="I1384" s="12"/>
      <c r="J1384" s="12"/>
      <c r="K1384" s="13"/>
      <c r="L1384" s="13"/>
      <c r="M1384" s="13"/>
      <c r="N1384" s="13"/>
      <c r="O1384" s="13"/>
      <c r="P1384" s="14" t="str">
        <f t="shared" si="84"/>
        <v/>
      </c>
      <c r="Q1384" s="15" t="str">
        <f>IF(OR(J1384="",H1384=""),"",IFERROR(IF(ISNUMBER(N1384),N1384,IF(K1384&lt;N(INDEX(Platforms!$G$5:$G$14,MATCH(H1384,Lists!$A$2:$A$11,0))),N(INDEX(Platforms!$H$5:$H$14,MATCH(H1384,Lists!$A$2:$A$11,0))),MAX(N(INDEX(Platforms!$F$5:$F$14,MATCH(H1384,Lists!$A$2:$A$11,0))),N(INDEX(Platforms!$C$5:$C$14,MATCH(H1384,Lists!$A$2:$A$11,0)))*(K1384+IF(INDEX(Platforms!$E$5:$E$14,MATCH(H1384,Lists!$A$2:$A$11,0))="Yes",N(L1384),0))+N(INDEX(Platforms!$D$5:$D$14,MATCH(H1384,Lists!$A$2:$A$11,0)))))),""))</f>
        <v/>
      </c>
      <c r="R1384" s="16" t="str">
        <f t="shared" si="85"/>
        <v/>
      </c>
      <c r="S1384" s="17" t="str">
        <f t="shared" si="86"/>
        <v/>
      </c>
      <c r="T1384" s="18" t="str">
        <f t="shared" ca="1" si="87"/>
        <v/>
      </c>
    </row>
    <row r="1385" spans="1:20" x14ac:dyDescent="0.35">
      <c r="A1385" s="11"/>
      <c r="B1385" s="11"/>
      <c r="C1385" s="11"/>
      <c r="D1385" s="12"/>
      <c r="E1385" s="11"/>
      <c r="F1385" s="13"/>
      <c r="G1385" s="13"/>
      <c r="H1385" s="11"/>
      <c r="I1385" s="12"/>
      <c r="J1385" s="12"/>
      <c r="K1385" s="13"/>
      <c r="L1385" s="13"/>
      <c r="M1385" s="13"/>
      <c r="N1385" s="13"/>
      <c r="O1385" s="13"/>
      <c r="P1385" s="14" t="str">
        <f t="shared" si="84"/>
        <v/>
      </c>
      <c r="Q1385" s="15" t="str">
        <f>IF(OR(J1385="",H1385=""),"",IFERROR(IF(ISNUMBER(N1385),N1385,IF(K1385&lt;N(INDEX(Platforms!$G$5:$G$14,MATCH(H1385,Lists!$A$2:$A$11,0))),N(INDEX(Platforms!$H$5:$H$14,MATCH(H1385,Lists!$A$2:$A$11,0))),MAX(N(INDEX(Platforms!$F$5:$F$14,MATCH(H1385,Lists!$A$2:$A$11,0))),N(INDEX(Platforms!$C$5:$C$14,MATCH(H1385,Lists!$A$2:$A$11,0)))*(K1385+IF(INDEX(Platforms!$E$5:$E$14,MATCH(H1385,Lists!$A$2:$A$11,0))="Yes",N(L1385),0))+N(INDEX(Platforms!$D$5:$D$14,MATCH(H1385,Lists!$A$2:$A$11,0)))))),""))</f>
        <v/>
      </c>
      <c r="R1385" s="16" t="str">
        <f t="shared" si="85"/>
        <v/>
      </c>
      <c r="S1385" s="17" t="str">
        <f t="shared" si="86"/>
        <v/>
      </c>
      <c r="T1385" s="18" t="str">
        <f t="shared" ca="1" si="87"/>
        <v/>
      </c>
    </row>
    <row r="1386" spans="1:20" x14ac:dyDescent="0.35">
      <c r="A1386" s="11"/>
      <c r="B1386" s="11"/>
      <c r="C1386" s="11"/>
      <c r="D1386" s="12"/>
      <c r="E1386" s="11"/>
      <c r="F1386" s="13"/>
      <c r="G1386" s="13"/>
      <c r="H1386" s="11"/>
      <c r="I1386" s="12"/>
      <c r="J1386" s="12"/>
      <c r="K1386" s="13"/>
      <c r="L1386" s="13"/>
      <c r="M1386" s="13"/>
      <c r="N1386" s="13"/>
      <c r="O1386" s="13"/>
      <c r="P1386" s="14" t="str">
        <f t="shared" si="84"/>
        <v/>
      </c>
      <c r="Q1386" s="15" t="str">
        <f>IF(OR(J1386="",H1386=""),"",IFERROR(IF(ISNUMBER(N1386),N1386,IF(K1386&lt;N(INDEX(Platforms!$G$5:$G$14,MATCH(H1386,Lists!$A$2:$A$11,0))),N(INDEX(Platforms!$H$5:$H$14,MATCH(H1386,Lists!$A$2:$A$11,0))),MAX(N(INDEX(Platforms!$F$5:$F$14,MATCH(H1386,Lists!$A$2:$A$11,0))),N(INDEX(Platforms!$C$5:$C$14,MATCH(H1386,Lists!$A$2:$A$11,0)))*(K1386+IF(INDEX(Platforms!$E$5:$E$14,MATCH(H1386,Lists!$A$2:$A$11,0))="Yes",N(L1386),0))+N(INDEX(Platforms!$D$5:$D$14,MATCH(H1386,Lists!$A$2:$A$11,0)))))),""))</f>
        <v/>
      </c>
      <c r="R1386" s="16" t="str">
        <f t="shared" si="85"/>
        <v/>
      </c>
      <c r="S1386" s="17" t="str">
        <f t="shared" si="86"/>
        <v/>
      </c>
      <c r="T1386" s="18" t="str">
        <f t="shared" ca="1" si="87"/>
        <v/>
      </c>
    </row>
    <row r="1387" spans="1:20" x14ac:dyDescent="0.35">
      <c r="A1387" s="11"/>
      <c r="B1387" s="11"/>
      <c r="C1387" s="11"/>
      <c r="D1387" s="12"/>
      <c r="E1387" s="11"/>
      <c r="F1387" s="13"/>
      <c r="G1387" s="13"/>
      <c r="H1387" s="11"/>
      <c r="I1387" s="12"/>
      <c r="J1387" s="12"/>
      <c r="K1387" s="13"/>
      <c r="L1387" s="13"/>
      <c r="M1387" s="13"/>
      <c r="N1387" s="13"/>
      <c r="O1387" s="13"/>
      <c r="P1387" s="14" t="str">
        <f t="shared" si="84"/>
        <v/>
      </c>
      <c r="Q1387" s="15" t="str">
        <f>IF(OR(J1387="",H1387=""),"",IFERROR(IF(ISNUMBER(N1387),N1387,IF(K1387&lt;N(INDEX(Platforms!$G$5:$G$14,MATCH(H1387,Lists!$A$2:$A$11,0))),N(INDEX(Platforms!$H$5:$H$14,MATCH(H1387,Lists!$A$2:$A$11,0))),MAX(N(INDEX(Platforms!$F$5:$F$14,MATCH(H1387,Lists!$A$2:$A$11,0))),N(INDEX(Platforms!$C$5:$C$14,MATCH(H1387,Lists!$A$2:$A$11,0)))*(K1387+IF(INDEX(Platforms!$E$5:$E$14,MATCH(H1387,Lists!$A$2:$A$11,0))="Yes",N(L1387),0))+N(INDEX(Platforms!$D$5:$D$14,MATCH(H1387,Lists!$A$2:$A$11,0)))))),""))</f>
        <v/>
      </c>
      <c r="R1387" s="16" t="str">
        <f t="shared" si="85"/>
        <v/>
      </c>
      <c r="S1387" s="17" t="str">
        <f t="shared" si="86"/>
        <v/>
      </c>
      <c r="T1387" s="18" t="str">
        <f t="shared" ca="1" si="87"/>
        <v/>
      </c>
    </row>
    <row r="1388" spans="1:20" x14ac:dyDescent="0.35">
      <c r="A1388" s="11"/>
      <c r="B1388" s="11"/>
      <c r="C1388" s="11"/>
      <c r="D1388" s="12"/>
      <c r="E1388" s="11"/>
      <c r="F1388" s="13"/>
      <c r="G1388" s="13"/>
      <c r="H1388" s="11"/>
      <c r="I1388" s="12"/>
      <c r="J1388" s="12"/>
      <c r="K1388" s="13"/>
      <c r="L1388" s="13"/>
      <c r="M1388" s="13"/>
      <c r="N1388" s="13"/>
      <c r="O1388" s="13"/>
      <c r="P1388" s="14" t="str">
        <f t="shared" si="84"/>
        <v/>
      </c>
      <c r="Q1388" s="15" t="str">
        <f>IF(OR(J1388="",H1388=""),"",IFERROR(IF(ISNUMBER(N1388),N1388,IF(K1388&lt;N(INDEX(Platforms!$G$5:$G$14,MATCH(H1388,Lists!$A$2:$A$11,0))),N(INDEX(Platforms!$H$5:$H$14,MATCH(H1388,Lists!$A$2:$A$11,0))),MAX(N(INDEX(Platforms!$F$5:$F$14,MATCH(H1388,Lists!$A$2:$A$11,0))),N(INDEX(Platforms!$C$5:$C$14,MATCH(H1388,Lists!$A$2:$A$11,0)))*(K1388+IF(INDEX(Platforms!$E$5:$E$14,MATCH(H1388,Lists!$A$2:$A$11,0))="Yes",N(L1388),0))+N(INDEX(Platforms!$D$5:$D$14,MATCH(H1388,Lists!$A$2:$A$11,0)))))),""))</f>
        <v/>
      </c>
      <c r="R1388" s="16" t="str">
        <f t="shared" si="85"/>
        <v/>
      </c>
      <c r="S1388" s="17" t="str">
        <f t="shared" si="86"/>
        <v/>
      </c>
      <c r="T1388" s="18" t="str">
        <f t="shared" ca="1" si="87"/>
        <v/>
      </c>
    </row>
    <row r="1389" spans="1:20" x14ac:dyDescent="0.35">
      <c r="A1389" s="11"/>
      <c r="B1389" s="11"/>
      <c r="C1389" s="11"/>
      <c r="D1389" s="12"/>
      <c r="E1389" s="11"/>
      <c r="F1389" s="13"/>
      <c r="G1389" s="13"/>
      <c r="H1389" s="11"/>
      <c r="I1389" s="12"/>
      <c r="J1389" s="12"/>
      <c r="K1389" s="13"/>
      <c r="L1389" s="13"/>
      <c r="M1389" s="13"/>
      <c r="N1389" s="13"/>
      <c r="O1389" s="13"/>
      <c r="P1389" s="14" t="str">
        <f t="shared" si="84"/>
        <v/>
      </c>
      <c r="Q1389" s="15" t="str">
        <f>IF(OR(J1389="",H1389=""),"",IFERROR(IF(ISNUMBER(N1389),N1389,IF(K1389&lt;N(INDEX(Platforms!$G$5:$G$14,MATCH(H1389,Lists!$A$2:$A$11,0))),N(INDEX(Platforms!$H$5:$H$14,MATCH(H1389,Lists!$A$2:$A$11,0))),MAX(N(INDEX(Platforms!$F$5:$F$14,MATCH(H1389,Lists!$A$2:$A$11,0))),N(INDEX(Platforms!$C$5:$C$14,MATCH(H1389,Lists!$A$2:$A$11,0)))*(K1389+IF(INDEX(Platforms!$E$5:$E$14,MATCH(H1389,Lists!$A$2:$A$11,0))="Yes",N(L1389),0))+N(INDEX(Platforms!$D$5:$D$14,MATCH(H1389,Lists!$A$2:$A$11,0)))))),""))</f>
        <v/>
      </c>
      <c r="R1389" s="16" t="str">
        <f t="shared" si="85"/>
        <v/>
      </c>
      <c r="S1389" s="17" t="str">
        <f t="shared" si="86"/>
        <v/>
      </c>
      <c r="T1389" s="18" t="str">
        <f t="shared" ca="1" si="87"/>
        <v/>
      </c>
    </row>
    <row r="1390" spans="1:20" x14ac:dyDescent="0.35">
      <c r="A1390" s="11"/>
      <c r="B1390" s="11"/>
      <c r="C1390" s="11"/>
      <c r="D1390" s="12"/>
      <c r="E1390" s="11"/>
      <c r="F1390" s="13"/>
      <c r="G1390" s="13"/>
      <c r="H1390" s="11"/>
      <c r="I1390" s="12"/>
      <c r="J1390" s="12"/>
      <c r="K1390" s="13"/>
      <c r="L1390" s="13"/>
      <c r="M1390" s="13"/>
      <c r="N1390" s="13"/>
      <c r="O1390" s="13"/>
      <c r="P1390" s="14" t="str">
        <f t="shared" si="84"/>
        <v/>
      </c>
      <c r="Q1390" s="15" t="str">
        <f>IF(OR(J1390="",H1390=""),"",IFERROR(IF(ISNUMBER(N1390),N1390,IF(K1390&lt;N(INDEX(Platforms!$G$5:$G$14,MATCH(H1390,Lists!$A$2:$A$11,0))),N(INDEX(Platforms!$H$5:$H$14,MATCH(H1390,Lists!$A$2:$A$11,0))),MAX(N(INDEX(Platforms!$F$5:$F$14,MATCH(H1390,Lists!$A$2:$A$11,0))),N(INDEX(Platforms!$C$5:$C$14,MATCH(H1390,Lists!$A$2:$A$11,0)))*(K1390+IF(INDEX(Platforms!$E$5:$E$14,MATCH(H1390,Lists!$A$2:$A$11,0))="Yes",N(L1390),0))+N(INDEX(Platforms!$D$5:$D$14,MATCH(H1390,Lists!$A$2:$A$11,0)))))),""))</f>
        <v/>
      </c>
      <c r="R1390" s="16" t="str">
        <f t="shared" si="85"/>
        <v/>
      </c>
      <c r="S1390" s="17" t="str">
        <f t="shared" si="86"/>
        <v/>
      </c>
      <c r="T1390" s="18" t="str">
        <f t="shared" ca="1" si="87"/>
        <v/>
      </c>
    </row>
    <row r="1391" spans="1:20" x14ac:dyDescent="0.35">
      <c r="A1391" s="11"/>
      <c r="B1391" s="11"/>
      <c r="C1391" s="11"/>
      <c r="D1391" s="12"/>
      <c r="E1391" s="11"/>
      <c r="F1391" s="13"/>
      <c r="G1391" s="13"/>
      <c r="H1391" s="11"/>
      <c r="I1391" s="12"/>
      <c r="J1391" s="12"/>
      <c r="K1391" s="13"/>
      <c r="L1391" s="13"/>
      <c r="M1391" s="13"/>
      <c r="N1391" s="13"/>
      <c r="O1391" s="13"/>
      <c r="P1391" s="14" t="str">
        <f t="shared" si="84"/>
        <v/>
      </c>
      <c r="Q1391" s="15" t="str">
        <f>IF(OR(J1391="",H1391=""),"",IFERROR(IF(ISNUMBER(N1391),N1391,IF(K1391&lt;N(INDEX(Platforms!$G$5:$G$14,MATCH(H1391,Lists!$A$2:$A$11,0))),N(INDEX(Platforms!$H$5:$H$14,MATCH(H1391,Lists!$A$2:$A$11,0))),MAX(N(INDEX(Platforms!$F$5:$F$14,MATCH(H1391,Lists!$A$2:$A$11,0))),N(INDEX(Platforms!$C$5:$C$14,MATCH(H1391,Lists!$A$2:$A$11,0)))*(K1391+IF(INDEX(Platforms!$E$5:$E$14,MATCH(H1391,Lists!$A$2:$A$11,0))="Yes",N(L1391),0))+N(INDEX(Platforms!$D$5:$D$14,MATCH(H1391,Lists!$A$2:$A$11,0)))))),""))</f>
        <v/>
      </c>
      <c r="R1391" s="16" t="str">
        <f t="shared" si="85"/>
        <v/>
      </c>
      <c r="S1391" s="17" t="str">
        <f t="shared" si="86"/>
        <v/>
      </c>
      <c r="T1391" s="18" t="str">
        <f t="shared" ca="1" si="87"/>
        <v/>
      </c>
    </row>
    <row r="1392" spans="1:20" x14ac:dyDescent="0.35">
      <c r="A1392" s="11"/>
      <c r="B1392" s="11"/>
      <c r="C1392" s="11"/>
      <c r="D1392" s="12"/>
      <c r="E1392" s="11"/>
      <c r="F1392" s="13"/>
      <c r="G1392" s="13"/>
      <c r="H1392" s="11"/>
      <c r="I1392" s="12"/>
      <c r="J1392" s="12"/>
      <c r="K1392" s="13"/>
      <c r="L1392" s="13"/>
      <c r="M1392" s="13"/>
      <c r="N1392" s="13"/>
      <c r="O1392" s="13"/>
      <c r="P1392" s="14" t="str">
        <f t="shared" si="84"/>
        <v/>
      </c>
      <c r="Q1392" s="15" t="str">
        <f>IF(OR(J1392="",H1392=""),"",IFERROR(IF(ISNUMBER(N1392),N1392,IF(K1392&lt;N(INDEX(Platforms!$G$5:$G$14,MATCH(H1392,Lists!$A$2:$A$11,0))),N(INDEX(Platforms!$H$5:$H$14,MATCH(H1392,Lists!$A$2:$A$11,0))),MAX(N(INDEX(Platforms!$F$5:$F$14,MATCH(H1392,Lists!$A$2:$A$11,0))),N(INDEX(Platforms!$C$5:$C$14,MATCH(H1392,Lists!$A$2:$A$11,0)))*(K1392+IF(INDEX(Platforms!$E$5:$E$14,MATCH(H1392,Lists!$A$2:$A$11,0))="Yes",N(L1392),0))+N(INDEX(Platforms!$D$5:$D$14,MATCH(H1392,Lists!$A$2:$A$11,0)))))),""))</f>
        <v/>
      </c>
      <c r="R1392" s="16" t="str">
        <f t="shared" si="85"/>
        <v/>
      </c>
      <c r="S1392" s="17" t="str">
        <f t="shared" si="86"/>
        <v/>
      </c>
      <c r="T1392" s="18" t="str">
        <f t="shared" ca="1" si="87"/>
        <v/>
      </c>
    </row>
    <row r="1393" spans="1:20" x14ac:dyDescent="0.35">
      <c r="A1393" s="11"/>
      <c r="B1393" s="11"/>
      <c r="C1393" s="11"/>
      <c r="D1393" s="12"/>
      <c r="E1393" s="11"/>
      <c r="F1393" s="13"/>
      <c r="G1393" s="13"/>
      <c r="H1393" s="11"/>
      <c r="I1393" s="12"/>
      <c r="J1393" s="12"/>
      <c r="K1393" s="13"/>
      <c r="L1393" s="13"/>
      <c r="M1393" s="13"/>
      <c r="N1393" s="13"/>
      <c r="O1393" s="13"/>
      <c r="P1393" s="14" t="str">
        <f t="shared" si="84"/>
        <v/>
      </c>
      <c r="Q1393" s="15" t="str">
        <f>IF(OR(J1393="",H1393=""),"",IFERROR(IF(ISNUMBER(N1393),N1393,IF(K1393&lt;N(INDEX(Platforms!$G$5:$G$14,MATCH(H1393,Lists!$A$2:$A$11,0))),N(INDEX(Platforms!$H$5:$H$14,MATCH(H1393,Lists!$A$2:$A$11,0))),MAX(N(INDEX(Platforms!$F$5:$F$14,MATCH(H1393,Lists!$A$2:$A$11,0))),N(INDEX(Platforms!$C$5:$C$14,MATCH(H1393,Lists!$A$2:$A$11,0)))*(K1393+IF(INDEX(Platforms!$E$5:$E$14,MATCH(H1393,Lists!$A$2:$A$11,0))="Yes",N(L1393),0))+N(INDEX(Platforms!$D$5:$D$14,MATCH(H1393,Lists!$A$2:$A$11,0)))))),""))</f>
        <v/>
      </c>
      <c r="R1393" s="16" t="str">
        <f t="shared" si="85"/>
        <v/>
      </c>
      <c r="S1393" s="17" t="str">
        <f t="shared" si="86"/>
        <v/>
      </c>
      <c r="T1393" s="18" t="str">
        <f t="shared" ca="1" si="87"/>
        <v/>
      </c>
    </row>
    <row r="1394" spans="1:20" x14ac:dyDescent="0.35">
      <c r="A1394" s="11"/>
      <c r="B1394" s="11"/>
      <c r="C1394" s="11"/>
      <c r="D1394" s="12"/>
      <c r="E1394" s="11"/>
      <c r="F1394" s="13"/>
      <c r="G1394" s="13"/>
      <c r="H1394" s="11"/>
      <c r="I1394" s="12"/>
      <c r="J1394" s="12"/>
      <c r="K1394" s="13"/>
      <c r="L1394" s="13"/>
      <c r="M1394" s="13"/>
      <c r="N1394" s="13"/>
      <c r="O1394" s="13"/>
      <c r="P1394" s="14" t="str">
        <f t="shared" si="84"/>
        <v/>
      </c>
      <c r="Q1394" s="15" t="str">
        <f>IF(OR(J1394="",H1394=""),"",IFERROR(IF(ISNUMBER(N1394),N1394,IF(K1394&lt;N(INDEX(Platforms!$G$5:$G$14,MATCH(H1394,Lists!$A$2:$A$11,0))),N(INDEX(Platforms!$H$5:$H$14,MATCH(H1394,Lists!$A$2:$A$11,0))),MAX(N(INDEX(Platforms!$F$5:$F$14,MATCH(H1394,Lists!$A$2:$A$11,0))),N(INDEX(Platforms!$C$5:$C$14,MATCH(H1394,Lists!$A$2:$A$11,0)))*(K1394+IF(INDEX(Platforms!$E$5:$E$14,MATCH(H1394,Lists!$A$2:$A$11,0))="Yes",N(L1394),0))+N(INDEX(Platforms!$D$5:$D$14,MATCH(H1394,Lists!$A$2:$A$11,0)))))),""))</f>
        <v/>
      </c>
      <c r="R1394" s="16" t="str">
        <f t="shared" si="85"/>
        <v/>
      </c>
      <c r="S1394" s="17" t="str">
        <f t="shared" si="86"/>
        <v/>
      </c>
      <c r="T1394" s="18" t="str">
        <f t="shared" ca="1" si="87"/>
        <v/>
      </c>
    </row>
    <row r="1395" spans="1:20" x14ac:dyDescent="0.35">
      <c r="A1395" s="11"/>
      <c r="B1395" s="11"/>
      <c r="C1395" s="11"/>
      <c r="D1395" s="12"/>
      <c r="E1395" s="11"/>
      <c r="F1395" s="13"/>
      <c r="G1395" s="13"/>
      <c r="H1395" s="11"/>
      <c r="I1395" s="12"/>
      <c r="J1395" s="12"/>
      <c r="K1395" s="13"/>
      <c r="L1395" s="13"/>
      <c r="M1395" s="13"/>
      <c r="N1395" s="13"/>
      <c r="O1395" s="13"/>
      <c r="P1395" s="14" t="str">
        <f t="shared" si="84"/>
        <v/>
      </c>
      <c r="Q1395" s="15" t="str">
        <f>IF(OR(J1395="",H1395=""),"",IFERROR(IF(ISNUMBER(N1395),N1395,IF(K1395&lt;N(INDEX(Platforms!$G$5:$G$14,MATCH(H1395,Lists!$A$2:$A$11,0))),N(INDEX(Platforms!$H$5:$H$14,MATCH(H1395,Lists!$A$2:$A$11,0))),MAX(N(INDEX(Platforms!$F$5:$F$14,MATCH(H1395,Lists!$A$2:$A$11,0))),N(INDEX(Platforms!$C$5:$C$14,MATCH(H1395,Lists!$A$2:$A$11,0)))*(K1395+IF(INDEX(Platforms!$E$5:$E$14,MATCH(H1395,Lists!$A$2:$A$11,0))="Yes",N(L1395),0))+N(INDEX(Platforms!$D$5:$D$14,MATCH(H1395,Lists!$A$2:$A$11,0)))))),""))</f>
        <v/>
      </c>
      <c r="R1395" s="16" t="str">
        <f t="shared" si="85"/>
        <v/>
      </c>
      <c r="S1395" s="17" t="str">
        <f t="shared" si="86"/>
        <v/>
      </c>
      <c r="T1395" s="18" t="str">
        <f t="shared" ca="1" si="87"/>
        <v/>
      </c>
    </row>
    <row r="1396" spans="1:20" x14ac:dyDescent="0.35">
      <c r="A1396" s="11"/>
      <c r="B1396" s="11"/>
      <c r="C1396" s="11"/>
      <c r="D1396" s="12"/>
      <c r="E1396" s="11"/>
      <c r="F1396" s="13"/>
      <c r="G1396" s="13"/>
      <c r="H1396" s="11"/>
      <c r="I1396" s="12"/>
      <c r="J1396" s="12"/>
      <c r="K1396" s="13"/>
      <c r="L1396" s="13"/>
      <c r="M1396" s="13"/>
      <c r="N1396" s="13"/>
      <c r="O1396" s="13"/>
      <c r="P1396" s="14" t="str">
        <f t="shared" si="84"/>
        <v/>
      </c>
      <c r="Q1396" s="15" t="str">
        <f>IF(OR(J1396="",H1396=""),"",IFERROR(IF(ISNUMBER(N1396),N1396,IF(K1396&lt;N(INDEX(Platforms!$G$5:$G$14,MATCH(H1396,Lists!$A$2:$A$11,0))),N(INDEX(Platforms!$H$5:$H$14,MATCH(H1396,Lists!$A$2:$A$11,0))),MAX(N(INDEX(Platforms!$F$5:$F$14,MATCH(H1396,Lists!$A$2:$A$11,0))),N(INDEX(Platforms!$C$5:$C$14,MATCH(H1396,Lists!$A$2:$A$11,0)))*(K1396+IF(INDEX(Platforms!$E$5:$E$14,MATCH(H1396,Lists!$A$2:$A$11,0))="Yes",N(L1396),0))+N(INDEX(Platforms!$D$5:$D$14,MATCH(H1396,Lists!$A$2:$A$11,0)))))),""))</f>
        <v/>
      </c>
      <c r="R1396" s="16" t="str">
        <f t="shared" si="85"/>
        <v/>
      </c>
      <c r="S1396" s="17" t="str">
        <f t="shared" si="86"/>
        <v/>
      </c>
      <c r="T1396" s="18" t="str">
        <f t="shared" ca="1" si="87"/>
        <v/>
      </c>
    </row>
    <row r="1397" spans="1:20" x14ac:dyDescent="0.35">
      <c r="A1397" s="11"/>
      <c r="B1397" s="11"/>
      <c r="C1397" s="11"/>
      <c r="D1397" s="12"/>
      <c r="E1397" s="11"/>
      <c r="F1397" s="13"/>
      <c r="G1397" s="13"/>
      <c r="H1397" s="11"/>
      <c r="I1397" s="12"/>
      <c r="J1397" s="12"/>
      <c r="K1397" s="13"/>
      <c r="L1397" s="13"/>
      <c r="M1397" s="13"/>
      <c r="N1397" s="13"/>
      <c r="O1397" s="13"/>
      <c r="P1397" s="14" t="str">
        <f t="shared" si="84"/>
        <v/>
      </c>
      <c r="Q1397" s="15" t="str">
        <f>IF(OR(J1397="",H1397=""),"",IFERROR(IF(ISNUMBER(N1397),N1397,IF(K1397&lt;N(INDEX(Platforms!$G$5:$G$14,MATCH(H1397,Lists!$A$2:$A$11,0))),N(INDEX(Platforms!$H$5:$H$14,MATCH(H1397,Lists!$A$2:$A$11,0))),MAX(N(INDEX(Platforms!$F$5:$F$14,MATCH(H1397,Lists!$A$2:$A$11,0))),N(INDEX(Platforms!$C$5:$C$14,MATCH(H1397,Lists!$A$2:$A$11,0)))*(K1397+IF(INDEX(Platforms!$E$5:$E$14,MATCH(H1397,Lists!$A$2:$A$11,0))="Yes",N(L1397),0))+N(INDEX(Platforms!$D$5:$D$14,MATCH(H1397,Lists!$A$2:$A$11,0)))))),""))</f>
        <v/>
      </c>
      <c r="R1397" s="16" t="str">
        <f t="shared" si="85"/>
        <v/>
      </c>
      <c r="S1397" s="17" t="str">
        <f t="shared" si="86"/>
        <v/>
      </c>
      <c r="T1397" s="18" t="str">
        <f t="shared" ca="1" si="87"/>
        <v/>
      </c>
    </row>
    <row r="1398" spans="1:20" x14ac:dyDescent="0.35">
      <c r="A1398" s="11"/>
      <c r="B1398" s="11"/>
      <c r="C1398" s="11"/>
      <c r="D1398" s="12"/>
      <c r="E1398" s="11"/>
      <c r="F1398" s="13"/>
      <c r="G1398" s="13"/>
      <c r="H1398" s="11"/>
      <c r="I1398" s="12"/>
      <c r="J1398" s="12"/>
      <c r="K1398" s="13"/>
      <c r="L1398" s="13"/>
      <c r="M1398" s="13"/>
      <c r="N1398" s="13"/>
      <c r="O1398" s="13"/>
      <c r="P1398" s="14" t="str">
        <f t="shared" si="84"/>
        <v/>
      </c>
      <c r="Q1398" s="15" t="str">
        <f>IF(OR(J1398="",H1398=""),"",IFERROR(IF(ISNUMBER(N1398),N1398,IF(K1398&lt;N(INDEX(Platforms!$G$5:$G$14,MATCH(H1398,Lists!$A$2:$A$11,0))),N(INDEX(Platforms!$H$5:$H$14,MATCH(H1398,Lists!$A$2:$A$11,0))),MAX(N(INDEX(Platforms!$F$5:$F$14,MATCH(H1398,Lists!$A$2:$A$11,0))),N(INDEX(Platforms!$C$5:$C$14,MATCH(H1398,Lists!$A$2:$A$11,0)))*(K1398+IF(INDEX(Platforms!$E$5:$E$14,MATCH(H1398,Lists!$A$2:$A$11,0))="Yes",N(L1398),0))+N(INDEX(Platforms!$D$5:$D$14,MATCH(H1398,Lists!$A$2:$A$11,0)))))),""))</f>
        <v/>
      </c>
      <c r="R1398" s="16" t="str">
        <f t="shared" si="85"/>
        <v/>
      </c>
      <c r="S1398" s="17" t="str">
        <f t="shared" si="86"/>
        <v/>
      </c>
      <c r="T1398" s="18" t="str">
        <f t="shared" ca="1" si="87"/>
        <v/>
      </c>
    </row>
    <row r="1399" spans="1:20" x14ac:dyDescent="0.35">
      <c r="A1399" s="11"/>
      <c r="B1399" s="11"/>
      <c r="C1399" s="11"/>
      <c r="D1399" s="12"/>
      <c r="E1399" s="11"/>
      <c r="F1399" s="13"/>
      <c r="G1399" s="13"/>
      <c r="H1399" s="11"/>
      <c r="I1399" s="12"/>
      <c r="J1399" s="12"/>
      <c r="K1399" s="13"/>
      <c r="L1399" s="13"/>
      <c r="M1399" s="13"/>
      <c r="N1399" s="13"/>
      <c r="O1399" s="13"/>
      <c r="P1399" s="14" t="str">
        <f t="shared" si="84"/>
        <v/>
      </c>
      <c r="Q1399" s="15" t="str">
        <f>IF(OR(J1399="",H1399=""),"",IFERROR(IF(ISNUMBER(N1399),N1399,IF(K1399&lt;N(INDEX(Platforms!$G$5:$G$14,MATCH(H1399,Lists!$A$2:$A$11,0))),N(INDEX(Platforms!$H$5:$H$14,MATCH(H1399,Lists!$A$2:$A$11,0))),MAX(N(INDEX(Platforms!$F$5:$F$14,MATCH(H1399,Lists!$A$2:$A$11,0))),N(INDEX(Platforms!$C$5:$C$14,MATCH(H1399,Lists!$A$2:$A$11,0)))*(K1399+IF(INDEX(Platforms!$E$5:$E$14,MATCH(H1399,Lists!$A$2:$A$11,0))="Yes",N(L1399),0))+N(INDEX(Platforms!$D$5:$D$14,MATCH(H1399,Lists!$A$2:$A$11,0)))))),""))</f>
        <v/>
      </c>
      <c r="R1399" s="16" t="str">
        <f t="shared" si="85"/>
        <v/>
      </c>
      <c r="S1399" s="17" t="str">
        <f t="shared" si="86"/>
        <v/>
      </c>
      <c r="T1399" s="18" t="str">
        <f t="shared" ca="1" si="87"/>
        <v/>
      </c>
    </row>
    <row r="1400" spans="1:20" x14ac:dyDescent="0.35">
      <c r="A1400" s="11"/>
      <c r="B1400" s="11"/>
      <c r="C1400" s="11"/>
      <c r="D1400" s="12"/>
      <c r="E1400" s="11"/>
      <c r="F1400" s="13"/>
      <c r="G1400" s="13"/>
      <c r="H1400" s="11"/>
      <c r="I1400" s="12"/>
      <c r="J1400" s="12"/>
      <c r="K1400" s="13"/>
      <c r="L1400" s="13"/>
      <c r="M1400" s="13"/>
      <c r="N1400" s="13"/>
      <c r="O1400" s="13"/>
      <c r="P1400" s="14" t="str">
        <f t="shared" si="84"/>
        <v/>
      </c>
      <c r="Q1400" s="15" t="str">
        <f>IF(OR(J1400="",H1400=""),"",IFERROR(IF(ISNUMBER(N1400),N1400,IF(K1400&lt;N(INDEX(Platforms!$G$5:$G$14,MATCH(H1400,Lists!$A$2:$A$11,0))),N(INDEX(Platforms!$H$5:$H$14,MATCH(H1400,Lists!$A$2:$A$11,0))),MAX(N(INDEX(Platforms!$F$5:$F$14,MATCH(H1400,Lists!$A$2:$A$11,0))),N(INDEX(Platforms!$C$5:$C$14,MATCH(H1400,Lists!$A$2:$A$11,0)))*(K1400+IF(INDEX(Platforms!$E$5:$E$14,MATCH(H1400,Lists!$A$2:$A$11,0))="Yes",N(L1400),0))+N(INDEX(Platforms!$D$5:$D$14,MATCH(H1400,Lists!$A$2:$A$11,0)))))),""))</f>
        <v/>
      </c>
      <c r="R1400" s="16" t="str">
        <f t="shared" si="85"/>
        <v/>
      </c>
      <c r="S1400" s="17" t="str">
        <f t="shared" si="86"/>
        <v/>
      </c>
      <c r="T1400" s="18" t="str">
        <f t="shared" ca="1" si="87"/>
        <v/>
      </c>
    </row>
    <row r="1401" spans="1:20" x14ac:dyDescent="0.35">
      <c r="A1401" s="11"/>
      <c r="B1401" s="11"/>
      <c r="C1401" s="11"/>
      <c r="D1401" s="12"/>
      <c r="E1401" s="11"/>
      <c r="F1401" s="13"/>
      <c r="G1401" s="13"/>
      <c r="H1401" s="11"/>
      <c r="I1401" s="12"/>
      <c r="J1401" s="12"/>
      <c r="K1401" s="13"/>
      <c r="L1401" s="13"/>
      <c r="M1401" s="13"/>
      <c r="N1401" s="13"/>
      <c r="O1401" s="13"/>
      <c r="P1401" s="14" t="str">
        <f t="shared" si="84"/>
        <v/>
      </c>
      <c r="Q1401" s="15" t="str">
        <f>IF(OR(J1401="",H1401=""),"",IFERROR(IF(ISNUMBER(N1401),N1401,IF(K1401&lt;N(INDEX(Platforms!$G$5:$G$14,MATCH(H1401,Lists!$A$2:$A$11,0))),N(INDEX(Platforms!$H$5:$H$14,MATCH(H1401,Lists!$A$2:$A$11,0))),MAX(N(INDEX(Platforms!$F$5:$F$14,MATCH(H1401,Lists!$A$2:$A$11,0))),N(INDEX(Platforms!$C$5:$C$14,MATCH(H1401,Lists!$A$2:$A$11,0)))*(K1401+IF(INDEX(Platforms!$E$5:$E$14,MATCH(H1401,Lists!$A$2:$A$11,0))="Yes",N(L1401),0))+N(INDEX(Platforms!$D$5:$D$14,MATCH(H1401,Lists!$A$2:$A$11,0)))))),""))</f>
        <v/>
      </c>
      <c r="R1401" s="16" t="str">
        <f t="shared" si="85"/>
        <v/>
      </c>
      <c r="S1401" s="17" t="str">
        <f t="shared" si="86"/>
        <v/>
      </c>
      <c r="T1401" s="18" t="str">
        <f t="shared" ca="1" si="87"/>
        <v/>
      </c>
    </row>
    <row r="1402" spans="1:20" x14ac:dyDescent="0.35">
      <c r="A1402" s="11"/>
      <c r="B1402" s="11"/>
      <c r="C1402" s="11"/>
      <c r="D1402" s="12"/>
      <c r="E1402" s="11"/>
      <c r="F1402" s="13"/>
      <c r="G1402" s="13"/>
      <c r="H1402" s="11"/>
      <c r="I1402" s="12"/>
      <c r="J1402" s="12"/>
      <c r="K1402" s="13"/>
      <c r="L1402" s="13"/>
      <c r="M1402" s="13"/>
      <c r="N1402" s="13"/>
      <c r="O1402" s="13"/>
      <c r="P1402" s="14" t="str">
        <f t="shared" si="84"/>
        <v/>
      </c>
      <c r="Q1402" s="15" t="str">
        <f>IF(OR(J1402="",H1402=""),"",IFERROR(IF(ISNUMBER(N1402),N1402,IF(K1402&lt;N(INDEX(Platforms!$G$5:$G$14,MATCH(H1402,Lists!$A$2:$A$11,0))),N(INDEX(Platforms!$H$5:$H$14,MATCH(H1402,Lists!$A$2:$A$11,0))),MAX(N(INDEX(Platforms!$F$5:$F$14,MATCH(H1402,Lists!$A$2:$A$11,0))),N(INDEX(Platforms!$C$5:$C$14,MATCH(H1402,Lists!$A$2:$A$11,0)))*(K1402+IF(INDEX(Platforms!$E$5:$E$14,MATCH(H1402,Lists!$A$2:$A$11,0))="Yes",N(L1402),0))+N(INDEX(Platforms!$D$5:$D$14,MATCH(H1402,Lists!$A$2:$A$11,0)))))),""))</f>
        <v/>
      </c>
      <c r="R1402" s="16" t="str">
        <f t="shared" si="85"/>
        <v/>
      </c>
      <c r="S1402" s="17" t="str">
        <f t="shared" si="86"/>
        <v/>
      </c>
      <c r="T1402" s="18" t="str">
        <f t="shared" ca="1" si="87"/>
        <v/>
      </c>
    </row>
    <row r="1403" spans="1:20" x14ac:dyDescent="0.35">
      <c r="A1403" s="11"/>
      <c r="B1403" s="11"/>
      <c r="C1403" s="11"/>
      <c r="D1403" s="12"/>
      <c r="E1403" s="11"/>
      <c r="F1403" s="13"/>
      <c r="G1403" s="13"/>
      <c r="H1403" s="11"/>
      <c r="I1403" s="12"/>
      <c r="J1403" s="12"/>
      <c r="K1403" s="13"/>
      <c r="L1403" s="13"/>
      <c r="M1403" s="13"/>
      <c r="N1403" s="13"/>
      <c r="O1403" s="13"/>
      <c r="P1403" s="14" t="str">
        <f t="shared" si="84"/>
        <v/>
      </c>
      <c r="Q1403" s="15" t="str">
        <f>IF(OR(J1403="",H1403=""),"",IFERROR(IF(ISNUMBER(N1403),N1403,IF(K1403&lt;N(INDEX(Platforms!$G$5:$G$14,MATCH(H1403,Lists!$A$2:$A$11,0))),N(INDEX(Platforms!$H$5:$H$14,MATCH(H1403,Lists!$A$2:$A$11,0))),MAX(N(INDEX(Platforms!$F$5:$F$14,MATCH(H1403,Lists!$A$2:$A$11,0))),N(INDEX(Platforms!$C$5:$C$14,MATCH(H1403,Lists!$A$2:$A$11,0)))*(K1403+IF(INDEX(Platforms!$E$5:$E$14,MATCH(H1403,Lists!$A$2:$A$11,0))="Yes",N(L1403),0))+N(INDEX(Platforms!$D$5:$D$14,MATCH(H1403,Lists!$A$2:$A$11,0)))))),""))</f>
        <v/>
      </c>
      <c r="R1403" s="16" t="str">
        <f t="shared" si="85"/>
        <v/>
      </c>
      <c r="S1403" s="17" t="str">
        <f t="shared" si="86"/>
        <v/>
      </c>
      <c r="T1403" s="18" t="str">
        <f t="shared" ca="1" si="87"/>
        <v/>
      </c>
    </row>
    <row r="1404" spans="1:20" x14ac:dyDescent="0.35">
      <c r="A1404" s="11"/>
      <c r="B1404" s="11"/>
      <c r="C1404" s="11"/>
      <c r="D1404" s="12"/>
      <c r="E1404" s="11"/>
      <c r="F1404" s="13"/>
      <c r="G1404" s="13"/>
      <c r="H1404" s="11"/>
      <c r="I1404" s="12"/>
      <c r="J1404" s="12"/>
      <c r="K1404" s="13"/>
      <c r="L1404" s="13"/>
      <c r="M1404" s="13"/>
      <c r="N1404" s="13"/>
      <c r="O1404" s="13"/>
      <c r="P1404" s="14" t="str">
        <f t="shared" si="84"/>
        <v/>
      </c>
      <c r="Q1404" s="15" t="str">
        <f>IF(OR(J1404="",H1404=""),"",IFERROR(IF(ISNUMBER(N1404),N1404,IF(K1404&lt;N(INDEX(Platforms!$G$5:$G$14,MATCH(H1404,Lists!$A$2:$A$11,0))),N(INDEX(Platforms!$H$5:$H$14,MATCH(H1404,Lists!$A$2:$A$11,0))),MAX(N(INDEX(Platforms!$F$5:$F$14,MATCH(H1404,Lists!$A$2:$A$11,0))),N(INDEX(Platforms!$C$5:$C$14,MATCH(H1404,Lists!$A$2:$A$11,0)))*(K1404+IF(INDEX(Platforms!$E$5:$E$14,MATCH(H1404,Lists!$A$2:$A$11,0))="Yes",N(L1404),0))+N(INDEX(Platforms!$D$5:$D$14,MATCH(H1404,Lists!$A$2:$A$11,0)))))),""))</f>
        <v/>
      </c>
      <c r="R1404" s="16" t="str">
        <f t="shared" si="85"/>
        <v/>
      </c>
      <c r="S1404" s="17" t="str">
        <f t="shared" si="86"/>
        <v/>
      </c>
      <c r="T1404" s="18" t="str">
        <f t="shared" ca="1" si="87"/>
        <v/>
      </c>
    </row>
    <row r="1405" spans="1:20" x14ac:dyDescent="0.35">
      <c r="A1405" s="11"/>
      <c r="B1405" s="11"/>
      <c r="C1405" s="11"/>
      <c r="D1405" s="12"/>
      <c r="E1405" s="11"/>
      <c r="F1405" s="13"/>
      <c r="G1405" s="13"/>
      <c r="H1405" s="11"/>
      <c r="I1405" s="12"/>
      <c r="J1405" s="12"/>
      <c r="K1405" s="13"/>
      <c r="L1405" s="13"/>
      <c r="M1405" s="13"/>
      <c r="N1405" s="13"/>
      <c r="O1405" s="13"/>
      <c r="P1405" s="14" t="str">
        <f t="shared" si="84"/>
        <v/>
      </c>
      <c r="Q1405" s="15" t="str">
        <f>IF(OR(J1405="",H1405=""),"",IFERROR(IF(ISNUMBER(N1405),N1405,IF(K1405&lt;N(INDEX(Platforms!$G$5:$G$14,MATCH(H1405,Lists!$A$2:$A$11,0))),N(INDEX(Platforms!$H$5:$H$14,MATCH(H1405,Lists!$A$2:$A$11,0))),MAX(N(INDEX(Platforms!$F$5:$F$14,MATCH(H1405,Lists!$A$2:$A$11,0))),N(INDEX(Platforms!$C$5:$C$14,MATCH(H1405,Lists!$A$2:$A$11,0)))*(K1405+IF(INDEX(Platforms!$E$5:$E$14,MATCH(H1405,Lists!$A$2:$A$11,0))="Yes",N(L1405),0))+N(INDEX(Platforms!$D$5:$D$14,MATCH(H1405,Lists!$A$2:$A$11,0)))))),""))</f>
        <v/>
      </c>
      <c r="R1405" s="16" t="str">
        <f t="shared" si="85"/>
        <v/>
      </c>
      <c r="S1405" s="17" t="str">
        <f t="shared" si="86"/>
        <v/>
      </c>
      <c r="T1405" s="18" t="str">
        <f t="shared" ca="1" si="87"/>
        <v/>
      </c>
    </row>
    <row r="1406" spans="1:20" x14ac:dyDescent="0.35">
      <c r="A1406" s="11"/>
      <c r="B1406" s="11"/>
      <c r="C1406" s="11"/>
      <c r="D1406" s="12"/>
      <c r="E1406" s="11"/>
      <c r="F1406" s="13"/>
      <c r="G1406" s="13"/>
      <c r="H1406" s="11"/>
      <c r="I1406" s="12"/>
      <c r="J1406" s="12"/>
      <c r="K1406" s="13"/>
      <c r="L1406" s="13"/>
      <c r="M1406" s="13"/>
      <c r="N1406" s="13"/>
      <c r="O1406" s="13"/>
      <c r="P1406" s="14" t="str">
        <f t="shared" si="84"/>
        <v/>
      </c>
      <c r="Q1406" s="15" t="str">
        <f>IF(OR(J1406="",H1406=""),"",IFERROR(IF(ISNUMBER(N1406),N1406,IF(K1406&lt;N(INDEX(Platforms!$G$5:$G$14,MATCH(H1406,Lists!$A$2:$A$11,0))),N(INDEX(Platforms!$H$5:$H$14,MATCH(H1406,Lists!$A$2:$A$11,0))),MAX(N(INDEX(Platforms!$F$5:$F$14,MATCH(H1406,Lists!$A$2:$A$11,0))),N(INDEX(Platforms!$C$5:$C$14,MATCH(H1406,Lists!$A$2:$A$11,0)))*(K1406+IF(INDEX(Platforms!$E$5:$E$14,MATCH(H1406,Lists!$A$2:$A$11,0))="Yes",N(L1406),0))+N(INDEX(Platforms!$D$5:$D$14,MATCH(H1406,Lists!$A$2:$A$11,0)))))),""))</f>
        <v/>
      </c>
      <c r="R1406" s="16" t="str">
        <f t="shared" si="85"/>
        <v/>
      </c>
      <c r="S1406" s="17" t="str">
        <f t="shared" si="86"/>
        <v/>
      </c>
      <c r="T1406" s="18" t="str">
        <f t="shared" ca="1" si="87"/>
        <v/>
      </c>
    </row>
    <row r="1407" spans="1:20" x14ac:dyDescent="0.35">
      <c r="A1407" s="11"/>
      <c r="B1407" s="11"/>
      <c r="C1407" s="11"/>
      <c r="D1407" s="12"/>
      <c r="E1407" s="11"/>
      <c r="F1407" s="13"/>
      <c r="G1407" s="13"/>
      <c r="H1407" s="11"/>
      <c r="I1407" s="12"/>
      <c r="J1407" s="12"/>
      <c r="K1407" s="13"/>
      <c r="L1407" s="13"/>
      <c r="M1407" s="13"/>
      <c r="N1407" s="13"/>
      <c r="O1407" s="13"/>
      <c r="P1407" s="14" t="str">
        <f t="shared" si="84"/>
        <v/>
      </c>
      <c r="Q1407" s="15" t="str">
        <f>IF(OR(J1407="",H1407=""),"",IFERROR(IF(ISNUMBER(N1407),N1407,IF(K1407&lt;N(INDEX(Platforms!$G$5:$G$14,MATCH(H1407,Lists!$A$2:$A$11,0))),N(INDEX(Platforms!$H$5:$H$14,MATCH(H1407,Lists!$A$2:$A$11,0))),MAX(N(INDEX(Platforms!$F$5:$F$14,MATCH(H1407,Lists!$A$2:$A$11,0))),N(INDEX(Platforms!$C$5:$C$14,MATCH(H1407,Lists!$A$2:$A$11,0)))*(K1407+IF(INDEX(Platforms!$E$5:$E$14,MATCH(H1407,Lists!$A$2:$A$11,0))="Yes",N(L1407),0))+N(INDEX(Platforms!$D$5:$D$14,MATCH(H1407,Lists!$A$2:$A$11,0)))))),""))</f>
        <v/>
      </c>
      <c r="R1407" s="16" t="str">
        <f t="shared" si="85"/>
        <v/>
      </c>
      <c r="S1407" s="17" t="str">
        <f t="shared" si="86"/>
        <v/>
      </c>
      <c r="T1407" s="18" t="str">
        <f t="shared" ca="1" si="87"/>
        <v/>
      </c>
    </row>
    <row r="1408" spans="1:20" x14ac:dyDescent="0.35">
      <c r="A1408" s="11"/>
      <c r="B1408" s="11"/>
      <c r="C1408" s="11"/>
      <c r="D1408" s="12"/>
      <c r="E1408" s="11"/>
      <c r="F1408" s="13"/>
      <c r="G1408" s="13"/>
      <c r="H1408" s="11"/>
      <c r="I1408" s="12"/>
      <c r="J1408" s="12"/>
      <c r="K1408" s="13"/>
      <c r="L1408" s="13"/>
      <c r="M1408" s="13"/>
      <c r="N1408" s="13"/>
      <c r="O1408" s="13"/>
      <c r="P1408" s="14" t="str">
        <f t="shared" si="84"/>
        <v/>
      </c>
      <c r="Q1408" s="15" t="str">
        <f>IF(OR(J1408="",H1408=""),"",IFERROR(IF(ISNUMBER(N1408),N1408,IF(K1408&lt;N(INDEX(Platforms!$G$5:$G$14,MATCH(H1408,Lists!$A$2:$A$11,0))),N(INDEX(Platforms!$H$5:$H$14,MATCH(H1408,Lists!$A$2:$A$11,0))),MAX(N(INDEX(Platforms!$F$5:$F$14,MATCH(H1408,Lists!$A$2:$A$11,0))),N(INDEX(Platforms!$C$5:$C$14,MATCH(H1408,Lists!$A$2:$A$11,0)))*(K1408+IF(INDEX(Platforms!$E$5:$E$14,MATCH(H1408,Lists!$A$2:$A$11,0))="Yes",N(L1408),0))+N(INDEX(Platforms!$D$5:$D$14,MATCH(H1408,Lists!$A$2:$A$11,0)))))),""))</f>
        <v/>
      </c>
      <c r="R1408" s="16" t="str">
        <f t="shared" si="85"/>
        <v/>
      </c>
      <c r="S1408" s="17" t="str">
        <f t="shared" si="86"/>
        <v/>
      </c>
      <c r="T1408" s="18" t="str">
        <f t="shared" ca="1" si="87"/>
        <v/>
      </c>
    </row>
    <row r="1409" spans="1:20" x14ac:dyDescent="0.35">
      <c r="A1409" s="11"/>
      <c r="B1409" s="11"/>
      <c r="C1409" s="11"/>
      <c r="D1409" s="12"/>
      <c r="E1409" s="11"/>
      <c r="F1409" s="13"/>
      <c r="G1409" s="13"/>
      <c r="H1409" s="11"/>
      <c r="I1409" s="12"/>
      <c r="J1409" s="12"/>
      <c r="K1409" s="13"/>
      <c r="L1409" s="13"/>
      <c r="M1409" s="13"/>
      <c r="N1409" s="13"/>
      <c r="O1409" s="13"/>
      <c r="P1409" s="14" t="str">
        <f t="shared" si="84"/>
        <v/>
      </c>
      <c r="Q1409" s="15" t="str">
        <f>IF(OR(J1409="",H1409=""),"",IFERROR(IF(ISNUMBER(N1409),N1409,IF(K1409&lt;N(INDEX(Platforms!$G$5:$G$14,MATCH(H1409,Lists!$A$2:$A$11,0))),N(INDEX(Platforms!$H$5:$H$14,MATCH(H1409,Lists!$A$2:$A$11,0))),MAX(N(INDEX(Platforms!$F$5:$F$14,MATCH(H1409,Lists!$A$2:$A$11,0))),N(INDEX(Platforms!$C$5:$C$14,MATCH(H1409,Lists!$A$2:$A$11,0)))*(K1409+IF(INDEX(Platforms!$E$5:$E$14,MATCH(H1409,Lists!$A$2:$A$11,0))="Yes",N(L1409),0))+N(INDEX(Platforms!$D$5:$D$14,MATCH(H1409,Lists!$A$2:$A$11,0)))))),""))</f>
        <v/>
      </c>
      <c r="R1409" s="16" t="str">
        <f t="shared" si="85"/>
        <v/>
      </c>
      <c r="S1409" s="17" t="str">
        <f t="shared" si="86"/>
        <v/>
      </c>
      <c r="T1409" s="18" t="str">
        <f t="shared" ca="1" si="87"/>
        <v/>
      </c>
    </row>
    <row r="1410" spans="1:20" x14ac:dyDescent="0.35">
      <c r="A1410" s="11"/>
      <c r="B1410" s="11"/>
      <c r="C1410" s="11"/>
      <c r="D1410" s="12"/>
      <c r="E1410" s="11"/>
      <c r="F1410" s="13"/>
      <c r="G1410" s="13"/>
      <c r="H1410" s="11"/>
      <c r="I1410" s="12"/>
      <c r="J1410" s="12"/>
      <c r="K1410" s="13"/>
      <c r="L1410" s="13"/>
      <c r="M1410" s="13"/>
      <c r="N1410" s="13"/>
      <c r="O1410" s="13"/>
      <c r="P1410" s="14" t="str">
        <f t="shared" si="84"/>
        <v/>
      </c>
      <c r="Q1410" s="15" t="str">
        <f>IF(OR(J1410="",H1410=""),"",IFERROR(IF(ISNUMBER(N1410),N1410,IF(K1410&lt;N(INDEX(Platforms!$G$5:$G$14,MATCH(H1410,Lists!$A$2:$A$11,0))),N(INDEX(Platforms!$H$5:$H$14,MATCH(H1410,Lists!$A$2:$A$11,0))),MAX(N(INDEX(Platforms!$F$5:$F$14,MATCH(H1410,Lists!$A$2:$A$11,0))),N(INDEX(Platforms!$C$5:$C$14,MATCH(H1410,Lists!$A$2:$A$11,0)))*(K1410+IF(INDEX(Platforms!$E$5:$E$14,MATCH(H1410,Lists!$A$2:$A$11,0))="Yes",N(L1410),0))+N(INDEX(Platforms!$D$5:$D$14,MATCH(H1410,Lists!$A$2:$A$11,0)))))),""))</f>
        <v/>
      </c>
      <c r="R1410" s="16" t="str">
        <f t="shared" si="85"/>
        <v/>
      </c>
      <c r="S1410" s="17" t="str">
        <f t="shared" si="86"/>
        <v/>
      </c>
      <c r="T1410" s="18" t="str">
        <f t="shared" ca="1" si="87"/>
        <v/>
      </c>
    </row>
    <row r="1411" spans="1:20" x14ac:dyDescent="0.35">
      <c r="A1411" s="11"/>
      <c r="B1411" s="11"/>
      <c r="C1411" s="11"/>
      <c r="D1411" s="12"/>
      <c r="E1411" s="11"/>
      <c r="F1411" s="13"/>
      <c r="G1411" s="13"/>
      <c r="H1411" s="11"/>
      <c r="I1411" s="12"/>
      <c r="J1411" s="12"/>
      <c r="K1411" s="13"/>
      <c r="L1411" s="13"/>
      <c r="M1411" s="13"/>
      <c r="N1411" s="13"/>
      <c r="O1411" s="13"/>
      <c r="P1411" s="14" t="str">
        <f t="shared" si="84"/>
        <v/>
      </c>
      <c r="Q1411" s="15" t="str">
        <f>IF(OR(J1411="",H1411=""),"",IFERROR(IF(ISNUMBER(N1411),N1411,IF(K1411&lt;N(INDEX(Platforms!$G$5:$G$14,MATCH(H1411,Lists!$A$2:$A$11,0))),N(INDEX(Platforms!$H$5:$H$14,MATCH(H1411,Lists!$A$2:$A$11,0))),MAX(N(INDEX(Platforms!$F$5:$F$14,MATCH(H1411,Lists!$A$2:$A$11,0))),N(INDEX(Platforms!$C$5:$C$14,MATCH(H1411,Lists!$A$2:$A$11,0)))*(K1411+IF(INDEX(Platforms!$E$5:$E$14,MATCH(H1411,Lists!$A$2:$A$11,0))="Yes",N(L1411),0))+N(INDEX(Platforms!$D$5:$D$14,MATCH(H1411,Lists!$A$2:$A$11,0)))))),""))</f>
        <v/>
      </c>
      <c r="R1411" s="16" t="str">
        <f t="shared" si="85"/>
        <v/>
      </c>
      <c r="S1411" s="17" t="str">
        <f t="shared" si="86"/>
        <v/>
      </c>
      <c r="T1411" s="18" t="str">
        <f t="shared" ca="1" si="87"/>
        <v/>
      </c>
    </row>
    <row r="1412" spans="1:20" x14ac:dyDescent="0.35">
      <c r="A1412" s="11"/>
      <c r="B1412" s="11"/>
      <c r="C1412" s="11"/>
      <c r="D1412" s="12"/>
      <c r="E1412" s="11"/>
      <c r="F1412" s="13"/>
      <c r="G1412" s="13"/>
      <c r="H1412" s="11"/>
      <c r="I1412" s="12"/>
      <c r="J1412" s="12"/>
      <c r="K1412" s="13"/>
      <c r="L1412" s="13"/>
      <c r="M1412" s="13"/>
      <c r="N1412" s="13"/>
      <c r="O1412" s="13"/>
      <c r="P1412" s="14" t="str">
        <f t="shared" si="84"/>
        <v/>
      </c>
      <c r="Q1412" s="15" t="str">
        <f>IF(OR(J1412="",H1412=""),"",IFERROR(IF(ISNUMBER(N1412),N1412,IF(K1412&lt;N(INDEX(Platforms!$G$5:$G$14,MATCH(H1412,Lists!$A$2:$A$11,0))),N(INDEX(Platforms!$H$5:$H$14,MATCH(H1412,Lists!$A$2:$A$11,0))),MAX(N(INDEX(Platforms!$F$5:$F$14,MATCH(H1412,Lists!$A$2:$A$11,0))),N(INDEX(Platforms!$C$5:$C$14,MATCH(H1412,Lists!$A$2:$A$11,0)))*(K1412+IF(INDEX(Platforms!$E$5:$E$14,MATCH(H1412,Lists!$A$2:$A$11,0))="Yes",N(L1412),0))+N(INDEX(Platforms!$D$5:$D$14,MATCH(H1412,Lists!$A$2:$A$11,0)))))),""))</f>
        <v/>
      </c>
      <c r="R1412" s="16" t="str">
        <f t="shared" si="85"/>
        <v/>
      </c>
      <c r="S1412" s="17" t="str">
        <f t="shared" si="86"/>
        <v/>
      </c>
      <c r="T1412" s="18" t="str">
        <f t="shared" ca="1" si="87"/>
        <v/>
      </c>
    </row>
    <row r="1413" spans="1:20" x14ac:dyDescent="0.35">
      <c r="A1413" s="11"/>
      <c r="B1413" s="11"/>
      <c r="C1413" s="11"/>
      <c r="D1413" s="12"/>
      <c r="E1413" s="11"/>
      <c r="F1413" s="13"/>
      <c r="G1413" s="13"/>
      <c r="H1413" s="11"/>
      <c r="I1413" s="12"/>
      <c r="J1413" s="12"/>
      <c r="K1413" s="13"/>
      <c r="L1413" s="13"/>
      <c r="M1413" s="13"/>
      <c r="N1413" s="13"/>
      <c r="O1413" s="13"/>
      <c r="P1413" s="14" t="str">
        <f t="shared" ref="P1413:P1476" si="88">IF(OR(B1413&lt;&gt;"",F1413&lt;&gt;"",H1413&lt;&gt;"",J1413&lt;&gt;"",K1413&lt;&gt;""),IF(J1413&lt;&gt;"","Sold",IF(I1413&lt;&gt;"","Listed","In stock")),"")</f>
        <v/>
      </c>
      <c r="Q1413" s="15" t="str">
        <f>IF(OR(J1413="",H1413=""),"",IFERROR(IF(ISNUMBER(N1413),N1413,IF(K1413&lt;N(INDEX(Platforms!$G$5:$G$14,MATCH(H1413,Lists!$A$2:$A$11,0))),N(INDEX(Platforms!$H$5:$H$14,MATCH(H1413,Lists!$A$2:$A$11,0))),MAX(N(INDEX(Platforms!$F$5:$F$14,MATCH(H1413,Lists!$A$2:$A$11,0))),N(INDEX(Platforms!$C$5:$C$14,MATCH(H1413,Lists!$A$2:$A$11,0)))*(K1413+IF(INDEX(Platforms!$E$5:$E$14,MATCH(H1413,Lists!$A$2:$A$11,0))="Yes",N(L1413),0))+N(INDEX(Platforms!$D$5:$D$14,MATCH(H1413,Lists!$A$2:$A$11,0)))))),""))</f>
        <v/>
      </c>
      <c r="R1413" s="16" t="str">
        <f t="shared" ref="R1413:R1476" si="89">IF(J1413="","",IFERROR(K1413+N(L1413)-N(O1413)-Q1413-N(M1413)-N(F1413)-N(G1413),""))</f>
        <v/>
      </c>
      <c r="S1413" s="17" t="str">
        <f t="shared" ref="S1413:S1476" si="90">IF(OR(R1413="",N(F1413)+N(G1413)=0),"",R1413/(N(F1413)+N(G1413)))</f>
        <v/>
      </c>
      <c r="T1413" s="18" t="str">
        <f t="shared" ref="T1413:T1476" ca="1" si="91">IFERROR(IF(ISNUMBER(D1413),IF(ISNUMBER(J1413),J1413,IF(J1413="",TODAY(),""))-D1413,""),"")</f>
        <v/>
      </c>
    </row>
    <row r="1414" spans="1:20" x14ac:dyDescent="0.35">
      <c r="A1414" s="11"/>
      <c r="B1414" s="11"/>
      <c r="C1414" s="11"/>
      <c r="D1414" s="12"/>
      <c r="E1414" s="11"/>
      <c r="F1414" s="13"/>
      <c r="G1414" s="13"/>
      <c r="H1414" s="11"/>
      <c r="I1414" s="12"/>
      <c r="J1414" s="12"/>
      <c r="K1414" s="13"/>
      <c r="L1414" s="13"/>
      <c r="M1414" s="13"/>
      <c r="N1414" s="13"/>
      <c r="O1414" s="13"/>
      <c r="P1414" s="14" t="str">
        <f t="shared" si="88"/>
        <v/>
      </c>
      <c r="Q1414" s="15" t="str">
        <f>IF(OR(J1414="",H1414=""),"",IFERROR(IF(ISNUMBER(N1414),N1414,IF(K1414&lt;N(INDEX(Platforms!$G$5:$G$14,MATCH(H1414,Lists!$A$2:$A$11,0))),N(INDEX(Platforms!$H$5:$H$14,MATCH(H1414,Lists!$A$2:$A$11,0))),MAX(N(INDEX(Platforms!$F$5:$F$14,MATCH(H1414,Lists!$A$2:$A$11,0))),N(INDEX(Platforms!$C$5:$C$14,MATCH(H1414,Lists!$A$2:$A$11,0)))*(K1414+IF(INDEX(Platforms!$E$5:$E$14,MATCH(H1414,Lists!$A$2:$A$11,0))="Yes",N(L1414),0))+N(INDEX(Platforms!$D$5:$D$14,MATCH(H1414,Lists!$A$2:$A$11,0)))))),""))</f>
        <v/>
      </c>
      <c r="R1414" s="16" t="str">
        <f t="shared" si="89"/>
        <v/>
      </c>
      <c r="S1414" s="17" t="str">
        <f t="shared" si="90"/>
        <v/>
      </c>
      <c r="T1414" s="18" t="str">
        <f t="shared" ca="1" si="91"/>
        <v/>
      </c>
    </row>
    <row r="1415" spans="1:20" x14ac:dyDescent="0.35">
      <c r="A1415" s="11"/>
      <c r="B1415" s="11"/>
      <c r="C1415" s="11"/>
      <c r="D1415" s="12"/>
      <c r="E1415" s="11"/>
      <c r="F1415" s="13"/>
      <c r="G1415" s="13"/>
      <c r="H1415" s="11"/>
      <c r="I1415" s="12"/>
      <c r="J1415" s="12"/>
      <c r="K1415" s="13"/>
      <c r="L1415" s="13"/>
      <c r="M1415" s="13"/>
      <c r="N1415" s="13"/>
      <c r="O1415" s="13"/>
      <c r="P1415" s="14" t="str">
        <f t="shared" si="88"/>
        <v/>
      </c>
      <c r="Q1415" s="15" t="str">
        <f>IF(OR(J1415="",H1415=""),"",IFERROR(IF(ISNUMBER(N1415),N1415,IF(K1415&lt;N(INDEX(Platforms!$G$5:$G$14,MATCH(H1415,Lists!$A$2:$A$11,0))),N(INDEX(Platforms!$H$5:$H$14,MATCH(H1415,Lists!$A$2:$A$11,0))),MAX(N(INDEX(Platforms!$F$5:$F$14,MATCH(H1415,Lists!$A$2:$A$11,0))),N(INDEX(Platforms!$C$5:$C$14,MATCH(H1415,Lists!$A$2:$A$11,0)))*(K1415+IF(INDEX(Platforms!$E$5:$E$14,MATCH(H1415,Lists!$A$2:$A$11,0))="Yes",N(L1415),0))+N(INDEX(Platforms!$D$5:$D$14,MATCH(H1415,Lists!$A$2:$A$11,0)))))),""))</f>
        <v/>
      </c>
      <c r="R1415" s="16" t="str">
        <f t="shared" si="89"/>
        <v/>
      </c>
      <c r="S1415" s="17" t="str">
        <f t="shared" si="90"/>
        <v/>
      </c>
      <c r="T1415" s="18" t="str">
        <f t="shared" ca="1" si="91"/>
        <v/>
      </c>
    </row>
    <row r="1416" spans="1:20" x14ac:dyDescent="0.35">
      <c r="A1416" s="11"/>
      <c r="B1416" s="11"/>
      <c r="C1416" s="11"/>
      <c r="D1416" s="12"/>
      <c r="E1416" s="11"/>
      <c r="F1416" s="13"/>
      <c r="G1416" s="13"/>
      <c r="H1416" s="11"/>
      <c r="I1416" s="12"/>
      <c r="J1416" s="12"/>
      <c r="K1416" s="13"/>
      <c r="L1416" s="13"/>
      <c r="M1416" s="13"/>
      <c r="N1416" s="13"/>
      <c r="O1416" s="13"/>
      <c r="P1416" s="14" t="str">
        <f t="shared" si="88"/>
        <v/>
      </c>
      <c r="Q1416" s="15" t="str">
        <f>IF(OR(J1416="",H1416=""),"",IFERROR(IF(ISNUMBER(N1416),N1416,IF(K1416&lt;N(INDEX(Platforms!$G$5:$G$14,MATCH(H1416,Lists!$A$2:$A$11,0))),N(INDEX(Platforms!$H$5:$H$14,MATCH(H1416,Lists!$A$2:$A$11,0))),MAX(N(INDEX(Platforms!$F$5:$F$14,MATCH(H1416,Lists!$A$2:$A$11,0))),N(INDEX(Platforms!$C$5:$C$14,MATCH(H1416,Lists!$A$2:$A$11,0)))*(K1416+IF(INDEX(Platforms!$E$5:$E$14,MATCH(H1416,Lists!$A$2:$A$11,0))="Yes",N(L1416),0))+N(INDEX(Platforms!$D$5:$D$14,MATCH(H1416,Lists!$A$2:$A$11,0)))))),""))</f>
        <v/>
      </c>
      <c r="R1416" s="16" t="str">
        <f t="shared" si="89"/>
        <v/>
      </c>
      <c r="S1416" s="17" t="str">
        <f t="shared" si="90"/>
        <v/>
      </c>
      <c r="T1416" s="18" t="str">
        <f t="shared" ca="1" si="91"/>
        <v/>
      </c>
    </row>
    <row r="1417" spans="1:20" x14ac:dyDescent="0.35">
      <c r="A1417" s="11"/>
      <c r="B1417" s="11"/>
      <c r="C1417" s="11"/>
      <c r="D1417" s="12"/>
      <c r="E1417" s="11"/>
      <c r="F1417" s="13"/>
      <c r="G1417" s="13"/>
      <c r="H1417" s="11"/>
      <c r="I1417" s="12"/>
      <c r="J1417" s="12"/>
      <c r="K1417" s="13"/>
      <c r="L1417" s="13"/>
      <c r="M1417" s="13"/>
      <c r="N1417" s="13"/>
      <c r="O1417" s="13"/>
      <c r="P1417" s="14" t="str">
        <f t="shared" si="88"/>
        <v/>
      </c>
      <c r="Q1417" s="15" t="str">
        <f>IF(OR(J1417="",H1417=""),"",IFERROR(IF(ISNUMBER(N1417),N1417,IF(K1417&lt;N(INDEX(Platforms!$G$5:$G$14,MATCH(H1417,Lists!$A$2:$A$11,0))),N(INDEX(Platforms!$H$5:$H$14,MATCH(H1417,Lists!$A$2:$A$11,0))),MAX(N(INDEX(Platforms!$F$5:$F$14,MATCH(H1417,Lists!$A$2:$A$11,0))),N(INDEX(Platforms!$C$5:$C$14,MATCH(H1417,Lists!$A$2:$A$11,0)))*(K1417+IF(INDEX(Platforms!$E$5:$E$14,MATCH(H1417,Lists!$A$2:$A$11,0))="Yes",N(L1417),0))+N(INDEX(Platforms!$D$5:$D$14,MATCH(H1417,Lists!$A$2:$A$11,0)))))),""))</f>
        <v/>
      </c>
      <c r="R1417" s="16" t="str">
        <f t="shared" si="89"/>
        <v/>
      </c>
      <c r="S1417" s="17" t="str">
        <f t="shared" si="90"/>
        <v/>
      </c>
      <c r="T1417" s="18" t="str">
        <f t="shared" ca="1" si="91"/>
        <v/>
      </c>
    </row>
    <row r="1418" spans="1:20" x14ac:dyDescent="0.35">
      <c r="A1418" s="11"/>
      <c r="B1418" s="11"/>
      <c r="C1418" s="11"/>
      <c r="D1418" s="12"/>
      <c r="E1418" s="11"/>
      <c r="F1418" s="13"/>
      <c r="G1418" s="13"/>
      <c r="H1418" s="11"/>
      <c r="I1418" s="12"/>
      <c r="J1418" s="12"/>
      <c r="K1418" s="13"/>
      <c r="L1418" s="13"/>
      <c r="M1418" s="13"/>
      <c r="N1418" s="13"/>
      <c r="O1418" s="13"/>
      <c r="P1418" s="14" t="str">
        <f t="shared" si="88"/>
        <v/>
      </c>
      <c r="Q1418" s="15" t="str">
        <f>IF(OR(J1418="",H1418=""),"",IFERROR(IF(ISNUMBER(N1418),N1418,IF(K1418&lt;N(INDEX(Platforms!$G$5:$G$14,MATCH(H1418,Lists!$A$2:$A$11,0))),N(INDEX(Platforms!$H$5:$H$14,MATCH(H1418,Lists!$A$2:$A$11,0))),MAX(N(INDEX(Platforms!$F$5:$F$14,MATCH(H1418,Lists!$A$2:$A$11,0))),N(INDEX(Platforms!$C$5:$C$14,MATCH(H1418,Lists!$A$2:$A$11,0)))*(K1418+IF(INDEX(Platforms!$E$5:$E$14,MATCH(H1418,Lists!$A$2:$A$11,0))="Yes",N(L1418),0))+N(INDEX(Platforms!$D$5:$D$14,MATCH(H1418,Lists!$A$2:$A$11,0)))))),""))</f>
        <v/>
      </c>
      <c r="R1418" s="16" t="str">
        <f t="shared" si="89"/>
        <v/>
      </c>
      <c r="S1418" s="17" t="str">
        <f t="shared" si="90"/>
        <v/>
      </c>
      <c r="T1418" s="18" t="str">
        <f t="shared" ca="1" si="91"/>
        <v/>
      </c>
    </row>
    <row r="1419" spans="1:20" x14ac:dyDescent="0.35">
      <c r="A1419" s="11"/>
      <c r="B1419" s="11"/>
      <c r="C1419" s="11"/>
      <c r="D1419" s="12"/>
      <c r="E1419" s="11"/>
      <c r="F1419" s="13"/>
      <c r="G1419" s="13"/>
      <c r="H1419" s="11"/>
      <c r="I1419" s="12"/>
      <c r="J1419" s="12"/>
      <c r="K1419" s="13"/>
      <c r="L1419" s="13"/>
      <c r="M1419" s="13"/>
      <c r="N1419" s="13"/>
      <c r="O1419" s="13"/>
      <c r="P1419" s="14" t="str">
        <f t="shared" si="88"/>
        <v/>
      </c>
      <c r="Q1419" s="15" t="str">
        <f>IF(OR(J1419="",H1419=""),"",IFERROR(IF(ISNUMBER(N1419),N1419,IF(K1419&lt;N(INDEX(Platforms!$G$5:$G$14,MATCH(H1419,Lists!$A$2:$A$11,0))),N(INDEX(Platforms!$H$5:$H$14,MATCH(H1419,Lists!$A$2:$A$11,0))),MAX(N(INDEX(Platforms!$F$5:$F$14,MATCH(H1419,Lists!$A$2:$A$11,0))),N(INDEX(Platforms!$C$5:$C$14,MATCH(H1419,Lists!$A$2:$A$11,0)))*(K1419+IF(INDEX(Platforms!$E$5:$E$14,MATCH(H1419,Lists!$A$2:$A$11,0))="Yes",N(L1419),0))+N(INDEX(Platforms!$D$5:$D$14,MATCH(H1419,Lists!$A$2:$A$11,0)))))),""))</f>
        <v/>
      </c>
      <c r="R1419" s="16" t="str">
        <f t="shared" si="89"/>
        <v/>
      </c>
      <c r="S1419" s="17" t="str">
        <f t="shared" si="90"/>
        <v/>
      </c>
      <c r="T1419" s="18" t="str">
        <f t="shared" ca="1" si="91"/>
        <v/>
      </c>
    </row>
    <row r="1420" spans="1:20" x14ac:dyDescent="0.35">
      <c r="A1420" s="11"/>
      <c r="B1420" s="11"/>
      <c r="C1420" s="11"/>
      <c r="D1420" s="12"/>
      <c r="E1420" s="11"/>
      <c r="F1420" s="13"/>
      <c r="G1420" s="13"/>
      <c r="H1420" s="11"/>
      <c r="I1420" s="12"/>
      <c r="J1420" s="12"/>
      <c r="K1420" s="13"/>
      <c r="L1420" s="13"/>
      <c r="M1420" s="13"/>
      <c r="N1420" s="13"/>
      <c r="O1420" s="13"/>
      <c r="P1420" s="14" t="str">
        <f t="shared" si="88"/>
        <v/>
      </c>
      <c r="Q1420" s="15" t="str">
        <f>IF(OR(J1420="",H1420=""),"",IFERROR(IF(ISNUMBER(N1420),N1420,IF(K1420&lt;N(INDEX(Platforms!$G$5:$G$14,MATCH(H1420,Lists!$A$2:$A$11,0))),N(INDEX(Platforms!$H$5:$H$14,MATCH(H1420,Lists!$A$2:$A$11,0))),MAX(N(INDEX(Platforms!$F$5:$F$14,MATCH(H1420,Lists!$A$2:$A$11,0))),N(INDEX(Platforms!$C$5:$C$14,MATCH(H1420,Lists!$A$2:$A$11,0)))*(K1420+IF(INDEX(Platforms!$E$5:$E$14,MATCH(H1420,Lists!$A$2:$A$11,0))="Yes",N(L1420),0))+N(INDEX(Platforms!$D$5:$D$14,MATCH(H1420,Lists!$A$2:$A$11,0)))))),""))</f>
        <v/>
      </c>
      <c r="R1420" s="16" t="str">
        <f t="shared" si="89"/>
        <v/>
      </c>
      <c r="S1420" s="17" t="str">
        <f t="shared" si="90"/>
        <v/>
      </c>
      <c r="T1420" s="18" t="str">
        <f t="shared" ca="1" si="91"/>
        <v/>
      </c>
    </row>
    <row r="1421" spans="1:20" x14ac:dyDescent="0.35">
      <c r="A1421" s="11"/>
      <c r="B1421" s="11"/>
      <c r="C1421" s="11"/>
      <c r="D1421" s="12"/>
      <c r="E1421" s="11"/>
      <c r="F1421" s="13"/>
      <c r="G1421" s="13"/>
      <c r="H1421" s="11"/>
      <c r="I1421" s="12"/>
      <c r="J1421" s="12"/>
      <c r="K1421" s="13"/>
      <c r="L1421" s="13"/>
      <c r="M1421" s="13"/>
      <c r="N1421" s="13"/>
      <c r="O1421" s="13"/>
      <c r="P1421" s="14" t="str">
        <f t="shared" si="88"/>
        <v/>
      </c>
      <c r="Q1421" s="15" t="str">
        <f>IF(OR(J1421="",H1421=""),"",IFERROR(IF(ISNUMBER(N1421),N1421,IF(K1421&lt;N(INDEX(Platforms!$G$5:$G$14,MATCH(H1421,Lists!$A$2:$A$11,0))),N(INDEX(Platforms!$H$5:$H$14,MATCH(H1421,Lists!$A$2:$A$11,0))),MAX(N(INDEX(Platforms!$F$5:$F$14,MATCH(H1421,Lists!$A$2:$A$11,0))),N(INDEX(Platforms!$C$5:$C$14,MATCH(H1421,Lists!$A$2:$A$11,0)))*(K1421+IF(INDEX(Platforms!$E$5:$E$14,MATCH(H1421,Lists!$A$2:$A$11,0))="Yes",N(L1421),0))+N(INDEX(Platforms!$D$5:$D$14,MATCH(H1421,Lists!$A$2:$A$11,0)))))),""))</f>
        <v/>
      </c>
      <c r="R1421" s="16" t="str">
        <f t="shared" si="89"/>
        <v/>
      </c>
      <c r="S1421" s="17" t="str">
        <f t="shared" si="90"/>
        <v/>
      </c>
      <c r="T1421" s="18" t="str">
        <f t="shared" ca="1" si="91"/>
        <v/>
      </c>
    </row>
    <row r="1422" spans="1:20" x14ac:dyDescent="0.35">
      <c r="A1422" s="11"/>
      <c r="B1422" s="11"/>
      <c r="C1422" s="11"/>
      <c r="D1422" s="12"/>
      <c r="E1422" s="11"/>
      <c r="F1422" s="13"/>
      <c r="G1422" s="13"/>
      <c r="H1422" s="11"/>
      <c r="I1422" s="12"/>
      <c r="J1422" s="12"/>
      <c r="K1422" s="13"/>
      <c r="L1422" s="13"/>
      <c r="M1422" s="13"/>
      <c r="N1422" s="13"/>
      <c r="O1422" s="13"/>
      <c r="P1422" s="14" t="str">
        <f t="shared" si="88"/>
        <v/>
      </c>
      <c r="Q1422" s="15" t="str">
        <f>IF(OR(J1422="",H1422=""),"",IFERROR(IF(ISNUMBER(N1422),N1422,IF(K1422&lt;N(INDEX(Platforms!$G$5:$G$14,MATCH(H1422,Lists!$A$2:$A$11,0))),N(INDEX(Platforms!$H$5:$H$14,MATCH(H1422,Lists!$A$2:$A$11,0))),MAX(N(INDEX(Platforms!$F$5:$F$14,MATCH(H1422,Lists!$A$2:$A$11,0))),N(INDEX(Platforms!$C$5:$C$14,MATCH(H1422,Lists!$A$2:$A$11,0)))*(K1422+IF(INDEX(Platforms!$E$5:$E$14,MATCH(H1422,Lists!$A$2:$A$11,0))="Yes",N(L1422),0))+N(INDEX(Platforms!$D$5:$D$14,MATCH(H1422,Lists!$A$2:$A$11,0)))))),""))</f>
        <v/>
      </c>
      <c r="R1422" s="16" t="str">
        <f t="shared" si="89"/>
        <v/>
      </c>
      <c r="S1422" s="17" t="str">
        <f t="shared" si="90"/>
        <v/>
      </c>
      <c r="T1422" s="18" t="str">
        <f t="shared" ca="1" si="91"/>
        <v/>
      </c>
    </row>
    <row r="1423" spans="1:20" x14ac:dyDescent="0.35">
      <c r="A1423" s="11"/>
      <c r="B1423" s="11"/>
      <c r="C1423" s="11"/>
      <c r="D1423" s="12"/>
      <c r="E1423" s="11"/>
      <c r="F1423" s="13"/>
      <c r="G1423" s="13"/>
      <c r="H1423" s="11"/>
      <c r="I1423" s="12"/>
      <c r="J1423" s="12"/>
      <c r="K1423" s="13"/>
      <c r="L1423" s="13"/>
      <c r="M1423" s="13"/>
      <c r="N1423" s="13"/>
      <c r="O1423" s="13"/>
      <c r="P1423" s="14" t="str">
        <f t="shared" si="88"/>
        <v/>
      </c>
      <c r="Q1423" s="15" t="str">
        <f>IF(OR(J1423="",H1423=""),"",IFERROR(IF(ISNUMBER(N1423),N1423,IF(K1423&lt;N(INDEX(Platforms!$G$5:$G$14,MATCH(H1423,Lists!$A$2:$A$11,0))),N(INDEX(Platforms!$H$5:$H$14,MATCH(H1423,Lists!$A$2:$A$11,0))),MAX(N(INDEX(Platforms!$F$5:$F$14,MATCH(H1423,Lists!$A$2:$A$11,0))),N(INDEX(Platforms!$C$5:$C$14,MATCH(H1423,Lists!$A$2:$A$11,0)))*(K1423+IF(INDEX(Platforms!$E$5:$E$14,MATCH(H1423,Lists!$A$2:$A$11,0))="Yes",N(L1423),0))+N(INDEX(Platforms!$D$5:$D$14,MATCH(H1423,Lists!$A$2:$A$11,0)))))),""))</f>
        <v/>
      </c>
      <c r="R1423" s="16" t="str">
        <f t="shared" si="89"/>
        <v/>
      </c>
      <c r="S1423" s="17" t="str">
        <f t="shared" si="90"/>
        <v/>
      </c>
      <c r="T1423" s="18" t="str">
        <f t="shared" ca="1" si="91"/>
        <v/>
      </c>
    </row>
    <row r="1424" spans="1:20" x14ac:dyDescent="0.35">
      <c r="A1424" s="11"/>
      <c r="B1424" s="11"/>
      <c r="C1424" s="11"/>
      <c r="D1424" s="12"/>
      <c r="E1424" s="11"/>
      <c r="F1424" s="13"/>
      <c r="G1424" s="13"/>
      <c r="H1424" s="11"/>
      <c r="I1424" s="12"/>
      <c r="J1424" s="12"/>
      <c r="K1424" s="13"/>
      <c r="L1424" s="13"/>
      <c r="M1424" s="13"/>
      <c r="N1424" s="13"/>
      <c r="O1424" s="13"/>
      <c r="P1424" s="14" t="str">
        <f t="shared" si="88"/>
        <v/>
      </c>
      <c r="Q1424" s="15" t="str">
        <f>IF(OR(J1424="",H1424=""),"",IFERROR(IF(ISNUMBER(N1424),N1424,IF(K1424&lt;N(INDEX(Platforms!$G$5:$G$14,MATCH(H1424,Lists!$A$2:$A$11,0))),N(INDEX(Platforms!$H$5:$H$14,MATCH(H1424,Lists!$A$2:$A$11,0))),MAX(N(INDEX(Platforms!$F$5:$F$14,MATCH(H1424,Lists!$A$2:$A$11,0))),N(INDEX(Platforms!$C$5:$C$14,MATCH(H1424,Lists!$A$2:$A$11,0)))*(K1424+IF(INDEX(Platforms!$E$5:$E$14,MATCH(H1424,Lists!$A$2:$A$11,0))="Yes",N(L1424),0))+N(INDEX(Platforms!$D$5:$D$14,MATCH(H1424,Lists!$A$2:$A$11,0)))))),""))</f>
        <v/>
      </c>
      <c r="R1424" s="16" t="str">
        <f t="shared" si="89"/>
        <v/>
      </c>
      <c r="S1424" s="17" t="str">
        <f t="shared" si="90"/>
        <v/>
      </c>
      <c r="T1424" s="18" t="str">
        <f t="shared" ca="1" si="91"/>
        <v/>
      </c>
    </row>
    <row r="1425" spans="1:20" x14ac:dyDescent="0.35">
      <c r="A1425" s="11"/>
      <c r="B1425" s="11"/>
      <c r="C1425" s="11"/>
      <c r="D1425" s="12"/>
      <c r="E1425" s="11"/>
      <c r="F1425" s="13"/>
      <c r="G1425" s="13"/>
      <c r="H1425" s="11"/>
      <c r="I1425" s="12"/>
      <c r="J1425" s="12"/>
      <c r="K1425" s="13"/>
      <c r="L1425" s="13"/>
      <c r="M1425" s="13"/>
      <c r="N1425" s="13"/>
      <c r="O1425" s="13"/>
      <c r="P1425" s="14" t="str">
        <f t="shared" si="88"/>
        <v/>
      </c>
      <c r="Q1425" s="15" t="str">
        <f>IF(OR(J1425="",H1425=""),"",IFERROR(IF(ISNUMBER(N1425),N1425,IF(K1425&lt;N(INDEX(Platforms!$G$5:$G$14,MATCH(H1425,Lists!$A$2:$A$11,0))),N(INDEX(Platforms!$H$5:$H$14,MATCH(H1425,Lists!$A$2:$A$11,0))),MAX(N(INDEX(Platforms!$F$5:$F$14,MATCH(H1425,Lists!$A$2:$A$11,0))),N(INDEX(Platforms!$C$5:$C$14,MATCH(H1425,Lists!$A$2:$A$11,0)))*(K1425+IF(INDEX(Platforms!$E$5:$E$14,MATCH(H1425,Lists!$A$2:$A$11,0))="Yes",N(L1425),0))+N(INDEX(Platforms!$D$5:$D$14,MATCH(H1425,Lists!$A$2:$A$11,0)))))),""))</f>
        <v/>
      </c>
      <c r="R1425" s="16" t="str">
        <f t="shared" si="89"/>
        <v/>
      </c>
      <c r="S1425" s="17" t="str">
        <f t="shared" si="90"/>
        <v/>
      </c>
      <c r="T1425" s="18" t="str">
        <f t="shared" ca="1" si="91"/>
        <v/>
      </c>
    </row>
    <row r="1426" spans="1:20" x14ac:dyDescent="0.35">
      <c r="A1426" s="11"/>
      <c r="B1426" s="11"/>
      <c r="C1426" s="11"/>
      <c r="D1426" s="12"/>
      <c r="E1426" s="11"/>
      <c r="F1426" s="13"/>
      <c r="G1426" s="13"/>
      <c r="H1426" s="11"/>
      <c r="I1426" s="12"/>
      <c r="J1426" s="12"/>
      <c r="K1426" s="13"/>
      <c r="L1426" s="13"/>
      <c r="M1426" s="13"/>
      <c r="N1426" s="13"/>
      <c r="O1426" s="13"/>
      <c r="P1426" s="14" t="str">
        <f t="shared" si="88"/>
        <v/>
      </c>
      <c r="Q1426" s="15" t="str">
        <f>IF(OR(J1426="",H1426=""),"",IFERROR(IF(ISNUMBER(N1426),N1426,IF(K1426&lt;N(INDEX(Platforms!$G$5:$G$14,MATCH(H1426,Lists!$A$2:$A$11,0))),N(INDEX(Platforms!$H$5:$H$14,MATCH(H1426,Lists!$A$2:$A$11,0))),MAX(N(INDEX(Platforms!$F$5:$F$14,MATCH(H1426,Lists!$A$2:$A$11,0))),N(INDEX(Platforms!$C$5:$C$14,MATCH(H1426,Lists!$A$2:$A$11,0)))*(K1426+IF(INDEX(Platforms!$E$5:$E$14,MATCH(H1426,Lists!$A$2:$A$11,0))="Yes",N(L1426),0))+N(INDEX(Platforms!$D$5:$D$14,MATCH(H1426,Lists!$A$2:$A$11,0)))))),""))</f>
        <v/>
      </c>
      <c r="R1426" s="16" t="str">
        <f t="shared" si="89"/>
        <v/>
      </c>
      <c r="S1426" s="17" t="str">
        <f t="shared" si="90"/>
        <v/>
      </c>
      <c r="T1426" s="18" t="str">
        <f t="shared" ca="1" si="91"/>
        <v/>
      </c>
    </row>
    <row r="1427" spans="1:20" x14ac:dyDescent="0.35">
      <c r="A1427" s="11"/>
      <c r="B1427" s="11"/>
      <c r="C1427" s="11"/>
      <c r="D1427" s="12"/>
      <c r="E1427" s="11"/>
      <c r="F1427" s="13"/>
      <c r="G1427" s="13"/>
      <c r="H1427" s="11"/>
      <c r="I1427" s="12"/>
      <c r="J1427" s="12"/>
      <c r="K1427" s="13"/>
      <c r="L1427" s="13"/>
      <c r="M1427" s="13"/>
      <c r="N1427" s="13"/>
      <c r="O1427" s="13"/>
      <c r="P1427" s="14" t="str">
        <f t="shared" si="88"/>
        <v/>
      </c>
      <c r="Q1427" s="15" t="str">
        <f>IF(OR(J1427="",H1427=""),"",IFERROR(IF(ISNUMBER(N1427),N1427,IF(K1427&lt;N(INDEX(Platforms!$G$5:$G$14,MATCH(H1427,Lists!$A$2:$A$11,0))),N(INDEX(Platforms!$H$5:$H$14,MATCH(H1427,Lists!$A$2:$A$11,0))),MAX(N(INDEX(Platforms!$F$5:$F$14,MATCH(H1427,Lists!$A$2:$A$11,0))),N(INDEX(Platforms!$C$5:$C$14,MATCH(H1427,Lists!$A$2:$A$11,0)))*(K1427+IF(INDEX(Platforms!$E$5:$E$14,MATCH(H1427,Lists!$A$2:$A$11,0))="Yes",N(L1427),0))+N(INDEX(Platforms!$D$5:$D$14,MATCH(H1427,Lists!$A$2:$A$11,0)))))),""))</f>
        <v/>
      </c>
      <c r="R1427" s="16" t="str">
        <f t="shared" si="89"/>
        <v/>
      </c>
      <c r="S1427" s="17" t="str">
        <f t="shared" si="90"/>
        <v/>
      </c>
      <c r="T1427" s="18" t="str">
        <f t="shared" ca="1" si="91"/>
        <v/>
      </c>
    </row>
    <row r="1428" spans="1:20" x14ac:dyDescent="0.35">
      <c r="A1428" s="11"/>
      <c r="B1428" s="11"/>
      <c r="C1428" s="11"/>
      <c r="D1428" s="12"/>
      <c r="E1428" s="11"/>
      <c r="F1428" s="13"/>
      <c r="G1428" s="13"/>
      <c r="H1428" s="11"/>
      <c r="I1428" s="12"/>
      <c r="J1428" s="12"/>
      <c r="K1428" s="13"/>
      <c r="L1428" s="13"/>
      <c r="M1428" s="13"/>
      <c r="N1428" s="13"/>
      <c r="O1428" s="13"/>
      <c r="P1428" s="14" t="str">
        <f t="shared" si="88"/>
        <v/>
      </c>
      <c r="Q1428" s="15" t="str">
        <f>IF(OR(J1428="",H1428=""),"",IFERROR(IF(ISNUMBER(N1428),N1428,IF(K1428&lt;N(INDEX(Platforms!$G$5:$G$14,MATCH(H1428,Lists!$A$2:$A$11,0))),N(INDEX(Platforms!$H$5:$H$14,MATCH(H1428,Lists!$A$2:$A$11,0))),MAX(N(INDEX(Platforms!$F$5:$F$14,MATCH(H1428,Lists!$A$2:$A$11,0))),N(INDEX(Platforms!$C$5:$C$14,MATCH(H1428,Lists!$A$2:$A$11,0)))*(K1428+IF(INDEX(Platforms!$E$5:$E$14,MATCH(H1428,Lists!$A$2:$A$11,0))="Yes",N(L1428),0))+N(INDEX(Platforms!$D$5:$D$14,MATCH(H1428,Lists!$A$2:$A$11,0)))))),""))</f>
        <v/>
      </c>
      <c r="R1428" s="16" t="str">
        <f t="shared" si="89"/>
        <v/>
      </c>
      <c r="S1428" s="17" t="str">
        <f t="shared" si="90"/>
        <v/>
      </c>
      <c r="T1428" s="18" t="str">
        <f t="shared" ca="1" si="91"/>
        <v/>
      </c>
    </row>
    <row r="1429" spans="1:20" x14ac:dyDescent="0.35">
      <c r="A1429" s="11"/>
      <c r="B1429" s="11"/>
      <c r="C1429" s="11"/>
      <c r="D1429" s="12"/>
      <c r="E1429" s="11"/>
      <c r="F1429" s="13"/>
      <c r="G1429" s="13"/>
      <c r="H1429" s="11"/>
      <c r="I1429" s="12"/>
      <c r="J1429" s="12"/>
      <c r="K1429" s="13"/>
      <c r="L1429" s="13"/>
      <c r="M1429" s="13"/>
      <c r="N1429" s="13"/>
      <c r="O1429" s="13"/>
      <c r="P1429" s="14" t="str">
        <f t="shared" si="88"/>
        <v/>
      </c>
      <c r="Q1429" s="15" t="str">
        <f>IF(OR(J1429="",H1429=""),"",IFERROR(IF(ISNUMBER(N1429),N1429,IF(K1429&lt;N(INDEX(Platforms!$G$5:$G$14,MATCH(H1429,Lists!$A$2:$A$11,0))),N(INDEX(Platforms!$H$5:$H$14,MATCH(H1429,Lists!$A$2:$A$11,0))),MAX(N(INDEX(Platforms!$F$5:$F$14,MATCH(H1429,Lists!$A$2:$A$11,0))),N(INDEX(Platforms!$C$5:$C$14,MATCH(H1429,Lists!$A$2:$A$11,0)))*(K1429+IF(INDEX(Platforms!$E$5:$E$14,MATCH(H1429,Lists!$A$2:$A$11,0))="Yes",N(L1429),0))+N(INDEX(Platforms!$D$5:$D$14,MATCH(H1429,Lists!$A$2:$A$11,0)))))),""))</f>
        <v/>
      </c>
      <c r="R1429" s="16" t="str">
        <f t="shared" si="89"/>
        <v/>
      </c>
      <c r="S1429" s="17" t="str">
        <f t="shared" si="90"/>
        <v/>
      </c>
      <c r="T1429" s="18" t="str">
        <f t="shared" ca="1" si="91"/>
        <v/>
      </c>
    </row>
    <row r="1430" spans="1:20" x14ac:dyDescent="0.35">
      <c r="A1430" s="11"/>
      <c r="B1430" s="11"/>
      <c r="C1430" s="11"/>
      <c r="D1430" s="12"/>
      <c r="E1430" s="11"/>
      <c r="F1430" s="13"/>
      <c r="G1430" s="13"/>
      <c r="H1430" s="11"/>
      <c r="I1430" s="12"/>
      <c r="J1430" s="12"/>
      <c r="K1430" s="13"/>
      <c r="L1430" s="13"/>
      <c r="M1430" s="13"/>
      <c r="N1430" s="13"/>
      <c r="O1430" s="13"/>
      <c r="P1430" s="14" t="str">
        <f t="shared" si="88"/>
        <v/>
      </c>
      <c r="Q1430" s="15" t="str">
        <f>IF(OR(J1430="",H1430=""),"",IFERROR(IF(ISNUMBER(N1430),N1430,IF(K1430&lt;N(INDEX(Platforms!$G$5:$G$14,MATCH(H1430,Lists!$A$2:$A$11,0))),N(INDEX(Platforms!$H$5:$H$14,MATCH(H1430,Lists!$A$2:$A$11,0))),MAX(N(INDEX(Platforms!$F$5:$F$14,MATCH(H1430,Lists!$A$2:$A$11,0))),N(INDEX(Platforms!$C$5:$C$14,MATCH(H1430,Lists!$A$2:$A$11,0)))*(K1430+IF(INDEX(Platforms!$E$5:$E$14,MATCH(H1430,Lists!$A$2:$A$11,0))="Yes",N(L1430),0))+N(INDEX(Platforms!$D$5:$D$14,MATCH(H1430,Lists!$A$2:$A$11,0)))))),""))</f>
        <v/>
      </c>
      <c r="R1430" s="16" t="str">
        <f t="shared" si="89"/>
        <v/>
      </c>
      <c r="S1430" s="17" t="str">
        <f t="shared" si="90"/>
        <v/>
      </c>
      <c r="T1430" s="18" t="str">
        <f t="shared" ca="1" si="91"/>
        <v/>
      </c>
    </row>
    <row r="1431" spans="1:20" x14ac:dyDescent="0.35">
      <c r="A1431" s="11"/>
      <c r="B1431" s="11"/>
      <c r="C1431" s="11"/>
      <c r="D1431" s="12"/>
      <c r="E1431" s="11"/>
      <c r="F1431" s="13"/>
      <c r="G1431" s="13"/>
      <c r="H1431" s="11"/>
      <c r="I1431" s="12"/>
      <c r="J1431" s="12"/>
      <c r="K1431" s="13"/>
      <c r="L1431" s="13"/>
      <c r="M1431" s="13"/>
      <c r="N1431" s="13"/>
      <c r="O1431" s="13"/>
      <c r="P1431" s="14" t="str">
        <f t="shared" si="88"/>
        <v/>
      </c>
      <c r="Q1431" s="15" t="str">
        <f>IF(OR(J1431="",H1431=""),"",IFERROR(IF(ISNUMBER(N1431),N1431,IF(K1431&lt;N(INDEX(Platforms!$G$5:$G$14,MATCH(H1431,Lists!$A$2:$A$11,0))),N(INDEX(Platforms!$H$5:$H$14,MATCH(H1431,Lists!$A$2:$A$11,0))),MAX(N(INDEX(Platforms!$F$5:$F$14,MATCH(H1431,Lists!$A$2:$A$11,0))),N(INDEX(Platforms!$C$5:$C$14,MATCH(H1431,Lists!$A$2:$A$11,0)))*(K1431+IF(INDEX(Platforms!$E$5:$E$14,MATCH(H1431,Lists!$A$2:$A$11,0))="Yes",N(L1431),0))+N(INDEX(Platforms!$D$5:$D$14,MATCH(H1431,Lists!$A$2:$A$11,0)))))),""))</f>
        <v/>
      </c>
      <c r="R1431" s="16" t="str">
        <f t="shared" si="89"/>
        <v/>
      </c>
      <c r="S1431" s="17" t="str">
        <f t="shared" si="90"/>
        <v/>
      </c>
      <c r="T1431" s="18" t="str">
        <f t="shared" ca="1" si="91"/>
        <v/>
      </c>
    </row>
    <row r="1432" spans="1:20" x14ac:dyDescent="0.35">
      <c r="A1432" s="11"/>
      <c r="B1432" s="11"/>
      <c r="C1432" s="11"/>
      <c r="D1432" s="12"/>
      <c r="E1432" s="11"/>
      <c r="F1432" s="13"/>
      <c r="G1432" s="13"/>
      <c r="H1432" s="11"/>
      <c r="I1432" s="12"/>
      <c r="J1432" s="12"/>
      <c r="K1432" s="13"/>
      <c r="L1432" s="13"/>
      <c r="M1432" s="13"/>
      <c r="N1432" s="13"/>
      <c r="O1432" s="13"/>
      <c r="P1432" s="14" t="str">
        <f t="shared" si="88"/>
        <v/>
      </c>
      <c r="Q1432" s="15" t="str">
        <f>IF(OR(J1432="",H1432=""),"",IFERROR(IF(ISNUMBER(N1432),N1432,IF(K1432&lt;N(INDEX(Platforms!$G$5:$G$14,MATCH(H1432,Lists!$A$2:$A$11,0))),N(INDEX(Platforms!$H$5:$H$14,MATCH(H1432,Lists!$A$2:$A$11,0))),MAX(N(INDEX(Platforms!$F$5:$F$14,MATCH(H1432,Lists!$A$2:$A$11,0))),N(INDEX(Platforms!$C$5:$C$14,MATCH(H1432,Lists!$A$2:$A$11,0)))*(K1432+IF(INDEX(Platforms!$E$5:$E$14,MATCH(H1432,Lists!$A$2:$A$11,0))="Yes",N(L1432),0))+N(INDEX(Platforms!$D$5:$D$14,MATCH(H1432,Lists!$A$2:$A$11,0)))))),""))</f>
        <v/>
      </c>
      <c r="R1432" s="16" t="str">
        <f t="shared" si="89"/>
        <v/>
      </c>
      <c r="S1432" s="17" t="str">
        <f t="shared" si="90"/>
        <v/>
      </c>
      <c r="T1432" s="18" t="str">
        <f t="shared" ca="1" si="91"/>
        <v/>
      </c>
    </row>
    <row r="1433" spans="1:20" x14ac:dyDescent="0.35">
      <c r="A1433" s="11"/>
      <c r="B1433" s="11"/>
      <c r="C1433" s="11"/>
      <c r="D1433" s="12"/>
      <c r="E1433" s="11"/>
      <c r="F1433" s="13"/>
      <c r="G1433" s="13"/>
      <c r="H1433" s="11"/>
      <c r="I1433" s="12"/>
      <c r="J1433" s="12"/>
      <c r="K1433" s="13"/>
      <c r="L1433" s="13"/>
      <c r="M1433" s="13"/>
      <c r="N1433" s="13"/>
      <c r="O1433" s="13"/>
      <c r="P1433" s="14" t="str">
        <f t="shared" si="88"/>
        <v/>
      </c>
      <c r="Q1433" s="15" t="str">
        <f>IF(OR(J1433="",H1433=""),"",IFERROR(IF(ISNUMBER(N1433),N1433,IF(K1433&lt;N(INDEX(Platforms!$G$5:$G$14,MATCH(H1433,Lists!$A$2:$A$11,0))),N(INDEX(Platforms!$H$5:$H$14,MATCH(H1433,Lists!$A$2:$A$11,0))),MAX(N(INDEX(Platforms!$F$5:$F$14,MATCH(H1433,Lists!$A$2:$A$11,0))),N(INDEX(Platforms!$C$5:$C$14,MATCH(H1433,Lists!$A$2:$A$11,0)))*(K1433+IF(INDEX(Platforms!$E$5:$E$14,MATCH(H1433,Lists!$A$2:$A$11,0))="Yes",N(L1433),0))+N(INDEX(Platforms!$D$5:$D$14,MATCH(H1433,Lists!$A$2:$A$11,0)))))),""))</f>
        <v/>
      </c>
      <c r="R1433" s="16" t="str">
        <f t="shared" si="89"/>
        <v/>
      </c>
      <c r="S1433" s="17" t="str">
        <f t="shared" si="90"/>
        <v/>
      </c>
      <c r="T1433" s="18" t="str">
        <f t="shared" ca="1" si="91"/>
        <v/>
      </c>
    </row>
    <row r="1434" spans="1:20" x14ac:dyDescent="0.35">
      <c r="A1434" s="11"/>
      <c r="B1434" s="11"/>
      <c r="C1434" s="11"/>
      <c r="D1434" s="12"/>
      <c r="E1434" s="11"/>
      <c r="F1434" s="13"/>
      <c r="G1434" s="13"/>
      <c r="H1434" s="11"/>
      <c r="I1434" s="12"/>
      <c r="J1434" s="12"/>
      <c r="K1434" s="13"/>
      <c r="L1434" s="13"/>
      <c r="M1434" s="13"/>
      <c r="N1434" s="13"/>
      <c r="O1434" s="13"/>
      <c r="P1434" s="14" t="str">
        <f t="shared" si="88"/>
        <v/>
      </c>
      <c r="Q1434" s="15" t="str">
        <f>IF(OR(J1434="",H1434=""),"",IFERROR(IF(ISNUMBER(N1434),N1434,IF(K1434&lt;N(INDEX(Platforms!$G$5:$G$14,MATCH(H1434,Lists!$A$2:$A$11,0))),N(INDEX(Platforms!$H$5:$H$14,MATCH(H1434,Lists!$A$2:$A$11,0))),MAX(N(INDEX(Platforms!$F$5:$F$14,MATCH(H1434,Lists!$A$2:$A$11,0))),N(INDEX(Platforms!$C$5:$C$14,MATCH(H1434,Lists!$A$2:$A$11,0)))*(K1434+IF(INDEX(Platforms!$E$5:$E$14,MATCH(H1434,Lists!$A$2:$A$11,0))="Yes",N(L1434),0))+N(INDEX(Platforms!$D$5:$D$14,MATCH(H1434,Lists!$A$2:$A$11,0)))))),""))</f>
        <v/>
      </c>
      <c r="R1434" s="16" t="str">
        <f t="shared" si="89"/>
        <v/>
      </c>
      <c r="S1434" s="17" t="str">
        <f t="shared" si="90"/>
        <v/>
      </c>
      <c r="T1434" s="18" t="str">
        <f t="shared" ca="1" si="91"/>
        <v/>
      </c>
    </row>
    <row r="1435" spans="1:20" x14ac:dyDescent="0.35">
      <c r="A1435" s="11"/>
      <c r="B1435" s="11"/>
      <c r="C1435" s="11"/>
      <c r="D1435" s="12"/>
      <c r="E1435" s="11"/>
      <c r="F1435" s="13"/>
      <c r="G1435" s="13"/>
      <c r="H1435" s="11"/>
      <c r="I1435" s="12"/>
      <c r="J1435" s="12"/>
      <c r="K1435" s="13"/>
      <c r="L1435" s="13"/>
      <c r="M1435" s="13"/>
      <c r="N1435" s="13"/>
      <c r="O1435" s="13"/>
      <c r="P1435" s="14" t="str">
        <f t="shared" si="88"/>
        <v/>
      </c>
      <c r="Q1435" s="15" t="str">
        <f>IF(OR(J1435="",H1435=""),"",IFERROR(IF(ISNUMBER(N1435),N1435,IF(K1435&lt;N(INDEX(Platforms!$G$5:$G$14,MATCH(H1435,Lists!$A$2:$A$11,0))),N(INDEX(Platforms!$H$5:$H$14,MATCH(H1435,Lists!$A$2:$A$11,0))),MAX(N(INDEX(Platforms!$F$5:$F$14,MATCH(H1435,Lists!$A$2:$A$11,0))),N(INDEX(Platforms!$C$5:$C$14,MATCH(H1435,Lists!$A$2:$A$11,0)))*(K1435+IF(INDEX(Platforms!$E$5:$E$14,MATCH(H1435,Lists!$A$2:$A$11,0))="Yes",N(L1435),0))+N(INDEX(Platforms!$D$5:$D$14,MATCH(H1435,Lists!$A$2:$A$11,0)))))),""))</f>
        <v/>
      </c>
      <c r="R1435" s="16" t="str">
        <f t="shared" si="89"/>
        <v/>
      </c>
      <c r="S1435" s="17" t="str">
        <f t="shared" si="90"/>
        <v/>
      </c>
      <c r="T1435" s="18" t="str">
        <f t="shared" ca="1" si="91"/>
        <v/>
      </c>
    </row>
    <row r="1436" spans="1:20" x14ac:dyDescent="0.35">
      <c r="A1436" s="11"/>
      <c r="B1436" s="11"/>
      <c r="C1436" s="11"/>
      <c r="D1436" s="12"/>
      <c r="E1436" s="11"/>
      <c r="F1436" s="13"/>
      <c r="G1436" s="13"/>
      <c r="H1436" s="11"/>
      <c r="I1436" s="12"/>
      <c r="J1436" s="12"/>
      <c r="K1436" s="13"/>
      <c r="L1436" s="13"/>
      <c r="M1436" s="13"/>
      <c r="N1436" s="13"/>
      <c r="O1436" s="13"/>
      <c r="P1436" s="14" t="str">
        <f t="shared" si="88"/>
        <v/>
      </c>
      <c r="Q1436" s="15" t="str">
        <f>IF(OR(J1436="",H1436=""),"",IFERROR(IF(ISNUMBER(N1436),N1436,IF(K1436&lt;N(INDEX(Platforms!$G$5:$G$14,MATCH(H1436,Lists!$A$2:$A$11,0))),N(INDEX(Platforms!$H$5:$H$14,MATCH(H1436,Lists!$A$2:$A$11,0))),MAX(N(INDEX(Platforms!$F$5:$F$14,MATCH(H1436,Lists!$A$2:$A$11,0))),N(INDEX(Platforms!$C$5:$C$14,MATCH(H1436,Lists!$A$2:$A$11,0)))*(K1436+IF(INDEX(Platforms!$E$5:$E$14,MATCH(H1436,Lists!$A$2:$A$11,0))="Yes",N(L1436),0))+N(INDEX(Platforms!$D$5:$D$14,MATCH(H1436,Lists!$A$2:$A$11,0)))))),""))</f>
        <v/>
      </c>
      <c r="R1436" s="16" t="str">
        <f t="shared" si="89"/>
        <v/>
      </c>
      <c r="S1436" s="17" t="str">
        <f t="shared" si="90"/>
        <v/>
      </c>
      <c r="T1436" s="18" t="str">
        <f t="shared" ca="1" si="91"/>
        <v/>
      </c>
    </row>
    <row r="1437" spans="1:20" x14ac:dyDescent="0.35">
      <c r="A1437" s="11"/>
      <c r="B1437" s="11"/>
      <c r="C1437" s="11"/>
      <c r="D1437" s="12"/>
      <c r="E1437" s="11"/>
      <c r="F1437" s="13"/>
      <c r="G1437" s="13"/>
      <c r="H1437" s="11"/>
      <c r="I1437" s="12"/>
      <c r="J1437" s="12"/>
      <c r="K1437" s="13"/>
      <c r="L1437" s="13"/>
      <c r="M1437" s="13"/>
      <c r="N1437" s="13"/>
      <c r="O1437" s="13"/>
      <c r="P1437" s="14" t="str">
        <f t="shared" si="88"/>
        <v/>
      </c>
      <c r="Q1437" s="15" t="str">
        <f>IF(OR(J1437="",H1437=""),"",IFERROR(IF(ISNUMBER(N1437),N1437,IF(K1437&lt;N(INDEX(Platforms!$G$5:$G$14,MATCH(H1437,Lists!$A$2:$A$11,0))),N(INDEX(Platforms!$H$5:$H$14,MATCH(H1437,Lists!$A$2:$A$11,0))),MAX(N(INDEX(Platforms!$F$5:$F$14,MATCH(H1437,Lists!$A$2:$A$11,0))),N(INDEX(Platforms!$C$5:$C$14,MATCH(H1437,Lists!$A$2:$A$11,0)))*(K1437+IF(INDEX(Platforms!$E$5:$E$14,MATCH(H1437,Lists!$A$2:$A$11,0))="Yes",N(L1437),0))+N(INDEX(Platforms!$D$5:$D$14,MATCH(H1437,Lists!$A$2:$A$11,0)))))),""))</f>
        <v/>
      </c>
      <c r="R1437" s="16" t="str">
        <f t="shared" si="89"/>
        <v/>
      </c>
      <c r="S1437" s="17" t="str">
        <f t="shared" si="90"/>
        <v/>
      </c>
      <c r="T1437" s="18" t="str">
        <f t="shared" ca="1" si="91"/>
        <v/>
      </c>
    </row>
    <row r="1438" spans="1:20" x14ac:dyDescent="0.35">
      <c r="A1438" s="11"/>
      <c r="B1438" s="11"/>
      <c r="C1438" s="11"/>
      <c r="D1438" s="12"/>
      <c r="E1438" s="11"/>
      <c r="F1438" s="13"/>
      <c r="G1438" s="13"/>
      <c r="H1438" s="11"/>
      <c r="I1438" s="12"/>
      <c r="J1438" s="12"/>
      <c r="K1438" s="13"/>
      <c r="L1438" s="13"/>
      <c r="M1438" s="13"/>
      <c r="N1438" s="13"/>
      <c r="O1438" s="13"/>
      <c r="P1438" s="14" t="str">
        <f t="shared" si="88"/>
        <v/>
      </c>
      <c r="Q1438" s="15" t="str">
        <f>IF(OR(J1438="",H1438=""),"",IFERROR(IF(ISNUMBER(N1438),N1438,IF(K1438&lt;N(INDEX(Platforms!$G$5:$G$14,MATCH(H1438,Lists!$A$2:$A$11,0))),N(INDEX(Platforms!$H$5:$H$14,MATCH(H1438,Lists!$A$2:$A$11,0))),MAX(N(INDEX(Platforms!$F$5:$F$14,MATCH(H1438,Lists!$A$2:$A$11,0))),N(INDEX(Platforms!$C$5:$C$14,MATCH(H1438,Lists!$A$2:$A$11,0)))*(K1438+IF(INDEX(Platforms!$E$5:$E$14,MATCH(H1438,Lists!$A$2:$A$11,0))="Yes",N(L1438),0))+N(INDEX(Platforms!$D$5:$D$14,MATCH(H1438,Lists!$A$2:$A$11,0)))))),""))</f>
        <v/>
      </c>
      <c r="R1438" s="16" t="str">
        <f t="shared" si="89"/>
        <v/>
      </c>
      <c r="S1438" s="17" t="str">
        <f t="shared" si="90"/>
        <v/>
      </c>
      <c r="T1438" s="18" t="str">
        <f t="shared" ca="1" si="91"/>
        <v/>
      </c>
    </row>
    <row r="1439" spans="1:20" x14ac:dyDescent="0.35">
      <c r="A1439" s="11"/>
      <c r="B1439" s="11"/>
      <c r="C1439" s="11"/>
      <c r="D1439" s="12"/>
      <c r="E1439" s="11"/>
      <c r="F1439" s="13"/>
      <c r="G1439" s="13"/>
      <c r="H1439" s="11"/>
      <c r="I1439" s="12"/>
      <c r="J1439" s="12"/>
      <c r="K1439" s="13"/>
      <c r="L1439" s="13"/>
      <c r="M1439" s="13"/>
      <c r="N1439" s="13"/>
      <c r="O1439" s="13"/>
      <c r="P1439" s="14" t="str">
        <f t="shared" si="88"/>
        <v/>
      </c>
      <c r="Q1439" s="15" t="str">
        <f>IF(OR(J1439="",H1439=""),"",IFERROR(IF(ISNUMBER(N1439),N1439,IF(K1439&lt;N(INDEX(Platforms!$G$5:$G$14,MATCH(H1439,Lists!$A$2:$A$11,0))),N(INDEX(Platforms!$H$5:$H$14,MATCH(H1439,Lists!$A$2:$A$11,0))),MAX(N(INDEX(Platforms!$F$5:$F$14,MATCH(H1439,Lists!$A$2:$A$11,0))),N(INDEX(Platforms!$C$5:$C$14,MATCH(H1439,Lists!$A$2:$A$11,0)))*(K1439+IF(INDEX(Platforms!$E$5:$E$14,MATCH(H1439,Lists!$A$2:$A$11,0))="Yes",N(L1439),0))+N(INDEX(Platforms!$D$5:$D$14,MATCH(H1439,Lists!$A$2:$A$11,0)))))),""))</f>
        <v/>
      </c>
      <c r="R1439" s="16" t="str">
        <f t="shared" si="89"/>
        <v/>
      </c>
      <c r="S1439" s="17" t="str">
        <f t="shared" si="90"/>
        <v/>
      </c>
      <c r="T1439" s="18" t="str">
        <f t="shared" ca="1" si="91"/>
        <v/>
      </c>
    </row>
    <row r="1440" spans="1:20" x14ac:dyDescent="0.35">
      <c r="A1440" s="11"/>
      <c r="B1440" s="11"/>
      <c r="C1440" s="11"/>
      <c r="D1440" s="12"/>
      <c r="E1440" s="11"/>
      <c r="F1440" s="13"/>
      <c r="G1440" s="13"/>
      <c r="H1440" s="11"/>
      <c r="I1440" s="12"/>
      <c r="J1440" s="12"/>
      <c r="K1440" s="13"/>
      <c r="L1440" s="13"/>
      <c r="M1440" s="13"/>
      <c r="N1440" s="13"/>
      <c r="O1440" s="13"/>
      <c r="P1440" s="14" t="str">
        <f t="shared" si="88"/>
        <v/>
      </c>
      <c r="Q1440" s="15" t="str">
        <f>IF(OR(J1440="",H1440=""),"",IFERROR(IF(ISNUMBER(N1440),N1440,IF(K1440&lt;N(INDEX(Platforms!$G$5:$G$14,MATCH(H1440,Lists!$A$2:$A$11,0))),N(INDEX(Platforms!$H$5:$H$14,MATCH(H1440,Lists!$A$2:$A$11,0))),MAX(N(INDEX(Platforms!$F$5:$F$14,MATCH(H1440,Lists!$A$2:$A$11,0))),N(INDEX(Platforms!$C$5:$C$14,MATCH(H1440,Lists!$A$2:$A$11,0)))*(K1440+IF(INDEX(Platforms!$E$5:$E$14,MATCH(H1440,Lists!$A$2:$A$11,0))="Yes",N(L1440),0))+N(INDEX(Platforms!$D$5:$D$14,MATCH(H1440,Lists!$A$2:$A$11,0)))))),""))</f>
        <v/>
      </c>
      <c r="R1440" s="16" t="str">
        <f t="shared" si="89"/>
        <v/>
      </c>
      <c r="S1440" s="17" t="str">
        <f t="shared" si="90"/>
        <v/>
      </c>
      <c r="T1440" s="18" t="str">
        <f t="shared" ca="1" si="91"/>
        <v/>
      </c>
    </row>
    <row r="1441" spans="1:20" x14ac:dyDescent="0.35">
      <c r="A1441" s="11"/>
      <c r="B1441" s="11"/>
      <c r="C1441" s="11"/>
      <c r="D1441" s="12"/>
      <c r="E1441" s="11"/>
      <c r="F1441" s="13"/>
      <c r="G1441" s="13"/>
      <c r="H1441" s="11"/>
      <c r="I1441" s="12"/>
      <c r="J1441" s="12"/>
      <c r="K1441" s="13"/>
      <c r="L1441" s="13"/>
      <c r="M1441" s="13"/>
      <c r="N1441" s="13"/>
      <c r="O1441" s="13"/>
      <c r="P1441" s="14" t="str">
        <f t="shared" si="88"/>
        <v/>
      </c>
      <c r="Q1441" s="15" t="str">
        <f>IF(OR(J1441="",H1441=""),"",IFERROR(IF(ISNUMBER(N1441),N1441,IF(K1441&lt;N(INDEX(Platforms!$G$5:$G$14,MATCH(H1441,Lists!$A$2:$A$11,0))),N(INDEX(Platforms!$H$5:$H$14,MATCH(H1441,Lists!$A$2:$A$11,0))),MAX(N(INDEX(Platforms!$F$5:$F$14,MATCH(H1441,Lists!$A$2:$A$11,0))),N(INDEX(Platforms!$C$5:$C$14,MATCH(H1441,Lists!$A$2:$A$11,0)))*(K1441+IF(INDEX(Platforms!$E$5:$E$14,MATCH(H1441,Lists!$A$2:$A$11,0))="Yes",N(L1441),0))+N(INDEX(Platforms!$D$5:$D$14,MATCH(H1441,Lists!$A$2:$A$11,0)))))),""))</f>
        <v/>
      </c>
      <c r="R1441" s="16" t="str">
        <f t="shared" si="89"/>
        <v/>
      </c>
      <c r="S1441" s="17" t="str">
        <f t="shared" si="90"/>
        <v/>
      </c>
      <c r="T1441" s="18" t="str">
        <f t="shared" ca="1" si="91"/>
        <v/>
      </c>
    </row>
    <row r="1442" spans="1:20" x14ac:dyDescent="0.35">
      <c r="A1442" s="11"/>
      <c r="B1442" s="11"/>
      <c r="C1442" s="11"/>
      <c r="D1442" s="12"/>
      <c r="E1442" s="11"/>
      <c r="F1442" s="13"/>
      <c r="G1442" s="13"/>
      <c r="H1442" s="11"/>
      <c r="I1442" s="12"/>
      <c r="J1442" s="12"/>
      <c r="K1442" s="13"/>
      <c r="L1442" s="13"/>
      <c r="M1442" s="13"/>
      <c r="N1442" s="13"/>
      <c r="O1442" s="13"/>
      <c r="P1442" s="14" t="str">
        <f t="shared" si="88"/>
        <v/>
      </c>
      <c r="Q1442" s="15" t="str">
        <f>IF(OR(J1442="",H1442=""),"",IFERROR(IF(ISNUMBER(N1442),N1442,IF(K1442&lt;N(INDEX(Platforms!$G$5:$G$14,MATCH(H1442,Lists!$A$2:$A$11,0))),N(INDEX(Platforms!$H$5:$H$14,MATCH(H1442,Lists!$A$2:$A$11,0))),MAX(N(INDEX(Platforms!$F$5:$F$14,MATCH(H1442,Lists!$A$2:$A$11,0))),N(INDEX(Platforms!$C$5:$C$14,MATCH(H1442,Lists!$A$2:$A$11,0)))*(K1442+IF(INDEX(Platforms!$E$5:$E$14,MATCH(H1442,Lists!$A$2:$A$11,0))="Yes",N(L1442),0))+N(INDEX(Platforms!$D$5:$D$14,MATCH(H1442,Lists!$A$2:$A$11,0)))))),""))</f>
        <v/>
      </c>
      <c r="R1442" s="16" t="str">
        <f t="shared" si="89"/>
        <v/>
      </c>
      <c r="S1442" s="17" t="str">
        <f t="shared" si="90"/>
        <v/>
      </c>
      <c r="T1442" s="18" t="str">
        <f t="shared" ca="1" si="91"/>
        <v/>
      </c>
    </row>
    <row r="1443" spans="1:20" x14ac:dyDescent="0.35">
      <c r="A1443" s="11"/>
      <c r="B1443" s="11"/>
      <c r="C1443" s="11"/>
      <c r="D1443" s="12"/>
      <c r="E1443" s="11"/>
      <c r="F1443" s="13"/>
      <c r="G1443" s="13"/>
      <c r="H1443" s="11"/>
      <c r="I1443" s="12"/>
      <c r="J1443" s="12"/>
      <c r="K1443" s="13"/>
      <c r="L1443" s="13"/>
      <c r="M1443" s="13"/>
      <c r="N1443" s="13"/>
      <c r="O1443" s="13"/>
      <c r="P1443" s="14" t="str">
        <f t="shared" si="88"/>
        <v/>
      </c>
      <c r="Q1443" s="15" t="str">
        <f>IF(OR(J1443="",H1443=""),"",IFERROR(IF(ISNUMBER(N1443),N1443,IF(K1443&lt;N(INDEX(Platforms!$G$5:$G$14,MATCH(H1443,Lists!$A$2:$A$11,0))),N(INDEX(Platforms!$H$5:$H$14,MATCH(H1443,Lists!$A$2:$A$11,0))),MAX(N(INDEX(Platforms!$F$5:$F$14,MATCH(H1443,Lists!$A$2:$A$11,0))),N(INDEX(Platforms!$C$5:$C$14,MATCH(H1443,Lists!$A$2:$A$11,0)))*(K1443+IF(INDEX(Platforms!$E$5:$E$14,MATCH(H1443,Lists!$A$2:$A$11,0))="Yes",N(L1443),0))+N(INDEX(Platforms!$D$5:$D$14,MATCH(H1443,Lists!$A$2:$A$11,0)))))),""))</f>
        <v/>
      </c>
      <c r="R1443" s="16" t="str">
        <f t="shared" si="89"/>
        <v/>
      </c>
      <c r="S1443" s="17" t="str">
        <f t="shared" si="90"/>
        <v/>
      </c>
      <c r="T1443" s="18" t="str">
        <f t="shared" ca="1" si="91"/>
        <v/>
      </c>
    </row>
    <row r="1444" spans="1:20" x14ac:dyDescent="0.35">
      <c r="A1444" s="11"/>
      <c r="B1444" s="11"/>
      <c r="C1444" s="11"/>
      <c r="D1444" s="12"/>
      <c r="E1444" s="11"/>
      <c r="F1444" s="13"/>
      <c r="G1444" s="13"/>
      <c r="H1444" s="11"/>
      <c r="I1444" s="12"/>
      <c r="J1444" s="12"/>
      <c r="K1444" s="13"/>
      <c r="L1444" s="13"/>
      <c r="M1444" s="13"/>
      <c r="N1444" s="13"/>
      <c r="O1444" s="13"/>
      <c r="P1444" s="14" t="str">
        <f t="shared" si="88"/>
        <v/>
      </c>
      <c r="Q1444" s="15" t="str">
        <f>IF(OR(J1444="",H1444=""),"",IFERROR(IF(ISNUMBER(N1444),N1444,IF(K1444&lt;N(INDEX(Platforms!$G$5:$G$14,MATCH(H1444,Lists!$A$2:$A$11,0))),N(INDEX(Platforms!$H$5:$H$14,MATCH(H1444,Lists!$A$2:$A$11,0))),MAX(N(INDEX(Platforms!$F$5:$F$14,MATCH(H1444,Lists!$A$2:$A$11,0))),N(INDEX(Platforms!$C$5:$C$14,MATCH(H1444,Lists!$A$2:$A$11,0)))*(K1444+IF(INDEX(Platforms!$E$5:$E$14,MATCH(H1444,Lists!$A$2:$A$11,0))="Yes",N(L1444),0))+N(INDEX(Platforms!$D$5:$D$14,MATCH(H1444,Lists!$A$2:$A$11,0)))))),""))</f>
        <v/>
      </c>
      <c r="R1444" s="16" t="str">
        <f t="shared" si="89"/>
        <v/>
      </c>
      <c r="S1444" s="17" t="str">
        <f t="shared" si="90"/>
        <v/>
      </c>
      <c r="T1444" s="18" t="str">
        <f t="shared" ca="1" si="91"/>
        <v/>
      </c>
    </row>
    <row r="1445" spans="1:20" x14ac:dyDescent="0.35">
      <c r="A1445" s="11"/>
      <c r="B1445" s="11"/>
      <c r="C1445" s="11"/>
      <c r="D1445" s="12"/>
      <c r="E1445" s="11"/>
      <c r="F1445" s="13"/>
      <c r="G1445" s="13"/>
      <c r="H1445" s="11"/>
      <c r="I1445" s="12"/>
      <c r="J1445" s="12"/>
      <c r="K1445" s="13"/>
      <c r="L1445" s="13"/>
      <c r="M1445" s="13"/>
      <c r="N1445" s="13"/>
      <c r="O1445" s="13"/>
      <c r="P1445" s="14" t="str">
        <f t="shared" si="88"/>
        <v/>
      </c>
      <c r="Q1445" s="15" t="str">
        <f>IF(OR(J1445="",H1445=""),"",IFERROR(IF(ISNUMBER(N1445),N1445,IF(K1445&lt;N(INDEX(Platforms!$G$5:$G$14,MATCH(H1445,Lists!$A$2:$A$11,0))),N(INDEX(Platforms!$H$5:$H$14,MATCH(H1445,Lists!$A$2:$A$11,0))),MAX(N(INDEX(Platforms!$F$5:$F$14,MATCH(H1445,Lists!$A$2:$A$11,0))),N(INDEX(Platforms!$C$5:$C$14,MATCH(H1445,Lists!$A$2:$A$11,0)))*(K1445+IF(INDEX(Platforms!$E$5:$E$14,MATCH(H1445,Lists!$A$2:$A$11,0))="Yes",N(L1445),0))+N(INDEX(Platforms!$D$5:$D$14,MATCH(H1445,Lists!$A$2:$A$11,0)))))),""))</f>
        <v/>
      </c>
      <c r="R1445" s="16" t="str">
        <f t="shared" si="89"/>
        <v/>
      </c>
      <c r="S1445" s="17" t="str">
        <f t="shared" si="90"/>
        <v/>
      </c>
      <c r="T1445" s="18" t="str">
        <f t="shared" ca="1" si="91"/>
        <v/>
      </c>
    </row>
    <row r="1446" spans="1:20" x14ac:dyDescent="0.35">
      <c r="A1446" s="11"/>
      <c r="B1446" s="11"/>
      <c r="C1446" s="11"/>
      <c r="D1446" s="12"/>
      <c r="E1446" s="11"/>
      <c r="F1446" s="13"/>
      <c r="G1446" s="13"/>
      <c r="H1446" s="11"/>
      <c r="I1446" s="12"/>
      <c r="J1446" s="12"/>
      <c r="K1446" s="13"/>
      <c r="L1446" s="13"/>
      <c r="M1446" s="13"/>
      <c r="N1446" s="13"/>
      <c r="O1446" s="13"/>
      <c r="P1446" s="14" t="str">
        <f t="shared" si="88"/>
        <v/>
      </c>
      <c r="Q1446" s="15" t="str">
        <f>IF(OR(J1446="",H1446=""),"",IFERROR(IF(ISNUMBER(N1446),N1446,IF(K1446&lt;N(INDEX(Platforms!$G$5:$G$14,MATCH(H1446,Lists!$A$2:$A$11,0))),N(INDEX(Platforms!$H$5:$H$14,MATCH(H1446,Lists!$A$2:$A$11,0))),MAX(N(INDEX(Platforms!$F$5:$F$14,MATCH(H1446,Lists!$A$2:$A$11,0))),N(INDEX(Platforms!$C$5:$C$14,MATCH(H1446,Lists!$A$2:$A$11,0)))*(K1446+IF(INDEX(Platforms!$E$5:$E$14,MATCH(H1446,Lists!$A$2:$A$11,0))="Yes",N(L1446),0))+N(INDEX(Platforms!$D$5:$D$14,MATCH(H1446,Lists!$A$2:$A$11,0)))))),""))</f>
        <v/>
      </c>
      <c r="R1446" s="16" t="str">
        <f t="shared" si="89"/>
        <v/>
      </c>
      <c r="S1446" s="17" t="str">
        <f t="shared" si="90"/>
        <v/>
      </c>
      <c r="T1446" s="18" t="str">
        <f t="shared" ca="1" si="91"/>
        <v/>
      </c>
    </row>
    <row r="1447" spans="1:20" x14ac:dyDescent="0.35">
      <c r="A1447" s="11"/>
      <c r="B1447" s="11"/>
      <c r="C1447" s="11"/>
      <c r="D1447" s="12"/>
      <c r="E1447" s="11"/>
      <c r="F1447" s="13"/>
      <c r="G1447" s="13"/>
      <c r="H1447" s="11"/>
      <c r="I1447" s="12"/>
      <c r="J1447" s="12"/>
      <c r="K1447" s="13"/>
      <c r="L1447" s="13"/>
      <c r="M1447" s="13"/>
      <c r="N1447" s="13"/>
      <c r="O1447" s="13"/>
      <c r="P1447" s="14" t="str">
        <f t="shared" si="88"/>
        <v/>
      </c>
      <c r="Q1447" s="15" t="str">
        <f>IF(OR(J1447="",H1447=""),"",IFERROR(IF(ISNUMBER(N1447),N1447,IF(K1447&lt;N(INDEX(Platforms!$G$5:$G$14,MATCH(H1447,Lists!$A$2:$A$11,0))),N(INDEX(Platforms!$H$5:$H$14,MATCH(H1447,Lists!$A$2:$A$11,0))),MAX(N(INDEX(Platforms!$F$5:$F$14,MATCH(H1447,Lists!$A$2:$A$11,0))),N(INDEX(Platforms!$C$5:$C$14,MATCH(H1447,Lists!$A$2:$A$11,0)))*(K1447+IF(INDEX(Platforms!$E$5:$E$14,MATCH(H1447,Lists!$A$2:$A$11,0))="Yes",N(L1447),0))+N(INDEX(Platforms!$D$5:$D$14,MATCH(H1447,Lists!$A$2:$A$11,0)))))),""))</f>
        <v/>
      </c>
      <c r="R1447" s="16" t="str">
        <f t="shared" si="89"/>
        <v/>
      </c>
      <c r="S1447" s="17" t="str">
        <f t="shared" si="90"/>
        <v/>
      </c>
      <c r="T1447" s="18" t="str">
        <f t="shared" ca="1" si="91"/>
        <v/>
      </c>
    </row>
    <row r="1448" spans="1:20" x14ac:dyDescent="0.35">
      <c r="A1448" s="11"/>
      <c r="B1448" s="11"/>
      <c r="C1448" s="11"/>
      <c r="D1448" s="12"/>
      <c r="E1448" s="11"/>
      <c r="F1448" s="13"/>
      <c r="G1448" s="13"/>
      <c r="H1448" s="11"/>
      <c r="I1448" s="12"/>
      <c r="J1448" s="12"/>
      <c r="K1448" s="13"/>
      <c r="L1448" s="13"/>
      <c r="M1448" s="13"/>
      <c r="N1448" s="13"/>
      <c r="O1448" s="13"/>
      <c r="P1448" s="14" t="str">
        <f t="shared" si="88"/>
        <v/>
      </c>
      <c r="Q1448" s="15" t="str">
        <f>IF(OR(J1448="",H1448=""),"",IFERROR(IF(ISNUMBER(N1448),N1448,IF(K1448&lt;N(INDEX(Platforms!$G$5:$G$14,MATCH(H1448,Lists!$A$2:$A$11,0))),N(INDEX(Platforms!$H$5:$H$14,MATCH(H1448,Lists!$A$2:$A$11,0))),MAX(N(INDEX(Platforms!$F$5:$F$14,MATCH(H1448,Lists!$A$2:$A$11,0))),N(INDEX(Platforms!$C$5:$C$14,MATCH(H1448,Lists!$A$2:$A$11,0)))*(K1448+IF(INDEX(Platforms!$E$5:$E$14,MATCH(H1448,Lists!$A$2:$A$11,0))="Yes",N(L1448),0))+N(INDEX(Platforms!$D$5:$D$14,MATCH(H1448,Lists!$A$2:$A$11,0)))))),""))</f>
        <v/>
      </c>
      <c r="R1448" s="16" t="str">
        <f t="shared" si="89"/>
        <v/>
      </c>
      <c r="S1448" s="17" t="str">
        <f t="shared" si="90"/>
        <v/>
      </c>
      <c r="T1448" s="18" t="str">
        <f t="shared" ca="1" si="91"/>
        <v/>
      </c>
    </row>
    <row r="1449" spans="1:20" x14ac:dyDescent="0.35">
      <c r="A1449" s="11"/>
      <c r="B1449" s="11"/>
      <c r="C1449" s="11"/>
      <c r="D1449" s="12"/>
      <c r="E1449" s="11"/>
      <c r="F1449" s="13"/>
      <c r="G1449" s="13"/>
      <c r="H1449" s="11"/>
      <c r="I1449" s="12"/>
      <c r="J1449" s="12"/>
      <c r="K1449" s="13"/>
      <c r="L1449" s="13"/>
      <c r="M1449" s="13"/>
      <c r="N1449" s="13"/>
      <c r="O1449" s="13"/>
      <c r="P1449" s="14" t="str">
        <f t="shared" si="88"/>
        <v/>
      </c>
      <c r="Q1449" s="15" t="str">
        <f>IF(OR(J1449="",H1449=""),"",IFERROR(IF(ISNUMBER(N1449),N1449,IF(K1449&lt;N(INDEX(Platforms!$G$5:$G$14,MATCH(H1449,Lists!$A$2:$A$11,0))),N(INDEX(Platforms!$H$5:$H$14,MATCH(H1449,Lists!$A$2:$A$11,0))),MAX(N(INDEX(Platforms!$F$5:$F$14,MATCH(H1449,Lists!$A$2:$A$11,0))),N(INDEX(Platforms!$C$5:$C$14,MATCH(H1449,Lists!$A$2:$A$11,0)))*(K1449+IF(INDEX(Platforms!$E$5:$E$14,MATCH(H1449,Lists!$A$2:$A$11,0))="Yes",N(L1449),0))+N(INDEX(Platforms!$D$5:$D$14,MATCH(H1449,Lists!$A$2:$A$11,0)))))),""))</f>
        <v/>
      </c>
      <c r="R1449" s="16" t="str">
        <f t="shared" si="89"/>
        <v/>
      </c>
      <c r="S1449" s="17" t="str">
        <f t="shared" si="90"/>
        <v/>
      </c>
      <c r="T1449" s="18" t="str">
        <f t="shared" ca="1" si="91"/>
        <v/>
      </c>
    </row>
    <row r="1450" spans="1:20" x14ac:dyDescent="0.35">
      <c r="A1450" s="11"/>
      <c r="B1450" s="11"/>
      <c r="C1450" s="11"/>
      <c r="D1450" s="12"/>
      <c r="E1450" s="11"/>
      <c r="F1450" s="13"/>
      <c r="G1450" s="13"/>
      <c r="H1450" s="11"/>
      <c r="I1450" s="12"/>
      <c r="J1450" s="12"/>
      <c r="K1450" s="13"/>
      <c r="L1450" s="13"/>
      <c r="M1450" s="13"/>
      <c r="N1450" s="13"/>
      <c r="O1450" s="13"/>
      <c r="P1450" s="14" t="str">
        <f t="shared" si="88"/>
        <v/>
      </c>
      <c r="Q1450" s="15" t="str">
        <f>IF(OR(J1450="",H1450=""),"",IFERROR(IF(ISNUMBER(N1450),N1450,IF(K1450&lt;N(INDEX(Platforms!$G$5:$G$14,MATCH(H1450,Lists!$A$2:$A$11,0))),N(INDEX(Platforms!$H$5:$H$14,MATCH(H1450,Lists!$A$2:$A$11,0))),MAX(N(INDEX(Platforms!$F$5:$F$14,MATCH(H1450,Lists!$A$2:$A$11,0))),N(INDEX(Platforms!$C$5:$C$14,MATCH(H1450,Lists!$A$2:$A$11,0)))*(K1450+IF(INDEX(Platforms!$E$5:$E$14,MATCH(H1450,Lists!$A$2:$A$11,0))="Yes",N(L1450),0))+N(INDEX(Platforms!$D$5:$D$14,MATCH(H1450,Lists!$A$2:$A$11,0)))))),""))</f>
        <v/>
      </c>
      <c r="R1450" s="16" t="str">
        <f t="shared" si="89"/>
        <v/>
      </c>
      <c r="S1450" s="17" t="str">
        <f t="shared" si="90"/>
        <v/>
      </c>
      <c r="T1450" s="18" t="str">
        <f t="shared" ca="1" si="91"/>
        <v/>
      </c>
    </row>
    <row r="1451" spans="1:20" x14ac:dyDescent="0.35">
      <c r="A1451" s="11"/>
      <c r="B1451" s="11"/>
      <c r="C1451" s="11"/>
      <c r="D1451" s="12"/>
      <c r="E1451" s="11"/>
      <c r="F1451" s="13"/>
      <c r="G1451" s="13"/>
      <c r="H1451" s="11"/>
      <c r="I1451" s="12"/>
      <c r="J1451" s="12"/>
      <c r="K1451" s="13"/>
      <c r="L1451" s="13"/>
      <c r="M1451" s="13"/>
      <c r="N1451" s="13"/>
      <c r="O1451" s="13"/>
      <c r="P1451" s="14" t="str">
        <f t="shared" si="88"/>
        <v/>
      </c>
      <c r="Q1451" s="15" t="str">
        <f>IF(OR(J1451="",H1451=""),"",IFERROR(IF(ISNUMBER(N1451),N1451,IF(K1451&lt;N(INDEX(Platforms!$G$5:$G$14,MATCH(H1451,Lists!$A$2:$A$11,0))),N(INDEX(Platforms!$H$5:$H$14,MATCH(H1451,Lists!$A$2:$A$11,0))),MAX(N(INDEX(Platforms!$F$5:$F$14,MATCH(H1451,Lists!$A$2:$A$11,0))),N(INDEX(Platforms!$C$5:$C$14,MATCH(H1451,Lists!$A$2:$A$11,0)))*(K1451+IF(INDEX(Platforms!$E$5:$E$14,MATCH(H1451,Lists!$A$2:$A$11,0))="Yes",N(L1451),0))+N(INDEX(Platforms!$D$5:$D$14,MATCH(H1451,Lists!$A$2:$A$11,0)))))),""))</f>
        <v/>
      </c>
      <c r="R1451" s="16" t="str">
        <f t="shared" si="89"/>
        <v/>
      </c>
      <c r="S1451" s="17" t="str">
        <f t="shared" si="90"/>
        <v/>
      </c>
      <c r="T1451" s="18" t="str">
        <f t="shared" ca="1" si="91"/>
        <v/>
      </c>
    </row>
    <row r="1452" spans="1:20" x14ac:dyDescent="0.35">
      <c r="A1452" s="11"/>
      <c r="B1452" s="11"/>
      <c r="C1452" s="11"/>
      <c r="D1452" s="12"/>
      <c r="E1452" s="11"/>
      <c r="F1452" s="13"/>
      <c r="G1452" s="13"/>
      <c r="H1452" s="11"/>
      <c r="I1452" s="12"/>
      <c r="J1452" s="12"/>
      <c r="K1452" s="13"/>
      <c r="L1452" s="13"/>
      <c r="M1452" s="13"/>
      <c r="N1452" s="13"/>
      <c r="O1452" s="13"/>
      <c r="P1452" s="14" t="str">
        <f t="shared" si="88"/>
        <v/>
      </c>
      <c r="Q1452" s="15" t="str">
        <f>IF(OR(J1452="",H1452=""),"",IFERROR(IF(ISNUMBER(N1452),N1452,IF(K1452&lt;N(INDEX(Platforms!$G$5:$G$14,MATCH(H1452,Lists!$A$2:$A$11,0))),N(INDEX(Platforms!$H$5:$H$14,MATCH(H1452,Lists!$A$2:$A$11,0))),MAX(N(INDEX(Platforms!$F$5:$F$14,MATCH(H1452,Lists!$A$2:$A$11,0))),N(INDEX(Platforms!$C$5:$C$14,MATCH(H1452,Lists!$A$2:$A$11,0)))*(K1452+IF(INDEX(Platforms!$E$5:$E$14,MATCH(H1452,Lists!$A$2:$A$11,0))="Yes",N(L1452),0))+N(INDEX(Platforms!$D$5:$D$14,MATCH(H1452,Lists!$A$2:$A$11,0)))))),""))</f>
        <v/>
      </c>
      <c r="R1452" s="16" t="str">
        <f t="shared" si="89"/>
        <v/>
      </c>
      <c r="S1452" s="17" t="str">
        <f t="shared" si="90"/>
        <v/>
      </c>
      <c r="T1452" s="18" t="str">
        <f t="shared" ca="1" si="91"/>
        <v/>
      </c>
    </row>
    <row r="1453" spans="1:20" x14ac:dyDescent="0.35">
      <c r="A1453" s="11"/>
      <c r="B1453" s="11"/>
      <c r="C1453" s="11"/>
      <c r="D1453" s="12"/>
      <c r="E1453" s="11"/>
      <c r="F1453" s="13"/>
      <c r="G1453" s="13"/>
      <c r="H1453" s="11"/>
      <c r="I1453" s="12"/>
      <c r="J1453" s="12"/>
      <c r="K1453" s="13"/>
      <c r="L1453" s="13"/>
      <c r="M1453" s="13"/>
      <c r="N1453" s="13"/>
      <c r="O1453" s="13"/>
      <c r="P1453" s="14" t="str">
        <f t="shared" si="88"/>
        <v/>
      </c>
      <c r="Q1453" s="15" t="str">
        <f>IF(OR(J1453="",H1453=""),"",IFERROR(IF(ISNUMBER(N1453),N1453,IF(K1453&lt;N(INDEX(Platforms!$G$5:$G$14,MATCH(H1453,Lists!$A$2:$A$11,0))),N(INDEX(Platforms!$H$5:$H$14,MATCH(H1453,Lists!$A$2:$A$11,0))),MAX(N(INDEX(Platforms!$F$5:$F$14,MATCH(H1453,Lists!$A$2:$A$11,0))),N(INDEX(Platforms!$C$5:$C$14,MATCH(H1453,Lists!$A$2:$A$11,0)))*(K1453+IF(INDEX(Platforms!$E$5:$E$14,MATCH(H1453,Lists!$A$2:$A$11,0))="Yes",N(L1453),0))+N(INDEX(Platforms!$D$5:$D$14,MATCH(H1453,Lists!$A$2:$A$11,0)))))),""))</f>
        <v/>
      </c>
      <c r="R1453" s="16" t="str">
        <f t="shared" si="89"/>
        <v/>
      </c>
      <c r="S1453" s="17" t="str">
        <f t="shared" si="90"/>
        <v/>
      </c>
      <c r="T1453" s="18" t="str">
        <f t="shared" ca="1" si="91"/>
        <v/>
      </c>
    </row>
    <row r="1454" spans="1:20" x14ac:dyDescent="0.35">
      <c r="A1454" s="11"/>
      <c r="B1454" s="11"/>
      <c r="C1454" s="11"/>
      <c r="D1454" s="12"/>
      <c r="E1454" s="11"/>
      <c r="F1454" s="13"/>
      <c r="G1454" s="13"/>
      <c r="H1454" s="11"/>
      <c r="I1454" s="12"/>
      <c r="J1454" s="12"/>
      <c r="K1454" s="13"/>
      <c r="L1454" s="13"/>
      <c r="M1454" s="13"/>
      <c r="N1454" s="13"/>
      <c r="O1454" s="13"/>
      <c r="P1454" s="14" t="str">
        <f t="shared" si="88"/>
        <v/>
      </c>
      <c r="Q1454" s="15" t="str">
        <f>IF(OR(J1454="",H1454=""),"",IFERROR(IF(ISNUMBER(N1454),N1454,IF(K1454&lt;N(INDEX(Platforms!$G$5:$G$14,MATCH(H1454,Lists!$A$2:$A$11,0))),N(INDEX(Platforms!$H$5:$H$14,MATCH(H1454,Lists!$A$2:$A$11,0))),MAX(N(INDEX(Platforms!$F$5:$F$14,MATCH(H1454,Lists!$A$2:$A$11,0))),N(INDEX(Platforms!$C$5:$C$14,MATCH(H1454,Lists!$A$2:$A$11,0)))*(K1454+IF(INDEX(Platforms!$E$5:$E$14,MATCH(H1454,Lists!$A$2:$A$11,0))="Yes",N(L1454),0))+N(INDEX(Platforms!$D$5:$D$14,MATCH(H1454,Lists!$A$2:$A$11,0)))))),""))</f>
        <v/>
      </c>
      <c r="R1454" s="16" t="str">
        <f t="shared" si="89"/>
        <v/>
      </c>
      <c r="S1454" s="17" t="str">
        <f t="shared" si="90"/>
        <v/>
      </c>
      <c r="T1454" s="18" t="str">
        <f t="shared" ca="1" si="91"/>
        <v/>
      </c>
    </row>
    <row r="1455" spans="1:20" x14ac:dyDescent="0.35">
      <c r="A1455" s="11"/>
      <c r="B1455" s="11"/>
      <c r="C1455" s="11"/>
      <c r="D1455" s="12"/>
      <c r="E1455" s="11"/>
      <c r="F1455" s="13"/>
      <c r="G1455" s="13"/>
      <c r="H1455" s="11"/>
      <c r="I1455" s="12"/>
      <c r="J1455" s="12"/>
      <c r="K1455" s="13"/>
      <c r="L1455" s="13"/>
      <c r="M1455" s="13"/>
      <c r="N1455" s="13"/>
      <c r="O1455" s="13"/>
      <c r="P1455" s="14" t="str">
        <f t="shared" si="88"/>
        <v/>
      </c>
      <c r="Q1455" s="15" t="str">
        <f>IF(OR(J1455="",H1455=""),"",IFERROR(IF(ISNUMBER(N1455),N1455,IF(K1455&lt;N(INDEX(Platforms!$G$5:$G$14,MATCH(H1455,Lists!$A$2:$A$11,0))),N(INDEX(Platforms!$H$5:$H$14,MATCH(H1455,Lists!$A$2:$A$11,0))),MAX(N(INDEX(Platforms!$F$5:$F$14,MATCH(H1455,Lists!$A$2:$A$11,0))),N(INDEX(Platforms!$C$5:$C$14,MATCH(H1455,Lists!$A$2:$A$11,0)))*(K1455+IF(INDEX(Platforms!$E$5:$E$14,MATCH(H1455,Lists!$A$2:$A$11,0))="Yes",N(L1455),0))+N(INDEX(Platforms!$D$5:$D$14,MATCH(H1455,Lists!$A$2:$A$11,0)))))),""))</f>
        <v/>
      </c>
      <c r="R1455" s="16" t="str">
        <f t="shared" si="89"/>
        <v/>
      </c>
      <c r="S1455" s="17" t="str">
        <f t="shared" si="90"/>
        <v/>
      </c>
      <c r="T1455" s="18" t="str">
        <f t="shared" ca="1" si="91"/>
        <v/>
      </c>
    </row>
    <row r="1456" spans="1:20" x14ac:dyDescent="0.35">
      <c r="A1456" s="11"/>
      <c r="B1456" s="11"/>
      <c r="C1456" s="11"/>
      <c r="D1456" s="12"/>
      <c r="E1456" s="11"/>
      <c r="F1456" s="13"/>
      <c r="G1456" s="13"/>
      <c r="H1456" s="11"/>
      <c r="I1456" s="12"/>
      <c r="J1456" s="12"/>
      <c r="K1456" s="13"/>
      <c r="L1456" s="13"/>
      <c r="M1456" s="13"/>
      <c r="N1456" s="13"/>
      <c r="O1456" s="13"/>
      <c r="P1456" s="14" t="str">
        <f t="shared" si="88"/>
        <v/>
      </c>
      <c r="Q1456" s="15" t="str">
        <f>IF(OR(J1456="",H1456=""),"",IFERROR(IF(ISNUMBER(N1456),N1456,IF(K1456&lt;N(INDEX(Platforms!$G$5:$G$14,MATCH(H1456,Lists!$A$2:$A$11,0))),N(INDEX(Platforms!$H$5:$H$14,MATCH(H1456,Lists!$A$2:$A$11,0))),MAX(N(INDEX(Platforms!$F$5:$F$14,MATCH(H1456,Lists!$A$2:$A$11,0))),N(INDEX(Platforms!$C$5:$C$14,MATCH(H1456,Lists!$A$2:$A$11,0)))*(K1456+IF(INDEX(Platforms!$E$5:$E$14,MATCH(H1456,Lists!$A$2:$A$11,0))="Yes",N(L1456),0))+N(INDEX(Platforms!$D$5:$D$14,MATCH(H1456,Lists!$A$2:$A$11,0)))))),""))</f>
        <v/>
      </c>
      <c r="R1456" s="16" t="str">
        <f t="shared" si="89"/>
        <v/>
      </c>
      <c r="S1456" s="17" t="str">
        <f t="shared" si="90"/>
        <v/>
      </c>
      <c r="T1456" s="18" t="str">
        <f t="shared" ca="1" si="91"/>
        <v/>
      </c>
    </row>
    <row r="1457" spans="1:20" x14ac:dyDescent="0.35">
      <c r="A1457" s="11"/>
      <c r="B1457" s="11"/>
      <c r="C1457" s="11"/>
      <c r="D1457" s="12"/>
      <c r="E1457" s="11"/>
      <c r="F1457" s="13"/>
      <c r="G1457" s="13"/>
      <c r="H1457" s="11"/>
      <c r="I1457" s="12"/>
      <c r="J1457" s="12"/>
      <c r="K1457" s="13"/>
      <c r="L1457" s="13"/>
      <c r="M1457" s="13"/>
      <c r="N1457" s="13"/>
      <c r="O1457" s="13"/>
      <c r="P1457" s="14" t="str">
        <f t="shared" si="88"/>
        <v/>
      </c>
      <c r="Q1457" s="15" t="str">
        <f>IF(OR(J1457="",H1457=""),"",IFERROR(IF(ISNUMBER(N1457),N1457,IF(K1457&lt;N(INDEX(Platforms!$G$5:$G$14,MATCH(H1457,Lists!$A$2:$A$11,0))),N(INDEX(Platforms!$H$5:$H$14,MATCH(H1457,Lists!$A$2:$A$11,0))),MAX(N(INDEX(Platforms!$F$5:$F$14,MATCH(H1457,Lists!$A$2:$A$11,0))),N(INDEX(Platforms!$C$5:$C$14,MATCH(H1457,Lists!$A$2:$A$11,0)))*(K1457+IF(INDEX(Platforms!$E$5:$E$14,MATCH(H1457,Lists!$A$2:$A$11,0))="Yes",N(L1457),0))+N(INDEX(Platforms!$D$5:$D$14,MATCH(H1457,Lists!$A$2:$A$11,0)))))),""))</f>
        <v/>
      </c>
      <c r="R1457" s="16" t="str">
        <f t="shared" si="89"/>
        <v/>
      </c>
      <c r="S1457" s="17" t="str">
        <f t="shared" si="90"/>
        <v/>
      </c>
      <c r="T1457" s="18" t="str">
        <f t="shared" ca="1" si="91"/>
        <v/>
      </c>
    </row>
    <row r="1458" spans="1:20" x14ac:dyDescent="0.35">
      <c r="A1458" s="11"/>
      <c r="B1458" s="11"/>
      <c r="C1458" s="11"/>
      <c r="D1458" s="12"/>
      <c r="E1458" s="11"/>
      <c r="F1458" s="13"/>
      <c r="G1458" s="13"/>
      <c r="H1458" s="11"/>
      <c r="I1458" s="12"/>
      <c r="J1458" s="12"/>
      <c r="K1458" s="13"/>
      <c r="L1458" s="13"/>
      <c r="M1458" s="13"/>
      <c r="N1458" s="13"/>
      <c r="O1458" s="13"/>
      <c r="P1458" s="14" t="str">
        <f t="shared" si="88"/>
        <v/>
      </c>
      <c r="Q1458" s="15" t="str">
        <f>IF(OR(J1458="",H1458=""),"",IFERROR(IF(ISNUMBER(N1458),N1458,IF(K1458&lt;N(INDEX(Platforms!$G$5:$G$14,MATCH(H1458,Lists!$A$2:$A$11,0))),N(INDEX(Platforms!$H$5:$H$14,MATCH(H1458,Lists!$A$2:$A$11,0))),MAX(N(INDEX(Platforms!$F$5:$F$14,MATCH(H1458,Lists!$A$2:$A$11,0))),N(INDEX(Platforms!$C$5:$C$14,MATCH(H1458,Lists!$A$2:$A$11,0)))*(K1458+IF(INDEX(Platforms!$E$5:$E$14,MATCH(H1458,Lists!$A$2:$A$11,0))="Yes",N(L1458),0))+N(INDEX(Platforms!$D$5:$D$14,MATCH(H1458,Lists!$A$2:$A$11,0)))))),""))</f>
        <v/>
      </c>
      <c r="R1458" s="16" t="str">
        <f t="shared" si="89"/>
        <v/>
      </c>
      <c r="S1458" s="17" t="str">
        <f t="shared" si="90"/>
        <v/>
      </c>
      <c r="T1458" s="18" t="str">
        <f t="shared" ca="1" si="91"/>
        <v/>
      </c>
    </row>
    <row r="1459" spans="1:20" x14ac:dyDescent="0.35">
      <c r="A1459" s="11"/>
      <c r="B1459" s="11"/>
      <c r="C1459" s="11"/>
      <c r="D1459" s="12"/>
      <c r="E1459" s="11"/>
      <c r="F1459" s="13"/>
      <c r="G1459" s="13"/>
      <c r="H1459" s="11"/>
      <c r="I1459" s="12"/>
      <c r="J1459" s="12"/>
      <c r="K1459" s="13"/>
      <c r="L1459" s="13"/>
      <c r="M1459" s="13"/>
      <c r="N1459" s="13"/>
      <c r="O1459" s="13"/>
      <c r="P1459" s="14" t="str">
        <f t="shared" si="88"/>
        <v/>
      </c>
      <c r="Q1459" s="15" t="str">
        <f>IF(OR(J1459="",H1459=""),"",IFERROR(IF(ISNUMBER(N1459),N1459,IF(K1459&lt;N(INDEX(Platforms!$G$5:$G$14,MATCH(H1459,Lists!$A$2:$A$11,0))),N(INDEX(Platforms!$H$5:$H$14,MATCH(H1459,Lists!$A$2:$A$11,0))),MAX(N(INDEX(Platforms!$F$5:$F$14,MATCH(H1459,Lists!$A$2:$A$11,0))),N(INDEX(Platforms!$C$5:$C$14,MATCH(H1459,Lists!$A$2:$A$11,0)))*(K1459+IF(INDEX(Platforms!$E$5:$E$14,MATCH(H1459,Lists!$A$2:$A$11,0))="Yes",N(L1459),0))+N(INDEX(Platforms!$D$5:$D$14,MATCH(H1459,Lists!$A$2:$A$11,0)))))),""))</f>
        <v/>
      </c>
      <c r="R1459" s="16" t="str">
        <f t="shared" si="89"/>
        <v/>
      </c>
      <c r="S1459" s="17" t="str">
        <f t="shared" si="90"/>
        <v/>
      </c>
      <c r="T1459" s="18" t="str">
        <f t="shared" ca="1" si="91"/>
        <v/>
      </c>
    </row>
    <row r="1460" spans="1:20" x14ac:dyDescent="0.35">
      <c r="A1460" s="11"/>
      <c r="B1460" s="11"/>
      <c r="C1460" s="11"/>
      <c r="D1460" s="12"/>
      <c r="E1460" s="11"/>
      <c r="F1460" s="13"/>
      <c r="G1460" s="13"/>
      <c r="H1460" s="11"/>
      <c r="I1460" s="12"/>
      <c r="J1460" s="12"/>
      <c r="K1460" s="13"/>
      <c r="L1460" s="13"/>
      <c r="M1460" s="13"/>
      <c r="N1460" s="13"/>
      <c r="O1460" s="13"/>
      <c r="P1460" s="14" t="str">
        <f t="shared" si="88"/>
        <v/>
      </c>
      <c r="Q1460" s="15" t="str">
        <f>IF(OR(J1460="",H1460=""),"",IFERROR(IF(ISNUMBER(N1460),N1460,IF(K1460&lt;N(INDEX(Platforms!$G$5:$G$14,MATCH(H1460,Lists!$A$2:$A$11,0))),N(INDEX(Platforms!$H$5:$H$14,MATCH(H1460,Lists!$A$2:$A$11,0))),MAX(N(INDEX(Platforms!$F$5:$F$14,MATCH(H1460,Lists!$A$2:$A$11,0))),N(INDEX(Platforms!$C$5:$C$14,MATCH(H1460,Lists!$A$2:$A$11,0)))*(K1460+IF(INDEX(Platforms!$E$5:$E$14,MATCH(H1460,Lists!$A$2:$A$11,0))="Yes",N(L1460),0))+N(INDEX(Platforms!$D$5:$D$14,MATCH(H1460,Lists!$A$2:$A$11,0)))))),""))</f>
        <v/>
      </c>
      <c r="R1460" s="16" t="str">
        <f t="shared" si="89"/>
        <v/>
      </c>
      <c r="S1460" s="17" t="str">
        <f t="shared" si="90"/>
        <v/>
      </c>
      <c r="T1460" s="18" t="str">
        <f t="shared" ca="1" si="91"/>
        <v/>
      </c>
    </row>
    <row r="1461" spans="1:20" x14ac:dyDescent="0.35">
      <c r="A1461" s="11"/>
      <c r="B1461" s="11"/>
      <c r="C1461" s="11"/>
      <c r="D1461" s="12"/>
      <c r="E1461" s="11"/>
      <c r="F1461" s="13"/>
      <c r="G1461" s="13"/>
      <c r="H1461" s="11"/>
      <c r="I1461" s="12"/>
      <c r="J1461" s="12"/>
      <c r="K1461" s="13"/>
      <c r="L1461" s="13"/>
      <c r="M1461" s="13"/>
      <c r="N1461" s="13"/>
      <c r="O1461" s="13"/>
      <c r="P1461" s="14" t="str">
        <f t="shared" si="88"/>
        <v/>
      </c>
      <c r="Q1461" s="15" t="str">
        <f>IF(OR(J1461="",H1461=""),"",IFERROR(IF(ISNUMBER(N1461),N1461,IF(K1461&lt;N(INDEX(Platforms!$G$5:$G$14,MATCH(H1461,Lists!$A$2:$A$11,0))),N(INDEX(Platforms!$H$5:$H$14,MATCH(H1461,Lists!$A$2:$A$11,0))),MAX(N(INDEX(Platforms!$F$5:$F$14,MATCH(H1461,Lists!$A$2:$A$11,0))),N(INDEX(Platforms!$C$5:$C$14,MATCH(H1461,Lists!$A$2:$A$11,0)))*(K1461+IF(INDEX(Platforms!$E$5:$E$14,MATCH(H1461,Lists!$A$2:$A$11,0))="Yes",N(L1461),0))+N(INDEX(Platforms!$D$5:$D$14,MATCH(H1461,Lists!$A$2:$A$11,0)))))),""))</f>
        <v/>
      </c>
      <c r="R1461" s="16" t="str">
        <f t="shared" si="89"/>
        <v/>
      </c>
      <c r="S1461" s="17" t="str">
        <f t="shared" si="90"/>
        <v/>
      </c>
      <c r="T1461" s="18" t="str">
        <f t="shared" ca="1" si="91"/>
        <v/>
      </c>
    </row>
    <row r="1462" spans="1:20" x14ac:dyDescent="0.35">
      <c r="A1462" s="11"/>
      <c r="B1462" s="11"/>
      <c r="C1462" s="11"/>
      <c r="D1462" s="12"/>
      <c r="E1462" s="11"/>
      <c r="F1462" s="13"/>
      <c r="G1462" s="13"/>
      <c r="H1462" s="11"/>
      <c r="I1462" s="12"/>
      <c r="J1462" s="12"/>
      <c r="K1462" s="13"/>
      <c r="L1462" s="13"/>
      <c r="M1462" s="13"/>
      <c r="N1462" s="13"/>
      <c r="O1462" s="13"/>
      <c r="P1462" s="14" t="str">
        <f t="shared" si="88"/>
        <v/>
      </c>
      <c r="Q1462" s="15" t="str">
        <f>IF(OR(J1462="",H1462=""),"",IFERROR(IF(ISNUMBER(N1462),N1462,IF(K1462&lt;N(INDEX(Platforms!$G$5:$G$14,MATCH(H1462,Lists!$A$2:$A$11,0))),N(INDEX(Platforms!$H$5:$H$14,MATCH(H1462,Lists!$A$2:$A$11,0))),MAX(N(INDEX(Platforms!$F$5:$F$14,MATCH(H1462,Lists!$A$2:$A$11,0))),N(INDEX(Platforms!$C$5:$C$14,MATCH(H1462,Lists!$A$2:$A$11,0)))*(K1462+IF(INDEX(Platforms!$E$5:$E$14,MATCH(H1462,Lists!$A$2:$A$11,0))="Yes",N(L1462),0))+N(INDEX(Platforms!$D$5:$D$14,MATCH(H1462,Lists!$A$2:$A$11,0)))))),""))</f>
        <v/>
      </c>
      <c r="R1462" s="16" t="str">
        <f t="shared" si="89"/>
        <v/>
      </c>
      <c r="S1462" s="17" t="str">
        <f t="shared" si="90"/>
        <v/>
      </c>
      <c r="T1462" s="18" t="str">
        <f t="shared" ca="1" si="91"/>
        <v/>
      </c>
    </row>
    <row r="1463" spans="1:20" x14ac:dyDescent="0.35">
      <c r="A1463" s="11"/>
      <c r="B1463" s="11"/>
      <c r="C1463" s="11"/>
      <c r="D1463" s="12"/>
      <c r="E1463" s="11"/>
      <c r="F1463" s="13"/>
      <c r="G1463" s="13"/>
      <c r="H1463" s="11"/>
      <c r="I1463" s="12"/>
      <c r="J1463" s="12"/>
      <c r="K1463" s="13"/>
      <c r="L1463" s="13"/>
      <c r="M1463" s="13"/>
      <c r="N1463" s="13"/>
      <c r="O1463" s="13"/>
      <c r="P1463" s="14" t="str">
        <f t="shared" si="88"/>
        <v/>
      </c>
      <c r="Q1463" s="15" t="str">
        <f>IF(OR(J1463="",H1463=""),"",IFERROR(IF(ISNUMBER(N1463),N1463,IF(K1463&lt;N(INDEX(Platforms!$G$5:$G$14,MATCH(H1463,Lists!$A$2:$A$11,0))),N(INDEX(Platforms!$H$5:$H$14,MATCH(H1463,Lists!$A$2:$A$11,0))),MAX(N(INDEX(Platforms!$F$5:$F$14,MATCH(H1463,Lists!$A$2:$A$11,0))),N(INDEX(Platforms!$C$5:$C$14,MATCH(H1463,Lists!$A$2:$A$11,0)))*(K1463+IF(INDEX(Platforms!$E$5:$E$14,MATCH(H1463,Lists!$A$2:$A$11,0))="Yes",N(L1463),0))+N(INDEX(Platforms!$D$5:$D$14,MATCH(H1463,Lists!$A$2:$A$11,0)))))),""))</f>
        <v/>
      </c>
      <c r="R1463" s="16" t="str">
        <f t="shared" si="89"/>
        <v/>
      </c>
      <c r="S1463" s="17" t="str">
        <f t="shared" si="90"/>
        <v/>
      </c>
      <c r="T1463" s="18" t="str">
        <f t="shared" ca="1" si="91"/>
        <v/>
      </c>
    </row>
    <row r="1464" spans="1:20" x14ac:dyDescent="0.35">
      <c r="A1464" s="11"/>
      <c r="B1464" s="11"/>
      <c r="C1464" s="11"/>
      <c r="D1464" s="12"/>
      <c r="E1464" s="11"/>
      <c r="F1464" s="13"/>
      <c r="G1464" s="13"/>
      <c r="H1464" s="11"/>
      <c r="I1464" s="12"/>
      <c r="J1464" s="12"/>
      <c r="K1464" s="13"/>
      <c r="L1464" s="13"/>
      <c r="M1464" s="13"/>
      <c r="N1464" s="13"/>
      <c r="O1464" s="13"/>
      <c r="P1464" s="14" t="str">
        <f t="shared" si="88"/>
        <v/>
      </c>
      <c r="Q1464" s="15" t="str">
        <f>IF(OR(J1464="",H1464=""),"",IFERROR(IF(ISNUMBER(N1464),N1464,IF(K1464&lt;N(INDEX(Platforms!$G$5:$G$14,MATCH(H1464,Lists!$A$2:$A$11,0))),N(INDEX(Platforms!$H$5:$H$14,MATCH(H1464,Lists!$A$2:$A$11,0))),MAX(N(INDEX(Platforms!$F$5:$F$14,MATCH(H1464,Lists!$A$2:$A$11,0))),N(INDEX(Platforms!$C$5:$C$14,MATCH(H1464,Lists!$A$2:$A$11,0)))*(K1464+IF(INDEX(Platforms!$E$5:$E$14,MATCH(H1464,Lists!$A$2:$A$11,0))="Yes",N(L1464),0))+N(INDEX(Platforms!$D$5:$D$14,MATCH(H1464,Lists!$A$2:$A$11,0)))))),""))</f>
        <v/>
      </c>
      <c r="R1464" s="16" t="str">
        <f t="shared" si="89"/>
        <v/>
      </c>
      <c r="S1464" s="17" t="str">
        <f t="shared" si="90"/>
        <v/>
      </c>
      <c r="T1464" s="18" t="str">
        <f t="shared" ca="1" si="91"/>
        <v/>
      </c>
    </row>
    <row r="1465" spans="1:20" x14ac:dyDescent="0.35">
      <c r="A1465" s="11"/>
      <c r="B1465" s="11"/>
      <c r="C1465" s="11"/>
      <c r="D1465" s="12"/>
      <c r="E1465" s="11"/>
      <c r="F1465" s="13"/>
      <c r="G1465" s="13"/>
      <c r="H1465" s="11"/>
      <c r="I1465" s="12"/>
      <c r="J1465" s="12"/>
      <c r="K1465" s="13"/>
      <c r="L1465" s="13"/>
      <c r="M1465" s="13"/>
      <c r="N1465" s="13"/>
      <c r="O1465" s="13"/>
      <c r="P1465" s="14" t="str">
        <f t="shared" si="88"/>
        <v/>
      </c>
      <c r="Q1465" s="15" t="str">
        <f>IF(OR(J1465="",H1465=""),"",IFERROR(IF(ISNUMBER(N1465),N1465,IF(K1465&lt;N(INDEX(Platforms!$G$5:$G$14,MATCH(H1465,Lists!$A$2:$A$11,0))),N(INDEX(Platforms!$H$5:$H$14,MATCH(H1465,Lists!$A$2:$A$11,0))),MAX(N(INDEX(Platforms!$F$5:$F$14,MATCH(H1465,Lists!$A$2:$A$11,0))),N(INDEX(Platforms!$C$5:$C$14,MATCH(H1465,Lists!$A$2:$A$11,0)))*(K1465+IF(INDEX(Platforms!$E$5:$E$14,MATCH(H1465,Lists!$A$2:$A$11,0))="Yes",N(L1465),0))+N(INDEX(Platforms!$D$5:$D$14,MATCH(H1465,Lists!$A$2:$A$11,0)))))),""))</f>
        <v/>
      </c>
      <c r="R1465" s="16" t="str">
        <f t="shared" si="89"/>
        <v/>
      </c>
      <c r="S1465" s="17" t="str">
        <f t="shared" si="90"/>
        <v/>
      </c>
      <c r="T1465" s="18" t="str">
        <f t="shared" ca="1" si="91"/>
        <v/>
      </c>
    </row>
    <row r="1466" spans="1:20" x14ac:dyDescent="0.35">
      <c r="A1466" s="11"/>
      <c r="B1466" s="11"/>
      <c r="C1466" s="11"/>
      <c r="D1466" s="12"/>
      <c r="E1466" s="11"/>
      <c r="F1466" s="13"/>
      <c r="G1466" s="13"/>
      <c r="H1466" s="11"/>
      <c r="I1466" s="12"/>
      <c r="J1466" s="12"/>
      <c r="K1466" s="13"/>
      <c r="L1466" s="13"/>
      <c r="M1466" s="13"/>
      <c r="N1466" s="13"/>
      <c r="O1466" s="13"/>
      <c r="P1466" s="14" t="str">
        <f t="shared" si="88"/>
        <v/>
      </c>
      <c r="Q1466" s="15" t="str">
        <f>IF(OR(J1466="",H1466=""),"",IFERROR(IF(ISNUMBER(N1466),N1466,IF(K1466&lt;N(INDEX(Platforms!$G$5:$G$14,MATCH(H1466,Lists!$A$2:$A$11,0))),N(INDEX(Platforms!$H$5:$H$14,MATCH(H1466,Lists!$A$2:$A$11,0))),MAX(N(INDEX(Platforms!$F$5:$F$14,MATCH(H1466,Lists!$A$2:$A$11,0))),N(INDEX(Platforms!$C$5:$C$14,MATCH(H1466,Lists!$A$2:$A$11,0)))*(K1466+IF(INDEX(Platforms!$E$5:$E$14,MATCH(H1466,Lists!$A$2:$A$11,0))="Yes",N(L1466),0))+N(INDEX(Platforms!$D$5:$D$14,MATCH(H1466,Lists!$A$2:$A$11,0)))))),""))</f>
        <v/>
      </c>
      <c r="R1466" s="16" t="str">
        <f t="shared" si="89"/>
        <v/>
      </c>
      <c r="S1466" s="17" t="str">
        <f t="shared" si="90"/>
        <v/>
      </c>
      <c r="T1466" s="18" t="str">
        <f t="shared" ca="1" si="91"/>
        <v/>
      </c>
    </row>
    <row r="1467" spans="1:20" x14ac:dyDescent="0.35">
      <c r="A1467" s="11"/>
      <c r="B1467" s="11"/>
      <c r="C1467" s="11"/>
      <c r="D1467" s="12"/>
      <c r="E1467" s="11"/>
      <c r="F1467" s="13"/>
      <c r="G1467" s="13"/>
      <c r="H1467" s="11"/>
      <c r="I1467" s="12"/>
      <c r="J1467" s="12"/>
      <c r="K1467" s="13"/>
      <c r="L1467" s="13"/>
      <c r="M1467" s="13"/>
      <c r="N1467" s="13"/>
      <c r="O1467" s="13"/>
      <c r="P1467" s="14" t="str">
        <f t="shared" si="88"/>
        <v/>
      </c>
      <c r="Q1467" s="15" t="str">
        <f>IF(OR(J1467="",H1467=""),"",IFERROR(IF(ISNUMBER(N1467),N1467,IF(K1467&lt;N(INDEX(Platforms!$G$5:$G$14,MATCH(H1467,Lists!$A$2:$A$11,0))),N(INDEX(Platforms!$H$5:$H$14,MATCH(H1467,Lists!$A$2:$A$11,0))),MAX(N(INDEX(Platforms!$F$5:$F$14,MATCH(H1467,Lists!$A$2:$A$11,0))),N(INDEX(Platforms!$C$5:$C$14,MATCH(H1467,Lists!$A$2:$A$11,0)))*(K1467+IF(INDEX(Platforms!$E$5:$E$14,MATCH(H1467,Lists!$A$2:$A$11,0))="Yes",N(L1467),0))+N(INDEX(Platforms!$D$5:$D$14,MATCH(H1467,Lists!$A$2:$A$11,0)))))),""))</f>
        <v/>
      </c>
      <c r="R1467" s="16" t="str">
        <f t="shared" si="89"/>
        <v/>
      </c>
      <c r="S1467" s="17" t="str">
        <f t="shared" si="90"/>
        <v/>
      </c>
      <c r="T1467" s="18" t="str">
        <f t="shared" ca="1" si="91"/>
        <v/>
      </c>
    </row>
    <row r="1468" spans="1:20" x14ac:dyDescent="0.35">
      <c r="A1468" s="11"/>
      <c r="B1468" s="11"/>
      <c r="C1468" s="11"/>
      <c r="D1468" s="12"/>
      <c r="E1468" s="11"/>
      <c r="F1468" s="13"/>
      <c r="G1468" s="13"/>
      <c r="H1468" s="11"/>
      <c r="I1468" s="12"/>
      <c r="J1468" s="12"/>
      <c r="K1468" s="13"/>
      <c r="L1468" s="13"/>
      <c r="M1468" s="13"/>
      <c r="N1468" s="13"/>
      <c r="O1468" s="13"/>
      <c r="P1468" s="14" t="str">
        <f t="shared" si="88"/>
        <v/>
      </c>
      <c r="Q1468" s="15" t="str">
        <f>IF(OR(J1468="",H1468=""),"",IFERROR(IF(ISNUMBER(N1468),N1468,IF(K1468&lt;N(INDEX(Platforms!$G$5:$G$14,MATCH(H1468,Lists!$A$2:$A$11,0))),N(INDEX(Platforms!$H$5:$H$14,MATCH(H1468,Lists!$A$2:$A$11,0))),MAX(N(INDEX(Platforms!$F$5:$F$14,MATCH(H1468,Lists!$A$2:$A$11,0))),N(INDEX(Platforms!$C$5:$C$14,MATCH(H1468,Lists!$A$2:$A$11,0)))*(K1468+IF(INDEX(Platforms!$E$5:$E$14,MATCH(H1468,Lists!$A$2:$A$11,0))="Yes",N(L1468),0))+N(INDEX(Platforms!$D$5:$D$14,MATCH(H1468,Lists!$A$2:$A$11,0)))))),""))</f>
        <v/>
      </c>
      <c r="R1468" s="16" t="str">
        <f t="shared" si="89"/>
        <v/>
      </c>
      <c r="S1468" s="17" t="str">
        <f t="shared" si="90"/>
        <v/>
      </c>
      <c r="T1468" s="18" t="str">
        <f t="shared" ca="1" si="91"/>
        <v/>
      </c>
    </row>
    <row r="1469" spans="1:20" x14ac:dyDescent="0.35">
      <c r="A1469" s="11"/>
      <c r="B1469" s="11"/>
      <c r="C1469" s="11"/>
      <c r="D1469" s="12"/>
      <c r="E1469" s="11"/>
      <c r="F1469" s="13"/>
      <c r="G1469" s="13"/>
      <c r="H1469" s="11"/>
      <c r="I1469" s="12"/>
      <c r="J1469" s="12"/>
      <c r="K1469" s="13"/>
      <c r="L1469" s="13"/>
      <c r="M1469" s="13"/>
      <c r="N1469" s="13"/>
      <c r="O1469" s="13"/>
      <c r="P1469" s="14" t="str">
        <f t="shared" si="88"/>
        <v/>
      </c>
      <c r="Q1469" s="15" t="str">
        <f>IF(OR(J1469="",H1469=""),"",IFERROR(IF(ISNUMBER(N1469),N1469,IF(K1469&lt;N(INDEX(Platforms!$G$5:$G$14,MATCH(H1469,Lists!$A$2:$A$11,0))),N(INDEX(Platforms!$H$5:$H$14,MATCH(H1469,Lists!$A$2:$A$11,0))),MAX(N(INDEX(Platforms!$F$5:$F$14,MATCH(H1469,Lists!$A$2:$A$11,0))),N(INDEX(Platforms!$C$5:$C$14,MATCH(H1469,Lists!$A$2:$A$11,0)))*(K1469+IF(INDEX(Platforms!$E$5:$E$14,MATCH(H1469,Lists!$A$2:$A$11,0))="Yes",N(L1469),0))+N(INDEX(Platforms!$D$5:$D$14,MATCH(H1469,Lists!$A$2:$A$11,0)))))),""))</f>
        <v/>
      </c>
      <c r="R1469" s="16" t="str">
        <f t="shared" si="89"/>
        <v/>
      </c>
      <c r="S1469" s="17" t="str">
        <f t="shared" si="90"/>
        <v/>
      </c>
      <c r="T1469" s="18" t="str">
        <f t="shared" ca="1" si="91"/>
        <v/>
      </c>
    </row>
    <row r="1470" spans="1:20" x14ac:dyDescent="0.35">
      <c r="A1470" s="11"/>
      <c r="B1470" s="11"/>
      <c r="C1470" s="11"/>
      <c r="D1470" s="12"/>
      <c r="E1470" s="11"/>
      <c r="F1470" s="13"/>
      <c r="G1470" s="13"/>
      <c r="H1470" s="11"/>
      <c r="I1470" s="12"/>
      <c r="J1470" s="12"/>
      <c r="K1470" s="13"/>
      <c r="L1470" s="13"/>
      <c r="M1470" s="13"/>
      <c r="N1470" s="13"/>
      <c r="O1470" s="13"/>
      <c r="P1470" s="14" t="str">
        <f t="shared" si="88"/>
        <v/>
      </c>
      <c r="Q1470" s="15" t="str">
        <f>IF(OR(J1470="",H1470=""),"",IFERROR(IF(ISNUMBER(N1470),N1470,IF(K1470&lt;N(INDEX(Platforms!$G$5:$G$14,MATCH(H1470,Lists!$A$2:$A$11,0))),N(INDEX(Platforms!$H$5:$H$14,MATCH(H1470,Lists!$A$2:$A$11,0))),MAX(N(INDEX(Platforms!$F$5:$F$14,MATCH(H1470,Lists!$A$2:$A$11,0))),N(INDEX(Platforms!$C$5:$C$14,MATCH(H1470,Lists!$A$2:$A$11,0)))*(K1470+IF(INDEX(Platforms!$E$5:$E$14,MATCH(H1470,Lists!$A$2:$A$11,0))="Yes",N(L1470),0))+N(INDEX(Platforms!$D$5:$D$14,MATCH(H1470,Lists!$A$2:$A$11,0)))))),""))</f>
        <v/>
      </c>
      <c r="R1470" s="16" t="str">
        <f t="shared" si="89"/>
        <v/>
      </c>
      <c r="S1470" s="17" t="str">
        <f t="shared" si="90"/>
        <v/>
      </c>
      <c r="T1470" s="18" t="str">
        <f t="shared" ca="1" si="91"/>
        <v/>
      </c>
    </row>
    <row r="1471" spans="1:20" x14ac:dyDescent="0.35">
      <c r="A1471" s="11"/>
      <c r="B1471" s="11"/>
      <c r="C1471" s="11"/>
      <c r="D1471" s="12"/>
      <c r="E1471" s="11"/>
      <c r="F1471" s="13"/>
      <c r="G1471" s="13"/>
      <c r="H1471" s="11"/>
      <c r="I1471" s="12"/>
      <c r="J1471" s="12"/>
      <c r="K1471" s="13"/>
      <c r="L1471" s="13"/>
      <c r="M1471" s="13"/>
      <c r="N1471" s="13"/>
      <c r="O1471" s="13"/>
      <c r="P1471" s="14" t="str">
        <f t="shared" si="88"/>
        <v/>
      </c>
      <c r="Q1471" s="15" t="str">
        <f>IF(OR(J1471="",H1471=""),"",IFERROR(IF(ISNUMBER(N1471),N1471,IF(K1471&lt;N(INDEX(Platforms!$G$5:$G$14,MATCH(H1471,Lists!$A$2:$A$11,0))),N(INDEX(Platforms!$H$5:$H$14,MATCH(H1471,Lists!$A$2:$A$11,0))),MAX(N(INDEX(Platforms!$F$5:$F$14,MATCH(H1471,Lists!$A$2:$A$11,0))),N(INDEX(Platforms!$C$5:$C$14,MATCH(H1471,Lists!$A$2:$A$11,0)))*(K1471+IF(INDEX(Platforms!$E$5:$E$14,MATCH(H1471,Lists!$A$2:$A$11,0))="Yes",N(L1471),0))+N(INDEX(Platforms!$D$5:$D$14,MATCH(H1471,Lists!$A$2:$A$11,0)))))),""))</f>
        <v/>
      </c>
      <c r="R1471" s="16" t="str">
        <f t="shared" si="89"/>
        <v/>
      </c>
      <c r="S1471" s="17" t="str">
        <f t="shared" si="90"/>
        <v/>
      </c>
      <c r="T1471" s="18" t="str">
        <f t="shared" ca="1" si="91"/>
        <v/>
      </c>
    </row>
    <row r="1472" spans="1:20" x14ac:dyDescent="0.35">
      <c r="A1472" s="11"/>
      <c r="B1472" s="11"/>
      <c r="C1472" s="11"/>
      <c r="D1472" s="12"/>
      <c r="E1472" s="11"/>
      <c r="F1472" s="13"/>
      <c r="G1472" s="13"/>
      <c r="H1472" s="11"/>
      <c r="I1472" s="12"/>
      <c r="J1472" s="12"/>
      <c r="K1472" s="13"/>
      <c r="L1472" s="13"/>
      <c r="M1472" s="13"/>
      <c r="N1472" s="13"/>
      <c r="O1472" s="13"/>
      <c r="P1472" s="14" t="str">
        <f t="shared" si="88"/>
        <v/>
      </c>
      <c r="Q1472" s="15" t="str">
        <f>IF(OR(J1472="",H1472=""),"",IFERROR(IF(ISNUMBER(N1472),N1472,IF(K1472&lt;N(INDEX(Platforms!$G$5:$G$14,MATCH(H1472,Lists!$A$2:$A$11,0))),N(INDEX(Platforms!$H$5:$H$14,MATCH(H1472,Lists!$A$2:$A$11,0))),MAX(N(INDEX(Platforms!$F$5:$F$14,MATCH(H1472,Lists!$A$2:$A$11,0))),N(INDEX(Platforms!$C$5:$C$14,MATCH(H1472,Lists!$A$2:$A$11,0)))*(K1472+IF(INDEX(Platforms!$E$5:$E$14,MATCH(H1472,Lists!$A$2:$A$11,0))="Yes",N(L1472),0))+N(INDEX(Platforms!$D$5:$D$14,MATCH(H1472,Lists!$A$2:$A$11,0)))))),""))</f>
        <v/>
      </c>
      <c r="R1472" s="16" t="str">
        <f t="shared" si="89"/>
        <v/>
      </c>
      <c r="S1472" s="17" t="str">
        <f t="shared" si="90"/>
        <v/>
      </c>
      <c r="T1472" s="18" t="str">
        <f t="shared" ca="1" si="91"/>
        <v/>
      </c>
    </row>
    <row r="1473" spans="1:20" x14ac:dyDescent="0.35">
      <c r="A1473" s="11"/>
      <c r="B1473" s="11"/>
      <c r="C1473" s="11"/>
      <c r="D1473" s="12"/>
      <c r="E1473" s="11"/>
      <c r="F1473" s="13"/>
      <c r="G1473" s="13"/>
      <c r="H1473" s="11"/>
      <c r="I1473" s="12"/>
      <c r="J1473" s="12"/>
      <c r="K1473" s="13"/>
      <c r="L1473" s="13"/>
      <c r="M1473" s="13"/>
      <c r="N1473" s="13"/>
      <c r="O1473" s="13"/>
      <c r="P1473" s="14" t="str">
        <f t="shared" si="88"/>
        <v/>
      </c>
      <c r="Q1473" s="15" t="str">
        <f>IF(OR(J1473="",H1473=""),"",IFERROR(IF(ISNUMBER(N1473),N1473,IF(K1473&lt;N(INDEX(Platforms!$G$5:$G$14,MATCH(H1473,Lists!$A$2:$A$11,0))),N(INDEX(Platforms!$H$5:$H$14,MATCH(H1473,Lists!$A$2:$A$11,0))),MAX(N(INDEX(Platforms!$F$5:$F$14,MATCH(H1473,Lists!$A$2:$A$11,0))),N(INDEX(Platforms!$C$5:$C$14,MATCH(H1473,Lists!$A$2:$A$11,0)))*(K1473+IF(INDEX(Platforms!$E$5:$E$14,MATCH(H1473,Lists!$A$2:$A$11,0))="Yes",N(L1473),0))+N(INDEX(Platforms!$D$5:$D$14,MATCH(H1473,Lists!$A$2:$A$11,0)))))),""))</f>
        <v/>
      </c>
      <c r="R1473" s="16" t="str">
        <f t="shared" si="89"/>
        <v/>
      </c>
      <c r="S1473" s="17" t="str">
        <f t="shared" si="90"/>
        <v/>
      </c>
      <c r="T1473" s="18" t="str">
        <f t="shared" ca="1" si="91"/>
        <v/>
      </c>
    </row>
    <row r="1474" spans="1:20" x14ac:dyDescent="0.35">
      <c r="A1474" s="11"/>
      <c r="B1474" s="11"/>
      <c r="C1474" s="11"/>
      <c r="D1474" s="12"/>
      <c r="E1474" s="11"/>
      <c r="F1474" s="13"/>
      <c r="G1474" s="13"/>
      <c r="H1474" s="11"/>
      <c r="I1474" s="12"/>
      <c r="J1474" s="12"/>
      <c r="K1474" s="13"/>
      <c r="L1474" s="13"/>
      <c r="M1474" s="13"/>
      <c r="N1474" s="13"/>
      <c r="O1474" s="13"/>
      <c r="P1474" s="14" t="str">
        <f t="shared" si="88"/>
        <v/>
      </c>
      <c r="Q1474" s="15" t="str">
        <f>IF(OR(J1474="",H1474=""),"",IFERROR(IF(ISNUMBER(N1474),N1474,IF(K1474&lt;N(INDEX(Platforms!$G$5:$G$14,MATCH(H1474,Lists!$A$2:$A$11,0))),N(INDEX(Platforms!$H$5:$H$14,MATCH(H1474,Lists!$A$2:$A$11,0))),MAX(N(INDEX(Platforms!$F$5:$F$14,MATCH(H1474,Lists!$A$2:$A$11,0))),N(INDEX(Platforms!$C$5:$C$14,MATCH(H1474,Lists!$A$2:$A$11,0)))*(K1474+IF(INDEX(Platforms!$E$5:$E$14,MATCH(H1474,Lists!$A$2:$A$11,0))="Yes",N(L1474),0))+N(INDEX(Platforms!$D$5:$D$14,MATCH(H1474,Lists!$A$2:$A$11,0)))))),""))</f>
        <v/>
      </c>
      <c r="R1474" s="16" t="str">
        <f t="shared" si="89"/>
        <v/>
      </c>
      <c r="S1474" s="17" t="str">
        <f t="shared" si="90"/>
        <v/>
      </c>
      <c r="T1474" s="18" t="str">
        <f t="shared" ca="1" si="91"/>
        <v/>
      </c>
    </row>
    <row r="1475" spans="1:20" x14ac:dyDescent="0.35">
      <c r="A1475" s="11"/>
      <c r="B1475" s="11"/>
      <c r="C1475" s="11"/>
      <c r="D1475" s="12"/>
      <c r="E1475" s="11"/>
      <c r="F1475" s="13"/>
      <c r="G1475" s="13"/>
      <c r="H1475" s="11"/>
      <c r="I1475" s="12"/>
      <c r="J1475" s="12"/>
      <c r="K1475" s="13"/>
      <c r="L1475" s="13"/>
      <c r="M1475" s="13"/>
      <c r="N1475" s="13"/>
      <c r="O1475" s="13"/>
      <c r="P1475" s="14" t="str">
        <f t="shared" si="88"/>
        <v/>
      </c>
      <c r="Q1475" s="15" t="str">
        <f>IF(OR(J1475="",H1475=""),"",IFERROR(IF(ISNUMBER(N1475),N1475,IF(K1475&lt;N(INDEX(Platforms!$G$5:$G$14,MATCH(H1475,Lists!$A$2:$A$11,0))),N(INDEX(Platforms!$H$5:$H$14,MATCH(H1475,Lists!$A$2:$A$11,0))),MAX(N(INDEX(Platforms!$F$5:$F$14,MATCH(H1475,Lists!$A$2:$A$11,0))),N(INDEX(Platforms!$C$5:$C$14,MATCH(H1475,Lists!$A$2:$A$11,0)))*(K1475+IF(INDEX(Platforms!$E$5:$E$14,MATCH(H1475,Lists!$A$2:$A$11,0))="Yes",N(L1475),0))+N(INDEX(Platforms!$D$5:$D$14,MATCH(H1475,Lists!$A$2:$A$11,0)))))),""))</f>
        <v/>
      </c>
      <c r="R1475" s="16" t="str">
        <f t="shared" si="89"/>
        <v/>
      </c>
      <c r="S1475" s="17" t="str">
        <f t="shared" si="90"/>
        <v/>
      </c>
      <c r="T1475" s="18" t="str">
        <f t="shared" ca="1" si="91"/>
        <v/>
      </c>
    </row>
    <row r="1476" spans="1:20" x14ac:dyDescent="0.35">
      <c r="A1476" s="11"/>
      <c r="B1476" s="11"/>
      <c r="C1476" s="11"/>
      <c r="D1476" s="12"/>
      <c r="E1476" s="11"/>
      <c r="F1476" s="13"/>
      <c r="G1476" s="13"/>
      <c r="H1476" s="11"/>
      <c r="I1476" s="12"/>
      <c r="J1476" s="12"/>
      <c r="K1476" s="13"/>
      <c r="L1476" s="13"/>
      <c r="M1476" s="13"/>
      <c r="N1476" s="13"/>
      <c r="O1476" s="13"/>
      <c r="P1476" s="14" t="str">
        <f t="shared" si="88"/>
        <v/>
      </c>
      <c r="Q1476" s="15" t="str">
        <f>IF(OR(J1476="",H1476=""),"",IFERROR(IF(ISNUMBER(N1476),N1476,IF(K1476&lt;N(INDEX(Platforms!$G$5:$G$14,MATCH(H1476,Lists!$A$2:$A$11,0))),N(INDEX(Platforms!$H$5:$H$14,MATCH(H1476,Lists!$A$2:$A$11,0))),MAX(N(INDEX(Platforms!$F$5:$F$14,MATCH(H1476,Lists!$A$2:$A$11,0))),N(INDEX(Platforms!$C$5:$C$14,MATCH(H1476,Lists!$A$2:$A$11,0)))*(K1476+IF(INDEX(Platforms!$E$5:$E$14,MATCH(H1476,Lists!$A$2:$A$11,0))="Yes",N(L1476),0))+N(INDEX(Platforms!$D$5:$D$14,MATCH(H1476,Lists!$A$2:$A$11,0)))))),""))</f>
        <v/>
      </c>
      <c r="R1476" s="16" t="str">
        <f t="shared" si="89"/>
        <v/>
      </c>
      <c r="S1476" s="17" t="str">
        <f t="shared" si="90"/>
        <v/>
      </c>
      <c r="T1476" s="18" t="str">
        <f t="shared" ca="1" si="91"/>
        <v/>
      </c>
    </row>
    <row r="1477" spans="1:20" x14ac:dyDescent="0.35">
      <c r="A1477" s="11"/>
      <c r="B1477" s="11"/>
      <c r="C1477" s="11"/>
      <c r="D1477" s="12"/>
      <c r="E1477" s="11"/>
      <c r="F1477" s="13"/>
      <c r="G1477" s="13"/>
      <c r="H1477" s="11"/>
      <c r="I1477" s="12"/>
      <c r="J1477" s="12"/>
      <c r="K1477" s="13"/>
      <c r="L1477" s="13"/>
      <c r="M1477" s="13"/>
      <c r="N1477" s="13"/>
      <c r="O1477" s="13"/>
      <c r="P1477" s="14" t="str">
        <f t="shared" ref="P1477:P1540" si="92">IF(OR(B1477&lt;&gt;"",F1477&lt;&gt;"",H1477&lt;&gt;"",J1477&lt;&gt;"",K1477&lt;&gt;""),IF(J1477&lt;&gt;"","Sold",IF(I1477&lt;&gt;"","Listed","In stock")),"")</f>
        <v/>
      </c>
      <c r="Q1477" s="15" t="str">
        <f>IF(OR(J1477="",H1477=""),"",IFERROR(IF(ISNUMBER(N1477),N1477,IF(K1477&lt;N(INDEX(Platforms!$G$5:$G$14,MATCH(H1477,Lists!$A$2:$A$11,0))),N(INDEX(Platforms!$H$5:$H$14,MATCH(H1477,Lists!$A$2:$A$11,0))),MAX(N(INDEX(Platforms!$F$5:$F$14,MATCH(H1477,Lists!$A$2:$A$11,0))),N(INDEX(Platforms!$C$5:$C$14,MATCH(H1477,Lists!$A$2:$A$11,0)))*(K1477+IF(INDEX(Platforms!$E$5:$E$14,MATCH(H1477,Lists!$A$2:$A$11,0))="Yes",N(L1477),0))+N(INDEX(Platforms!$D$5:$D$14,MATCH(H1477,Lists!$A$2:$A$11,0)))))),""))</f>
        <v/>
      </c>
      <c r="R1477" s="16" t="str">
        <f t="shared" ref="R1477:R1540" si="93">IF(J1477="","",IFERROR(K1477+N(L1477)-N(O1477)-Q1477-N(M1477)-N(F1477)-N(G1477),""))</f>
        <v/>
      </c>
      <c r="S1477" s="17" t="str">
        <f t="shared" ref="S1477:S1540" si="94">IF(OR(R1477="",N(F1477)+N(G1477)=0),"",R1477/(N(F1477)+N(G1477)))</f>
        <v/>
      </c>
      <c r="T1477" s="18" t="str">
        <f t="shared" ref="T1477:T1540" ca="1" si="95">IFERROR(IF(ISNUMBER(D1477),IF(ISNUMBER(J1477),J1477,IF(J1477="",TODAY(),""))-D1477,""),"")</f>
        <v/>
      </c>
    </row>
    <row r="1478" spans="1:20" x14ac:dyDescent="0.35">
      <c r="A1478" s="11"/>
      <c r="B1478" s="11"/>
      <c r="C1478" s="11"/>
      <c r="D1478" s="12"/>
      <c r="E1478" s="11"/>
      <c r="F1478" s="13"/>
      <c r="G1478" s="13"/>
      <c r="H1478" s="11"/>
      <c r="I1478" s="12"/>
      <c r="J1478" s="12"/>
      <c r="K1478" s="13"/>
      <c r="L1478" s="13"/>
      <c r="M1478" s="13"/>
      <c r="N1478" s="13"/>
      <c r="O1478" s="13"/>
      <c r="P1478" s="14" t="str">
        <f t="shared" si="92"/>
        <v/>
      </c>
      <c r="Q1478" s="15" t="str">
        <f>IF(OR(J1478="",H1478=""),"",IFERROR(IF(ISNUMBER(N1478),N1478,IF(K1478&lt;N(INDEX(Platforms!$G$5:$G$14,MATCH(H1478,Lists!$A$2:$A$11,0))),N(INDEX(Platforms!$H$5:$H$14,MATCH(H1478,Lists!$A$2:$A$11,0))),MAX(N(INDEX(Platforms!$F$5:$F$14,MATCH(H1478,Lists!$A$2:$A$11,0))),N(INDEX(Platforms!$C$5:$C$14,MATCH(H1478,Lists!$A$2:$A$11,0)))*(K1478+IF(INDEX(Platforms!$E$5:$E$14,MATCH(H1478,Lists!$A$2:$A$11,0))="Yes",N(L1478),0))+N(INDEX(Platforms!$D$5:$D$14,MATCH(H1478,Lists!$A$2:$A$11,0)))))),""))</f>
        <v/>
      </c>
      <c r="R1478" s="16" t="str">
        <f t="shared" si="93"/>
        <v/>
      </c>
      <c r="S1478" s="17" t="str">
        <f t="shared" si="94"/>
        <v/>
      </c>
      <c r="T1478" s="18" t="str">
        <f t="shared" ca="1" si="95"/>
        <v/>
      </c>
    </row>
    <row r="1479" spans="1:20" x14ac:dyDescent="0.35">
      <c r="A1479" s="11"/>
      <c r="B1479" s="11"/>
      <c r="C1479" s="11"/>
      <c r="D1479" s="12"/>
      <c r="E1479" s="11"/>
      <c r="F1479" s="13"/>
      <c r="G1479" s="13"/>
      <c r="H1479" s="11"/>
      <c r="I1479" s="12"/>
      <c r="J1479" s="12"/>
      <c r="K1479" s="13"/>
      <c r="L1479" s="13"/>
      <c r="M1479" s="13"/>
      <c r="N1479" s="13"/>
      <c r="O1479" s="13"/>
      <c r="P1479" s="14" t="str">
        <f t="shared" si="92"/>
        <v/>
      </c>
      <c r="Q1479" s="15" t="str">
        <f>IF(OR(J1479="",H1479=""),"",IFERROR(IF(ISNUMBER(N1479),N1479,IF(K1479&lt;N(INDEX(Platforms!$G$5:$G$14,MATCH(H1479,Lists!$A$2:$A$11,0))),N(INDEX(Platforms!$H$5:$H$14,MATCH(H1479,Lists!$A$2:$A$11,0))),MAX(N(INDEX(Platforms!$F$5:$F$14,MATCH(H1479,Lists!$A$2:$A$11,0))),N(INDEX(Platforms!$C$5:$C$14,MATCH(H1479,Lists!$A$2:$A$11,0)))*(K1479+IF(INDEX(Platforms!$E$5:$E$14,MATCH(H1479,Lists!$A$2:$A$11,0))="Yes",N(L1479),0))+N(INDEX(Platforms!$D$5:$D$14,MATCH(H1479,Lists!$A$2:$A$11,0)))))),""))</f>
        <v/>
      </c>
      <c r="R1479" s="16" t="str">
        <f t="shared" si="93"/>
        <v/>
      </c>
      <c r="S1479" s="17" t="str">
        <f t="shared" si="94"/>
        <v/>
      </c>
      <c r="T1479" s="18" t="str">
        <f t="shared" ca="1" si="95"/>
        <v/>
      </c>
    </row>
    <row r="1480" spans="1:20" x14ac:dyDescent="0.35">
      <c r="A1480" s="11"/>
      <c r="B1480" s="11"/>
      <c r="C1480" s="11"/>
      <c r="D1480" s="12"/>
      <c r="E1480" s="11"/>
      <c r="F1480" s="13"/>
      <c r="G1480" s="13"/>
      <c r="H1480" s="11"/>
      <c r="I1480" s="12"/>
      <c r="J1480" s="12"/>
      <c r="K1480" s="13"/>
      <c r="L1480" s="13"/>
      <c r="M1480" s="13"/>
      <c r="N1480" s="13"/>
      <c r="O1480" s="13"/>
      <c r="P1480" s="14" t="str">
        <f t="shared" si="92"/>
        <v/>
      </c>
      <c r="Q1480" s="15" t="str">
        <f>IF(OR(J1480="",H1480=""),"",IFERROR(IF(ISNUMBER(N1480),N1480,IF(K1480&lt;N(INDEX(Platforms!$G$5:$G$14,MATCH(H1480,Lists!$A$2:$A$11,0))),N(INDEX(Platforms!$H$5:$H$14,MATCH(H1480,Lists!$A$2:$A$11,0))),MAX(N(INDEX(Platforms!$F$5:$F$14,MATCH(H1480,Lists!$A$2:$A$11,0))),N(INDEX(Platforms!$C$5:$C$14,MATCH(H1480,Lists!$A$2:$A$11,0)))*(K1480+IF(INDEX(Platforms!$E$5:$E$14,MATCH(H1480,Lists!$A$2:$A$11,0))="Yes",N(L1480),0))+N(INDEX(Platforms!$D$5:$D$14,MATCH(H1480,Lists!$A$2:$A$11,0)))))),""))</f>
        <v/>
      </c>
      <c r="R1480" s="16" t="str">
        <f t="shared" si="93"/>
        <v/>
      </c>
      <c r="S1480" s="17" t="str">
        <f t="shared" si="94"/>
        <v/>
      </c>
      <c r="T1480" s="18" t="str">
        <f t="shared" ca="1" si="95"/>
        <v/>
      </c>
    </row>
    <row r="1481" spans="1:20" x14ac:dyDescent="0.35">
      <c r="A1481" s="11"/>
      <c r="B1481" s="11"/>
      <c r="C1481" s="11"/>
      <c r="D1481" s="12"/>
      <c r="E1481" s="11"/>
      <c r="F1481" s="13"/>
      <c r="G1481" s="13"/>
      <c r="H1481" s="11"/>
      <c r="I1481" s="12"/>
      <c r="J1481" s="12"/>
      <c r="K1481" s="13"/>
      <c r="L1481" s="13"/>
      <c r="M1481" s="13"/>
      <c r="N1481" s="13"/>
      <c r="O1481" s="13"/>
      <c r="P1481" s="14" t="str">
        <f t="shared" si="92"/>
        <v/>
      </c>
      <c r="Q1481" s="15" t="str">
        <f>IF(OR(J1481="",H1481=""),"",IFERROR(IF(ISNUMBER(N1481),N1481,IF(K1481&lt;N(INDEX(Platforms!$G$5:$G$14,MATCH(H1481,Lists!$A$2:$A$11,0))),N(INDEX(Platforms!$H$5:$H$14,MATCH(H1481,Lists!$A$2:$A$11,0))),MAX(N(INDEX(Platforms!$F$5:$F$14,MATCH(H1481,Lists!$A$2:$A$11,0))),N(INDEX(Platforms!$C$5:$C$14,MATCH(H1481,Lists!$A$2:$A$11,0)))*(K1481+IF(INDEX(Platforms!$E$5:$E$14,MATCH(H1481,Lists!$A$2:$A$11,0))="Yes",N(L1481),0))+N(INDEX(Platforms!$D$5:$D$14,MATCH(H1481,Lists!$A$2:$A$11,0)))))),""))</f>
        <v/>
      </c>
      <c r="R1481" s="16" t="str">
        <f t="shared" si="93"/>
        <v/>
      </c>
      <c r="S1481" s="17" t="str">
        <f t="shared" si="94"/>
        <v/>
      </c>
      <c r="T1481" s="18" t="str">
        <f t="shared" ca="1" si="95"/>
        <v/>
      </c>
    </row>
    <row r="1482" spans="1:20" x14ac:dyDescent="0.35">
      <c r="A1482" s="11"/>
      <c r="B1482" s="11"/>
      <c r="C1482" s="11"/>
      <c r="D1482" s="12"/>
      <c r="E1482" s="11"/>
      <c r="F1482" s="13"/>
      <c r="G1482" s="13"/>
      <c r="H1482" s="11"/>
      <c r="I1482" s="12"/>
      <c r="J1482" s="12"/>
      <c r="K1482" s="13"/>
      <c r="L1482" s="13"/>
      <c r="M1482" s="13"/>
      <c r="N1482" s="13"/>
      <c r="O1482" s="13"/>
      <c r="P1482" s="14" t="str">
        <f t="shared" si="92"/>
        <v/>
      </c>
      <c r="Q1482" s="15" t="str">
        <f>IF(OR(J1482="",H1482=""),"",IFERROR(IF(ISNUMBER(N1482),N1482,IF(K1482&lt;N(INDEX(Platforms!$G$5:$G$14,MATCH(H1482,Lists!$A$2:$A$11,0))),N(INDEX(Platforms!$H$5:$H$14,MATCH(H1482,Lists!$A$2:$A$11,0))),MAX(N(INDEX(Platforms!$F$5:$F$14,MATCH(H1482,Lists!$A$2:$A$11,0))),N(INDEX(Platforms!$C$5:$C$14,MATCH(H1482,Lists!$A$2:$A$11,0)))*(K1482+IF(INDEX(Platforms!$E$5:$E$14,MATCH(H1482,Lists!$A$2:$A$11,0))="Yes",N(L1482),0))+N(INDEX(Platforms!$D$5:$D$14,MATCH(H1482,Lists!$A$2:$A$11,0)))))),""))</f>
        <v/>
      </c>
      <c r="R1482" s="16" t="str">
        <f t="shared" si="93"/>
        <v/>
      </c>
      <c r="S1482" s="17" t="str">
        <f t="shared" si="94"/>
        <v/>
      </c>
      <c r="T1482" s="18" t="str">
        <f t="shared" ca="1" si="95"/>
        <v/>
      </c>
    </row>
    <row r="1483" spans="1:20" x14ac:dyDescent="0.35">
      <c r="A1483" s="11"/>
      <c r="B1483" s="11"/>
      <c r="C1483" s="11"/>
      <c r="D1483" s="12"/>
      <c r="E1483" s="11"/>
      <c r="F1483" s="13"/>
      <c r="G1483" s="13"/>
      <c r="H1483" s="11"/>
      <c r="I1483" s="12"/>
      <c r="J1483" s="12"/>
      <c r="K1483" s="13"/>
      <c r="L1483" s="13"/>
      <c r="M1483" s="13"/>
      <c r="N1483" s="13"/>
      <c r="O1483" s="13"/>
      <c r="P1483" s="14" t="str">
        <f t="shared" si="92"/>
        <v/>
      </c>
      <c r="Q1483" s="15" t="str">
        <f>IF(OR(J1483="",H1483=""),"",IFERROR(IF(ISNUMBER(N1483),N1483,IF(K1483&lt;N(INDEX(Platforms!$G$5:$G$14,MATCH(H1483,Lists!$A$2:$A$11,0))),N(INDEX(Platforms!$H$5:$H$14,MATCH(H1483,Lists!$A$2:$A$11,0))),MAX(N(INDEX(Platforms!$F$5:$F$14,MATCH(H1483,Lists!$A$2:$A$11,0))),N(INDEX(Platforms!$C$5:$C$14,MATCH(H1483,Lists!$A$2:$A$11,0)))*(K1483+IF(INDEX(Platforms!$E$5:$E$14,MATCH(H1483,Lists!$A$2:$A$11,0))="Yes",N(L1483),0))+N(INDEX(Platforms!$D$5:$D$14,MATCH(H1483,Lists!$A$2:$A$11,0)))))),""))</f>
        <v/>
      </c>
      <c r="R1483" s="16" t="str">
        <f t="shared" si="93"/>
        <v/>
      </c>
      <c r="S1483" s="17" t="str">
        <f t="shared" si="94"/>
        <v/>
      </c>
      <c r="T1483" s="18" t="str">
        <f t="shared" ca="1" si="95"/>
        <v/>
      </c>
    </row>
    <row r="1484" spans="1:20" x14ac:dyDescent="0.35">
      <c r="A1484" s="11"/>
      <c r="B1484" s="11"/>
      <c r="C1484" s="11"/>
      <c r="D1484" s="12"/>
      <c r="E1484" s="11"/>
      <c r="F1484" s="13"/>
      <c r="G1484" s="13"/>
      <c r="H1484" s="11"/>
      <c r="I1484" s="12"/>
      <c r="J1484" s="12"/>
      <c r="K1484" s="13"/>
      <c r="L1484" s="13"/>
      <c r="M1484" s="13"/>
      <c r="N1484" s="13"/>
      <c r="O1484" s="13"/>
      <c r="P1484" s="14" t="str">
        <f t="shared" si="92"/>
        <v/>
      </c>
      <c r="Q1484" s="15" t="str">
        <f>IF(OR(J1484="",H1484=""),"",IFERROR(IF(ISNUMBER(N1484),N1484,IF(K1484&lt;N(INDEX(Platforms!$G$5:$G$14,MATCH(H1484,Lists!$A$2:$A$11,0))),N(INDEX(Platforms!$H$5:$H$14,MATCH(H1484,Lists!$A$2:$A$11,0))),MAX(N(INDEX(Platforms!$F$5:$F$14,MATCH(H1484,Lists!$A$2:$A$11,0))),N(INDEX(Platforms!$C$5:$C$14,MATCH(H1484,Lists!$A$2:$A$11,0)))*(K1484+IF(INDEX(Platforms!$E$5:$E$14,MATCH(H1484,Lists!$A$2:$A$11,0))="Yes",N(L1484),0))+N(INDEX(Platforms!$D$5:$D$14,MATCH(H1484,Lists!$A$2:$A$11,0)))))),""))</f>
        <v/>
      </c>
      <c r="R1484" s="16" t="str">
        <f t="shared" si="93"/>
        <v/>
      </c>
      <c r="S1484" s="17" t="str">
        <f t="shared" si="94"/>
        <v/>
      </c>
      <c r="T1484" s="18" t="str">
        <f t="shared" ca="1" si="95"/>
        <v/>
      </c>
    </row>
    <row r="1485" spans="1:20" x14ac:dyDescent="0.35">
      <c r="A1485" s="11"/>
      <c r="B1485" s="11"/>
      <c r="C1485" s="11"/>
      <c r="D1485" s="12"/>
      <c r="E1485" s="11"/>
      <c r="F1485" s="13"/>
      <c r="G1485" s="13"/>
      <c r="H1485" s="11"/>
      <c r="I1485" s="12"/>
      <c r="J1485" s="12"/>
      <c r="K1485" s="13"/>
      <c r="L1485" s="13"/>
      <c r="M1485" s="13"/>
      <c r="N1485" s="13"/>
      <c r="O1485" s="13"/>
      <c r="P1485" s="14" t="str">
        <f t="shared" si="92"/>
        <v/>
      </c>
      <c r="Q1485" s="15" t="str">
        <f>IF(OR(J1485="",H1485=""),"",IFERROR(IF(ISNUMBER(N1485),N1485,IF(K1485&lt;N(INDEX(Platforms!$G$5:$G$14,MATCH(H1485,Lists!$A$2:$A$11,0))),N(INDEX(Platforms!$H$5:$H$14,MATCH(H1485,Lists!$A$2:$A$11,0))),MAX(N(INDEX(Platforms!$F$5:$F$14,MATCH(H1485,Lists!$A$2:$A$11,0))),N(INDEX(Platforms!$C$5:$C$14,MATCH(H1485,Lists!$A$2:$A$11,0)))*(K1485+IF(INDEX(Platforms!$E$5:$E$14,MATCH(H1485,Lists!$A$2:$A$11,0))="Yes",N(L1485),0))+N(INDEX(Platforms!$D$5:$D$14,MATCH(H1485,Lists!$A$2:$A$11,0)))))),""))</f>
        <v/>
      </c>
      <c r="R1485" s="16" t="str">
        <f t="shared" si="93"/>
        <v/>
      </c>
      <c r="S1485" s="17" t="str">
        <f t="shared" si="94"/>
        <v/>
      </c>
      <c r="T1485" s="18" t="str">
        <f t="shared" ca="1" si="95"/>
        <v/>
      </c>
    </row>
    <row r="1486" spans="1:20" x14ac:dyDescent="0.35">
      <c r="A1486" s="11"/>
      <c r="B1486" s="11"/>
      <c r="C1486" s="11"/>
      <c r="D1486" s="12"/>
      <c r="E1486" s="11"/>
      <c r="F1486" s="13"/>
      <c r="G1486" s="13"/>
      <c r="H1486" s="11"/>
      <c r="I1486" s="12"/>
      <c r="J1486" s="12"/>
      <c r="K1486" s="13"/>
      <c r="L1486" s="13"/>
      <c r="M1486" s="13"/>
      <c r="N1486" s="13"/>
      <c r="O1486" s="13"/>
      <c r="P1486" s="14" t="str">
        <f t="shared" si="92"/>
        <v/>
      </c>
      <c r="Q1486" s="15" t="str">
        <f>IF(OR(J1486="",H1486=""),"",IFERROR(IF(ISNUMBER(N1486),N1486,IF(K1486&lt;N(INDEX(Platforms!$G$5:$G$14,MATCH(H1486,Lists!$A$2:$A$11,0))),N(INDEX(Platforms!$H$5:$H$14,MATCH(H1486,Lists!$A$2:$A$11,0))),MAX(N(INDEX(Platforms!$F$5:$F$14,MATCH(H1486,Lists!$A$2:$A$11,0))),N(INDEX(Platforms!$C$5:$C$14,MATCH(H1486,Lists!$A$2:$A$11,0)))*(K1486+IF(INDEX(Platforms!$E$5:$E$14,MATCH(H1486,Lists!$A$2:$A$11,0))="Yes",N(L1486),0))+N(INDEX(Platforms!$D$5:$D$14,MATCH(H1486,Lists!$A$2:$A$11,0)))))),""))</f>
        <v/>
      </c>
      <c r="R1486" s="16" t="str">
        <f t="shared" si="93"/>
        <v/>
      </c>
      <c r="S1486" s="17" t="str">
        <f t="shared" si="94"/>
        <v/>
      </c>
      <c r="T1486" s="18" t="str">
        <f t="shared" ca="1" si="95"/>
        <v/>
      </c>
    </row>
    <row r="1487" spans="1:20" x14ac:dyDescent="0.35">
      <c r="A1487" s="11"/>
      <c r="B1487" s="11"/>
      <c r="C1487" s="11"/>
      <c r="D1487" s="12"/>
      <c r="E1487" s="11"/>
      <c r="F1487" s="13"/>
      <c r="G1487" s="13"/>
      <c r="H1487" s="11"/>
      <c r="I1487" s="12"/>
      <c r="J1487" s="12"/>
      <c r="K1487" s="13"/>
      <c r="L1487" s="13"/>
      <c r="M1487" s="13"/>
      <c r="N1487" s="13"/>
      <c r="O1487" s="13"/>
      <c r="P1487" s="14" t="str">
        <f t="shared" si="92"/>
        <v/>
      </c>
      <c r="Q1487" s="15" t="str">
        <f>IF(OR(J1487="",H1487=""),"",IFERROR(IF(ISNUMBER(N1487),N1487,IF(K1487&lt;N(INDEX(Platforms!$G$5:$G$14,MATCH(H1487,Lists!$A$2:$A$11,0))),N(INDEX(Platforms!$H$5:$H$14,MATCH(H1487,Lists!$A$2:$A$11,0))),MAX(N(INDEX(Platforms!$F$5:$F$14,MATCH(H1487,Lists!$A$2:$A$11,0))),N(INDEX(Platforms!$C$5:$C$14,MATCH(H1487,Lists!$A$2:$A$11,0)))*(K1487+IF(INDEX(Platforms!$E$5:$E$14,MATCH(H1487,Lists!$A$2:$A$11,0))="Yes",N(L1487),0))+N(INDEX(Platforms!$D$5:$D$14,MATCH(H1487,Lists!$A$2:$A$11,0)))))),""))</f>
        <v/>
      </c>
      <c r="R1487" s="16" t="str">
        <f t="shared" si="93"/>
        <v/>
      </c>
      <c r="S1487" s="17" t="str">
        <f t="shared" si="94"/>
        <v/>
      </c>
      <c r="T1487" s="18" t="str">
        <f t="shared" ca="1" si="95"/>
        <v/>
      </c>
    </row>
    <row r="1488" spans="1:20" x14ac:dyDescent="0.35">
      <c r="A1488" s="11"/>
      <c r="B1488" s="11"/>
      <c r="C1488" s="11"/>
      <c r="D1488" s="12"/>
      <c r="E1488" s="11"/>
      <c r="F1488" s="13"/>
      <c r="G1488" s="13"/>
      <c r="H1488" s="11"/>
      <c r="I1488" s="12"/>
      <c r="J1488" s="12"/>
      <c r="K1488" s="13"/>
      <c r="L1488" s="13"/>
      <c r="M1488" s="13"/>
      <c r="N1488" s="13"/>
      <c r="O1488" s="13"/>
      <c r="P1488" s="14" t="str">
        <f t="shared" si="92"/>
        <v/>
      </c>
      <c r="Q1488" s="15" t="str">
        <f>IF(OR(J1488="",H1488=""),"",IFERROR(IF(ISNUMBER(N1488),N1488,IF(K1488&lt;N(INDEX(Platforms!$G$5:$G$14,MATCH(H1488,Lists!$A$2:$A$11,0))),N(INDEX(Platforms!$H$5:$H$14,MATCH(H1488,Lists!$A$2:$A$11,0))),MAX(N(INDEX(Platforms!$F$5:$F$14,MATCH(H1488,Lists!$A$2:$A$11,0))),N(INDEX(Platforms!$C$5:$C$14,MATCH(H1488,Lists!$A$2:$A$11,0)))*(K1488+IF(INDEX(Platforms!$E$5:$E$14,MATCH(H1488,Lists!$A$2:$A$11,0))="Yes",N(L1488),0))+N(INDEX(Platforms!$D$5:$D$14,MATCH(H1488,Lists!$A$2:$A$11,0)))))),""))</f>
        <v/>
      </c>
      <c r="R1488" s="16" t="str">
        <f t="shared" si="93"/>
        <v/>
      </c>
      <c r="S1488" s="17" t="str">
        <f t="shared" si="94"/>
        <v/>
      </c>
      <c r="T1488" s="18" t="str">
        <f t="shared" ca="1" si="95"/>
        <v/>
      </c>
    </row>
    <row r="1489" spans="1:20" x14ac:dyDescent="0.35">
      <c r="A1489" s="11"/>
      <c r="B1489" s="11"/>
      <c r="C1489" s="11"/>
      <c r="D1489" s="12"/>
      <c r="E1489" s="11"/>
      <c r="F1489" s="13"/>
      <c r="G1489" s="13"/>
      <c r="H1489" s="11"/>
      <c r="I1489" s="12"/>
      <c r="J1489" s="12"/>
      <c r="K1489" s="13"/>
      <c r="L1489" s="13"/>
      <c r="M1489" s="13"/>
      <c r="N1489" s="13"/>
      <c r="O1489" s="13"/>
      <c r="P1489" s="14" t="str">
        <f t="shared" si="92"/>
        <v/>
      </c>
      <c r="Q1489" s="15" t="str">
        <f>IF(OR(J1489="",H1489=""),"",IFERROR(IF(ISNUMBER(N1489),N1489,IF(K1489&lt;N(INDEX(Platforms!$G$5:$G$14,MATCH(H1489,Lists!$A$2:$A$11,0))),N(INDEX(Platforms!$H$5:$H$14,MATCH(H1489,Lists!$A$2:$A$11,0))),MAX(N(INDEX(Platforms!$F$5:$F$14,MATCH(H1489,Lists!$A$2:$A$11,0))),N(INDEX(Platforms!$C$5:$C$14,MATCH(H1489,Lists!$A$2:$A$11,0)))*(K1489+IF(INDEX(Platforms!$E$5:$E$14,MATCH(H1489,Lists!$A$2:$A$11,0))="Yes",N(L1489),0))+N(INDEX(Platforms!$D$5:$D$14,MATCH(H1489,Lists!$A$2:$A$11,0)))))),""))</f>
        <v/>
      </c>
      <c r="R1489" s="16" t="str">
        <f t="shared" si="93"/>
        <v/>
      </c>
      <c r="S1489" s="17" t="str">
        <f t="shared" si="94"/>
        <v/>
      </c>
      <c r="T1489" s="18" t="str">
        <f t="shared" ca="1" si="95"/>
        <v/>
      </c>
    </row>
    <row r="1490" spans="1:20" x14ac:dyDescent="0.35">
      <c r="A1490" s="11"/>
      <c r="B1490" s="11"/>
      <c r="C1490" s="11"/>
      <c r="D1490" s="12"/>
      <c r="E1490" s="11"/>
      <c r="F1490" s="13"/>
      <c r="G1490" s="13"/>
      <c r="H1490" s="11"/>
      <c r="I1490" s="12"/>
      <c r="J1490" s="12"/>
      <c r="K1490" s="13"/>
      <c r="L1490" s="13"/>
      <c r="M1490" s="13"/>
      <c r="N1490" s="13"/>
      <c r="O1490" s="13"/>
      <c r="P1490" s="14" t="str">
        <f t="shared" si="92"/>
        <v/>
      </c>
      <c r="Q1490" s="15" t="str">
        <f>IF(OR(J1490="",H1490=""),"",IFERROR(IF(ISNUMBER(N1490),N1490,IF(K1490&lt;N(INDEX(Platforms!$G$5:$G$14,MATCH(H1490,Lists!$A$2:$A$11,0))),N(INDEX(Platforms!$H$5:$H$14,MATCH(H1490,Lists!$A$2:$A$11,0))),MAX(N(INDEX(Platforms!$F$5:$F$14,MATCH(H1490,Lists!$A$2:$A$11,0))),N(INDEX(Platforms!$C$5:$C$14,MATCH(H1490,Lists!$A$2:$A$11,0)))*(K1490+IF(INDEX(Platforms!$E$5:$E$14,MATCH(H1490,Lists!$A$2:$A$11,0))="Yes",N(L1490),0))+N(INDEX(Platforms!$D$5:$D$14,MATCH(H1490,Lists!$A$2:$A$11,0)))))),""))</f>
        <v/>
      </c>
      <c r="R1490" s="16" t="str">
        <f t="shared" si="93"/>
        <v/>
      </c>
      <c r="S1490" s="17" t="str">
        <f t="shared" si="94"/>
        <v/>
      </c>
      <c r="T1490" s="18" t="str">
        <f t="shared" ca="1" si="95"/>
        <v/>
      </c>
    </row>
    <row r="1491" spans="1:20" x14ac:dyDescent="0.35">
      <c r="A1491" s="11"/>
      <c r="B1491" s="11"/>
      <c r="C1491" s="11"/>
      <c r="D1491" s="12"/>
      <c r="E1491" s="11"/>
      <c r="F1491" s="13"/>
      <c r="G1491" s="13"/>
      <c r="H1491" s="11"/>
      <c r="I1491" s="12"/>
      <c r="J1491" s="12"/>
      <c r="K1491" s="13"/>
      <c r="L1491" s="13"/>
      <c r="M1491" s="13"/>
      <c r="N1491" s="13"/>
      <c r="O1491" s="13"/>
      <c r="P1491" s="14" t="str">
        <f t="shared" si="92"/>
        <v/>
      </c>
      <c r="Q1491" s="15" t="str">
        <f>IF(OR(J1491="",H1491=""),"",IFERROR(IF(ISNUMBER(N1491),N1491,IF(K1491&lt;N(INDEX(Platforms!$G$5:$G$14,MATCH(H1491,Lists!$A$2:$A$11,0))),N(INDEX(Platforms!$H$5:$H$14,MATCH(H1491,Lists!$A$2:$A$11,0))),MAX(N(INDEX(Platforms!$F$5:$F$14,MATCH(H1491,Lists!$A$2:$A$11,0))),N(INDEX(Platforms!$C$5:$C$14,MATCH(H1491,Lists!$A$2:$A$11,0)))*(K1491+IF(INDEX(Platforms!$E$5:$E$14,MATCH(H1491,Lists!$A$2:$A$11,0))="Yes",N(L1491),0))+N(INDEX(Platforms!$D$5:$D$14,MATCH(H1491,Lists!$A$2:$A$11,0)))))),""))</f>
        <v/>
      </c>
      <c r="R1491" s="16" t="str">
        <f t="shared" si="93"/>
        <v/>
      </c>
      <c r="S1491" s="17" t="str">
        <f t="shared" si="94"/>
        <v/>
      </c>
      <c r="T1491" s="18" t="str">
        <f t="shared" ca="1" si="95"/>
        <v/>
      </c>
    </row>
    <row r="1492" spans="1:20" x14ac:dyDescent="0.35">
      <c r="A1492" s="11"/>
      <c r="B1492" s="11"/>
      <c r="C1492" s="11"/>
      <c r="D1492" s="12"/>
      <c r="E1492" s="11"/>
      <c r="F1492" s="13"/>
      <c r="G1492" s="13"/>
      <c r="H1492" s="11"/>
      <c r="I1492" s="12"/>
      <c r="J1492" s="12"/>
      <c r="K1492" s="13"/>
      <c r="L1492" s="13"/>
      <c r="M1492" s="13"/>
      <c r="N1492" s="13"/>
      <c r="O1492" s="13"/>
      <c r="P1492" s="14" t="str">
        <f t="shared" si="92"/>
        <v/>
      </c>
      <c r="Q1492" s="15" t="str">
        <f>IF(OR(J1492="",H1492=""),"",IFERROR(IF(ISNUMBER(N1492),N1492,IF(K1492&lt;N(INDEX(Platforms!$G$5:$G$14,MATCH(H1492,Lists!$A$2:$A$11,0))),N(INDEX(Platforms!$H$5:$H$14,MATCH(H1492,Lists!$A$2:$A$11,0))),MAX(N(INDEX(Platforms!$F$5:$F$14,MATCH(H1492,Lists!$A$2:$A$11,0))),N(INDEX(Platforms!$C$5:$C$14,MATCH(H1492,Lists!$A$2:$A$11,0)))*(K1492+IF(INDEX(Platforms!$E$5:$E$14,MATCH(H1492,Lists!$A$2:$A$11,0))="Yes",N(L1492),0))+N(INDEX(Platforms!$D$5:$D$14,MATCH(H1492,Lists!$A$2:$A$11,0)))))),""))</f>
        <v/>
      </c>
      <c r="R1492" s="16" t="str">
        <f t="shared" si="93"/>
        <v/>
      </c>
      <c r="S1492" s="17" t="str">
        <f t="shared" si="94"/>
        <v/>
      </c>
      <c r="T1492" s="18" t="str">
        <f t="shared" ca="1" si="95"/>
        <v/>
      </c>
    </row>
    <row r="1493" spans="1:20" x14ac:dyDescent="0.35">
      <c r="A1493" s="11"/>
      <c r="B1493" s="11"/>
      <c r="C1493" s="11"/>
      <c r="D1493" s="12"/>
      <c r="E1493" s="11"/>
      <c r="F1493" s="13"/>
      <c r="G1493" s="13"/>
      <c r="H1493" s="11"/>
      <c r="I1493" s="12"/>
      <c r="J1493" s="12"/>
      <c r="K1493" s="13"/>
      <c r="L1493" s="13"/>
      <c r="M1493" s="13"/>
      <c r="N1493" s="13"/>
      <c r="O1493" s="13"/>
      <c r="P1493" s="14" t="str">
        <f t="shared" si="92"/>
        <v/>
      </c>
      <c r="Q1493" s="15" t="str">
        <f>IF(OR(J1493="",H1493=""),"",IFERROR(IF(ISNUMBER(N1493),N1493,IF(K1493&lt;N(INDEX(Platforms!$G$5:$G$14,MATCH(H1493,Lists!$A$2:$A$11,0))),N(INDEX(Platforms!$H$5:$H$14,MATCH(H1493,Lists!$A$2:$A$11,0))),MAX(N(INDEX(Platforms!$F$5:$F$14,MATCH(H1493,Lists!$A$2:$A$11,0))),N(INDEX(Platforms!$C$5:$C$14,MATCH(H1493,Lists!$A$2:$A$11,0)))*(K1493+IF(INDEX(Platforms!$E$5:$E$14,MATCH(H1493,Lists!$A$2:$A$11,0))="Yes",N(L1493),0))+N(INDEX(Platforms!$D$5:$D$14,MATCH(H1493,Lists!$A$2:$A$11,0)))))),""))</f>
        <v/>
      </c>
      <c r="R1493" s="16" t="str">
        <f t="shared" si="93"/>
        <v/>
      </c>
      <c r="S1493" s="17" t="str">
        <f t="shared" si="94"/>
        <v/>
      </c>
      <c r="T1493" s="18" t="str">
        <f t="shared" ca="1" si="95"/>
        <v/>
      </c>
    </row>
    <row r="1494" spans="1:20" x14ac:dyDescent="0.35">
      <c r="A1494" s="11"/>
      <c r="B1494" s="11"/>
      <c r="C1494" s="11"/>
      <c r="D1494" s="12"/>
      <c r="E1494" s="11"/>
      <c r="F1494" s="13"/>
      <c r="G1494" s="13"/>
      <c r="H1494" s="11"/>
      <c r="I1494" s="12"/>
      <c r="J1494" s="12"/>
      <c r="K1494" s="13"/>
      <c r="L1494" s="13"/>
      <c r="M1494" s="13"/>
      <c r="N1494" s="13"/>
      <c r="O1494" s="13"/>
      <c r="P1494" s="14" t="str">
        <f t="shared" si="92"/>
        <v/>
      </c>
      <c r="Q1494" s="15" t="str">
        <f>IF(OR(J1494="",H1494=""),"",IFERROR(IF(ISNUMBER(N1494),N1494,IF(K1494&lt;N(INDEX(Platforms!$G$5:$G$14,MATCH(H1494,Lists!$A$2:$A$11,0))),N(INDEX(Platforms!$H$5:$H$14,MATCH(H1494,Lists!$A$2:$A$11,0))),MAX(N(INDEX(Platforms!$F$5:$F$14,MATCH(H1494,Lists!$A$2:$A$11,0))),N(INDEX(Platforms!$C$5:$C$14,MATCH(H1494,Lists!$A$2:$A$11,0)))*(K1494+IF(INDEX(Platforms!$E$5:$E$14,MATCH(H1494,Lists!$A$2:$A$11,0))="Yes",N(L1494),0))+N(INDEX(Platforms!$D$5:$D$14,MATCH(H1494,Lists!$A$2:$A$11,0)))))),""))</f>
        <v/>
      </c>
      <c r="R1494" s="16" t="str">
        <f t="shared" si="93"/>
        <v/>
      </c>
      <c r="S1494" s="17" t="str">
        <f t="shared" si="94"/>
        <v/>
      </c>
      <c r="T1494" s="18" t="str">
        <f t="shared" ca="1" si="95"/>
        <v/>
      </c>
    </row>
    <row r="1495" spans="1:20" x14ac:dyDescent="0.35">
      <c r="A1495" s="11"/>
      <c r="B1495" s="11"/>
      <c r="C1495" s="11"/>
      <c r="D1495" s="12"/>
      <c r="E1495" s="11"/>
      <c r="F1495" s="13"/>
      <c r="G1495" s="13"/>
      <c r="H1495" s="11"/>
      <c r="I1495" s="12"/>
      <c r="J1495" s="12"/>
      <c r="K1495" s="13"/>
      <c r="L1495" s="13"/>
      <c r="M1495" s="13"/>
      <c r="N1495" s="13"/>
      <c r="O1495" s="13"/>
      <c r="P1495" s="14" t="str">
        <f t="shared" si="92"/>
        <v/>
      </c>
      <c r="Q1495" s="15" t="str">
        <f>IF(OR(J1495="",H1495=""),"",IFERROR(IF(ISNUMBER(N1495),N1495,IF(K1495&lt;N(INDEX(Platforms!$G$5:$G$14,MATCH(H1495,Lists!$A$2:$A$11,0))),N(INDEX(Platforms!$H$5:$H$14,MATCH(H1495,Lists!$A$2:$A$11,0))),MAX(N(INDEX(Platforms!$F$5:$F$14,MATCH(H1495,Lists!$A$2:$A$11,0))),N(INDEX(Platforms!$C$5:$C$14,MATCH(H1495,Lists!$A$2:$A$11,0)))*(K1495+IF(INDEX(Platforms!$E$5:$E$14,MATCH(H1495,Lists!$A$2:$A$11,0))="Yes",N(L1495),0))+N(INDEX(Platforms!$D$5:$D$14,MATCH(H1495,Lists!$A$2:$A$11,0)))))),""))</f>
        <v/>
      </c>
      <c r="R1495" s="16" t="str">
        <f t="shared" si="93"/>
        <v/>
      </c>
      <c r="S1495" s="17" t="str">
        <f t="shared" si="94"/>
        <v/>
      </c>
      <c r="T1495" s="18" t="str">
        <f t="shared" ca="1" si="95"/>
        <v/>
      </c>
    </row>
    <row r="1496" spans="1:20" x14ac:dyDescent="0.35">
      <c r="A1496" s="11"/>
      <c r="B1496" s="11"/>
      <c r="C1496" s="11"/>
      <c r="D1496" s="12"/>
      <c r="E1496" s="11"/>
      <c r="F1496" s="13"/>
      <c r="G1496" s="13"/>
      <c r="H1496" s="11"/>
      <c r="I1496" s="12"/>
      <c r="J1496" s="12"/>
      <c r="K1496" s="13"/>
      <c r="L1496" s="13"/>
      <c r="M1496" s="13"/>
      <c r="N1496" s="13"/>
      <c r="O1496" s="13"/>
      <c r="P1496" s="14" t="str">
        <f t="shared" si="92"/>
        <v/>
      </c>
      <c r="Q1496" s="15" t="str">
        <f>IF(OR(J1496="",H1496=""),"",IFERROR(IF(ISNUMBER(N1496),N1496,IF(K1496&lt;N(INDEX(Platforms!$G$5:$G$14,MATCH(H1496,Lists!$A$2:$A$11,0))),N(INDEX(Platforms!$H$5:$H$14,MATCH(H1496,Lists!$A$2:$A$11,0))),MAX(N(INDEX(Platforms!$F$5:$F$14,MATCH(H1496,Lists!$A$2:$A$11,0))),N(INDEX(Platforms!$C$5:$C$14,MATCH(H1496,Lists!$A$2:$A$11,0)))*(K1496+IF(INDEX(Platforms!$E$5:$E$14,MATCH(H1496,Lists!$A$2:$A$11,0))="Yes",N(L1496),0))+N(INDEX(Platforms!$D$5:$D$14,MATCH(H1496,Lists!$A$2:$A$11,0)))))),""))</f>
        <v/>
      </c>
      <c r="R1496" s="16" t="str">
        <f t="shared" si="93"/>
        <v/>
      </c>
      <c r="S1496" s="17" t="str">
        <f t="shared" si="94"/>
        <v/>
      </c>
      <c r="T1496" s="18" t="str">
        <f t="shared" ca="1" si="95"/>
        <v/>
      </c>
    </row>
    <row r="1497" spans="1:20" x14ac:dyDescent="0.35">
      <c r="A1497" s="11"/>
      <c r="B1497" s="11"/>
      <c r="C1497" s="11"/>
      <c r="D1497" s="12"/>
      <c r="E1497" s="11"/>
      <c r="F1497" s="13"/>
      <c r="G1497" s="13"/>
      <c r="H1497" s="11"/>
      <c r="I1497" s="12"/>
      <c r="J1497" s="12"/>
      <c r="K1497" s="13"/>
      <c r="L1497" s="13"/>
      <c r="M1497" s="13"/>
      <c r="N1497" s="13"/>
      <c r="O1497" s="13"/>
      <c r="P1497" s="14" t="str">
        <f t="shared" si="92"/>
        <v/>
      </c>
      <c r="Q1497" s="15" t="str">
        <f>IF(OR(J1497="",H1497=""),"",IFERROR(IF(ISNUMBER(N1497),N1497,IF(K1497&lt;N(INDEX(Platforms!$G$5:$G$14,MATCH(H1497,Lists!$A$2:$A$11,0))),N(INDEX(Platforms!$H$5:$H$14,MATCH(H1497,Lists!$A$2:$A$11,0))),MAX(N(INDEX(Platforms!$F$5:$F$14,MATCH(H1497,Lists!$A$2:$A$11,0))),N(INDEX(Platforms!$C$5:$C$14,MATCH(H1497,Lists!$A$2:$A$11,0)))*(K1497+IF(INDEX(Platforms!$E$5:$E$14,MATCH(H1497,Lists!$A$2:$A$11,0))="Yes",N(L1497),0))+N(INDEX(Platforms!$D$5:$D$14,MATCH(H1497,Lists!$A$2:$A$11,0)))))),""))</f>
        <v/>
      </c>
      <c r="R1497" s="16" t="str">
        <f t="shared" si="93"/>
        <v/>
      </c>
      <c r="S1497" s="17" t="str">
        <f t="shared" si="94"/>
        <v/>
      </c>
      <c r="T1497" s="18" t="str">
        <f t="shared" ca="1" si="95"/>
        <v/>
      </c>
    </row>
    <row r="1498" spans="1:20" x14ac:dyDescent="0.35">
      <c r="A1498" s="11"/>
      <c r="B1498" s="11"/>
      <c r="C1498" s="11"/>
      <c r="D1498" s="12"/>
      <c r="E1498" s="11"/>
      <c r="F1498" s="13"/>
      <c r="G1498" s="13"/>
      <c r="H1498" s="11"/>
      <c r="I1498" s="12"/>
      <c r="J1498" s="12"/>
      <c r="K1498" s="13"/>
      <c r="L1498" s="13"/>
      <c r="M1498" s="13"/>
      <c r="N1498" s="13"/>
      <c r="O1498" s="13"/>
      <c r="P1498" s="14" t="str">
        <f t="shared" si="92"/>
        <v/>
      </c>
      <c r="Q1498" s="15" t="str">
        <f>IF(OR(J1498="",H1498=""),"",IFERROR(IF(ISNUMBER(N1498),N1498,IF(K1498&lt;N(INDEX(Platforms!$G$5:$G$14,MATCH(H1498,Lists!$A$2:$A$11,0))),N(INDEX(Platforms!$H$5:$H$14,MATCH(H1498,Lists!$A$2:$A$11,0))),MAX(N(INDEX(Platforms!$F$5:$F$14,MATCH(H1498,Lists!$A$2:$A$11,0))),N(INDEX(Platforms!$C$5:$C$14,MATCH(H1498,Lists!$A$2:$A$11,0)))*(K1498+IF(INDEX(Platforms!$E$5:$E$14,MATCH(H1498,Lists!$A$2:$A$11,0))="Yes",N(L1498),0))+N(INDEX(Platforms!$D$5:$D$14,MATCH(H1498,Lists!$A$2:$A$11,0)))))),""))</f>
        <v/>
      </c>
      <c r="R1498" s="16" t="str">
        <f t="shared" si="93"/>
        <v/>
      </c>
      <c r="S1498" s="17" t="str">
        <f t="shared" si="94"/>
        <v/>
      </c>
      <c r="T1498" s="18" t="str">
        <f t="shared" ca="1" si="95"/>
        <v/>
      </c>
    </row>
    <row r="1499" spans="1:20" x14ac:dyDescent="0.35">
      <c r="A1499" s="11"/>
      <c r="B1499" s="11"/>
      <c r="C1499" s="11"/>
      <c r="D1499" s="12"/>
      <c r="E1499" s="11"/>
      <c r="F1499" s="13"/>
      <c r="G1499" s="13"/>
      <c r="H1499" s="11"/>
      <c r="I1499" s="12"/>
      <c r="J1499" s="12"/>
      <c r="K1499" s="13"/>
      <c r="L1499" s="13"/>
      <c r="M1499" s="13"/>
      <c r="N1499" s="13"/>
      <c r="O1499" s="13"/>
      <c r="P1499" s="14" t="str">
        <f t="shared" si="92"/>
        <v/>
      </c>
      <c r="Q1499" s="15" t="str">
        <f>IF(OR(J1499="",H1499=""),"",IFERROR(IF(ISNUMBER(N1499),N1499,IF(K1499&lt;N(INDEX(Platforms!$G$5:$G$14,MATCH(H1499,Lists!$A$2:$A$11,0))),N(INDEX(Platforms!$H$5:$H$14,MATCH(H1499,Lists!$A$2:$A$11,0))),MAX(N(INDEX(Platforms!$F$5:$F$14,MATCH(H1499,Lists!$A$2:$A$11,0))),N(INDEX(Platforms!$C$5:$C$14,MATCH(H1499,Lists!$A$2:$A$11,0)))*(K1499+IF(INDEX(Platforms!$E$5:$E$14,MATCH(H1499,Lists!$A$2:$A$11,0))="Yes",N(L1499),0))+N(INDEX(Platforms!$D$5:$D$14,MATCH(H1499,Lists!$A$2:$A$11,0)))))),""))</f>
        <v/>
      </c>
      <c r="R1499" s="16" t="str">
        <f t="shared" si="93"/>
        <v/>
      </c>
      <c r="S1499" s="17" t="str">
        <f t="shared" si="94"/>
        <v/>
      </c>
      <c r="T1499" s="18" t="str">
        <f t="shared" ca="1" si="95"/>
        <v/>
      </c>
    </row>
    <row r="1500" spans="1:20" x14ac:dyDescent="0.35">
      <c r="A1500" s="11"/>
      <c r="B1500" s="11"/>
      <c r="C1500" s="11"/>
      <c r="D1500" s="12"/>
      <c r="E1500" s="11"/>
      <c r="F1500" s="13"/>
      <c r="G1500" s="13"/>
      <c r="H1500" s="11"/>
      <c r="I1500" s="12"/>
      <c r="J1500" s="12"/>
      <c r="K1500" s="13"/>
      <c r="L1500" s="13"/>
      <c r="M1500" s="13"/>
      <c r="N1500" s="13"/>
      <c r="O1500" s="13"/>
      <c r="P1500" s="14" t="str">
        <f t="shared" si="92"/>
        <v/>
      </c>
      <c r="Q1500" s="15" t="str">
        <f>IF(OR(J1500="",H1500=""),"",IFERROR(IF(ISNUMBER(N1500),N1500,IF(K1500&lt;N(INDEX(Platforms!$G$5:$G$14,MATCH(H1500,Lists!$A$2:$A$11,0))),N(INDEX(Platforms!$H$5:$H$14,MATCH(H1500,Lists!$A$2:$A$11,0))),MAX(N(INDEX(Platforms!$F$5:$F$14,MATCH(H1500,Lists!$A$2:$A$11,0))),N(INDEX(Platforms!$C$5:$C$14,MATCH(H1500,Lists!$A$2:$A$11,0)))*(K1500+IF(INDEX(Platforms!$E$5:$E$14,MATCH(H1500,Lists!$A$2:$A$11,0))="Yes",N(L1500),0))+N(INDEX(Platforms!$D$5:$D$14,MATCH(H1500,Lists!$A$2:$A$11,0)))))),""))</f>
        <v/>
      </c>
      <c r="R1500" s="16" t="str">
        <f t="shared" si="93"/>
        <v/>
      </c>
      <c r="S1500" s="17" t="str">
        <f t="shared" si="94"/>
        <v/>
      </c>
      <c r="T1500" s="18" t="str">
        <f t="shared" ca="1" si="95"/>
        <v/>
      </c>
    </row>
    <row r="1501" spans="1:20" x14ac:dyDescent="0.35">
      <c r="A1501" s="11"/>
      <c r="B1501" s="11"/>
      <c r="C1501" s="11"/>
      <c r="D1501" s="12"/>
      <c r="E1501" s="11"/>
      <c r="F1501" s="13"/>
      <c r="G1501" s="13"/>
      <c r="H1501" s="11"/>
      <c r="I1501" s="12"/>
      <c r="J1501" s="12"/>
      <c r="K1501" s="13"/>
      <c r="L1501" s="13"/>
      <c r="M1501" s="13"/>
      <c r="N1501" s="13"/>
      <c r="O1501" s="13"/>
      <c r="P1501" s="14" t="str">
        <f t="shared" si="92"/>
        <v/>
      </c>
      <c r="Q1501" s="15" t="str">
        <f>IF(OR(J1501="",H1501=""),"",IFERROR(IF(ISNUMBER(N1501),N1501,IF(K1501&lt;N(INDEX(Platforms!$G$5:$G$14,MATCH(H1501,Lists!$A$2:$A$11,0))),N(INDEX(Platforms!$H$5:$H$14,MATCH(H1501,Lists!$A$2:$A$11,0))),MAX(N(INDEX(Platforms!$F$5:$F$14,MATCH(H1501,Lists!$A$2:$A$11,0))),N(INDEX(Platforms!$C$5:$C$14,MATCH(H1501,Lists!$A$2:$A$11,0)))*(K1501+IF(INDEX(Platforms!$E$5:$E$14,MATCH(H1501,Lists!$A$2:$A$11,0))="Yes",N(L1501),0))+N(INDEX(Platforms!$D$5:$D$14,MATCH(H1501,Lists!$A$2:$A$11,0)))))),""))</f>
        <v/>
      </c>
      <c r="R1501" s="16" t="str">
        <f t="shared" si="93"/>
        <v/>
      </c>
      <c r="S1501" s="17" t="str">
        <f t="shared" si="94"/>
        <v/>
      </c>
      <c r="T1501" s="18" t="str">
        <f t="shared" ca="1" si="95"/>
        <v/>
      </c>
    </row>
    <row r="1502" spans="1:20" x14ac:dyDescent="0.35">
      <c r="A1502" s="11"/>
      <c r="B1502" s="11"/>
      <c r="C1502" s="11"/>
      <c r="D1502" s="12"/>
      <c r="E1502" s="11"/>
      <c r="F1502" s="13"/>
      <c r="G1502" s="13"/>
      <c r="H1502" s="11"/>
      <c r="I1502" s="12"/>
      <c r="J1502" s="12"/>
      <c r="K1502" s="13"/>
      <c r="L1502" s="13"/>
      <c r="M1502" s="13"/>
      <c r="N1502" s="13"/>
      <c r="O1502" s="13"/>
      <c r="P1502" s="14" t="str">
        <f t="shared" si="92"/>
        <v/>
      </c>
      <c r="Q1502" s="15" t="str">
        <f>IF(OR(J1502="",H1502=""),"",IFERROR(IF(ISNUMBER(N1502),N1502,IF(K1502&lt;N(INDEX(Platforms!$G$5:$G$14,MATCH(H1502,Lists!$A$2:$A$11,0))),N(INDEX(Platforms!$H$5:$H$14,MATCH(H1502,Lists!$A$2:$A$11,0))),MAX(N(INDEX(Platforms!$F$5:$F$14,MATCH(H1502,Lists!$A$2:$A$11,0))),N(INDEX(Platforms!$C$5:$C$14,MATCH(H1502,Lists!$A$2:$A$11,0)))*(K1502+IF(INDEX(Platforms!$E$5:$E$14,MATCH(H1502,Lists!$A$2:$A$11,0))="Yes",N(L1502),0))+N(INDEX(Platforms!$D$5:$D$14,MATCH(H1502,Lists!$A$2:$A$11,0)))))),""))</f>
        <v/>
      </c>
      <c r="R1502" s="16" t="str">
        <f t="shared" si="93"/>
        <v/>
      </c>
      <c r="S1502" s="17" t="str">
        <f t="shared" si="94"/>
        <v/>
      </c>
      <c r="T1502" s="18" t="str">
        <f t="shared" ca="1" si="95"/>
        <v/>
      </c>
    </row>
    <row r="1503" spans="1:20" x14ac:dyDescent="0.35">
      <c r="A1503" s="11"/>
      <c r="B1503" s="11"/>
      <c r="C1503" s="11"/>
      <c r="D1503" s="12"/>
      <c r="E1503" s="11"/>
      <c r="F1503" s="13"/>
      <c r="G1503" s="13"/>
      <c r="H1503" s="11"/>
      <c r="I1503" s="12"/>
      <c r="J1503" s="12"/>
      <c r="K1503" s="13"/>
      <c r="L1503" s="13"/>
      <c r="M1503" s="13"/>
      <c r="N1503" s="13"/>
      <c r="O1503" s="13"/>
      <c r="P1503" s="14" t="str">
        <f t="shared" si="92"/>
        <v/>
      </c>
      <c r="Q1503" s="15" t="str">
        <f>IF(OR(J1503="",H1503=""),"",IFERROR(IF(ISNUMBER(N1503),N1503,IF(K1503&lt;N(INDEX(Platforms!$G$5:$G$14,MATCH(H1503,Lists!$A$2:$A$11,0))),N(INDEX(Platforms!$H$5:$H$14,MATCH(H1503,Lists!$A$2:$A$11,0))),MAX(N(INDEX(Platforms!$F$5:$F$14,MATCH(H1503,Lists!$A$2:$A$11,0))),N(INDEX(Platforms!$C$5:$C$14,MATCH(H1503,Lists!$A$2:$A$11,0)))*(K1503+IF(INDEX(Platforms!$E$5:$E$14,MATCH(H1503,Lists!$A$2:$A$11,0))="Yes",N(L1503),0))+N(INDEX(Platforms!$D$5:$D$14,MATCH(H1503,Lists!$A$2:$A$11,0)))))),""))</f>
        <v/>
      </c>
      <c r="R1503" s="16" t="str">
        <f t="shared" si="93"/>
        <v/>
      </c>
      <c r="S1503" s="17" t="str">
        <f t="shared" si="94"/>
        <v/>
      </c>
      <c r="T1503" s="18" t="str">
        <f t="shared" ca="1" si="95"/>
        <v/>
      </c>
    </row>
    <row r="1504" spans="1:20" x14ac:dyDescent="0.35">
      <c r="A1504" s="11"/>
      <c r="B1504" s="11"/>
      <c r="C1504" s="11"/>
      <c r="D1504" s="12"/>
      <c r="E1504" s="11"/>
      <c r="F1504" s="13"/>
      <c r="G1504" s="13"/>
      <c r="H1504" s="11"/>
      <c r="I1504" s="12"/>
      <c r="J1504" s="12"/>
      <c r="K1504" s="13"/>
      <c r="L1504" s="13"/>
      <c r="M1504" s="13"/>
      <c r="N1504" s="13"/>
      <c r="O1504" s="13"/>
      <c r="P1504" s="14" t="str">
        <f t="shared" si="92"/>
        <v/>
      </c>
      <c r="Q1504" s="15" t="str">
        <f>IF(OR(J1504="",H1504=""),"",IFERROR(IF(ISNUMBER(N1504),N1504,IF(K1504&lt;N(INDEX(Platforms!$G$5:$G$14,MATCH(H1504,Lists!$A$2:$A$11,0))),N(INDEX(Platforms!$H$5:$H$14,MATCH(H1504,Lists!$A$2:$A$11,0))),MAX(N(INDEX(Platforms!$F$5:$F$14,MATCH(H1504,Lists!$A$2:$A$11,0))),N(INDEX(Platforms!$C$5:$C$14,MATCH(H1504,Lists!$A$2:$A$11,0)))*(K1504+IF(INDEX(Platforms!$E$5:$E$14,MATCH(H1504,Lists!$A$2:$A$11,0))="Yes",N(L1504),0))+N(INDEX(Platforms!$D$5:$D$14,MATCH(H1504,Lists!$A$2:$A$11,0)))))),""))</f>
        <v/>
      </c>
      <c r="R1504" s="16" t="str">
        <f t="shared" si="93"/>
        <v/>
      </c>
      <c r="S1504" s="17" t="str">
        <f t="shared" si="94"/>
        <v/>
      </c>
      <c r="T1504" s="18" t="str">
        <f t="shared" ca="1" si="95"/>
        <v/>
      </c>
    </row>
    <row r="1505" spans="1:20" x14ac:dyDescent="0.35">
      <c r="A1505" s="11"/>
      <c r="B1505" s="11"/>
      <c r="C1505" s="11"/>
      <c r="D1505" s="12"/>
      <c r="E1505" s="11"/>
      <c r="F1505" s="13"/>
      <c r="G1505" s="13"/>
      <c r="H1505" s="11"/>
      <c r="I1505" s="12"/>
      <c r="J1505" s="12"/>
      <c r="K1505" s="13"/>
      <c r="L1505" s="13"/>
      <c r="M1505" s="13"/>
      <c r="N1505" s="13"/>
      <c r="O1505" s="13"/>
      <c r="P1505" s="14" t="str">
        <f t="shared" si="92"/>
        <v/>
      </c>
      <c r="Q1505" s="15" t="str">
        <f>IF(OR(J1505="",H1505=""),"",IFERROR(IF(ISNUMBER(N1505),N1505,IF(K1505&lt;N(INDEX(Platforms!$G$5:$G$14,MATCH(H1505,Lists!$A$2:$A$11,0))),N(INDEX(Platforms!$H$5:$H$14,MATCH(H1505,Lists!$A$2:$A$11,0))),MAX(N(INDEX(Platforms!$F$5:$F$14,MATCH(H1505,Lists!$A$2:$A$11,0))),N(INDEX(Platforms!$C$5:$C$14,MATCH(H1505,Lists!$A$2:$A$11,0)))*(K1505+IF(INDEX(Platforms!$E$5:$E$14,MATCH(H1505,Lists!$A$2:$A$11,0))="Yes",N(L1505),0))+N(INDEX(Platforms!$D$5:$D$14,MATCH(H1505,Lists!$A$2:$A$11,0)))))),""))</f>
        <v/>
      </c>
      <c r="R1505" s="16" t="str">
        <f t="shared" si="93"/>
        <v/>
      </c>
      <c r="S1505" s="17" t="str">
        <f t="shared" si="94"/>
        <v/>
      </c>
      <c r="T1505" s="18" t="str">
        <f t="shared" ca="1" si="95"/>
        <v/>
      </c>
    </row>
    <row r="1506" spans="1:20" x14ac:dyDescent="0.35">
      <c r="A1506" s="11"/>
      <c r="B1506" s="11"/>
      <c r="C1506" s="11"/>
      <c r="D1506" s="12"/>
      <c r="E1506" s="11"/>
      <c r="F1506" s="13"/>
      <c r="G1506" s="13"/>
      <c r="H1506" s="11"/>
      <c r="I1506" s="12"/>
      <c r="J1506" s="12"/>
      <c r="K1506" s="13"/>
      <c r="L1506" s="13"/>
      <c r="M1506" s="13"/>
      <c r="N1506" s="13"/>
      <c r="O1506" s="13"/>
      <c r="P1506" s="14" t="str">
        <f t="shared" si="92"/>
        <v/>
      </c>
      <c r="Q1506" s="15" t="str">
        <f>IF(OR(J1506="",H1506=""),"",IFERROR(IF(ISNUMBER(N1506),N1506,IF(K1506&lt;N(INDEX(Platforms!$G$5:$G$14,MATCH(H1506,Lists!$A$2:$A$11,0))),N(INDEX(Platforms!$H$5:$H$14,MATCH(H1506,Lists!$A$2:$A$11,0))),MAX(N(INDEX(Platforms!$F$5:$F$14,MATCH(H1506,Lists!$A$2:$A$11,0))),N(INDEX(Platforms!$C$5:$C$14,MATCH(H1506,Lists!$A$2:$A$11,0)))*(K1506+IF(INDEX(Platforms!$E$5:$E$14,MATCH(H1506,Lists!$A$2:$A$11,0))="Yes",N(L1506),0))+N(INDEX(Platforms!$D$5:$D$14,MATCH(H1506,Lists!$A$2:$A$11,0)))))),""))</f>
        <v/>
      </c>
      <c r="R1506" s="16" t="str">
        <f t="shared" si="93"/>
        <v/>
      </c>
      <c r="S1506" s="17" t="str">
        <f t="shared" si="94"/>
        <v/>
      </c>
      <c r="T1506" s="18" t="str">
        <f t="shared" ca="1" si="95"/>
        <v/>
      </c>
    </row>
    <row r="1507" spans="1:20" x14ac:dyDescent="0.35">
      <c r="A1507" s="11"/>
      <c r="B1507" s="11"/>
      <c r="C1507" s="11"/>
      <c r="D1507" s="12"/>
      <c r="E1507" s="11"/>
      <c r="F1507" s="13"/>
      <c r="G1507" s="13"/>
      <c r="H1507" s="11"/>
      <c r="I1507" s="12"/>
      <c r="J1507" s="12"/>
      <c r="K1507" s="13"/>
      <c r="L1507" s="13"/>
      <c r="M1507" s="13"/>
      <c r="N1507" s="13"/>
      <c r="O1507" s="13"/>
      <c r="P1507" s="14" t="str">
        <f t="shared" si="92"/>
        <v/>
      </c>
      <c r="Q1507" s="15" t="str">
        <f>IF(OR(J1507="",H1507=""),"",IFERROR(IF(ISNUMBER(N1507),N1507,IF(K1507&lt;N(INDEX(Platforms!$G$5:$G$14,MATCH(H1507,Lists!$A$2:$A$11,0))),N(INDEX(Platforms!$H$5:$H$14,MATCH(H1507,Lists!$A$2:$A$11,0))),MAX(N(INDEX(Platforms!$F$5:$F$14,MATCH(H1507,Lists!$A$2:$A$11,0))),N(INDEX(Platforms!$C$5:$C$14,MATCH(H1507,Lists!$A$2:$A$11,0)))*(K1507+IF(INDEX(Platforms!$E$5:$E$14,MATCH(H1507,Lists!$A$2:$A$11,0))="Yes",N(L1507),0))+N(INDEX(Platforms!$D$5:$D$14,MATCH(H1507,Lists!$A$2:$A$11,0)))))),""))</f>
        <v/>
      </c>
      <c r="R1507" s="16" t="str">
        <f t="shared" si="93"/>
        <v/>
      </c>
      <c r="S1507" s="17" t="str">
        <f t="shared" si="94"/>
        <v/>
      </c>
      <c r="T1507" s="18" t="str">
        <f t="shared" ca="1" si="95"/>
        <v/>
      </c>
    </row>
    <row r="1508" spans="1:20" x14ac:dyDescent="0.35">
      <c r="A1508" s="11"/>
      <c r="B1508" s="11"/>
      <c r="C1508" s="11"/>
      <c r="D1508" s="12"/>
      <c r="E1508" s="11"/>
      <c r="F1508" s="13"/>
      <c r="G1508" s="13"/>
      <c r="H1508" s="11"/>
      <c r="I1508" s="12"/>
      <c r="J1508" s="12"/>
      <c r="K1508" s="13"/>
      <c r="L1508" s="13"/>
      <c r="M1508" s="13"/>
      <c r="N1508" s="13"/>
      <c r="O1508" s="13"/>
      <c r="P1508" s="14" t="str">
        <f t="shared" si="92"/>
        <v/>
      </c>
      <c r="Q1508" s="15" t="str">
        <f>IF(OR(J1508="",H1508=""),"",IFERROR(IF(ISNUMBER(N1508),N1508,IF(K1508&lt;N(INDEX(Platforms!$G$5:$G$14,MATCH(H1508,Lists!$A$2:$A$11,0))),N(INDEX(Platforms!$H$5:$H$14,MATCH(H1508,Lists!$A$2:$A$11,0))),MAX(N(INDEX(Platforms!$F$5:$F$14,MATCH(H1508,Lists!$A$2:$A$11,0))),N(INDEX(Platforms!$C$5:$C$14,MATCH(H1508,Lists!$A$2:$A$11,0)))*(K1508+IF(INDEX(Platforms!$E$5:$E$14,MATCH(H1508,Lists!$A$2:$A$11,0))="Yes",N(L1508),0))+N(INDEX(Platforms!$D$5:$D$14,MATCH(H1508,Lists!$A$2:$A$11,0)))))),""))</f>
        <v/>
      </c>
      <c r="R1508" s="16" t="str">
        <f t="shared" si="93"/>
        <v/>
      </c>
      <c r="S1508" s="17" t="str">
        <f t="shared" si="94"/>
        <v/>
      </c>
      <c r="T1508" s="18" t="str">
        <f t="shared" ca="1" si="95"/>
        <v/>
      </c>
    </row>
    <row r="1509" spans="1:20" x14ac:dyDescent="0.35">
      <c r="A1509" s="11"/>
      <c r="B1509" s="11"/>
      <c r="C1509" s="11"/>
      <c r="D1509" s="12"/>
      <c r="E1509" s="11"/>
      <c r="F1509" s="13"/>
      <c r="G1509" s="13"/>
      <c r="H1509" s="11"/>
      <c r="I1509" s="12"/>
      <c r="J1509" s="12"/>
      <c r="K1509" s="13"/>
      <c r="L1509" s="13"/>
      <c r="M1509" s="13"/>
      <c r="N1509" s="13"/>
      <c r="O1509" s="13"/>
      <c r="P1509" s="14" t="str">
        <f t="shared" si="92"/>
        <v/>
      </c>
      <c r="Q1509" s="15" t="str">
        <f>IF(OR(J1509="",H1509=""),"",IFERROR(IF(ISNUMBER(N1509),N1509,IF(K1509&lt;N(INDEX(Platforms!$G$5:$G$14,MATCH(H1509,Lists!$A$2:$A$11,0))),N(INDEX(Platforms!$H$5:$H$14,MATCH(H1509,Lists!$A$2:$A$11,0))),MAX(N(INDEX(Platforms!$F$5:$F$14,MATCH(H1509,Lists!$A$2:$A$11,0))),N(INDEX(Platforms!$C$5:$C$14,MATCH(H1509,Lists!$A$2:$A$11,0)))*(K1509+IF(INDEX(Platforms!$E$5:$E$14,MATCH(H1509,Lists!$A$2:$A$11,0))="Yes",N(L1509),0))+N(INDEX(Platforms!$D$5:$D$14,MATCH(H1509,Lists!$A$2:$A$11,0)))))),""))</f>
        <v/>
      </c>
      <c r="R1509" s="16" t="str">
        <f t="shared" si="93"/>
        <v/>
      </c>
      <c r="S1509" s="17" t="str">
        <f t="shared" si="94"/>
        <v/>
      </c>
      <c r="T1509" s="18" t="str">
        <f t="shared" ca="1" si="95"/>
        <v/>
      </c>
    </row>
    <row r="1510" spans="1:20" x14ac:dyDescent="0.35">
      <c r="A1510" s="11"/>
      <c r="B1510" s="11"/>
      <c r="C1510" s="11"/>
      <c r="D1510" s="12"/>
      <c r="E1510" s="11"/>
      <c r="F1510" s="13"/>
      <c r="G1510" s="13"/>
      <c r="H1510" s="11"/>
      <c r="I1510" s="12"/>
      <c r="J1510" s="12"/>
      <c r="K1510" s="13"/>
      <c r="L1510" s="13"/>
      <c r="M1510" s="13"/>
      <c r="N1510" s="13"/>
      <c r="O1510" s="13"/>
      <c r="P1510" s="14" t="str">
        <f t="shared" si="92"/>
        <v/>
      </c>
      <c r="Q1510" s="15" t="str">
        <f>IF(OR(J1510="",H1510=""),"",IFERROR(IF(ISNUMBER(N1510),N1510,IF(K1510&lt;N(INDEX(Platforms!$G$5:$G$14,MATCH(H1510,Lists!$A$2:$A$11,0))),N(INDEX(Platforms!$H$5:$H$14,MATCH(H1510,Lists!$A$2:$A$11,0))),MAX(N(INDEX(Platforms!$F$5:$F$14,MATCH(H1510,Lists!$A$2:$A$11,0))),N(INDEX(Platforms!$C$5:$C$14,MATCH(H1510,Lists!$A$2:$A$11,0)))*(K1510+IF(INDEX(Platforms!$E$5:$E$14,MATCH(H1510,Lists!$A$2:$A$11,0))="Yes",N(L1510),0))+N(INDEX(Platforms!$D$5:$D$14,MATCH(H1510,Lists!$A$2:$A$11,0)))))),""))</f>
        <v/>
      </c>
      <c r="R1510" s="16" t="str">
        <f t="shared" si="93"/>
        <v/>
      </c>
      <c r="S1510" s="17" t="str">
        <f t="shared" si="94"/>
        <v/>
      </c>
      <c r="T1510" s="18" t="str">
        <f t="shared" ca="1" si="95"/>
        <v/>
      </c>
    </row>
    <row r="1511" spans="1:20" x14ac:dyDescent="0.35">
      <c r="A1511" s="11"/>
      <c r="B1511" s="11"/>
      <c r="C1511" s="11"/>
      <c r="D1511" s="12"/>
      <c r="E1511" s="11"/>
      <c r="F1511" s="13"/>
      <c r="G1511" s="13"/>
      <c r="H1511" s="11"/>
      <c r="I1511" s="12"/>
      <c r="J1511" s="12"/>
      <c r="K1511" s="13"/>
      <c r="L1511" s="13"/>
      <c r="M1511" s="13"/>
      <c r="N1511" s="13"/>
      <c r="O1511" s="13"/>
      <c r="P1511" s="14" t="str">
        <f t="shared" si="92"/>
        <v/>
      </c>
      <c r="Q1511" s="15" t="str">
        <f>IF(OR(J1511="",H1511=""),"",IFERROR(IF(ISNUMBER(N1511),N1511,IF(K1511&lt;N(INDEX(Platforms!$G$5:$G$14,MATCH(H1511,Lists!$A$2:$A$11,0))),N(INDEX(Platforms!$H$5:$H$14,MATCH(H1511,Lists!$A$2:$A$11,0))),MAX(N(INDEX(Platforms!$F$5:$F$14,MATCH(H1511,Lists!$A$2:$A$11,0))),N(INDEX(Platforms!$C$5:$C$14,MATCH(H1511,Lists!$A$2:$A$11,0)))*(K1511+IF(INDEX(Platforms!$E$5:$E$14,MATCH(H1511,Lists!$A$2:$A$11,0))="Yes",N(L1511),0))+N(INDEX(Platforms!$D$5:$D$14,MATCH(H1511,Lists!$A$2:$A$11,0)))))),""))</f>
        <v/>
      </c>
      <c r="R1511" s="16" t="str">
        <f t="shared" si="93"/>
        <v/>
      </c>
      <c r="S1511" s="17" t="str">
        <f t="shared" si="94"/>
        <v/>
      </c>
      <c r="T1511" s="18" t="str">
        <f t="shared" ca="1" si="95"/>
        <v/>
      </c>
    </row>
    <row r="1512" spans="1:20" x14ac:dyDescent="0.35">
      <c r="A1512" s="11"/>
      <c r="B1512" s="11"/>
      <c r="C1512" s="11"/>
      <c r="D1512" s="12"/>
      <c r="E1512" s="11"/>
      <c r="F1512" s="13"/>
      <c r="G1512" s="13"/>
      <c r="H1512" s="11"/>
      <c r="I1512" s="12"/>
      <c r="J1512" s="12"/>
      <c r="K1512" s="13"/>
      <c r="L1512" s="13"/>
      <c r="M1512" s="13"/>
      <c r="N1512" s="13"/>
      <c r="O1512" s="13"/>
      <c r="P1512" s="14" t="str">
        <f t="shared" si="92"/>
        <v/>
      </c>
      <c r="Q1512" s="15" t="str">
        <f>IF(OR(J1512="",H1512=""),"",IFERROR(IF(ISNUMBER(N1512),N1512,IF(K1512&lt;N(INDEX(Platforms!$G$5:$G$14,MATCH(H1512,Lists!$A$2:$A$11,0))),N(INDEX(Platforms!$H$5:$H$14,MATCH(H1512,Lists!$A$2:$A$11,0))),MAX(N(INDEX(Platforms!$F$5:$F$14,MATCH(H1512,Lists!$A$2:$A$11,0))),N(INDEX(Platforms!$C$5:$C$14,MATCH(H1512,Lists!$A$2:$A$11,0)))*(K1512+IF(INDEX(Platforms!$E$5:$E$14,MATCH(H1512,Lists!$A$2:$A$11,0))="Yes",N(L1512),0))+N(INDEX(Platforms!$D$5:$D$14,MATCH(H1512,Lists!$A$2:$A$11,0)))))),""))</f>
        <v/>
      </c>
      <c r="R1512" s="16" t="str">
        <f t="shared" si="93"/>
        <v/>
      </c>
      <c r="S1512" s="17" t="str">
        <f t="shared" si="94"/>
        <v/>
      </c>
      <c r="T1512" s="18" t="str">
        <f t="shared" ca="1" si="95"/>
        <v/>
      </c>
    </row>
    <row r="1513" spans="1:20" x14ac:dyDescent="0.35">
      <c r="A1513" s="11"/>
      <c r="B1513" s="11"/>
      <c r="C1513" s="11"/>
      <c r="D1513" s="12"/>
      <c r="E1513" s="11"/>
      <c r="F1513" s="13"/>
      <c r="G1513" s="13"/>
      <c r="H1513" s="11"/>
      <c r="I1513" s="12"/>
      <c r="J1513" s="12"/>
      <c r="K1513" s="13"/>
      <c r="L1513" s="13"/>
      <c r="M1513" s="13"/>
      <c r="N1513" s="13"/>
      <c r="O1513" s="13"/>
      <c r="P1513" s="14" t="str">
        <f t="shared" si="92"/>
        <v/>
      </c>
      <c r="Q1513" s="15" t="str">
        <f>IF(OR(J1513="",H1513=""),"",IFERROR(IF(ISNUMBER(N1513),N1513,IF(K1513&lt;N(INDEX(Platforms!$G$5:$G$14,MATCH(H1513,Lists!$A$2:$A$11,0))),N(INDEX(Platforms!$H$5:$H$14,MATCH(H1513,Lists!$A$2:$A$11,0))),MAX(N(INDEX(Platforms!$F$5:$F$14,MATCH(H1513,Lists!$A$2:$A$11,0))),N(INDEX(Platforms!$C$5:$C$14,MATCH(H1513,Lists!$A$2:$A$11,0)))*(K1513+IF(INDEX(Platforms!$E$5:$E$14,MATCH(H1513,Lists!$A$2:$A$11,0))="Yes",N(L1513),0))+N(INDEX(Platforms!$D$5:$D$14,MATCH(H1513,Lists!$A$2:$A$11,0)))))),""))</f>
        <v/>
      </c>
      <c r="R1513" s="16" t="str">
        <f t="shared" si="93"/>
        <v/>
      </c>
      <c r="S1513" s="17" t="str">
        <f t="shared" si="94"/>
        <v/>
      </c>
      <c r="T1513" s="18" t="str">
        <f t="shared" ca="1" si="95"/>
        <v/>
      </c>
    </row>
    <row r="1514" spans="1:20" x14ac:dyDescent="0.35">
      <c r="A1514" s="11"/>
      <c r="B1514" s="11"/>
      <c r="C1514" s="11"/>
      <c r="D1514" s="12"/>
      <c r="E1514" s="11"/>
      <c r="F1514" s="13"/>
      <c r="G1514" s="13"/>
      <c r="H1514" s="11"/>
      <c r="I1514" s="12"/>
      <c r="J1514" s="12"/>
      <c r="K1514" s="13"/>
      <c r="L1514" s="13"/>
      <c r="M1514" s="13"/>
      <c r="N1514" s="13"/>
      <c r="O1514" s="13"/>
      <c r="P1514" s="14" t="str">
        <f t="shared" si="92"/>
        <v/>
      </c>
      <c r="Q1514" s="15" t="str">
        <f>IF(OR(J1514="",H1514=""),"",IFERROR(IF(ISNUMBER(N1514),N1514,IF(K1514&lt;N(INDEX(Platforms!$G$5:$G$14,MATCH(H1514,Lists!$A$2:$A$11,0))),N(INDEX(Platforms!$H$5:$H$14,MATCH(H1514,Lists!$A$2:$A$11,0))),MAX(N(INDEX(Platforms!$F$5:$F$14,MATCH(H1514,Lists!$A$2:$A$11,0))),N(INDEX(Platforms!$C$5:$C$14,MATCH(H1514,Lists!$A$2:$A$11,0)))*(K1514+IF(INDEX(Platforms!$E$5:$E$14,MATCH(H1514,Lists!$A$2:$A$11,0))="Yes",N(L1514),0))+N(INDEX(Platforms!$D$5:$D$14,MATCH(H1514,Lists!$A$2:$A$11,0)))))),""))</f>
        <v/>
      </c>
      <c r="R1514" s="16" t="str">
        <f t="shared" si="93"/>
        <v/>
      </c>
      <c r="S1514" s="17" t="str">
        <f t="shared" si="94"/>
        <v/>
      </c>
      <c r="T1514" s="18" t="str">
        <f t="shared" ca="1" si="95"/>
        <v/>
      </c>
    </row>
    <row r="1515" spans="1:20" x14ac:dyDescent="0.35">
      <c r="A1515" s="11"/>
      <c r="B1515" s="11"/>
      <c r="C1515" s="11"/>
      <c r="D1515" s="12"/>
      <c r="E1515" s="11"/>
      <c r="F1515" s="13"/>
      <c r="G1515" s="13"/>
      <c r="H1515" s="11"/>
      <c r="I1515" s="12"/>
      <c r="J1515" s="12"/>
      <c r="K1515" s="13"/>
      <c r="L1515" s="13"/>
      <c r="M1515" s="13"/>
      <c r="N1515" s="13"/>
      <c r="O1515" s="13"/>
      <c r="P1515" s="14" t="str">
        <f t="shared" si="92"/>
        <v/>
      </c>
      <c r="Q1515" s="15" t="str">
        <f>IF(OR(J1515="",H1515=""),"",IFERROR(IF(ISNUMBER(N1515),N1515,IF(K1515&lt;N(INDEX(Platforms!$G$5:$G$14,MATCH(H1515,Lists!$A$2:$A$11,0))),N(INDEX(Platforms!$H$5:$H$14,MATCH(H1515,Lists!$A$2:$A$11,0))),MAX(N(INDEX(Platforms!$F$5:$F$14,MATCH(H1515,Lists!$A$2:$A$11,0))),N(INDEX(Platforms!$C$5:$C$14,MATCH(H1515,Lists!$A$2:$A$11,0)))*(K1515+IF(INDEX(Platforms!$E$5:$E$14,MATCH(H1515,Lists!$A$2:$A$11,0))="Yes",N(L1515),0))+N(INDEX(Platforms!$D$5:$D$14,MATCH(H1515,Lists!$A$2:$A$11,0)))))),""))</f>
        <v/>
      </c>
      <c r="R1515" s="16" t="str">
        <f t="shared" si="93"/>
        <v/>
      </c>
      <c r="S1515" s="17" t="str">
        <f t="shared" si="94"/>
        <v/>
      </c>
      <c r="T1515" s="18" t="str">
        <f t="shared" ca="1" si="95"/>
        <v/>
      </c>
    </row>
    <row r="1516" spans="1:20" x14ac:dyDescent="0.35">
      <c r="A1516" s="11"/>
      <c r="B1516" s="11"/>
      <c r="C1516" s="11"/>
      <c r="D1516" s="12"/>
      <c r="E1516" s="11"/>
      <c r="F1516" s="13"/>
      <c r="G1516" s="13"/>
      <c r="H1516" s="11"/>
      <c r="I1516" s="12"/>
      <c r="J1516" s="12"/>
      <c r="K1516" s="13"/>
      <c r="L1516" s="13"/>
      <c r="M1516" s="13"/>
      <c r="N1516" s="13"/>
      <c r="O1516" s="13"/>
      <c r="P1516" s="14" t="str">
        <f t="shared" si="92"/>
        <v/>
      </c>
      <c r="Q1516" s="15" t="str">
        <f>IF(OR(J1516="",H1516=""),"",IFERROR(IF(ISNUMBER(N1516),N1516,IF(K1516&lt;N(INDEX(Platforms!$G$5:$G$14,MATCH(H1516,Lists!$A$2:$A$11,0))),N(INDEX(Platforms!$H$5:$H$14,MATCH(H1516,Lists!$A$2:$A$11,0))),MAX(N(INDEX(Platforms!$F$5:$F$14,MATCH(H1516,Lists!$A$2:$A$11,0))),N(INDEX(Platforms!$C$5:$C$14,MATCH(H1516,Lists!$A$2:$A$11,0)))*(K1516+IF(INDEX(Platforms!$E$5:$E$14,MATCH(H1516,Lists!$A$2:$A$11,0))="Yes",N(L1516),0))+N(INDEX(Platforms!$D$5:$D$14,MATCH(H1516,Lists!$A$2:$A$11,0)))))),""))</f>
        <v/>
      </c>
      <c r="R1516" s="16" t="str">
        <f t="shared" si="93"/>
        <v/>
      </c>
      <c r="S1516" s="17" t="str">
        <f t="shared" si="94"/>
        <v/>
      </c>
      <c r="T1516" s="18" t="str">
        <f t="shared" ca="1" si="95"/>
        <v/>
      </c>
    </row>
    <row r="1517" spans="1:20" x14ac:dyDescent="0.35">
      <c r="A1517" s="11"/>
      <c r="B1517" s="11"/>
      <c r="C1517" s="11"/>
      <c r="D1517" s="12"/>
      <c r="E1517" s="11"/>
      <c r="F1517" s="13"/>
      <c r="G1517" s="13"/>
      <c r="H1517" s="11"/>
      <c r="I1517" s="12"/>
      <c r="J1517" s="12"/>
      <c r="K1517" s="13"/>
      <c r="L1517" s="13"/>
      <c r="M1517" s="13"/>
      <c r="N1517" s="13"/>
      <c r="O1517" s="13"/>
      <c r="P1517" s="14" t="str">
        <f t="shared" si="92"/>
        <v/>
      </c>
      <c r="Q1517" s="15" t="str">
        <f>IF(OR(J1517="",H1517=""),"",IFERROR(IF(ISNUMBER(N1517),N1517,IF(K1517&lt;N(INDEX(Platforms!$G$5:$G$14,MATCH(H1517,Lists!$A$2:$A$11,0))),N(INDEX(Platforms!$H$5:$H$14,MATCH(H1517,Lists!$A$2:$A$11,0))),MAX(N(INDEX(Platforms!$F$5:$F$14,MATCH(H1517,Lists!$A$2:$A$11,0))),N(INDEX(Platforms!$C$5:$C$14,MATCH(H1517,Lists!$A$2:$A$11,0)))*(K1517+IF(INDEX(Platforms!$E$5:$E$14,MATCH(H1517,Lists!$A$2:$A$11,0))="Yes",N(L1517),0))+N(INDEX(Platforms!$D$5:$D$14,MATCH(H1517,Lists!$A$2:$A$11,0)))))),""))</f>
        <v/>
      </c>
      <c r="R1517" s="16" t="str">
        <f t="shared" si="93"/>
        <v/>
      </c>
      <c r="S1517" s="17" t="str">
        <f t="shared" si="94"/>
        <v/>
      </c>
      <c r="T1517" s="18" t="str">
        <f t="shared" ca="1" si="95"/>
        <v/>
      </c>
    </row>
    <row r="1518" spans="1:20" x14ac:dyDescent="0.35">
      <c r="A1518" s="11"/>
      <c r="B1518" s="11"/>
      <c r="C1518" s="11"/>
      <c r="D1518" s="12"/>
      <c r="E1518" s="11"/>
      <c r="F1518" s="13"/>
      <c r="G1518" s="13"/>
      <c r="H1518" s="11"/>
      <c r="I1518" s="12"/>
      <c r="J1518" s="12"/>
      <c r="K1518" s="13"/>
      <c r="L1518" s="13"/>
      <c r="M1518" s="13"/>
      <c r="N1518" s="13"/>
      <c r="O1518" s="13"/>
      <c r="P1518" s="14" t="str">
        <f t="shared" si="92"/>
        <v/>
      </c>
      <c r="Q1518" s="15" t="str">
        <f>IF(OR(J1518="",H1518=""),"",IFERROR(IF(ISNUMBER(N1518),N1518,IF(K1518&lt;N(INDEX(Platforms!$G$5:$G$14,MATCH(H1518,Lists!$A$2:$A$11,0))),N(INDEX(Platforms!$H$5:$H$14,MATCH(H1518,Lists!$A$2:$A$11,0))),MAX(N(INDEX(Platforms!$F$5:$F$14,MATCH(H1518,Lists!$A$2:$A$11,0))),N(INDEX(Platforms!$C$5:$C$14,MATCH(H1518,Lists!$A$2:$A$11,0)))*(K1518+IF(INDEX(Platforms!$E$5:$E$14,MATCH(H1518,Lists!$A$2:$A$11,0))="Yes",N(L1518),0))+N(INDEX(Platforms!$D$5:$D$14,MATCH(H1518,Lists!$A$2:$A$11,0)))))),""))</f>
        <v/>
      </c>
      <c r="R1518" s="16" t="str">
        <f t="shared" si="93"/>
        <v/>
      </c>
      <c r="S1518" s="17" t="str">
        <f t="shared" si="94"/>
        <v/>
      </c>
      <c r="T1518" s="18" t="str">
        <f t="shared" ca="1" si="95"/>
        <v/>
      </c>
    </row>
    <row r="1519" spans="1:20" x14ac:dyDescent="0.35">
      <c r="A1519" s="11"/>
      <c r="B1519" s="11"/>
      <c r="C1519" s="11"/>
      <c r="D1519" s="12"/>
      <c r="E1519" s="11"/>
      <c r="F1519" s="13"/>
      <c r="G1519" s="13"/>
      <c r="H1519" s="11"/>
      <c r="I1519" s="12"/>
      <c r="J1519" s="12"/>
      <c r="K1519" s="13"/>
      <c r="L1519" s="13"/>
      <c r="M1519" s="13"/>
      <c r="N1519" s="13"/>
      <c r="O1519" s="13"/>
      <c r="P1519" s="14" t="str">
        <f t="shared" si="92"/>
        <v/>
      </c>
      <c r="Q1519" s="15" t="str">
        <f>IF(OR(J1519="",H1519=""),"",IFERROR(IF(ISNUMBER(N1519),N1519,IF(K1519&lt;N(INDEX(Platforms!$G$5:$G$14,MATCH(H1519,Lists!$A$2:$A$11,0))),N(INDEX(Platforms!$H$5:$H$14,MATCH(H1519,Lists!$A$2:$A$11,0))),MAX(N(INDEX(Platforms!$F$5:$F$14,MATCH(H1519,Lists!$A$2:$A$11,0))),N(INDEX(Platforms!$C$5:$C$14,MATCH(H1519,Lists!$A$2:$A$11,0)))*(K1519+IF(INDEX(Platforms!$E$5:$E$14,MATCH(H1519,Lists!$A$2:$A$11,0))="Yes",N(L1519),0))+N(INDEX(Platforms!$D$5:$D$14,MATCH(H1519,Lists!$A$2:$A$11,0)))))),""))</f>
        <v/>
      </c>
      <c r="R1519" s="16" t="str">
        <f t="shared" si="93"/>
        <v/>
      </c>
      <c r="S1519" s="17" t="str">
        <f t="shared" si="94"/>
        <v/>
      </c>
      <c r="T1519" s="18" t="str">
        <f t="shared" ca="1" si="95"/>
        <v/>
      </c>
    </row>
    <row r="1520" spans="1:20" x14ac:dyDescent="0.35">
      <c r="A1520" s="11"/>
      <c r="B1520" s="11"/>
      <c r="C1520" s="11"/>
      <c r="D1520" s="12"/>
      <c r="E1520" s="11"/>
      <c r="F1520" s="13"/>
      <c r="G1520" s="13"/>
      <c r="H1520" s="11"/>
      <c r="I1520" s="12"/>
      <c r="J1520" s="12"/>
      <c r="K1520" s="13"/>
      <c r="L1520" s="13"/>
      <c r="M1520" s="13"/>
      <c r="N1520" s="13"/>
      <c r="O1520" s="13"/>
      <c r="P1520" s="14" t="str">
        <f t="shared" si="92"/>
        <v/>
      </c>
      <c r="Q1520" s="15" t="str">
        <f>IF(OR(J1520="",H1520=""),"",IFERROR(IF(ISNUMBER(N1520),N1520,IF(K1520&lt;N(INDEX(Platforms!$G$5:$G$14,MATCH(H1520,Lists!$A$2:$A$11,0))),N(INDEX(Platforms!$H$5:$H$14,MATCH(H1520,Lists!$A$2:$A$11,0))),MAX(N(INDEX(Platforms!$F$5:$F$14,MATCH(H1520,Lists!$A$2:$A$11,0))),N(INDEX(Platforms!$C$5:$C$14,MATCH(H1520,Lists!$A$2:$A$11,0)))*(K1520+IF(INDEX(Platforms!$E$5:$E$14,MATCH(H1520,Lists!$A$2:$A$11,0))="Yes",N(L1520),0))+N(INDEX(Platforms!$D$5:$D$14,MATCH(H1520,Lists!$A$2:$A$11,0)))))),""))</f>
        <v/>
      </c>
      <c r="R1520" s="16" t="str">
        <f t="shared" si="93"/>
        <v/>
      </c>
      <c r="S1520" s="17" t="str">
        <f t="shared" si="94"/>
        <v/>
      </c>
      <c r="T1520" s="18" t="str">
        <f t="shared" ca="1" si="95"/>
        <v/>
      </c>
    </row>
    <row r="1521" spans="1:20" x14ac:dyDescent="0.35">
      <c r="A1521" s="11"/>
      <c r="B1521" s="11"/>
      <c r="C1521" s="11"/>
      <c r="D1521" s="12"/>
      <c r="E1521" s="11"/>
      <c r="F1521" s="13"/>
      <c r="G1521" s="13"/>
      <c r="H1521" s="11"/>
      <c r="I1521" s="12"/>
      <c r="J1521" s="12"/>
      <c r="K1521" s="13"/>
      <c r="L1521" s="13"/>
      <c r="M1521" s="13"/>
      <c r="N1521" s="13"/>
      <c r="O1521" s="13"/>
      <c r="P1521" s="14" t="str">
        <f t="shared" si="92"/>
        <v/>
      </c>
      <c r="Q1521" s="15" t="str">
        <f>IF(OR(J1521="",H1521=""),"",IFERROR(IF(ISNUMBER(N1521),N1521,IF(K1521&lt;N(INDEX(Platforms!$G$5:$G$14,MATCH(H1521,Lists!$A$2:$A$11,0))),N(INDEX(Platforms!$H$5:$H$14,MATCH(H1521,Lists!$A$2:$A$11,0))),MAX(N(INDEX(Platforms!$F$5:$F$14,MATCH(H1521,Lists!$A$2:$A$11,0))),N(INDEX(Platforms!$C$5:$C$14,MATCH(H1521,Lists!$A$2:$A$11,0)))*(K1521+IF(INDEX(Platforms!$E$5:$E$14,MATCH(H1521,Lists!$A$2:$A$11,0))="Yes",N(L1521),0))+N(INDEX(Platforms!$D$5:$D$14,MATCH(H1521,Lists!$A$2:$A$11,0)))))),""))</f>
        <v/>
      </c>
      <c r="R1521" s="16" t="str">
        <f t="shared" si="93"/>
        <v/>
      </c>
      <c r="S1521" s="17" t="str">
        <f t="shared" si="94"/>
        <v/>
      </c>
      <c r="T1521" s="18" t="str">
        <f t="shared" ca="1" si="95"/>
        <v/>
      </c>
    </row>
    <row r="1522" spans="1:20" x14ac:dyDescent="0.35">
      <c r="A1522" s="11"/>
      <c r="B1522" s="11"/>
      <c r="C1522" s="11"/>
      <c r="D1522" s="12"/>
      <c r="E1522" s="11"/>
      <c r="F1522" s="13"/>
      <c r="G1522" s="13"/>
      <c r="H1522" s="11"/>
      <c r="I1522" s="12"/>
      <c r="J1522" s="12"/>
      <c r="K1522" s="13"/>
      <c r="L1522" s="13"/>
      <c r="M1522" s="13"/>
      <c r="N1522" s="13"/>
      <c r="O1522" s="13"/>
      <c r="P1522" s="14" t="str">
        <f t="shared" si="92"/>
        <v/>
      </c>
      <c r="Q1522" s="15" t="str">
        <f>IF(OR(J1522="",H1522=""),"",IFERROR(IF(ISNUMBER(N1522),N1522,IF(K1522&lt;N(INDEX(Platforms!$G$5:$G$14,MATCH(H1522,Lists!$A$2:$A$11,0))),N(INDEX(Platforms!$H$5:$H$14,MATCH(H1522,Lists!$A$2:$A$11,0))),MAX(N(INDEX(Platforms!$F$5:$F$14,MATCH(H1522,Lists!$A$2:$A$11,0))),N(INDEX(Platforms!$C$5:$C$14,MATCH(H1522,Lists!$A$2:$A$11,0)))*(K1522+IF(INDEX(Platforms!$E$5:$E$14,MATCH(H1522,Lists!$A$2:$A$11,0))="Yes",N(L1522),0))+N(INDEX(Platforms!$D$5:$D$14,MATCH(H1522,Lists!$A$2:$A$11,0)))))),""))</f>
        <v/>
      </c>
      <c r="R1522" s="16" t="str">
        <f t="shared" si="93"/>
        <v/>
      </c>
      <c r="S1522" s="17" t="str">
        <f t="shared" si="94"/>
        <v/>
      </c>
      <c r="T1522" s="18" t="str">
        <f t="shared" ca="1" si="95"/>
        <v/>
      </c>
    </row>
    <row r="1523" spans="1:20" x14ac:dyDescent="0.35">
      <c r="A1523" s="11"/>
      <c r="B1523" s="11"/>
      <c r="C1523" s="11"/>
      <c r="D1523" s="12"/>
      <c r="E1523" s="11"/>
      <c r="F1523" s="13"/>
      <c r="G1523" s="13"/>
      <c r="H1523" s="11"/>
      <c r="I1523" s="12"/>
      <c r="J1523" s="12"/>
      <c r="K1523" s="13"/>
      <c r="L1523" s="13"/>
      <c r="M1523" s="13"/>
      <c r="N1523" s="13"/>
      <c r="O1523" s="13"/>
      <c r="P1523" s="14" t="str">
        <f t="shared" si="92"/>
        <v/>
      </c>
      <c r="Q1523" s="15" t="str">
        <f>IF(OR(J1523="",H1523=""),"",IFERROR(IF(ISNUMBER(N1523),N1523,IF(K1523&lt;N(INDEX(Platforms!$G$5:$G$14,MATCH(H1523,Lists!$A$2:$A$11,0))),N(INDEX(Platforms!$H$5:$H$14,MATCH(H1523,Lists!$A$2:$A$11,0))),MAX(N(INDEX(Platforms!$F$5:$F$14,MATCH(H1523,Lists!$A$2:$A$11,0))),N(INDEX(Platforms!$C$5:$C$14,MATCH(H1523,Lists!$A$2:$A$11,0)))*(K1523+IF(INDEX(Platforms!$E$5:$E$14,MATCH(H1523,Lists!$A$2:$A$11,0))="Yes",N(L1523),0))+N(INDEX(Platforms!$D$5:$D$14,MATCH(H1523,Lists!$A$2:$A$11,0)))))),""))</f>
        <v/>
      </c>
      <c r="R1523" s="16" t="str">
        <f t="shared" si="93"/>
        <v/>
      </c>
      <c r="S1523" s="17" t="str">
        <f t="shared" si="94"/>
        <v/>
      </c>
      <c r="T1523" s="18" t="str">
        <f t="shared" ca="1" si="95"/>
        <v/>
      </c>
    </row>
    <row r="1524" spans="1:20" x14ac:dyDescent="0.35">
      <c r="A1524" s="11"/>
      <c r="B1524" s="11"/>
      <c r="C1524" s="11"/>
      <c r="D1524" s="12"/>
      <c r="E1524" s="11"/>
      <c r="F1524" s="13"/>
      <c r="G1524" s="13"/>
      <c r="H1524" s="11"/>
      <c r="I1524" s="12"/>
      <c r="J1524" s="12"/>
      <c r="K1524" s="13"/>
      <c r="L1524" s="13"/>
      <c r="M1524" s="13"/>
      <c r="N1524" s="13"/>
      <c r="O1524" s="13"/>
      <c r="P1524" s="14" t="str">
        <f t="shared" si="92"/>
        <v/>
      </c>
      <c r="Q1524" s="15" t="str">
        <f>IF(OR(J1524="",H1524=""),"",IFERROR(IF(ISNUMBER(N1524),N1524,IF(K1524&lt;N(INDEX(Platforms!$G$5:$G$14,MATCH(H1524,Lists!$A$2:$A$11,0))),N(INDEX(Platforms!$H$5:$H$14,MATCH(H1524,Lists!$A$2:$A$11,0))),MAX(N(INDEX(Platforms!$F$5:$F$14,MATCH(H1524,Lists!$A$2:$A$11,0))),N(INDEX(Platforms!$C$5:$C$14,MATCH(H1524,Lists!$A$2:$A$11,0)))*(K1524+IF(INDEX(Platforms!$E$5:$E$14,MATCH(H1524,Lists!$A$2:$A$11,0))="Yes",N(L1524),0))+N(INDEX(Platforms!$D$5:$D$14,MATCH(H1524,Lists!$A$2:$A$11,0)))))),""))</f>
        <v/>
      </c>
      <c r="R1524" s="16" t="str">
        <f t="shared" si="93"/>
        <v/>
      </c>
      <c r="S1524" s="17" t="str">
        <f t="shared" si="94"/>
        <v/>
      </c>
      <c r="T1524" s="18" t="str">
        <f t="shared" ca="1" si="95"/>
        <v/>
      </c>
    </row>
    <row r="1525" spans="1:20" x14ac:dyDescent="0.35">
      <c r="A1525" s="11"/>
      <c r="B1525" s="11"/>
      <c r="C1525" s="11"/>
      <c r="D1525" s="12"/>
      <c r="E1525" s="11"/>
      <c r="F1525" s="13"/>
      <c r="G1525" s="13"/>
      <c r="H1525" s="11"/>
      <c r="I1525" s="12"/>
      <c r="J1525" s="12"/>
      <c r="K1525" s="13"/>
      <c r="L1525" s="13"/>
      <c r="M1525" s="13"/>
      <c r="N1525" s="13"/>
      <c r="O1525" s="13"/>
      <c r="P1525" s="14" t="str">
        <f t="shared" si="92"/>
        <v/>
      </c>
      <c r="Q1525" s="15" t="str">
        <f>IF(OR(J1525="",H1525=""),"",IFERROR(IF(ISNUMBER(N1525),N1525,IF(K1525&lt;N(INDEX(Platforms!$G$5:$G$14,MATCH(H1525,Lists!$A$2:$A$11,0))),N(INDEX(Platforms!$H$5:$H$14,MATCH(H1525,Lists!$A$2:$A$11,0))),MAX(N(INDEX(Platforms!$F$5:$F$14,MATCH(H1525,Lists!$A$2:$A$11,0))),N(INDEX(Platforms!$C$5:$C$14,MATCH(H1525,Lists!$A$2:$A$11,0)))*(K1525+IF(INDEX(Platforms!$E$5:$E$14,MATCH(H1525,Lists!$A$2:$A$11,0))="Yes",N(L1525),0))+N(INDEX(Platforms!$D$5:$D$14,MATCH(H1525,Lists!$A$2:$A$11,0)))))),""))</f>
        <v/>
      </c>
      <c r="R1525" s="16" t="str">
        <f t="shared" si="93"/>
        <v/>
      </c>
      <c r="S1525" s="17" t="str">
        <f t="shared" si="94"/>
        <v/>
      </c>
      <c r="T1525" s="18" t="str">
        <f t="shared" ca="1" si="95"/>
        <v/>
      </c>
    </row>
    <row r="1526" spans="1:20" x14ac:dyDescent="0.35">
      <c r="A1526" s="11"/>
      <c r="B1526" s="11"/>
      <c r="C1526" s="11"/>
      <c r="D1526" s="12"/>
      <c r="E1526" s="11"/>
      <c r="F1526" s="13"/>
      <c r="G1526" s="13"/>
      <c r="H1526" s="11"/>
      <c r="I1526" s="12"/>
      <c r="J1526" s="12"/>
      <c r="K1526" s="13"/>
      <c r="L1526" s="13"/>
      <c r="M1526" s="13"/>
      <c r="N1526" s="13"/>
      <c r="O1526" s="13"/>
      <c r="P1526" s="14" t="str">
        <f t="shared" si="92"/>
        <v/>
      </c>
      <c r="Q1526" s="15" t="str">
        <f>IF(OR(J1526="",H1526=""),"",IFERROR(IF(ISNUMBER(N1526),N1526,IF(K1526&lt;N(INDEX(Platforms!$G$5:$G$14,MATCH(H1526,Lists!$A$2:$A$11,0))),N(INDEX(Platforms!$H$5:$H$14,MATCH(H1526,Lists!$A$2:$A$11,0))),MAX(N(INDEX(Platforms!$F$5:$F$14,MATCH(H1526,Lists!$A$2:$A$11,0))),N(INDEX(Platforms!$C$5:$C$14,MATCH(H1526,Lists!$A$2:$A$11,0)))*(K1526+IF(INDEX(Platforms!$E$5:$E$14,MATCH(H1526,Lists!$A$2:$A$11,0))="Yes",N(L1526),0))+N(INDEX(Platforms!$D$5:$D$14,MATCH(H1526,Lists!$A$2:$A$11,0)))))),""))</f>
        <v/>
      </c>
      <c r="R1526" s="16" t="str">
        <f t="shared" si="93"/>
        <v/>
      </c>
      <c r="S1526" s="17" t="str">
        <f t="shared" si="94"/>
        <v/>
      </c>
      <c r="T1526" s="18" t="str">
        <f t="shared" ca="1" si="95"/>
        <v/>
      </c>
    </row>
    <row r="1527" spans="1:20" x14ac:dyDescent="0.35">
      <c r="A1527" s="11"/>
      <c r="B1527" s="11"/>
      <c r="C1527" s="11"/>
      <c r="D1527" s="12"/>
      <c r="E1527" s="11"/>
      <c r="F1527" s="13"/>
      <c r="G1527" s="13"/>
      <c r="H1527" s="11"/>
      <c r="I1527" s="12"/>
      <c r="J1527" s="12"/>
      <c r="K1527" s="13"/>
      <c r="L1527" s="13"/>
      <c r="M1527" s="13"/>
      <c r="N1527" s="13"/>
      <c r="O1527" s="13"/>
      <c r="P1527" s="14" t="str">
        <f t="shared" si="92"/>
        <v/>
      </c>
      <c r="Q1527" s="15" t="str">
        <f>IF(OR(J1527="",H1527=""),"",IFERROR(IF(ISNUMBER(N1527),N1527,IF(K1527&lt;N(INDEX(Platforms!$G$5:$G$14,MATCH(H1527,Lists!$A$2:$A$11,0))),N(INDEX(Platforms!$H$5:$H$14,MATCH(H1527,Lists!$A$2:$A$11,0))),MAX(N(INDEX(Platforms!$F$5:$F$14,MATCH(H1527,Lists!$A$2:$A$11,0))),N(INDEX(Platforms!$C$5:$C$14,MATCH(H1527,Lists!$A$2:$A$11,0)))*(K1527+IF(INDEX(Platforms!$E$5:$E$14,MATCH(H1527,Lists!$A$2:$A$11,0))="Yes",N(L1527),0))+N(INDEX(Platforms!$D$5:$D$14,MATCH(H1527,Lists!$A$2:$A$11,0)))))),""))</f>
        <v/>
      </c>
      <c r="R1527" s="16" t="str">
        <f t="shared" si="93"/>
        <v/>
      </c>
      <c r="S1527" s="17" t="str">
        <f t="shared" si="94"/>
        <v/>
      </c>
      <c r="T1527" s="18" t="str">
        <f t="shared" ca="1" si="95"/>
        <v/>
      </c>
    </row>
    <row r="1528" spans="1:20" x14ac:dyDescent="0.35">
      <c r="A1528" s="11"/>
      <c r="B1528" s="11"/>
      <c r="C1528" s="11"/>
      <c r="D1528" s="12"/>
      <c r="E1528" s="11"/>
      <c r="F1528" s="13"/>
      <c r="G1528" s="13"/>
      <c r="H1528" s="11"/>
      <c r="I1528" s="12"/>
      <c r="J1528" s="12"/>
      <c r="K1528" s="13"/>
      <c r="L1528" s="13"/>
      <c r="M1528" s="13"/>
      <c r="N1528" s="13"/>
      <c r="O1528" s="13"/>
      <c r="P1528" s="14" t="str">
        <f t="shared" si="92"/>
        <v/>
      </c>
      <c r="Q1528" s="15" t="str">
        <f>IF(OR(J1528="",H1528=""),"",IFERROR(IF(ISNUMBER(N1528),N1528,IF(K1528&lt;N(INDEX(Platforms!$G$5:$G$14,MATCH(H1528,Lists!$A$2:$A$11,0))),N(INDEX(Platforms!$H$5:$H$14,MATCH(H1528,Lists!$A$2:$A$11,0))),MAX(N(INDEX(Platforms!$F$5:$F$14,MATCH(H1528,Lists!$A$2:$A$11,0))),N(INDEX(Platforms!$C$5:$C$14,MATCH(H1528,Lists!$A$2:$A$11,0)))*(K1528+IF(INDEX(Platforms!$E$5:$E$14,MATCH(H1528,Lists!$A$2:$A$11,0))="Yes",N(L1528),0))+N(INDEX(Platforms!$D$5:$D$14,MATCH(H1528,Lists!$A$2:$A$11,0)))))),""))</f>
        <v/>
      </c>
      <c r="R1528" s="16" t="str">
        <f t="shared" si="93"/>
        <v/>
      </c>
      <c r="S1528" s="17" t="str">
        <f t="shared" si="94"/>
        <v/>
      </c>
      <c r="T1528" s="18" t="str">
        <f t="shared" ca="1" si="95"/>
        <v/>
      </c>
    </row>
    <row r="1529" spans="1:20" x14ac:dyDescent="0.35">
      <c r="A1529" s="11"/>
      <c r="B1529" s="11"/>
      <c r="C1529" s="11"/>
      <c r="D1529" s="12"/>
      <c r="E1529" s="11"/>
      <c r="F1529" s="13"/>
      <c r="G1529" s="13"/>
      <c r="H1529" s="11"/>
      <c r="I1529" s="12"/>
      <c r="J1529" s="12"/>
      <c r="K1529" s="13"/>
      <c r="L1529" s="13"/>
      <c r="M1529" s="13"/>
      <c r="N1529" s="13"/>
      <c r="O1529" s="13"/>
      <c r="P1529" s="14" t="str">
        <f t="shared" si="92"/>
        <v/>
      </c>
      <c r="Q1529" s="15" t="str">
        <f>IF(OR(J1529="",H1529=""),"",IFERROR(IF(ISNUMBER(N1529),N1529,IF(K1529&lt;N(INDEX(Platforms!$G$5:$G$14,MATCH(H1529,Lists!$A$2:$A$11,0))),N(INDEX(Platforms!$H$5:$H$14,MATCH(H1529,Lists!$A$2:$A$11,0))),MAX(N(INDEX(Platforms!$F$5:$F$14,MATCH(H1529,Lists!$A$2:$A$11,0))),N(INDEX(Platforms!$C$5:$C$14,MATCH(H1529,Lists!$A$2:$A$11,0)))*(K1529+IF(INDEX(Platforms!$E$5:$E$14,MATCH(H1529,Lists!$A$2:$A$11,0))="Yes",N(L1529),0))+N(INDEX(Platforms!$D$5:$D$14,MATCH(H1529,Lists!$A$2:$A$11,0)))))),""))</f>
        <v/>
      </c>
      <c r="R1529" s="16" t="str">
        <f t="shared" si="93"/>
        <v/>
      </c>
      <c r="S1529" s="17" t="str">
        <f t="shared" si="94"/>
        <v/>
      </c>
      <c r="T1529" s="18" t="str">
        <f t="shared" ca="1" si="95"/>
        <v/>
      </c>
    </row>
    <row r="1530" spans="1:20" x14ac:dyDescent="0.35">
      <c r="A1530" s="11"/>
      <c r="B1530" s="11"/>
      <c r="C1530" s="11"/>
      <c r="D1530" s="12"/>
      <c r="E1530" s="11"/>
      <c r="F1530" s="13"/>
      <c r="G1530" s="13"/>
      <c r="H1530" s="11"/>
      <c r="I1530" s="12"/>
      <c r="J1530" s="12"/>
      <c r="K1530" s="13"/>
      <c r="L1530" s="13"/>
      <c r="M1530" s="13"/>
      <c r="N1530" s="13"/>
      <c r="O1530" s="13"/>
      <c r="P1530" s="14" t="str">
        <f t="shared" si="92"/>
        <v/>
      </c>
      <c r="Q1530" s="15" t="str">
        <f>IF(OR(J1530="",H1530=""),"",IFERROR(IF(ISNUMBER(N1530),N1530,IF(K1530&lt;N(INDEX(Platforms!$G$5:$G$14,MATCH(H1530,Lists!$A$2:$A$11,0))),N(INDEX(Platforms!$H$5:$H$14,MATCH(H1530,Lists!$A$2:$A$11,0))),MAX(N(INDEX(Platforms!$F$5:$F$14,MATCH(H1530,Lists!$A$2:$A$11,0))),N(INDEX(Platforms!$C$5:$C$14,MATCH(H1530,Lists!$A$2:$A$11,0)))*(K1530+IF(INDEX(Platforms!$E$5:$E$14,MATCH(H1530,Lists!$A$2:$A$11,0))="Yes",N(L1530),0))+N(INDEX(Platforms!$D$5:$D$14,MATCH(H1530,Lists!$A$2:$A$11,0)))))),""))</f>
        <v/>
      </c>
      <c r="R1530" s="16" t="str">
        <f t="shared" si="93"/>
        <v/>
      </c>
      <c r="S1530" s="17" t="str">
        <f t="shared" si="94"/>
        <v/>
      </c>
      <c r="T1530" s="18" t="str">
        <f t="shared" ca="1" si="95"/>
        <v/>
      </c>
    </row>
    <row r="1531" spans="1:20" x14ac:dyDescent="0.35">
      <c r="A1531" s="11"/>
      <c r="B1531" s="11"/>
      <c r="C1531" s="11"/>
      <c r="D1531" s="12"/>
      <c r="E1531" s="11"/>
      <c r="F1531" s="13"/>
      <c r="G1531" s="13"/>
      <c r="H1531" s="11"/>
      <c r="I1531" s="12"/>
      <c r="J1531" s="12"/>
      <c r="K1531" s="13"/>
      <c r="L1531" s="13"/>
      <c r="M1531" s="13"/>
      <c r="N1531" s="13"/>
      <c r="O1531" s="13"/>
      <c r="P1531" s="14" t="str">
        <f t="shared" si="92"/>
        <v/>
      </c>
      <c r="Q1531" s="15" t="str">
        <f>IF(OR(J1531="",H1531=""),"",IFERROR(IF(ISNUMBER(N1531),N1531,IF(K1531&lt;N(INDEX(Platforms!$G$5:$G$14,MATCH(H1531,Lists!$A$2:$A$11,0))),N(INDEX(Platforms!$H$5:$H$14,MATCH(H1531,Lists!$A$2:$A$11,0))),MAX(N(INDEX(Platforms!$F$5:$F$14,MATCH(H1531,Lists!$A$2:$A$11,0))),N(INDEX(Platforms!$C$5:$C$14,MATCH(H1531,Lists!$A$2:$A$11,0)))*(K1531+IF(INDEX(Platforms!$E$5:$E$14,MATCH(H1531,Lists!$A$2:$A$11,0))="Yes",N(L1531),0))+N(INDEX(Platforms!$D$5:$D$14,MATCH(H1531,Lists!$A$2:$A$11,0)))))),""))</f>
        <v/>
      </c>
      <c r="R1531" s="16" t="str">
        <f t="shared" si="93"/>
        <v/>
      </c>
      <c r="S1531" s="17" t="str">
        <f t="shared" si="94"/>
        <v/>
      </c>
      <c r="T1531" s="18" t="str">
        <f t="shared" ca="1" si="95"/>
        <v/>
      </c>
    </row>
    <row r="1532" spans="1:20" x14ac:dyDescent="0.35">
      <c r="A1532" s="11"/>
      <c r="B1532" s="11"/>
      <c r="C1532" s="11"/>
      <c r="D1532" s="12"/>
      <c r="E1532" s="11"/>
      <c r="F1532" s="13"/>
      <c r="G1532" s="13"/>
      <c r="H1532" s="11"/>
      <c r="I1532" s="12"/>
      <c r="J1532" s="12"/>
      <c r="K1532" s="13"/>
      <c r="L1532" s="13"/>
      <c r="M1532" s="13"/>
      <c r="N1532" s="13"/>
      <c r="O1532" s="13"/>
      <c r="P1532" s="14" t="str">
        <f t="shared" si="92"/>
        <v/>
      </c>
      <c r="Q1532" s="15" t="str">
        <f>IF(OR(J1532="",H1532=""),"",IFERROR(IF(ISNUMBER(N1532),N1532,IF(K1532&lt;N(INDEX(Platforms!$G$5:$G$14,MATCH(H1532,Lists!$A$2:$A$11,0))),N(INDEX(Platforms!$H$5:$H$14,MATCH(H1532,Lists!$A$2:$A$11,0))),MAX(N(INDEX(Platforms!$F$5:$F$14,MATCH(H1532,Lists!$A$2:$A$11,0))),N(INDEX(Platforms!$C$5:$C$14,MATCH(H1532,Lists!$A$2:$A$11,0)))*(K1532+IF(INDEX(Platforms!$E$5:$E$14,MATCH(H1532,Lists!$A$2:$A$11,0))="Yes",N(L1532),0))+N(INDEX(Platforms!$D$5:$D$14,MATCH(H1532,Lists!$A$2:$A$11,0)))))),""))</f>
        <v/>
      </c>
      <c r="R1532" s="16" t="str">
        <f t="shared" si="93"/>
        <v/>
      </c>
      <c r="S1532" s="17" t="str">
        <f t="shared" si="94"/>
        <v/>
      </c>
      <c r="T1532" s="18" t="str">
        <f t="shared" ca="1" si="95"/>
        <v/>
      </c>
    </row>
    <row r="1533" spans="1:20" x14ac:dyDescent="0.35">
      <c r="A1533" s="11"/>
      <c r="B1533" s="11"/>
      <c r="C1533" s="11"/>
      <c r="D1533" s="12"/>
      <c r="E1533" s="11"/>
      <c r="F1533" s="13"/>
      <c r="G1533" s="13"/>
      <c r="H1533" s="11"/>
      <c r="I1533" s="12"/>
      <c r="J1533" s="12"/>
      <c r="K1533" s="13"/>
      <c r="L1533" s="13"/>
      <c r="M1533" s="13"/>
      <c r="N1533" s="13"/>
      <c r="O1533" s="13"/>
      <c r="P1533" s="14" t="str">
        <f t="shared" si="92"/>
        <v/>
      </c>
      <c r="Q1533" s="15" t="str">
        <f>IF(OR(J1533="",H1533=""),"",IFERROR(IF(ISNUMBER(N1533),N1533,IF(K1533&lt;N(INDEX(Platforms!$G$5:$G$14,MATCH(H1533,Lists!$A$2:$A$11,0))),N(INDEX(Platforms!$H$5:$H$14,MATCH(H1533,Lists!$A$2:$A$11,0))),MAX(N(INDEX(Platforms!$F$5:$F$14,MATCH(H1533,Lists!$A$2:$A$11,0))),N(INDEX(Platforms!$C$5:$C$14,MATCH(H1533,Lists!$A$2:$A$11,0)))*(K1533+IF(INDEX(Platforms!$E$5:$E$14,MATCH(H1533,Lists!$A$2:$A$11,0))="Yes",N(L1533),0))+N(INDEX(Platforms!$D$5:$D$14,MATCH(H1533,Lists!$A$2:$A$11,0)))))),""))</f>
        <v/>
      </c>
      <c r="R1533" s="16" t="str">
        <f t="shared" si="93"/>
        <v/>
      </c>
      <c r="S1533" s="17" t="str">
        <f t="shared" si="94"/>
        <v/>
      </c>
      <c r="T1533" s="18" t="str">
        <f t="shared" ca="1" si="95"/>
        <v/>
      </c>
    </row>
    <row r="1534" spans="1:20" x14ac:dyDescent="0.35">
      <c r="A1534" s="11"/>
      <c r="B1534" s="11"/>
      <c r="C1534" s="11"/>
      <c r="D1534" s="12"/>
      <c r="E1534" s="11"/>
      <c r="F1534" s="13"/>
      <c r="G1534" s="13"/>
      <c r="H1534" s="11"/>
      <c r="I1534" s="12"/>
      <c r="J1534" s="12"/>
      <c r="K1534" s="13"/>
      <c r="L1534" s="13"/>
      <c r="M1534" s="13"/>
      <c r="N1534" s="13"/>
      <c r="O1534" s="13"/>
      <c r="P1534" s="14" t="str">
        <f t="shared" si="92"/>
        <v/>
      </c>
      <c r="Q1534" s="15" t="str">
        <f>IF(OR(J1534="",H1534=""),"",IFERROR(IF(ISNUMBER(N1534),N1534,IF(K1534&lt;N(INDEX(Platforms!$G$5:$G$14,MATCH(H1534,Lists!$A$2:$A$11,0))),N(INDEX(Platforms!$H$5:$H$14,MATCH(H1534,Lists!$A$2:$A$11,0))),MAX(N(INDEX(Platforms!$F$5:$F$14,MATCH(H1534,Lists!$A$2:$A$11,0))),N(INDEX(Platforms!$C$5:$C$14,MATCH(H1534,Lists!$A$2:$A$11,0)))*(K1534+IF(INDEX(Platforms!$E$5:$E$14,MATCH(H1534,Lists!$A$2:$A$11,0))="Yes",N(L1534),0))+N(INDEX(Platforms!$D$5:$D$14,MATCH(H1534,Lists!$A$2:$A$11,0)))))),""))</f>
        <v/>
      </c>
      <c r="R1534" s="16" t="str">
        <f t="shared" si="93"/>
        <v/>
      </c>
      <c r="S1534" s="17" t="str">
        <f t="shared" si="94"/>
        <v/>
      </c>
      <c r="T1534" s="18" t="str">
        <f t="shared" ca="1" si="95"/>
        <v/>
      </c>
    </row>
    <row r="1535" spans="1:20" x14ac:dyDescent="0.35">
      <c r="A1535" s="11"/>
      <c r="B1535" s="11"/>
      <c r="C1535" s="11"/>
      <c r="D1535" s="12"/>
      <c r="E1535" s="11"/>
      <c r="F1535" s="13"/>
      <c r="G1535" s="13"/>
      <c r="H1535" s="11"/>
      <c r="I1535" s="12"/>
      <c r="J1535" s="12"/>
      <c r="K1535" s="13"/>
      <c r="L1535" s="13"/>
      <c r="M1535" s="13"/>
      <c r="N1535" s="13"/>
      <c r="O1535" s="13"/>
      <c r="P1535" s="14" t="str">
        <f t="shared" si="92"/>
        <v/>
      </c>
      <c r="Q1535" s="15" t="str">
        <f>IF(OR(J1535="",H1535=""),"",IFERROR(IF(ISNUMBER(N1535),N1535,IF(K1535&lt;N(INDEX(Platforms!$G$5:$G$14,MATCH(H1535,Lists!$A$2:$A$11,0))),N(INDEX(Platforms!$H$5:$H$14,MATCH(H1535,Lists!$A$2:$A$11,0))),MAX(N(INDEX(Platforms!$F$5:$F$14,MATCH(H1535,Lists!$A$2:$A$11,0))),N(INDEX(Platforms!$C$5:$C$14,MATCH(H1535,Lists!$A$2:$A$11,0)))*(K1535+IF(INDEX(Platforms!$E$5:$E$14,MATCH(H1535,Lists!$A$2:$A$11,0))="Yes",N(L1535),0))+N(INDEX(Platforms!$D$5:$D$14,MATCH(H1535,Lists!$A$2:$A$11,0)))))),""))</f>
        <v/>
      </c>
      <c r="R1535" s="16" t="str">
        <f t="shared" si="93"/>
        <v/>
      </c>
      <c r="S1535" s="17" t="str">
        <f t="shared" si="94"/>
        <v/>
      </c>
      <c r="T1535" s="18" t="str">
        <f t="shared" ca="1" si="95"/>
        <v/>
      </c>
    </row>
    <row r="1536" spans="1:20" x14ac:dyDescent="0.35">
      <c r="A1536" s="11"/>
      <c r="B1536" s="11"/>
      <c r="C1536" s="11"/>
      <c r="D1536" s="12"/>
      <c r="E1536" s="11"/>
      <c r="F1536" s="13"/>
      <c r="G1536" s="13"/>
      <c r="H1536" s="11"/>
      <c r="I1536" s="12"/>
      <c r="J1536" s="12"/>
      <c r="K1536" s="13"/>
      <c r="L1536" s="13"/>
      <c r="M1536" s="13"/>
      <c r="N1536" s="13"/>
      <c r="O1536" s="13"/>
      <c r="P1536" s="14" t="str">
        <f t="shared" si="92"/>
        <v/>
      </c>
      <c r="Q1536" s="15" t="str">
        <f>IF(OR(J1536="",H1536=""),"",IFERROR(IF(ISNUMBER(N1536),N1536,IF(K1536&lt;N(INDEX(Platforms!$G$5:$G$14,MATCH(H1536,Lists!$A$2:$A$11,0))),N(INDEX(Platforms!$H$5:$H$14,MATCH(H1536,Lists!$A$2:$A$11,0))),MAX(N(INDEX(Platforms!$F$5:$F$14,MATCH(H1536,Lists!$A$2:$A$11,0))),N(INDEX(Platforms!$C$5:$C$14,MATCH(H1536,Lists!$A$2:$A$11,0)))*(K1536+IF(INDEX(Platforms!$E$5:$E$14,MATCH(H1536,Lists!$A$2:$A$11,0))="Yes",N(L1536),0))+N(INDEX(Platforms!$D$5:$D$14,MATCH(H1536,Lists!$A$2:$A$11,0)))))),""))</f>
        <v/>
      </c>
      <c r="R1536" s="16" t="str">
        <f t="shared" si="93"/>
        <v/>
      </c>
      <c r="S1536" s="17" t="str">
        <f t="shared" si="94"/>
        <v/>
      </c>
      <c r="T1536" s="18" t="str">
        <f t="shared" ca="1" si="95"/>
        <v/>
      </c>
    </row>
    <row r="1537" spans="1:20" x14ac:dyDescent="0.35">
      <c r="A1537" s="11"/>
      <c r="B1537" s="11"/>
      <c r="C1537" s="11"/>
      <c r="D1537" s="12"/>
      <c r="E1537" s="11"/>
      <c r="F1537" s="13"/>
      <c r="G1537" s="13"/>
      <c r="H1537" s="11"/>
      <c r="I1537" s="12"/>
      <c r="J1537" s="12"/>
      <c r="K1537" s="13"/>
      <c r="L1537" s="13"/>
      <c r="M1537" s="13"/>
      <c r="N1537" s="13"/>
      <c r="O1537" s="13"/>
      <c r="P1537" s="14" t="str">
        <f t="shared" si="92"/>
        <v/>
      </c>
      <c r="Q1537" s="15" t="str">
        <f>IF(OR(J1537="",H1537=""),"",IFERROR(IF(ISNUMBER(N1537),N1537,IF(K1537&lt;N(INDEX(Platforms!$G$5:$G$14,MATCH(H1537,Lists!$A$2:$A$11,0))),N(INDEX(Platforms!$H$5:$H$14,MATCH(H1537,Lists!$A$2:$A$11,0))),MAX(N(INDEX(Platforms!$F$5:$F$14,MATCH(H1537,Lists!$A$2:$A$11,0))),N(INDEX(Platforms!$C$5:$C$14,MATCH(H1537,Lists!$A$2:$A$11,0)))*(K1537+IF(INDEX(Platforms!$E$5:$E$14,MATCH(H1537,Lists!$A$2:$A$11,0))="Yes",N(L1537),0))+N(INDEX(Platforms!$D$5:$D$14,MATCH(H1537,Lists!$A$2:$A$11,0)))))),""))</f>
        <v/>
      </c>
      <c r="R1537" s="16" t="str">
        <f t="shared" si="93"/>
        <v/>
      </c>
      <c r="S1537" s="17" t="str">
        <f t="shared" si="94"/>
        <v/>
      </c>
      <c r="T1537" s="18" t="str">
        <f t="shared" ca="1" si="95"/>
        <v/>
      </c>
    </row>
    <row r="1538" spans="1:20" x14ac:dyDescent="0.35">
      <c r="A1538" s="11"/>
      <c r="B1538" s="11"/>
      <c r="C1538" s="11"/>
      <c r="D1538" s="12"/>
      <c r="E1538" s="11"/>
      <c r="F1538" s="13"/>
      <c r="G1538" s="13"/>
      <c r="H1538" s="11"/>
      <c r="I1538" s="12"/>
      <c r="J1538" s="12"/>
      <c r="K1538" s="13"/>
      <c r="L1538" s="13"/>
      <c r="M1538" s="13"/>
      <c r="N1538" s="13"/>
      <c r="O1538" s="13"/>
      <c r="P1538" s="14" t="str">
        <f t="shared" si="92"/>
        <v/>
      </c>
      <c r="Q1538" s="15" t="str">
        <f>IF(OR(J1538="",H1538=""),"",IFERROR(IF(ISNUMBER(N1538),N1538,IF(K1538&lt;N(INDEX(Platforms!$G$5:$G$14,MATCH(H1538,Lists!$A$2:$A$11,0))),N(INDEX(Platforms!$H$5:$H$14,MATCH(H1538,Lists!$A$2:$A$11,0))),MAX(N(INDEX(Platforms!$F$5:$F$14,MATCH(H1538,Lists!$A$2:$A$11,0))),N(INDEX(Platforms!$C$5:$C$14,MATCH(H1538,Lists!$A$2:$A$11,0)))*(K1538+IF(INDEX(Platforms!$E$5:$E$14,MATCH(H1538,Lists!$A$2:$A$11,0))="Yes",N(L1538),0))+N(INDEX(Platforms!$D$5:$D$14,MATCH(H1538,Lists!$A$2:$A$11,0)))))),""))</f>
        <v/>
      </c>
      <c r="R1538" s="16" t="str">
        <f t="shared" si="93"/>
        <v/>
      </c>
      <c r="S1538" s="17" t="str">
        <f t="shared" si="94"/>
        <v/>
      </c>
      <c r="T1538" s="18" t="str">
        <f t="shared" ca="1" si="95"/>
        <v/>
      </c>
    </row>
    <row r="1539" spans="1:20" x14ac:dyDescent="0.35">
      <c r="A1539" s="11"/>
      <c r="B1539" s="11"/>
      <c r="C1539" s="11"/>
      <c r="D1539" s="12"/>
      <c r="E1539" s="11"/>
      <c r="F1539" s="13"/>
      <c r="G1539" s="13"/>
      <c r="H1539" s="11"/>
      <c r="I1539" s="12"/>
      <c r="J1539" s="12"/>
      <c r="K1539" s="13"/>
      <c r="L1539" s="13"/>
      <c r="M1539" s="13"/>
      <c r="N1539" s="13"/>
      <c r="O1539" s="13"/>
      <c r="P1539" s="14" t="str">
        <f t="shared" si="92"/>
        <v/>
      </c>
      <c r="Q1539" s="15" t="str">
        <f>IF(OR(J1539="",H1539=""),"",IFERROR(IF(ISNUMBER(N1539),N1539,IF(K1539&lt;N(INDEX(Platforms!$G$5:$G$14,MATCH(H1539,Lists!$A$2:$A$11,0))),N(INDEX(Platforms!$H$5:$H$14,MATCH(H1539,Lists!$A$2:$A$11,0))),MAX(N(INDEX(Platforms!$F$5:$F$14,MATCH(H1539,Lists!$A$2:$A$11,0))),N(INDEX(Platforms!$C$5:$C$14,MATCH(H1539,Lists!$A$2:$A$11,0)))*(K1539+IF(INDEX(Platforms!$E$5:$E$14,MATCH(H1539,Lists!$A$2:$A$11,0))="Yes",N(L1539),0))+N(INDEX(Platforms!$D$5:$D$14,MATCH(H1539,Lists!$A$2:$A$11,0)))))),""))</f>
        <v/>
      </c>
      <c r="R1539" s="16" t="str">
        <f t="shared" si="93"/>
        <v/>
      </c>
      <c r="S1539" s="17" t="str">
        <f t="shared" si="94"/>
        <v/>
      </c>
      <c r="T1539" s="18" t="str">
        <f t="shared" ca="1" si="95"/>
        <v/>
      </c>
    </row>
    <row r="1540" spans="1:20" x14ac:dyDescent="0.35">
      <c r="A1540" s="11"/>
      <c r="B1540" s="11"/>
      <c r="C1540" s="11"/>
      <c r="D1540" s="12"/>
      <c r="E1540" s="11"/>
      <c r="F1540" s="13"/>
      <c r="G1540" s="13"/>
      <c r="H1540" s="11"/>
      <c r="I1540" s="12"/>
      <c r="J1540" s="12"/>
      <c r="K1540" s="13"/>
      <c r="L1540" s="13"/>
      <c r="M1540" s="13"/>
      <c r="N1540" s="13"/>
      <c r="O1540" s="13"/>
      <c r="P1540" s="14" t="str">
        <f t="shared" si="92"/>
        <v/>
      </c>
      <c r="Q1540" s="15" t="str">
        <f>IF(OR(J1540="",H1540=""),"",IFERROR(IF(ISNUMBER(N1540),N1540,IF(K1540&lt;N(INDEX(Platforms!$G$5:$G$14,MATCH(H1540,Lists!$A$2:$A$11,0))),N(INDEX(Platforms!$H$5:$H$14,MATCH(H1540,Lists!$A$2:$A$11,0))),MAX(N(INDEX(Platforms!$F$5:$F$14,MATCH(H1540,Lists!$A$2:$A$11,0))),N(INDEX(Platforms!$C$5:$C$14,MATCH(H1540,Lists!$A$2:$A$11,0)))*(K1540+IF(INDEX(Platforms!$E$5:$E$14,MATCH(H1540,Lists!$A$2:$A$11,0))="Yes",N(L1540),0))+N(INDEX(Platforms!$D$5:$D$14,MATCH(H1540,Lists!$A$2:$A$11,0)))))),""))</f>
        <v/>
      </c>
      <c r="R1540" s="16" t="str">
        <f t="shared" si="93"/>
        <v/>
      </c>
      <c r="S1540" s="17" t="str">
        <f t="shared" si="94"/>
        <v/>
      </c>
      <c r="T1540" s="18" t="str">
        <f t="shared" ca="1" si="95"/>
        <v/>
      </c>
    </row>
    <row r="1541" spans="1:20" x14ac:dyDescent="0.35">
      <c r="A1541" s="11"/>
      <c r="B1541" s="11"/>
      <c r="C1541" s="11"/>
      <c r="D1541" s="12"/>
      <c r="E1541" s="11"/>
      <c r="F1541" s="13"/>
      <c r="G1541" s="13"/>
      <c r="H1541" s="11"/>
      <c r="I1541" s="12"/>
      <c r="J1541" s="12"/>
      <c r="K1541" s="13"/>
      <c r="L1541" s="13"/>
      <c r="M1541" s="13"/>
      <c r="N1541" s="13"/>
      <c r="O1541" s="13"/>
      <c r="P1541" s="14" t="str">
        <f t="shared" ref="P1541:P1604" si="96">IF(OR(B1541&lt;&gt;"",F1541&lt;&gt;"",H1541&lt;&gt;"",J1541&lt;&gt;"",K1541&lt;&gt;""),IF(J1541&lt;&gt;"","Sold",IF(I1541&lt;&gt;"","Listed","In stock")),"")</f>
        <v/>
      </c>
      <c r="Q1541" s="15" t="str">
        <f>IF(OR(J1541="",H1541=""),"",IFERROR(IF(ISNUMBER(N1541),N1541,IF(K1541&lt;N(INDEX(Platforms!$G$5:$G$14,MATCH(H1541,Lists!$A$2:$A$11,0))),N(INDEX(Platforms!$H$5:$H$14,MATCH(H1541,Lists!$A$2:$A$11,0))),MAX(N(INDEX(Platforms!$F$5:$F$14,MATCH(H1541,Lists!$A$2:$A$11,0))),N(INDEX(Platforms!$C$5:$C$14,MATCH(H1541,Lists!$A$2:$A$11,0)))*(K1541+IF(INDEX(Platforms!$E$5:$E$14,MATCH(H1541,Lists!$A$2:$A$11,0))="Yes",N(L1541),0))+N(INDEX(Platforms!$D$5:$D$14,MATCH(H1541,Lists!$A$2:$A$11,0)))))),""))</f>
        <v/>
      </c>
      <c r="R1541" s="16" t="str">
        <f t="shared" ref="R1541:R1604" si="97">IF(J1541="","",IFERROR(K1541+N(L1541)-N(O1541)-Q1541-N(M1541)-N(F1541)-N(G1541),""))</f>
        <v/>
      </c>
      <c r="S1541" s="17" t="str">
        <f t="shared" ref="S1541:S1604" si="98">IF(OR(R1541="",N(F1541)+N(G1541)=0),"",R1541/(N(F1541)+N(G1541)))</f>
        <v/>
      </c>
      <c r="T1541" s="18" t="str">
        <f t="shared" ref="T1541:T1604" ca="1" si="99">IFERROR(IF(ISNUMBER(D1541),IF(ISNUMBER(J1541),J1541,IF(J1541="",TODAY(),""))-D1541,""),"")</f>
        <v/>
      </c>
    </row>
    <row r="1542" spans="1:20" x14ac:dyDescent="0.35">
      <c r="A1542" s="11"/>
      <c r="B1542" s="11"/>
      <c r="C1542" s="11"/>
      <c r="D1542" s="12"/>
      <c r="E1542" s="11"/>
      <c r="F1542" s="13"/>
      <c r="G1542" s="13"/>
      <c r="H1542" s="11"/>
      <c r="I1542" s="12"/>
      <c r="J1542" s="12"/>
      <c r="K1542" s="13"/>
      <c r="L1542" s="13"/>
      <c r="M1542" s="13"/>
      <c r="N1542" s="13"/>
      <c r="O1542" s="13"/>
      <c r="P1542" s="14" t="str">
        <f t="shared" si="96"/>
        <v/>
      </c>
      <c r="Q1542" s="15" t="str">
        <f>IF(OR(J1542="",H1542=""),"",IFERROR(IF(ISNUMBER(N1542),N1542,IF(K1542&lt;N(INDEX(Platforms!$G$5:$G$14,MATCH(H1542,Lists!$A$2:$A$11,0))),N(INDEX(Platforms!$H$5:$H$14,MATCH(H1542,Lists!$A$2:$A$11,0))),MAX(N(INDEX(Platforms!$F$5:$F$14,MATCH(H1542,Lists!$A$2:$A$11,0))),N(INDEX(Platforms!$C$5:$C$14,MATCH(H1542,Lists!$A$2:$A$11,0)))*(K1542+IF(INDEX(Platforms!$E$5:$E$14,MATCH(H1542,Lists!$A$2:$A$11,0))="Yes",N(L1542),0))+N(INDEX(Platforms!$D$5:$D$14,MATCH(H1542,Lists!$A$2:$A$11,0)))))),""))</f>
        <v/>
      </c>
      <c r="R1542" s="16" t="str">
        <f t="shared" si="97"/>
        <v/>
      </c>
      <c r="S1542" s="17" t="str">
        <f t="shared" si="98"/>
        <v/>
      </c>
      <c r="T1542" s="18" t="str">
        <f t="shared" ca="1" si="99"/>
        <v/>
      </c>
    </row>
    <row r="1543" spans="1:20" x14ac:dyDescent="0.35">
      <c r="A1543" s="11"/>
      <c r="B1543" s="11"/>
      <c r="C1543" s="11"/>
      <c r="D1543" s="12"/>
      <c r="E1543" s="11"/>
      <c r="F1543" s="13"/>
      <c r="G1543" s="13"/>
      <c r="H1543" s="11"/>
      <c r="I1543" s="12"/>
      <c r="J1543" s="12"/>
      <c r="K1543" s="13"/>
      <c r="L1543" s="13"/>
      <c r="M1543" s="13"/>
      <c r="N1543" s="13"/>
      <c r="O1543" s="13"/>
      <c r="P1543" s="14" t="str">
        <f t="shared" si="96"/>
        <v/>
      </c>
      <c r="Q1543" s="15" t="str">
        <f>IF(OR(J1543="",H1543=""),"",IFERROR(IF(ISNUMBER(N1543),N1543,IF(K1543&lt;N(INDEX(Platforms!$G$5:$G$14,MATCH(H1543,Lists!$A$2:$A$11,0))),N(INDEX(Platforms!$H$5:$H$14,MATCH(H1543,Lists!$A$2:$A$11,0))),MAX(N(INDEX(Platforms!$F$5:$F$14,MATCH(H1543,Lists!$A$2:$A$11,0))),N(INDEX(Platforms!$C$5:$C$14,MATCH(H1543,Lists!$A$2:$A$11,0)))*(K1543+IF(INDEX(Platforms!$E$5:$E$14,MATCH(H1543,Lists!$A$2:$A$11,0))="Yes",N(L1543),0))+N(INDEX(Platforms!$D$5:$D$14,MATCH(H1543,Lists!$A$2:$A$11,0)))))),""))</f>
        <v/>
      </c>
      <c r="R1543" s="16" t="str">
        <f t="shared" si="97"/>
        <v/>
      </c>
      <c r="S1543" s="17" t="str">
        <f t="shared" si="98"/>
        <v/>
      </c>
      <c r="T1543" s="18" t="str">
        <f t="shared" ca="1" si="99"/>
        <v/>
      </c>
    </row>
    <row r="1544" spans="1:20" x14ac:dyDescent="0.35">
      <c r="A1544" s="11"/>
      <c r="B1544" s="11"/>
      <c r="C1544" s="11"/>
      <c r="D1544" s="12"/>
      <c r="E1544" s="11"/>
      <c r="F1544" s="13"/>
      <c r="G1544" s="13"/>
      <c r="H1544" s="11"/>
      <c r="I1544" s="12"/>
      <c r="J1544" s="12"/>
      <c r="K1544" s="13"/>
      <c r="L1544" s="13"/>
      <c r="M1544" s="13"/>
      <c r="N1544" s="13"/>
      <c r="O1544" s="13"/>
      <c r="P1544" s="14" t="str">
        <f t="shared" si="96"/>
        <v/>
      </c>
      <c r="Q1544" s="15" t="str">
        <f>IF(OR(J1544="",H1544=""),"",IFERROR(IF(ISNUMBER(N1544),N1544,IF(K1544&lt;N(INDEX(Platforms!$G$5:$G$14,MATCH(H1544,Lists!$A$2:$A$11,0))),N(INDEX(Platforms!$H$5:$H$14,MATCH(H1544,Lists!$A$2:$A$11,0))),MAX(N(INDEX(Platforms!$F$5:$F$14,MATCH(H1544,Lists!$A$2:$A$11,0))),N(INDEX(Platforms!$C$5:$C$14,MATCH(H1544,Lists!$A$2:$A$11,0)))*(K1544+IF(INDEX(Platforms!$E$5:$E$14,MATCH(H1544,Lists!$A$2:$A$11,0))="Yes",N(L1544),0))+N(INDEX(Platforms!$D$5:$D$14,MATCH(H1544,Lists!$A$2:$A$11,0)))))),""))</f>
        <v/>
      </c>
      <c r="R1544" s="16" t="str">
        <f t="shared" si="97"/>
        <v/>
      </c>
      <c r="S1544" s="17" t="str">
        <f t="shared" si="98"/>
        <v/>
      </c>
      <c r="T1544" s="18" t="str">
        <f t="shared" ca="1" si="99"/>
        <v/>
      </c>
    </row>
    <row r="1545" spans="1:20" x14ac:dyDescent="0.35">
      <c r="A1545" s="11"/>
      <c r="B1545" s="11"/>
      <c r="C1545" s="11"/>
      <c r="D1545" s="12"/>
      <c r="E1545" s="11"/>
      <c r="F1545" s="13"/>
      <c r="G1545" s="13"/>
      <c r="H1545" s="11"/>
      <c r="I1545" s="12"/>
      <c r="J1545" s="12"/>
      <c r="K1545" s="13"/>
      <c r="L1545" s="13"/>
      <c r="M1545" s="13"/>
      <c r="N1545" s="13"/>
      <c r="O1545" s="13"/>
      <c r="P1545" s="14" t="str">
        <f t="shared" si="96"/>
        <v/>
      </c>
      <c r="Q1545" s="15" t="str">
        <f>IF(OR(J1545="",H1545=""),"",IFERROR(IF(ISNUMBER(N1545),N1545,IF(K1545&lt;N(INDEX(Platforms!$G$5:$G$14,MATCH(H1545,Lists!$A$2:$A$11,0))),N(INDEX(Platforms!$H$5:$H$14,MATCH(H1545,Lists!$A$2:$A$11,0))),MAX(N(INDEX(Platforms!$F$5:$F$14,MATCH(H1545,Lists!$A$2:$A$11,0))),N(INDEX(Platforms!$C$5:$C$14,MATCH(H1545,Lists!$A$2:$A$11,0)))*(K1545+IF(INDEX(Platforms!$E$5:$E$14,MATCH(H1545,Lists!$A$2:$A$11,0))="Yes",N(L1545),0))+N(INDEX(Platforms!$D$5:$D$14,MATCH(H1545,Lists!$A$2:$A$11,0)))))),""))</f>
        <v/>
      </c>
      <c r="R1545" s="16" t="str">
        <f t="shared" si="97"/>
        <v/>
      </c>
      <c r="S1545" s="17" t="str">
        <f t="shared" si="98"/>
        <v/>
      </c>
      <c r="T1545" s="18" t="str">
        <f t="shared" ca="1" si="99"/>
        <v/>
      </c>
    </row>
    <row r="1546" spans="1:20" x14ac:dyDescent="0.35">
      <c r="A1546" s="11"/>
      <c r="B1546" s="11"/>
      <c r="C1546" s="11"/>
      <c r="D1546" s="12"/>
      <c r="E1546" s="11"/>
      <c r="F1546" s="13"/>
      <c r="G1546" s="13"/>
      <c r="H1546" s="11"/>
      <c r="I1546" s="12"/>
      <c r="J1546" s="12"/>
      <c r="K1546" s="13"/>
      <c r="L1546" s="13"/>
      <c r="M1546" s="13"/>
      <c r="N1546" s="13"/>
      <c r="O1546" s="13"/>
      <c r="P1546" s="14" t="str">
        <f t="shared" si="96"/>
        <v/>
      </c>
      <c r="Q1546" s="15" t="str">
        <f>IF(OR(J1546="",H1546=""),"",IFERROR(IF(ISNUMBER(N1546),N1546,IF(K1546&lt;N(INDEX(Platforms!$G$5:$G$14,MATCH(H1546,Lists!$A$2:$A$11,0))),N(INDEX(Platforms!$H$5:$H$14,MATCH(H1546,Lists!$A$2:$A$11,0))),MAX(N(INDEX(Platforms!$F$5:$F$14,MATCH(H1546,Lists!$A$2:$A$11,0))),N(INDEX(Platforms!$C$5:$C$14,MATCH(H1546,Lists!$A$2:$A$11,0)))*(K1546+IF(INDEX(Platforms!$E$5:$E$14,MATCH(H1546,Lists!$A$2:$A$11,0))="Yes",N(L1546),0))+N(INDEX(Platforms!$D$5:$D$14,MATCH(H1546,Lists!$A$2:$A$11,0)))))),""))</f>
        <v/>
      </c>
      <c r="R1546" s="16" t="str">
        <f t="shared" si="97"/>
        <v/>
      </c>
      <c r="S1546" s="17" t="str">
        <f t="shared" si="98"/>
        <v/>
      </c>
      <c r="T1546" s="18" t="str">
        <f t="shared" ca="1" si="99"/>
        <v/>
      </c>
    </row>
    <row r="1547" spans="1:20" x14ac:dyDescent="0.35">
      <c r="A1547" s="11"/>
      <c r="B1547" s="11"/>
      <c r="C1547" s="11"/>
      <c r="D1547" s="12"/>
      <c r="E1547" s="11"/>
      <c r="F1547" s="13"/>
      <c r="G1547" s="13"/>
      <c r="H1547" s="11"/>
      <c r="I1547" s="12"/>
      <c r="J1547" s="12"/>
      <c r="K1547" s="13"/>
      <c r="L1547" s="13"/>
      <c r="M1547" s="13"/>
      <c r="N1547" s="13"/>
      <c r="O1547" s="13"/>
      <c r="P1547" s="14" t="str">
        <f t="shared" si="96"/>
        <v/>
      </c>
      <c r="Q1547" s="15" t="str">
        <f>IF(OR(J1547="",H1547=""),"",IFERROR(IF(ISNUMBER(N1547),N1547,IF(K1547&lt;N(INDEX(Platforms!$G$5:$G$14,MATCH(H1547,Lists!$A$2:$A$11,0))),N(INDEX(Platforms!$H$5:$H$14,MATCH(H1547,Lists!$A$2:$A$11,0))),MAX(N(INDEX(Platforms!$F$5:$F$14,MATCH(H1547,Lists!$A$2:$A$11,0))),N(INDEX(Platforms!$C$5:$C$14,MATCH(H1547,Lists!$A$2:$A$11,0)))*(K1547+IF(INDEX(Platforms!$E$5:$E$14,MATCH(H1547,Lists!$A$2:$A$11,0))="Yes",N(L1547),0))+N(INDEX(Platforms!$D$5:$D$14,MATCH(H1547,Lists!$A$2:$A$11,0)))))),""))</f>
        <v/>
      </c>
      <c r="R1547" s="16" t="str">
        <f t="shared" si="97"/>
        <v/>
      </c>
      <c r="S1547" s="17" t="str">
        <f t="shared" si="98"/>
        <v/>
      </c>
      <c r="T1547" s="18" t="str">
        <f t="shared" ca="1" si="99"/>
        <v/>
      </c>
    </row>
    <row r="1548" spans="1:20" x14ac:dyDescent="0.35">
      <c r="A1548" s="11"/>
      <c r="B1548" s="11"/>
      <c r="C1548" s="11"/>
      <c r="D1548" s="12"/>
      <c r="E1548" s="11"/>
      <c r="F1548" s="13"/>
      <c r="G1548" s="13"/>
      <c r="H1548" s="11"/>
      <c r="I1548" s="12"/>
      <c r="J1548" s="12"/>
      <c r="K1548" s="13"/>
      <c r="L1548" s="13"/>
      <c r="M1548" s="13"/>
      <c r="N1548" s="13"/>
      <c r="O1548" s="13"/>
      <c r="P1548" s="14" t="str">
        <f t="shared" si="96"/>
        <v/>
      </c>
      <c r="Q1548" s="15" t="str">
        <f>IF(OR(J1548="",H1548=""),"",IFERROR(IF(ISNUMBER(N1548),N1548,IF(K1548&lt;N(INDEX(Platforms!$G$5:$G$14,MATCH(H1548,Lists!$A$2:$A$11,0))),N(INDEX(Platforms!$H$5:$H$14,MATCH(H1548,Lists!$A$2:$A$11,0))),MAX(N(INDEX(Platforms!$F$5:$F$14,MATCH(H1548,Lists!$A$2:$A$11,0))),N(INDEX(Platforms!$C$5:$C$14,MATCH(H1548,Lists!$A$2:$A$11,0)))*(K1548+IF(INDEX(Platforms!$E$5:$E$14,MATCH(H1548,Lists!$A$2:$A$11,0))="Yes",N(L1548),0))+N(INDEX(Platforms!$D$5:$D$14,MATCH(H1548,Lists!$A$2:$A$11,0)))))),""))</f>
        <v/>
      </c>
      <c r="R1548" s="16" t="str">
        <f t="shared" si="97"/>
        <v/>
      </c>
      <c r="S1548" s="17" t="str">
        <f t="shared" si="98"/>
        <v/>
      </c>
      <c r="T1548" s="18" t="str">
        <f t="shared" ca="1" si="99"/>
        <v/>
      </c>
    </row>
    <row r="1549" spans="1:20" x14ac:dyDescent="0.35">
      <c r="A1549" s="11"/>
      <c r="B1549" s="11"/>
      <c r="C1549" s="11"/>
      <c r="D1549" s="12"/>
      <c r="E1549" s="11"/>
      <c r="F1549" s="13"/>
      <c r="G1549" s="13"/>
      <c r="H1549" s="11"/>
      <c r="I1549" s="12"/>
      <c r="J1549" s="12"/>
      <c r="K1549" s="13"/>
      <c r="L1549" s="13"/>
      <c r="M1549" s="13"/>
      <c r="N1549" s="13"/>
      <c r="O1549" s="13"/>
      <c r="P1549" s="14" t="str">
        <f t="shared" si="96"/>
        <v/>
      </c>
      <c r="Q1549" s="15" t="str">
        <f>IF(OR(J1549="",H1549=""),"",IFERROR(IF(ISNUMBER(N1549),N1549,IF(K1549&lt;N(INDEX(Platforms!$G$5:$G$14,MATCH(H1549,Lists!$A$2:$A$11,0))),N(INDEX(Platforms!$H$5:$H$14,MATCH(H1549,Lists!$A$2:$A$11,0))),MAX(N(INDEX(Platforms!$F$5:$F$14,MATCH(H1549,Lists!$A$2:$A$11,0))),N(INDEX(Platforms!$C$5:$C$14,MATCH(H1549,Lists!$A$2:$A$11,0)))*(K1549+IF(INDEX(Platforms!$E$5:$E$14,MATCH(H1549,Lists!$A$2:$A$11,0))="Yes",N(L1549),0))+N(INDEX(Platforms!$D$5:$D$14,MATCH(H1549,Lists!$A$2:$A$11,0)))))),""))</f>
        <v/>
      </c>
      <c r="R1549" s="16" t="str">
        <f t="shared" si="97"/>
        <v/>
      </c>
      <c r="S1549" s="17" t="str">
        <f t="shared" si="98"/>
        <v/>
      </c>
      <c r="T1549" s="18" t="str">
        <f t="shared" ca="1" si="99"/>
        <v/>
      </c>
    </row>
    <row r="1550" spans="1:20" x14ac:dyDescent="0.35">
      <c r="A1550" s="11"/>
      <c r="B1550" s="11"/>
      <c r="C1550" s="11"/>
      <c r="D1550" s="12"/>
      <c r="E1550" s="11"/>
      <c r="F1550" s="13"/>
      <c r="G1550" s="13"/>
      <c r="H1550" s="11"/>
      <c r="I1550" s="12"/>
      <c r="J1550" s="12"/>
      <c r="K1550" s="13"/>
      <c r="L1550" s="13"/>
      <c r="M1550" s="13"/>
      <c r="N1550" s="13"/>
      <c r="O1550" s="13"/>
      <c r="P1550" s="14" t="str">
        <f t="shared" si="96"/>
        <v/>
      </c>
      <c r="Q1550" s="15" t="str">
        <f>IF(OR(J1550="",H1550=""),"",IFERROR(IF(ISNUMBER(N1550),N1550,IF(K1550&lt;N(INDEX(Platforms!$G$5:$G$14,MATCH(H1550,Lists!$A$2:$A$11,0))),N(INDEX(Platforms!$H$5:$H$14,MATCH(H1550,Lists!$A$2:$A$11,0))),MAX(N(INDEX(Platforms!$F$5:$F$14,MATCH(H1550,Lists!$A$2:$A$11,0))),N(INDEX(Platforms!$C$5:$C$14,MATCH(H1550,Lists!$A$2:$A$11,0)))*(K1550+IF(INDEX(Platforms!$E$5:$E$14,MATCH(H1550,Lists!$A$2:$A$11,0))="Yes",N(L1550),0))+N(INDEX(Platforms!$D$5:$D$14,MATCH(H1550,Lists!$A$2:$A$11,0)))))),""))</f>
        <v/>
      </c>
      <c r="R1550" s="16" t="str">
        <f t="shared" si="97"/>
        <v/>
      </c>
      <c r="S1550" s="17" t="str">
        <f t="shared" si="98"/>
        <v/>
      </c>
      <c r="T1550" s="18" t="str">
        <f t="shared" ca="1" si="99"/>
        <v/>
      </c>
    </row>
    <row r="1551" spans="1:20" x14ac:dyDescent="0.35">
      <c r="A1551" s="11"/>
      <c r="B1551" s="11"/>
      <c r="C1551" s="11"/>
      <c r="D1551" s="12"/>
      <c r="E1551" s="11"/>
      <c r="F1551" s="13"/>
      <c r="G1551" s="13"/>
      <c r="H1551" s="11"/>
      <c r="I1551" s="12"/>
      <c r="J1551" s="12"/>
      <c r="K1551" s="13"/>
      <c r="L1551" s="13"/>
      <c r="M1551" s="13"/>
      <c r="N1551" s="13"/>
      <c r="O1551" s="13"/>
      <c r="P1551" s="14" t="str">
        <f t="shared" si="96"/>
        <v/>
      </c>
      <c r="Q1551" s="15" t="str">
        <f>IF(OR(J1551="",H1551=""),"",IFERROR(IF(ISNUMBER(N1551),N1551,IF(K1551&lt;N(INDEX(Platforms!$G$5:$G$14,MATCH(H1551,Lists!$A$2:$A$11,0))),N(INDEX(Platforms!$H$5:$H$14,MATCH(H1551,Lists!$A$2:$A$11,0))),MAX(N(INDEX(Platforms!$F$5:$F$14,MATCH(H1551,Lists!$A$2:$A$11,0))),N(INDEX(Platforms!$C$5:$C$14,MATCH(H1551,Lists!$A$2:$A$11,0)))*(K1551+IF(INDEX(Platforms!$E$5:$E$14,MATCH(H1551,Lists!$A$2:$A$11,0))="Yes",N(L1551),0))+N(INDEX(Platforms!$D$5:$D$14,MATCH(H1551,Lists!$A$2:$A$11,0)))))),""))</f>
        <v/>
      </c>
      <c r="R1551" s="16" t="str">
        <f t="shared" si="97"/>
        <v/>
      </c>
      <c r="S1551" s="17" t="str">
        <f t="shared" si="98"/>
        <v/>
      </c>
      <c r="T1551" s="18" t="str">
        <f t="shared" ca="1" si="99"/>
        <v/>
      </c>
    </row>
    <row r="1552" spans="1:20" x14ac:dyDescent="0.35">
      <c r="A1552" s="11"/>
      <c r="B1552" s="11"/>
      <c r="C1552" s="11"/>
      <c r="D1552" s="12"/>
      <c r="E1552" s="11"/>
      <c r="F1552" s="13"/>
      <c r="G1552" s="13"/>
      <c r="H1552" s="11"/>
      <c r="I1552" s="12"/>
      <c r="J1552" s="12"/>
      <c r="K1552" s="13"/>
      <c r="L1552" s="13"/>
      <c r="M1552" s="13"/>
      <c r="N1552" s="13"/>
      <c r="O1552" s="13"/>
      <c r="P1552" s="14" t="str">
        <f t="shared" si="96"/>
        <v/>
      </c>
      <c r="Q1552" s="15" t="str">
        <f>IF(OR(J1552="",H1552=""),"",IFERROR(IF(ISNUMBER(N1552),N1552,IF(K1552&lt;N(INDEX(Platforms!$G$5:$G$14,MATCH(H1552,Lists!$A$2:$A$11,0))),N(INDEX(Platforms!$H$5:$H$14,MATCH(H1552,Lists!$A$2:$A$11,0))),MAX(N(INDEX(Platforms!$F$5:$F$14,MATCH(H1552,Lists!$A$2:$A$11,0))),N(INDEX(Platforms!$C$5:$C$14,MATCH(H1552,Lists!$A$2:$A$11,0)))*(K1552+IF(INDEX(Platforms!$E$5:$E$14,MATCH(H1552,Lists!$A$2:$A$11,0))="Yes",N(L1552),0))+N(INDEX(Platforms!$D$5:$D$14,MATCH(H1552,Lists!$A$2:$A$11,0)))))),""))</f>
        <v/>
      </c>
      <c r="R1552" s="16" t="str">
        <f t="shared" si="97"/>
        <v/>
      </c>
      <c r="S1552" s="17" t="str">
        <f t="shared" si="98"/>
        <v/>
      </c>
      <c r="T1552" s="18" t="str">
        <f t="shared" ca="1" si="99"/>
        <v/>
      </c>
    </row>
    <row r="1553" spans="1:20" x14ac:dyDescent="0.35">
      <c r="A1553" s="11"/>
      <c r="B1553" s="11"/>
      <c r="C1553" s="11"/>
      <c r="D1553" s="12"/>
      <c r="E1553" s="11"/>
      <c r="F1553" s="13"/>
      <c r="G1553" s="13"/>
      <c r="H1553" s="11"/>
      <c r="I1553" s="12"/>
      <c r="J1553" s="12"/>
      <c r="K1553" s="13"/>
      <c r="L1553" s="13"/>
      <c r="M1553" s="13"/>
      <c r="N1553" s="13"/>
      <c r="O1553" s="13"/>
      <c r="P1553" s="14" t="str">
        <f t="shared" si="96"/>
        <v/>
      </c>
      <c r="Q1553" s="15" t="str">
        <f>IF(OR(J1553="",H1553=""),"",IFERROR(IF(ISNUMBER(N1553),N1553,IF(K1553&lt;N(INDEX(Platforms!$G$5:$G$14,MATCH(H1553,Lists!$A$2:$A$11,0))),N(INDEX(Platforms!$H$5:$H$14,MATCH(H1553,Lists!$A$2:$A$11,0))),MAX(N(INDEX(Platforms!$F$5:$F$14,MATCH(H1553,Lists!$A$2:$A$11,0))),N(INDEX(Platforms!$C$5:$C$14,MATCH(H1553,Lists!$A$2:$A$11,0)))*(K1553+IF(INDEX(Platforms!$E$5:$E$14,MATCH(H1553,Lists!$A$2:$A$11,0))="Yes",N(L1553),0))+N(INDEX(Platforms!$D$5:$D$14,MATCH(H1553,Lists!$A$2:$A$11,0)))))),""))</f>
        <v/>
      </c>
      <c r="R1553" s="16" t="str">
        <f t="shared" si="97"/>
        <v/>
      </c>
      <c r="S1553" s="17" t="str">
        <f t="shared" si="98"/>
        <v/>
      </c>
      <c r="T1553" s="18" t="str">
        <f t="shared" ca="1" si="99"/>
        <v/>
      </c>
    </row>
    <row r="1554" spans="1:20" x14ac:dyDescent="0.35">
      <c r="A1554" s="11"/>
      <c r="B1554" s="11"/>
      <c r="C1554" s="11"/>
      <c r="D1554" s="12"/>
      <c r="E1554" s="11"/>
      <c r="F1554" s="13"/>
      <c r="G1554" s="13"/>
      <c r="H1554" s="11"/>
      <c r="I1554" s="12"/>
      <c r="J1554" s="12"/>
      <c r="K1554" s="13"/>
      <c r="L1554" s="13"/>
      <c r="M1554" s="13"/>
      <c r="N1554" s="13"/>
      <c r="O1554" s="13"/>
      <c r="P1554" s="14" t="str">
        <f t="shared" si="96"/>
        <v/>
      </c>
      <c r="Q1554" s="15" t="str">
        <f>IF(OR(J1554="",H1554=""),"",IFERROR(IF(ISNUMBER(N1554),N1554,IF(K1554&lt;N(INDEX(Platforms!$G$5:$G$14,MATCH(H1554,Lists!$A$2:$A$11,0))),N(INDEX(Platforms!$H$5:$H$14,MATCH(H1554,Lists!$A$2:$A$11,0))),MAX(N(INDEX(Platforms!$F$5:$F$14,MATCH(H1554,Lists!$A$2:$A$11,0))),N(INDEX(Platforms!$C$5:$C$14,MATCH(H1554,Lists!$A$2:$A$11,0)))*(K1554+IF(INDEX(Platforms!$E$5:$E$14,MATCH(H1554,Lists!$A$2:$A$11,0))="Yes",N(L1554),0))+N(INDEX(Platforms!$D$5:$D$14,MATCH(H1554,Lists!$A$2:$A$11,0)))))),""))</f>
        <v/>
      </c>
      <c r="R1554" s="16" t="str">
        <f t="shared" si="97"/>
        <v/>
      </c>
      <c r="S1554" s="17" t="str">
        <f t="shared" si="98"/>
        <v/>
      </c>
      <c r="T1554" s="18" t="str">
        <f t="shared" ca="1" si="99"/>
        <v/>
      </c>
    </row>
    <row r="1555" spans="1:20" x14ac:dyDescent="0.35">
      <c r="A1555" s="11"/>
      <c r="B1555" s="11"/>
      <c r="C1555" s="11"/>
      <c r="D1555" s="12"/>
      <c r="E1555" s="11"/>
      <c r="F1555" s="13"/>
      <c r="G1555" s="13"/>
      <c r="H1555" s="11"/>
      <c r="I1555" s="12"/>
      <c r="J1555" s="12"/>
      <c r="K1555" s="13"/>
      <c r="L1555" s="13"/>
      <c r="M1555" s="13"/>
      <c r="N1555" s="13"/>
      <c r="O1555" s="13"/>
      <c r="P1555" s="14" t="str">
        <f t="shared" si="96"/>
        <v/>
      </c>
      <c r="Q1555" s="15" t="str">
        <f>IF(OR(J1555="",H1555=""),"",IFERROR(IF(ISNUMBER(N1555),N1555,IF(K1555&lt;N(INDEX(Platforms!$G$5:$G$14,MATCH(H1555,Lists!$A$2:$A$11,0))),N(INDEX(Platforms!$H$5:$H$14,MATCH(H1555,Lists!$A$2:$A$11,0))),MAX(N(INDEX(Platforms!$F$5:$F$14,MATCH(H1555,Lists!$A$2:$A$11,0))),N(INDEX(Platforms!$C$5:$C$14,MATCH(H1555,Lists!$A$2:$A$11,0)))*(K1555+IF(INDEX(Platforms!$E$5:$E$14,MATCH(H1555,Lists!$A$2:$A$11,0))="Yes",N(L1555),0))+N(INDEX(Platforms!$D$5:$D$14,MATCH(H1555,Lists!$A$2:$A$11,0)))))),""))</f>
        <v/>
      </c>
      <c r="R1555" s="16" t="str">
        <f t="shared" si="97"/>
        <v/>
      </c>
      <c r="S1555" s="17" t="str">
        <f t="shared" si="98"/>
        <v/>
      </c>
      <c r="T1555" s="18" t="str">
        <f t="shared" ca="1" si="99"/>
        <v/>
      </c>
    </row>
    <row r="1556" spans="1:20" x14ac:dyDescent="0.35">
      <c r="A1556" s="11"/>
      <c r="B1556" s="11"/>
      <c r="C1556" s="11"/>
      <c r="D1556" s="12"/>
      <c r="E1556" s="11"/>
      <c r="F1556" s="13"/>
      <c r="G1556" s="13"/>
      <c r="H1556" s="11"/>
      <c r="I1556" s="12"/>
      <c r="J1556" s="12"/>
      <c r="K1556" s="13"/>
      <c r="L1556" s="13"/>
      <c r="M1556" s="13"/>
      <c r="N1556" s="13"/>
      <c r="O1556" s="13"/>
      <c r="P1556" s="14" t="str">
        <f t="shared" si="96"/>
        <v/>
      </c>
      <c r="Q1556" s="15" t="str">
        <f>IF(OR(J1556="",H1556=""),"",IFERROR(IF(ISNUMBER(N1556),N1556,IF(K1556&lt;N(INDEX(Platforms!$G$5:$G$14,MATCH(H1556,Lists!$A$2:$A$11,0))),N(INDEX(Platforms!$H$5:$H$14,MATCH(H1556,Lists!$A$2:$A$11,0))),MAX(N(INDEX(Platforms!$F$5:$F$14,MATCH(H1556,Lists!$A$2:$A$11,0))),N(INDEX(Platforms!$C$5:$C$14,MATCH(H1556,Lists!$A$2:$A$11,0)))*(K1556+IF(INDEX(Platforms!$E$5:$E$14,MATCH(H1556,Lists!$A$2:$A$11,0))="Yes",N(L1556),0))+N(INDEX(Platforms!$D$5:$D$14,MATCH(H1556,Lists!$A$2:$A$11,0)))))),""))</f>
        <v/>
      </c>
      <c r="R1556" s="16" t="str">
        <f t="shared" si="97"/>
        <v/>
      </c>
      <c r="S1556" s="17" t="str">
        <f t="shared" si="98"/>
        <v/>
      </c>
      <c r="T1556" s="18" t="str">
        <f t="shared" ca="1" si="99"/>
        <v/>
      </c>
    </row>
    <row r="1557" spans="1:20" x14ac:dyDescent="0.35">
      <c r="A1557" s="11"/>
      <c r="B1557" s="11"/>
      <c r="C1557" s="11"/>
      <c r="D1557" s="12"/>
      <c r="E1557" s="11"/>
      <c r="F1557" s="13"/>
      <c r="G1557" s="13"/>
      <c r="H1557" s="11"/>
      <c r="I1557" s="12"/>
      <c r="J1557" s="12"/>
      <c r="K1557" s="13"/>
      <c r="L1557" s="13"/>
      <c r="M1557" s="13"/>
      <c r="N1557" s="13"/>
      <c r="O1557" s="13"/>
      <c r="P1557" s="14" t="str">
        <f t="shared" si="96"/>
        <v/>
      </c>
      <c r="Q1557" s="15" t="str">
        <f>IF(OR(J1557="",H1557=""),"",IFERROR(IF(ISNUMBER(N1557),N1557,IF(K1557&lt;N(INDEX(Platforms!$G$5:$G$14,MATCH(H1557,Lists!$A$2:$A$11,0))),N(INDEX(Platforms!$H$5:$H$14,MATCH(H1557,Lists!$A$2:$A$11,0))),MAX(N(INDEX(Platforms!$F$5:$F$14,MATCH(H1557,Lists!$A$2:$A$11,0))),N(INDEX(Platforms!$C$5:$C$14,MATCH(H1557,Lists!$A$2:$A$11,0)))*(K1557+IF(INDEX(Platforms!$E$5:$E$14,MATCH(H1557,Lists!$A$2:$A$11,0))="Yes",N(L1557),0))+N(INDEX(Platforms!$D$5:$D$14,MATCH(H1557,Lists!$A$2:$A$11,0)))))),""))</f>
        <v/>
      </c>
      <c r="R1557" s="16" t="str">
        <f t="shared" si="97"/>
        <v/>
      </c>
      <c r="S1557" s="17" t="str">
        <f t="shared" si="98"/>
        <v/>
      </c>
      <c r="T1557" s="18" t="str">
        <f t="shared" ca="1" si="99"/>
        <v/>
      </c>
    </row>
    <row r="1558" spans="1:20" x14ac:dyDescent="0.35">
      <c r="A1558" s="11"/>
      <c r="B1558" s="11"/>
      <c r="C1558" s="11"/>
      <c r="D1558" s="12"/>
      <c r="E1558" s="11"/>
      <c r="F1558" s="13"/>
      <c r="G1558" s="13"/>
      <c r="H1558" s="11"/>
      <c r="I1558" s="12"/>
      <c r="J1558" s="12"/>
      <c r="K1558" s="13"/>
      <c r="L1558" s="13"/>
      <c r="M1558" s="13"/>
      <c r="N1558" s="13"/>
      <c r="O1558" s="13"/>
      <c r="P1558" s="14" t="str">
        <f t="shared" si="96"/>
        <v/>
      </c>
      <c r="Q1558" s="15" t="str">
        <f>IF(OR(J1558="",H1558=""),"",IFERROR(IF(ISNUMBER(N1558),N1558,IF(K1558&lt;N(INDEX(Platforms!$G$5:$G$14,MATCH(H1558,Lists!$A$2:$A$11,0))),N(INDEX(Platforms!$H$5:$H$14,MATCH(H1558,Lists!$A$2:$A$11,0))),MAX(N(INDEX(Platforms!$F$5:$F$14,MATCH(H1558,Lists!$A$2:$A$11,0))),N(INDEX(Platforms!$C$5:$C$14,MATCH(H1558,Lists!$A$2:$A$11,0)))*(K1558+IF(INDEX(Platforms!$E$5:$E$14,MATCH(H1558,Lists!$A$2:$A$11,0))="Yes",N(L1558),0))+N(INDEX(Platforms!$D$5:$D$14,MATCH(H1558,Lists!$A$2:$A$11,0)))))),""))</f>
        <v/>
      </c>
      <c r="R1558" s="16" t="str">
        <f t="shared" si="97"/>
        <v/>
      </c>
      <c r="S1558" s="17" t="str">
        <f t="shared" si="98"/>
        <v/>
      </c>
      <c r="T1558" s="18" t="str">
        <f t="shared" ca="1" si="99"/>
        <v/>
      </c>
    </row>
    <row r="1559" spans="1:20" x14ac:dyDescent="0.35">
      <c r="A1559" s="11"/>
      <c r="B1559" s="11"/>
      <c r="C1559" s="11"/>
      <c r="D1559" s="12"/>
      <c r="E1559" s="11"/>
      <c r="F1559" s="13"/>
      <c r="G1559" s="13"/>
      <c r="H1559" s="11"/>
      <c r="I1559" s="12"/>
      <c r="J1559" s="12"/>
      <c r="K1559" s="13"/>
      <c r="L1559" s="13"/>
      <c r="M1559" s="13"/>
      <c r="N1559" s="13"/>
      <c r="O1559" s="13"/>
      <c r="P1559" s="14" t="str">
        <f t="shared" si="96"/>
        <v/>
      </c>
      <c r="Q1559" s="15" t="str">
        <f>IF(OR(J1559="",H1559=""),"",IFERROR(IF(ISNUMBER(N1559),N1559,IF(K1559&lt;N(INDEX(Platforms!$G$5:$G$14,MATCH(H1559,Lists!$A$2:$A$11,0))),N(INDEX(Platforms!$H$5:$H$14,MATCH(H1559,Lists!$A$2:$A$11,0))),MAX(N(INDEX(Platforms!$F$5:$F$14,MATCH(H1559,Lists!$A$2:$A$11,0))),N(INDEX(Platforms!$C$5:$C$14,MATCH(H1559,Lists!$A$2:$A$11,0)))*(K1559+IF(INDEX(Platforms!$E$5:$E$14,MATCH(H1559,Lists!$A$2:$A$11,0))="Yes",N(L1559),0))+N(INDEX(Platforms!$D$5:$D$14,MATCH(H1559,Lists!$A$2:$A$11,0)))))),""))</f>
        <v/>
      </c>
      <c r="R1559" s="16" t="str">
        <f t="shared" si="97"/>
        <v/>
      </c>
      <c r="S1559" s="17" t="str">
        <f t="shared" si="98"/>
        <v/>
      </c>
      <c r="T1559" s="18" t="str">
        <f t="shared" ca="1" si="99"/>
        <v/>
      </c>
    </row>
    <row r="1560" spans="1:20" x14ac:dyDescent="0.35">
      <c r="A1560" s="11"/>
      <c r="B1560" s="11"/>
      <c r="C1560" s="11"/>
      <c r="D1560" s="12"/>
      <c r="E1560" s="11"/>
      <c r="F1560" s="13"/>
      <c r="G1560" s="13"/>
      <c r="H1560" s="11"/>
      <c r="I1560" s="12"/>
      <c r="J1560" s="12"/>
      <c r="K1560" s="13"/>
      <c r="L1560" s="13"/>
      <c r="M1560" s="13"/>
      <c r="N1560" s="13"/>
      <c r="O1560" s="13"/>
      <c r="P1560" s="14" t="str">
        <f t="shared" si="96"/>
        <v/>
      </c>
      <c r="Q1560" s="15" t="str">
        <f>IF(OR(J1560="",H1560=""),"",IFERROR(IF(ISNUMBER(N1560),N1560,IF(K1560&lt;N(INDEX(Platforms!$G$5:$G$14,MATCH(H1560,Lists!$A$2:$A$11,0))),N(INDEX(Platforms!$H$5:$H$14,MATCH(H1560,Lists!$A$2:$A$11,0))),MAX(N(INDEX(Platforms!$F$5:$F$14,MATCH(H1560,Lists!$A$2:$A$11,0))),N(INDEX(Platforms!$C$5:$C$14,MATCH(H1560,Lists!$A$2:$A$11,0)))*(K1560+IF(INDEX(Platforms!$E$5:$E$14,MATCH(H1560,Lists!$A$2:$A$11,0))="Yes",N(L1560),0))+N(INDEX(Platforms!$D$5:$D$14,MATCH(H1560,Lists!$A$2:$A$11,0)))))),""))</f>
        <v/>
      </c>
      <c r="R1560" s="16" t="str">
        <f t="shared" si="97"/>
        <v/>
      </c>
      <c r="S1560" s="17" t="str">
        <f t="shared" si="98"/>
        <v/>
      </c>
      <c r="T1560" s="18" t="str">
        <f t="shared" ca="1" si="99"/>
        <v/>
      </c>
    </row>
    <row r="1561" spans="1:20" x14ac:dyDescent="0.35">
      <c r="A1561" s="11"/>
      <c r="B1561" s="11"/>
      <c r="C1561" s="11"/>
      <c r="D1561" s="12"/>
      <c r="E1561" s="11"/>
      <c r="F1561" s="13"/>
      <c r="G1561" s="13"/>
      <c r="H1561" s="11"/>
      <c r="I1561" s="12"/>
      <c r="J1561" s="12"/>
      <c r="K1561" s="13"/>
      <c r="L1561" s="13"/>
      <c r="M1561" s="13"/>
      <c r="N1561" s="13"/>
      <c r="O1561" s="13"/>
      <c r="P1561" s="14" t="str">
        <f t="shared" si="96"/>
        <v/>
      </c>
      <c r="Q1561" s="15" t="str">
        <f>IF(OR(J1561="",H1561=""),"",IFERROR(IF(ISNUMBER(N1561),N1561,IF(K1561&lt;N(INDEX(Platforms!$G$5:$G$14,MATCH(H1561,Lists!$A$2:$A$11,0))),N(INDEX(Platforms!$H$5:$H$14,MATCH(H1561,Lists!$A$2:$A$11,0))),MAX(N(INDEX(Platforms!$F$5:$F$14,MATCH(H1561,Lists!$A$2:$A$11,0))),N(INDEX(Platforms!$C$5:$C$14,MATCH(H1561,Lists!$A$2:$A$11,0)))*(K1561+IF(INDEX(Platforms!$E$5:$E$14,MATCH(H1561,Lists!$A$2:$A$11,0))="Yes",N(L1561),0))+N(INDEX(Platforms!$D$5:$D$14,MATCH(H1561,Lists!$A$2:$A$11,0)))))),""))</f>
        <v/>
      </c>
      <c r="R1561" s="16" t="str">
        <f t="shared" si="97"/>
        <v/>
      </c>
      <c r="S1561" s="17" t="str">
        <f t="shared" si="98"/>
        <v/>
      </c>
      <c r="T1561" s="18" t="str">
        <f t="shared" ca="1" si="99"/>
        <v/>
      </c>
    </row>
    <row r="1562" spans="1:20" x14ac:dyDescent="0.35">
      <c r="A1562" s="11"/>
      <c r="B1562" s="11"/>
      <c r="C1562" s="11"/>
      <c r="D1562" s="12"/>
      <c r="E1562" s="11"/>
      <c r="F1562" s="13"/>
      <c r="G1562" s="13"/>
      <c r="H1562" s="11"/>
      <c r="I1562" s="12"/>
      <c r="J1562" s="12"/>
      <c r="K1562" s="13"/>
      <c r="L1562" s="13"/>
      <c r="M1562" s="13"/>
      <c r="N1562" s="13"/>
      <c r="O1562" s="13"/>
      <c r="P1562" s="14" t="str">
        <f t="shared" si="96"/>
        <v/>
      </c>
      <c r="Q1562" s="15" t="str">
        <f>IF(OR(J1562="",H1562=""),"",IFERROR(IF(ISNUMBER(N1562),N1562,IF(K1562&lt;N(INDEX(Platforms!$G$5:$G$14,MATCH(H1562,Lists!$A$2:$A$11,0))),N(INDEX(Platforms!$H$5:$H$14,MATCH(H1562,Lists!$A$2:$A$11,0))),MAX(N(INDEX(Platforms!$F$5:$F$14,MATCH(H1562,Lists!$A$2:$A$11,0))),N(INDEX(Platforms!$C$5:$C$14,MATCH(H1562,Lists!$A$2:$A$11,0)))*(K1562+IF(INDEX(Platforms!$E$5:$E$14,MATCH(H1562,Lists!$A$2:$A$11,0))="Yes",N(L1562),0))+N(INDEX(Platforms!$D$5:$D$14,MATCH(H1562,Lists!$A$2:$A$11,0)))))),""))</f>
        <v/>
      </c>
      <c r="R1562" s="16" t="str">
        <f t="shared" si="97"/>
        <v/>
      </c>
      <c r="S1562" s="17" t="str">
        <f t="shared" si="98"/>
        <v/>
      </c>
      <c r="T1562" s="18" t="str">
        <f t="shared" ca="1" si="99"/>
        <v/>
      </c>
    </row>
    <row r="1563" spans="1:20" x14ac:dyDescent="0.35">
      <c r="A1563" s="11"/>
      <c r="B1563" s="11"/>
      <c r="C1563" s="11"/>
      <c r="D1563" s="12"/>
      <c r="E1563" s="11"/>
      <c r="F1563" s="13"/>
      <c r="G1563" s="13"/>
      <c r="H1563" s="11"/>
      <c r="I1563" s="12"/>
      <c r="J1563" s="12"/>
      <c r="K1563" s="13"/>
      <c r="L1563" s="13"/>
      <c r="M1563" s="13"/>
      <c r="N1563" s="13"/>
      <c r="O1563" s="13"/>
      <c r="P1563" s="14" t="str">
        <f t="shared" si="96"/>
        <v/>
      </c>
      <c r="Q1563" s="15" t="str">
        <f>IF(OR(J1563="",H1563=""),"",IFERROR(IF(ISNUMBER(N1563),N1563,IF(K1563&lt;N(INDEX(Platforms!$G$5:$G$14,MATCH(H1563,Lists!$A$2:$A$11,0))),N(INDEX(Platforms!$H$5:$H$14,MATCH(H1563,Lists!$A$2:$A$11,0))),MAX(N(INDEX(Platforms!$F$5:$F$14,MATCH(H1563,Lists!$A$2:$A$11,0))),N(INDEX(Platforms!$C$5:$C$14,MATCH(H1563,Lists!$A$2:$A$11,0)))*(K1563+IF(INDEX(Platforms!$E$5:$E$14,MATCH(H1563,Lists!$A$2:$A$11,0))="Yes",N(L1563),0))+N(INDEX(Platforms!$D$5:$D$14,MATCH(H1563,Lists!$A$2:$A$11,0)))))),""))</f>
        <v/>
      </c>
      <c r="R1563" s="16" t="str">
        <f t="shared" si="97"/>
        <v/>
      </c>
      <c r="S1563" s="17" t="str">
        <f t="shared" si="98"/>
        <v/>
      </c>
      <c r="T1563" s="18" t="str">
        <f t="shared" ca="1" si="99"/>
        <v/>
      </c>
    </row>
    <row r="1564" spans="1:20" x14ac:dyDescent="0.35">
      <c r="A1564" s="11"/>
      <c r="B1564" s="11"/>
      <c r="C1564" s="11"/>
      <c r="D1564" s="12"/>
      <c r="E1564" s="11"/>
      <c r="F1564" s="13"/>
      <c r="G1564" s="13"/>
      <c r="H1564" s="11"/>
      <c r="I1564" s="12"/>
      <c r="J1564" s="12"/>
      <c r="K1564" s="13"/>
      <c r="L1564" s="13"/>
      <c r="M1564" s="13"/>
      <c r="N1564" s="13"/>
      <c r="O1564" s="13"/>
      <c r="P1564" s="14" t="str">
        <f t="shared" si="96"/>
        <v/>
      </c>
      <c r="Q1564" s="15" t="str">
        <f>IF(OR(J1564="",H1564=""),"",IFERROR(IF(ISNUMBER(N1564),N1564,IF(K1564&lt;N(INDEX(Platforms!$G$5:$G$14,MATCH(H1564,Lists!$A$2:$A$11,0))),N(INDEX(Platforms!$H$5:$H$14,MATCH(H1564,Lists!$A$2:$A$11,0))),MAX(N(INDEX(Platforms!$F$5:$F$14,MATCH(H1564,Lists!$A$2:$A$11,0))),N(INDEX(Platforms!$C$5:$C$14,MATCH(H1564,Lists!$A$2:$A$11,0)))*(K1564+IF(INDEX(Platforms!$E$5:$E$14,MATCH(H1564,Lists!$A$2:$A$11,0))="Yes",N(L1564),0))+N(INDEX(Platforms!$D$5:$D$14,MATCH(H1564,Lists!$A$2:$A$11,0)))))),""))</f>
        <v/>
      </c>
      <c r="R1564" s="16" t="str">
        <f t="shared" si="97"/>
        <v/>
      </c>
      <c r="S1564" s="17" t="str">
        <f t="shared" si="98"/>
        <v/>
      </c>
      <c r="T1564" s="18" t="str">
        <f t="shared" ca="1" si="99"/>
        <v/>
      </c>
    </row>
    <row r="1565" spans="1:20" x14ac:dyDescent="0.35">
      <c r="A1565" s="11"/>
      <c r="B1565" s="11"/>
      <c r="C1565" s="11"/>
      <c r="D1565" s="12"/>
      <c r="E1565" s="11"/>
      <c r="F1565" s="13"/>
      <c r="G1565" s="13"/>
      <c r="H1565" s="11"/>
      <c r="I1565" s="12"/>
      <c r="J1565" s="12"/>
      <c r="K1565" s="13"/>
      <c r="L1565" s="13"/>
      <c r="M1565" s="13"/>
      <c r="N1565" s="13"/>
      <c r="O1565" s="13"/>
      <c r="P1565" s="14" t="str">
        <f t="shared" si="96"/>
        <v/>
      </c>
      <c r="Q1565" s="15" t="str">
        <f>IF(OR(J1565="",H1565=""),"",IFERROR(IF(ISNUMBER(N1565),N1565,IF(K1565&lt;N(INDEX(Platforms!$G$5:$G$14,MATCH(H1565,Lists!$A$2:$A$11,0))),N(INDEX(Platforms!$H$5:$H$14,MATCH(H1565,Lists!$A$2:$A$11,0))),MAX(N(INDEX(Platforms!$F$5:$F$14,MATCH(H1565,Lists!$A$2:$A$11,0))),N(INDEX(Platforms!$C$5:$C$14,MATCH(H1565,Lists!$A$2:$A$11,0)))*(K1565+IF(INDEX(Platforms!$E$5:$E$14,MATCH(H1565,Lists!$A$2:$A$11,0))="Yes",N(L1565),0))+N(INDEX(Platforms!$D$5:$D$14,MATCH(H1565,Lists!$A$2:$A$11,0)))))),""))</f>
        <v/>
      </c>
      <c r="R1565" s="16" t="str">
        <f t="shared" si="97"/>
        <v/>
      </c>
      <c r="S1565" s="17" t="str">
        <f t="shared" si="98"/>
        <v/>
      </c>
      <c r="T1565" s="18" t="str">
        <f t="shared" ca="1" si="99"/>
        <v/>
      </c>
    </row>
    <row r="1566" spans="1:20" x14ac:dyDescent="0.35">
      <c r="A1566" s="11"/>
      <c r="B1566" s="11"/>
      <c r="C1566" s="11"/>
      <c r="D1566" s="12"/>
      <c r="E1566" s="11"/>
      <c r="F1566" s="13"/>
      <c r="G1566" s="13"/>
      <c r="H1566" s="11"/>
      <c r="I1566" s="12"/>
      <c r="J1566" s="12"/>
      <c r="K1566" s="13"/>
      <c r="L1566" s="13"/>
      <c r="M1566" s="13"/>
      <c r="N1566" s="13"/>
      <c r="O1566" s="13"/>
      <c r="P1566" s="14" t="str">
        <f t="shared" si="96"/>
        <v/>
      </c>
      <c r="Q1566" s="15" t="str">
        <f>IF(OR(J1566="",H1566=""),"",IFERROR(IF(ISNUMBER(N1566),N1566,IF(K1566&lt;N(INDEX(Platforms!$G$5:$G$14,MATCH(H1566,Lists!$A$2:$A$11,0))),N(INDEX(Platforms!$H$5:$H$14,MATCH(H1566,Lists!$A$2:$A$11,0))),MAX(N(INDEX(Platforms!$F$5:$F$14,MATCH(H1566,Lists!$A$2:$A$11,0))),N(INDEX(Platforms!$C$5:$C$14,MATCH(H1566,Lists!$A$2:$A$11,0)))*(K1566+IF(INDEX(Platforms!$E$5:$E$14,MATCH(H1566,Lists!$A$2:$A$11,0))="Yes",N(L1566),0))+N(INDEX(Platforms!$D$5:$D$14,MATCH(H1566,Lists!$A$2:$A$11,0)))))),""))</f>
        <v/>
      </c>
      <c r="R1566" s="16" t="str">
        <f t="shared" si="97"/>
        <v/>
      </c>
      <c r="S1566" s="17" t="str">
        <f t="shared" si="98"/>
        <v/>
      </c>
      <c r="T1566" s="18" t="str">
        <f t="shared" ca="1" si="99"/>
        <v/>
      </c>
    </row>
    <row r="1567" spans="1:20" x14ac:dyDescent="0.35">
      <c r="A1567" s="11"/>
      <c r="B1567" s="11"/>
      <c r="C1567" s="11"/>
      <c r="D1567" s="12"/>
      <c r="E1567" s="11"/>
      <c r="F1567" s="13"/>
      <c r="G1567" s="13"/>
      <c r="H1567" s="11"/>
      <c r="I1567" s="12"/>
      <c r="J1567" s="12"/>
      <c r="K1567" s="13"/>
      <c r="L1567" s="13"/>
      <c r="M1567" s="13"/>
      <c r="N1567" s="13"/>
      <c r="O1567" s="13"/>
      <c r="P1567" s="14" t="str">
        <f t="shared" si="96"/>
        <v/>
      </c>
      <c r="Q1567" s="15" t="str">
        <f>IF(OR(J1567="",H1567=""),"",IFERROR(IF(ISNUMBER(N1567),N1567,IF(K1567&lt;N(INDEX(Platforms!$G$5:$G$14,MATCH(H1567,Lists!$A$2:$A$11,0))),N(INDEX(Platforms!$H$5:$H$14,MATCH(H1567,Lists!$A$2:$A$11,0))),MAX(N(INDEX(Platforms!$F$5:$F$14,MATCH(H1567,Lists!$A$2:$A$11,0))),N(INDEX(Platforms!$C$5:$C$14,MATCH(H1567,Lists!$A$2:$A$11,0)))*(K1567+IF(INDEX(Platforms!$E$5:$E$14,MATCH(H1567,Lists!$A$2:$A$11,0))="Yes",N(L1567),0))+N(INDEX(Platforms!$D$5:$D$14,MATCH(H1567,Lists!$A$2:$A$11,0)))))),""))</f>
        <v/>
      </c>
      <c r="R1567" s="16" t="str">
        <f t="shared" si="97"/>
        <v/>
      </c>
      <c r="S1567" s="17" t="str">
        <f t="shared" si="98"/>
        <v/>
      </c>
      <c r="T1567" s="18" t="str">
        <f t="shared" ca="1" si="99"/>
        <v/>
      </c>
    </row>
    <row r="1568" spans="1:20" x14ac:dyDescent="0.35">
      <c r="A1568" s="11"/>
      <c r="B1568" s="11"/>
      <c r="C1568" s="11"/>
      <c r="D1568" s="12"/>
      <c r="E1568" s="11"/>
      <c r="F1568" s="13"/>
      <c r="G1568" s="13"/>
      <c r="H1568" s="11"/>
      <c r="I1568" s="12"/>
      <c r="J1568" s="12"/>
      <c r="K1568" s="13"/>
      <c r="L1568" s="13"/>
      <c r="M1568" s="13"/>
      <c r="N1568" s="13"/>
      <c r="O1568" s="13"/>
      <c r="P1568" s="14" t="str">
        <f t="shared" si="96"/>
        <v/>
      </c>
      <c r="Q1568" s="15" t="str">
        <f>IF(OR(J1568="",H1568=""),"",IFERROR(IF(ISNUMBER(N1568),N1568,IF(K1568&lt;N(INDEX(Platforms!$G$5:$G$14,MATCH(H1568,Lists!$A$2:$A$11,0))),N(INDEX(Platforms!$H$5:$H$14,MATCH(H1568,Lists!$A$2:$A$11,0))),MAX(N(INDEX(Platforms!$F$5:$F$14,MATCH(H1568,Lists!$A$2:$A$11,0))),N(INDEX(Platforms!$C$5:$C$14,MATCH(H1568,Lists!$A$2:$A$11,0)))*(K1568+IF(INDEX(Platforms!$E$5:$E$14,MATCH(H1568,Lists!$A$2:$A$11,0))="Yes",N(L1568),0))+N(INDEX(Platforms!$D$5:$D$14,MATCH(H1568,Lists!$A$2:$A$11,0)))))),""))</f>
        <v/>
      </c>
      <c r="R1568" s="16" t="str">
        <f t="shared" si="97"/>
        <v/>
      </c>
      <c r="S1568" s="17" t="str">
        <f t="shared" si="98"/>
        <v/>
      </c>
      <c r="T1568" s="18" t="str">
        <f t="shared" ca="1" si="99"/>
        <v/>
      </c>
    </row>
    <row r="1569" spans="1:20" x14ac:dyDescent="0.35">
      <c r="A1569" s="11"/>
      <c r="B1569" s="11"/>
      <c r="C1569" s="11"/>
      <c r="D1569" s="12"/>
      <c r="E1569" s="11"/>
      <c r="F1569" s="13"/>
      <c r="G1569" s="13"/>
      <c r="H1569" s="11"/>
      <c r="I1569" s="12"/>
      <c r="J1569" s="12"/>
      <c r="K1569" s="13"/>
      <c r="L1569" s="13"/>
      <c r="M1569" s="13"/>
      <c r="N1569" s="13"/>
      <c r="O1569" s="13"/>
      <c r="P1569" s="14" t="str">
        <f t="shared" si="96"/>
        <v/>
      </c>
      <c r="Q1569" s="15" t="str">
        <f>IF(OR(J1569="",H1569=""),"",IFERROR(IF(ISNUMBER(N1569),N1569,IF(K1569&lt;N(INDEX(Platforms!$G$5:$G$14,MATCH(H1569,Lists!$A$2:$A$11,0))),N(INDEX(Platforms!$H$5:$H$14,MATCH(H1569,Lists!$A$2:$A$11,0))),MAX(N(INDEX(Platforms!$F$5:$F$14,MATCH(H1569,Lists!$A$2:$A$11,0))),N(INDEX(Platforms!$C$5:$C$14,MATCH(H1569,Lists!$A$2:$A$11,0)))*(K1569+IF(INDEX(Platforms!$E$5:$E$14,MATCH(H1569,Lists!$A$2:$A$11,0))="Yes",N(L1569),0))+N(INDEX(Platforms!$D$5:$D$14,MATCH(H1569,Lists!$A$2:$A$11,0)))))),""))</f>
        <v/>
      </c>
      <c r="R1569" s="16" t="str">
        <f t="shared" si="97"/>
        <v/>
      </c>
      <c r="S1569" s="17" t="str">
        <f t="shared" si="98"/>
        <v/>
      </c>
      <c r="T1569" s="18" t="str">
        <f t="shared" ca="1" si="99"/>
        <v/>
      </c>
    </row>
    <row r="1570" spans="1:20" x14ac:dyDescent="0.35">
      <c r="A1570" s="11"/>
      <c r="B1570" s="11"/>
      <c r="C1570" s="11"/>
      <c r="D1570" s="12"/>
      <c r="E1570" s="11"/>
      <c r="F1570" s="13"/>
      <c r="G1570" s="13"/>
      <c r="H1570" s="11"/>
      <c r="I1570" s="12"/>
      <c r="J1570" s="12"/>
      <c r="K1570" s="13"/>
      <c r="L1570" s="13"/>
      <c r="M1570" s="13"/>
      <c r="N1570" s="13"/>
      <c r="O1570" s="13"/>
      <c r="P1570" s="14" t="str">
        <f t="shared" si="96"/>
        <v/>
      </c>
      <c r="Q1570" s="15" t="str">
        <f>IF(OR(J1570="",H1570=""),"",IFERROR(IF(ISNUMBER(N1570),N1570,IF(K1570&lt;N(INDEX(Platforms!$G$5:$G$14,MATCH(H1570,Lists!$A$2:$A$11,0))),N(INDEX(Platforms!$H$5:$H$14,MATCH(H1570,Lists!$A$2:$A$11,0))),MAX(N(INDEX(Platforms!$F$5:$F$14,MATCH(H1570,Lists!$A$2:$A$11,0))),N(INDEX(Platforms!$C$5:$C$14,MATCH(H1570,Lists!$A$2:$A$11,0)))*(K1570+IF(INDEX(Platforms!$E$5:$E$14,MATCH(H1570,Lists!$A$2:$A$11,0))="Yes",N(L1570),0))+N(INDEX(Platforms!$D$5:$D$14,MATCH(H1570,Lists!$A$2:$A$11,0)))))),""))</f>
        <v/>
      </c>
      <c r="R1570" s="16" t="str">
        <f t="shared" si="97"/>
        <v/>
      </c>
      <c r="S1570" s="17" t="str">
        <f t="shared" si="98"/>
        <v/>
      </c>
      <c r="T1570" s="18" t="str">
        <f t="shared" ca="1" si="99"/>
        <v/>
      </c>
    </row>
    <row r="1571" spans="1:20" x14ac:dyDescent="0.35">
      <c r="A1571" s="11"/>
      <c r="B1571" s="11"/>
      <c r="C1571" s="11"/>
      <c r="D1571" s="12"/>
      <c r="E1571" s="11"/>
      <c r="F1571" s="13"/>
      <c r="G1571" s="13"/>
      <c r="H1571" s="11"/>
      <c r="I1571" s="12"/>
      <c r="J1571" s="12"/>
      <c r="K1571" s="13"/>
      <c r="L1571" s="13"/>
      <c r="M1571" s="13"/>
      <c r="N1571" s="13"/>
      <c r="O1571" s="13"/>
      <c r="P1571" s="14" t="str">
        <f t="shared" si="96"/>
        <v/>
      </c>
      <c r="Q1571" s="15" t="str">
        <f>IF(OR(J1571="",H1571=""),"",IFERROR(IF(ISNUMBER(N1571),N1571,IF(K1571&lt;N(INDEX(Platforms!$G$5:$G$14,MATCH(H1571,Lists!$A$2:$A$11,0))),N(INDEX(Platforms!$H$5:$H$14,MATCH(H1571,Lists!$A$2:$A$11,0))),MAX(N(INDEX(Platforms!$F$5:$F$14,MATCH(H1571,Lists!$A$2:$A$11,0))),N(INDEX(Platforms!$C$5:$C$14,MATCH(H1571,Lists!$A$2:$A$11,0)))*(K1571+IF(INDEX(Platforms!$E$5:$E$14,MATCH(H1571,Lists!$A$2:$A$11,0))="Yes",N(L1571),0))+N(INDEX(Platforms!$D$5:$D$14,MATCH(H1571,Lists!$A$2:$A$11,0)))))),""))</f>
        <v/>
      </c>
      <c r="R1571" s="16" t="str">
        <f t="shared" si="97"/>
        <v/>
      </c>
      <c r="S1571" s="17" t="str">
        <f t="shared" si="98"/>
        <v/>
      </c>
      <c r="T1571" s="18" t="str">
        <f t="shared" ca="1" si="99"/>
        <v/>
      </c>
    </row>
    <row r="1572" spans="1:20" x14ac:dyDescent="0.35">
      <c r="A1572" s="11"/>
      <c r="B1572" s="11"/>
      <c r="C1572" s="11"/>
      <c r="D1572" s="12"/>
      <c r="E1572" s="11"/>
      <c r="F1572" s="13"/>
      <c r="G1572" s="13"/>
      <c r="H1572" s="11"/>
      <c r="I1572" s="12"/>
      <c r="J1572" s="12"/>
      <c r="K1572" s="13"/>
      <c r="L1572" s="13"/>
      <c r="M1572" s="13"/>
      <c r="N1572" s="13"/>
      <c r="O1572" s="13"/>
      <c r="P1572" s="14" t="str">
        <f t="shared" si="96"/>
        <v/>
      </c>
      <c r="Q1572" s="15" t="str">
        <f>IF(OR(J1572="",H1572=""),"",IFERROR(IF(ISNUMBER(N1572),N1572,IF(K1572&lt;N(INDEX(Platforms!$G$5:$G$14,MATCH(H1572,Lists!$A$2:$A$11,0))),N(INDEX(Platforms!$H$5:$H$14,MATCH(H1572,Lists!$A$2:$A$11,0))),MAX(N(INDEX(Platforms!$F$5:$F$14,MATCH(H1572,Lists!$A$2:$A$11,0))),N(INDEX(Platforms!$C$5:$C$14,MATCH(H1572,Lists!$A$2:$A$11,0)))*(K1572+IF(INDEX(Platforms!$E$5:$E$14,MATCH(H1572,Lists!$A$2:$A$11,0))="Yes",N(L1572),0))+N(INDEX(Platforms!$D$5:$D$14,MATCH(H1572,Lists!$A$2:$A$11,0)))))),""))</f>
        <v/>
      </c>
      <c r="R1572" s="16" t="str">
        <f t="shared" si="97"/>
        <v/>
      </c>
      <c r="S1572" s="17" t="str">
        <f t="shared" si="98"/>
        <v/>
      </c>
      <c r="T1572" s="18" t="str">
        <f t="shared" ca="1" si="99"/>
        <v/>
      </c>
    </row>
    <row r="1573" spans="1:20" x14ac:dyDescent="0.35">
      <c r="A1573" s="11"/>
      <c r="B1573" s="11"/>
      <c r="C1573" s="11"/>
      <c r="D1573" s="12"/>
      <c r="E1573" s="11"/>
      <c r="F1573" s="13"/>
      <c r="G1573" s="13"/>
      <c r="H1573" s="11"/>
      <c r="I1573" s="12"/>
      <c r="J1573" s="12"/>
      <c r="K1573" s="13"/>
      <c r="L1573" s="13"/>
      <c r="M1573" s="13"/>
      <c r="N1573" s="13"/>
      <c r="O1573" s="13"/>
      <c r="P1573" s="14" t="str">
        <f t="shared" si="96"/>
        <v/>
      </c>
      <c r="Q1573" s="15" t="str">
        <f>IF(OR(J1573="",H1573=""),"",IFERROR(IF(ISNUMBER(N1573),N1573,IF(K1573&lt;N(INDEX(Platforms!$G$5:$G$14,MATCH(H1573,Lists!$A$2:$A$11,0))),N(INDEX(Platforms!$H$5:$H$14,MATCH(H1573,Lists!$A$2:$A$11,0))),MAX(N(INDEX(Platforms!$F$5:$F$14,MATCH(H1573,Lists!$A$2:$A$11,0))),N(INDEX(Platforms!$C$5:$C$14,MATCH(H1573,Lists!$A$2:$A$11,0)))*(K1573+IF(INDEX(Platforms!$E$5:$E$14,MATCH(H1573,Lists!$A$2:$A$11,0))="Yes",N(L1573),0))+N(INDEX(Platforms!$D$5:$D$14,MATCH(H1573,Lists!$A$2:$A$11,0)))))),""))</f>
        <v/>
      </c>
      <c r="R1573" s="16" t="str">
        <f t="shared" si="97"/>
        <v/>
      </c>
      <c r="S1573" s="17" t="str">
        <f t="shared" si="98"/>
        <v/>
      </c>
      <c r="T1573" s="18" t="str">
        <f t="shared" ca="1" si="99"/>
        <v/>
      </c>
    </row>
    <row r="1574" spans="1:20" x14ac:dyDescent="0.35">
      <c r="A1574" s="11"/>
      <c r="B1574" s="11"/>
      <c r="C1574" s="11"/>
      <c r="D1574" s="12"/>
      <c r="E1574" s="11"/>
      <c r="F1574" s="13"/>
      <c r="G1574" s="13"/>
      <c r="H1574" s="11"/>
      <c r="I1574" s="12"/>
      <c r="J1574" s="12"/>
      <c r="K1574" s="13"/>
      <c r="L1574" s="13"/>
      <c r="M1574" s="13"/>
      <c r="N1574" s="13"/>
      <c r="O1574" s="13"/>
      <c r="P1574" s="14" t="str">
        <f t="shared" si="96"/>
        <v/>
      </c>
      <c r="Q1574" s="15" t="str">
        <f>IF(OR(J1574="",H1574=""),"",IFERROR(IF(ISNUMBER(N1574),N1574,IF(K1574&lt;N(INDEX(Platforms!$G$5:$G$14,MATCH(H1574,Lists!$A$2:$A$11,0))),N(INDEX(Platforms!$H$5:$H$14,MATCH(H1574,Lists!$A$2:$A$11,0))),MAX(N(INDEX(Platforms!$F$5:$F$14,MATCH(H1574,Lists!$A$2:$A$11,0))),N(INDEX(Platforms!$C$5:$C$14,MATCH(H1574,Lists!$A$2:$A$11,0)))*(K1574+IF(INDEX(Platforms!$E$5:$E$14,MATCH(H1574,Lists!$A$2:$A$11,0))="Yes",N(L1574),0))+N(INDEX(Platforms!$D$5:$D$14,MATCH(H1574,Lists!$A$2:$A$11,0)))))),""))</f>
        <v/>
      </c>
      <c r="R1574" s="16" t="str">
        <f t="shared" si="97"/>
        <v/>
      </c>
      <c r="S1574" s="17" t="str">
        <f t="shared" si="98"/>
        <v/>
      </c>
      <c r="T1574" s="18" t="str">
        <f t="shared" ca="1" si="99"/>
        <v/>
      </c>
    </row>
    <row r="1575" spans="1:20" x14ac:dyDescent="0.35">
      <c r="A1575" s="11"/>
      <c r="B1575" s="11"/>
      <c r="C1575" s="11"/>
      <c r="D1575" s="12"/>
      <c r="E1575" s="11"/>
      <c r="F1575" s="13"/>
      <c r="G1575" s="13"/>
      <c r="H1575" s="11"/>
      <c r="I1575" s="12"/>
      <c r="J1575" s="12"/>
      <c r="K1575" s="13"/>
      <c r="L1575" s="13"/>
      <c r="M1575" s="13"/>
      <c r="N1575" s="13"/>
      <c r="O1575" s="13"/>
      <c r="P1575" s="14" t="str">
        <f t="shared" si="96"/>
        <v/>
      </c>
      <c r="Q1575" s="15" t="str">
        <f>IF(OR(J1575="",H1575=""),"",IFERROR(IF(ISNUMBER(N1575),N1575,IF(K1575&lt;N(INDEX(Platforms!$G$5:$G$14,MATCH(H1575,Lists!$A$2:$A$11,0))),N(INDEX(Platforms!$H$5:$H$14,MATCH(H1575,Lists!$A$2:$A$11,0))),MAX(N(INDEX(Platforms!$F$5:$F$14,MATCH(H1575,Lists!$A$2:$A$11,0))),N(INDEX(Platforms!$C$5:$C$14,MATCH(H1575,Lists!$A$2:$A$11,0)))*(K1575+IF(INDEX(Platforms!$E$5:$E$14,MATCH(H1575,Lists!$A$2:$A$11,0))="Yes",N(L1575),0))+N(INDEX(Platforms!$D$5:$D$14,MATCH(H1575,Lists!$A$2:$A$11,0)))))),""))</f>
        <v/>
      </c>
      <c r="R1575" s="16" t="str">
        <f t="shared" si="97"/>
        <v/>
      </c>
      <c r="S1575" s="17" t="str">
        <f t="shared" si="98"/>
        <v/>
      </c>
      <c r="T1575" s="18" t="str">
        <f t="shared" ca="1" si="99"/>
        <v/>
      </c>
    </row>
    <row r="1576" spans="1:20" x14ac:dyDescent="0.35">
      <c r="A1576" s="11"/>
      <c r="B1576" s="11"/>
      <c r="C1576" s="11"/>
      <c r="D1576" s="12"/>
      <c r="E1576" s="11"/>
      <c r="F1576" s="13"/>
      <c r="G1576" s="13"/>
      <c r="H1576" s="11"/>
      <c r="I1576" s="12"/>
      <c r="J1576" s="12"/>
      <c r="K1576" s="13"/>
      <c r="L1576" s="13"/>
      <c r="M1576" s="13"/>
      <c r="N1576" s="13"/>
      <c r="O1576" s="13"/>
      <c r="P1576" s="14" t="str">
        <f t="shared" si="96"/>
        <v/>
      </c>
      <c r="Q1576" s="15" t="str">
        <f>IF(OR(J1576="",H1576=""),"",IFERROR(IF(ISNUMBER(N1576),N1576,IF(K1576&lt;N(INDEX(Platforms!$G$5:$G$14,MATCH(H1576,Lists!$A$2:$A$11,0))),N(INDEX(Platforms!$H$5:$H$14,MATCH(H1576,Lists!$A$2:$A$11,0))),MAX(N(INDEX(Platforms!$F$5:$F$14,MATCH(H1576,Lists!$A$2:$A$11,0))),N(INDEX(Platforms!$C$5:$C$14,MATCH(H1576,Lists!$A$2:$A$11,0)))*(K1576+IF(INDEX(Platforms!$E$5:$E$14,MATCH(H1576,Lists!$A$2:$A$11,0))="Yes",N(L1576),0))+N(INDEX(Platforms!$D$5:$D$14,MATCH(H1576,Lists!$A$2:$A$11,0)))))),""))</f>
        <v/>
      </c>
      <c r="R1576" s="16" t="str">
        <f t="shared" si="97"/>
        <v/>
      </c>
      <c r="S1576" s="17" t="str">
        <f t="shared" si="98"/>
        <v/>
      </c>
      <c r="T1576" s="18" t="str">
        <f t="shared" ca="1" si="99"/>
        <v/>
      </c>
    </row>
    <row r="1577" spans="1:20" x14ac:dyDescent="0.35">
      <c r="A1577" s="11"/>
      <c r="B1577" s="11"/>
      <c r="C1577" s="11"/>
      <c r="D1577" s="12"/>
      <c r="E1577" s="11"/>
      <c r="F1577" s="13"/>
      <c r="G1577" s="13"/>
      <c r="H1577" s="11"/>
      <c r="I1577" s="12"/>
      <c r="J1577" s="12"/>
      <c r="K1577" s="13"/>
      <c r="L1577" s="13"/>
      <c r="M1577" s="13"/>
      <c r="N1577" s="13"/>
      <c r="O1577" s="13"/>
      <c r="P1577" s="14" t="str">
        <f t="shared" si="96"/>
        <v/>
      </c>
      <c r="Q1577" s="15" t="str">
        <f>IF(OR(J1577="",H1577=""),"",IFERROR(IF(ISNUMBER(N1577),N1577,IF(K1577&lt;N(INDEX(Platforms!$G$5:$G$14,MATCH(H1577,Lists!$A$2:$A$11,0))),N(INDEX(Platforms!$H$5:$H$14,MATCH(H1577,Lists!$A$2:$A$11,0))),MAX(N(INDEX(Platforms!$F$5:$F$14,MATCH(H1577,Lists!$A$2:$A$11,0))),N(INDEX(Platforms!$C$5:$C$14,MATCH(H1577,Lists!$A$2:$A$11,0)))*(K1577+IF(INDEX(Platforms!$E$5:$E$14,MATCH(H1577,Lists!$A$2:$A$11,0))="Yes",N(L1577),0))+N(INDEX(Platforms!$D$5:$D$14,MATCH(H1577,Lists!$A$2:$A$11,0)))))),""))</f>
        <v/>
      </c>
      <c r="R1577" s="16" t="str">
        <f t="shared" si="97"/>
        <v/>
      </c>
      <c r="S1577" s="17" t="str">
        <f t="shared" si="98"/>
        <v/>
      </c>
      <c r="T1577" s="18" t="str">
        <f t="shared" ca="1" si="99"/>
        <v/>
      </c>
    </row>
    <row r="1578" spans="1:20" x14ac:dyDescent="0.35">
      <c r="A1578" s="11"/>
      <c r="B1578" s="11"/>
      <c r="C1578" s="11"/>
      <c r="D1578" s="12"/>
      <c r="E1578" s="11"/>
      <c r="F1578" s="13"/>
      <c r="G1578" s="13"/>
      <c r="H1578" s="11"/>
      <c r="I1578" s="12"/>
      <c r="J1578" s="12"/>
      <c r="K1578" s="13"/>
      <c r="L1578" s="13"/>
      <c r="M1578" s="13"/>
      <c r="N1578" s="13"/>
      <c r="O1578" s="13"/>
      <c r="P1578" s="14" t="str">
        <f t="shared" si="96"/>
        <v/>
      </c>
      <c r="Q1578" s="15" t="str">
        <f>IF(OR(J1578="",H1578=""),"",IFERROR(IF(ISNUMBER(N1578),N1578,IF(K1578&lt;N(INDEX(Platforms!$G$5:$G$14,MATCH(H1578,Lists!$A$2:$A$11,0))),N(INDEX(Platforms!$H$5:$H$14,MATCH(H1578,Lists!$A$2:$A$11,0))),MAX(N(INDEX(Platforms!$F$5:$F$14,MATCH(H1578,Lists!$A$2:$A$11,0))),N(INDEX(Platforms!$C$5:$C$14,MATCH(H1578,Lists!$A$2:$A$11,0)))*(K1578+IF(INDEX(Platforms!$E$5:$E$14,MATCH(H1578,Lists!$A$2:$A$11,0))="Yes",N(L1578),0))+N(INDEX(Platforms!$D$5:$D$14,MATCH(H1578,Lists!$A$2:$A$11,0)))))),""))</f>
        <v/>
      </c>
      <c r="R1578" s="16" t="str">
        <f t="shared" si="97"/>
        <v/>
      </c>
      <c r="S1578" s="17" t="str">
        <f t="shared" si="98"/>
        <v/>
      </c>
      <c r="T1578" s="18" t="str">
        <f t="shared" ca="1" si="99"/>
        <v/>
      </c>
    </row>
    <row r="1579" spans="1:20" x14ac:dyDescent="0.35">
      <c r="A1579" s="11"/>
      <c r="B1579" s="11"/>
      <c r="C1579" s="11"/>
      <c r="D1579" s="12"/>
      <c r="E1579" s="11"/>
      <c r="F1579" s="13"/>
      <c r="G1579" s="13"/>
      <c r="H1579" s="11"/>
      <c r="I1579" s="12"/>
      <c r="J1579" s="12"/>
      <c r="K1579" s="13"/>
      <c r="L1579" s="13"/>
      <c r="M1579" s="13"/>
      <c r="N1579" s="13"/>
      <c r="O1579" s="13"/>
      <c r="P1579" s="14" t="str">
        <f t="shared" si="96"/>
        <v/>
      </c>
      <c r="Q1579" s="15" t="str">
        <f>IF(OR(J1579="",H1579=""),"",IFERROR(IF(ISNUMBER(N1579),N1579,IF(K1579&lt;N(INDEX(Platforms!$G$5:$G$14,MATCH(H1579,Lists!$A$2:$A$11,0))),N(INDEX(Platforms!$H$5:$H$14,MATCH(H1579,Lists!$A$2:$A$11,0))),MAX(N(INDEX(Platforms!$F$5:$F$14,MATCH(H1579,Lists!$A$2:$A$11,0))),N(INDEX(Platforms!$C$5:$C$14,MATCH(H1579,Lists!$A$2:$A$11,0)))*(K1579+IF(INDEX(Platforms!$E$5:$E$14,MATCH(H1579,Lists!$A$2:$A$11,0))="Yes",N(L1579),0))+N(INDEX(Platforms!$D$5:$D$14,MATCH(H1579,Lists!$A$2:$A$11,0)))))),""))</f>
        <v/>
      </c>
      <c r="R1579" s="16" t="str">
        <f t="shared" si="97"/>
        <v/>
      </c>
      <c r="S1579" s="17" t="str">
        <f t="shared" si="98"/>
        <v/>
      </c>
      <c r="T1579" s="18" t="str">
        <f t="shared" ca="1" si="99"/>
        <v/>
      </c>
    </row>
    <row r="1580" spans="1:20" x14ac:dyDescent="0.35">
      <c r="A1580" s="11"/>
      <c r="B1580" s="11"/>
      <c r="C1580" s="11"/>
      <c r="D1580" s="12"/>
      <c r="E1580" s="11"/>
      <c r="F1580" s="13"/>
      <c r="G1580" s="13"/>
      <c r="H1580" s="11"/>
      <c r="I1580" s="12"/>
      <c r="J1580" s="12"/>
      <c r="K1580" s="13"/>
      <c r="L1580" s="13"/>
      <c r="M1580" s="13"/>
      <c r="N1580" s="13"/>
      <c r="O1580" s="13"/>
      <c r="P1580" s="14" t="str">
        <f t="shared" si="96"/>
        <v/>
      </c>
      <c r="Q1580" s="15" t="str">
        <f>IF(OR(J1580="",H1580=""),"",IFERROR(IF(ISNUMBER(N1580),N1580,IF(K1580&lt;N(INDEX(Platforms!$G$5:$G$14,MATCH(H1580,Lists!$A$2:$A$11,0))),N(INDEX(Platforms!$H$5:$H$14,MATCH(H1580,Lists!$A$2:$A$11,0))),MAX(N(INDEX(Platforms!$F$5:$F$14,MATCH(H1580,Lists!$A$2:$A$11,0))),N(INDEX(Platforms!$C$5:$C$14,MATCH(H1580,Lists!$A$2:$A$11,0)))*(K1580+IF(INDEX(Platforms!$E$5:$E$14,MATCH(H1580,Lists!$A$2:$A$11,0))="Yes",N(L1580),0))+N(INDEX(Platforms!$D$5:$D$14,MATCH(H1580,Lists!$A$2:$A$11,0)))))),""))</f>
        <v/>
      </c>
      <c r="R1580" s="16" t="str">
        <f t="shared" si="97"/>
        <v/>
      </c>
      <c r="S1580" s="17" t="str">
        <f t="shared" si="98"/>
        <v/>
      </c>
      <c r="T1580" s="18" t="str">
        <f t="shared" ca="1" si="99"/>
        <v/>
      </c>
    </row>
    <row r="1581" spans="1:20" x14ac:dyDescent="0.35">
      <c r="A1581" s="11"/>
      <c r="B1581" s="11"/>
      <c r="C1581" s="11"/>
      <c r="D1581" s="12"/>
      <c r="E1581" s="11"/>
      <c r="F1581" s="13"/>
      <c r="G1581" s="13"/>
      <c r="H1581" s="11"/>
      <c r="I1581" s="12"/>
      <c r="J1581" s="12"/>
      <c r="K1581" s="13"/>
      <c r="L1581" s="13"/>
      <c r="M1581" s="13"/>
      <c r="N1581" s="13"/>
      <c r="O1581" s="13"/>
      <c r="P1581" s="14" t="str">
        <f t="shared" si="96"/>
        <v/>
      </c>
      <c r="Q1581" s="15" t="str">
        <f>IF(OR(J1581="",H1581=""),"",IFERROR(IF(ISNUMBER(N1581),N1581,IF(K1581&lt;N(INDEX(Platforms!$G$5:$G$14,MATCH(H1581,Lists!$A$2:$A$11,0))),N(INDEX(Platforms!$H$5:$H$14,MATCH(H1581,Lists!$A$2:$A$11,0))),MAX(N(INDEX(Platforms!$F$5:$F$14,MATCH(H1581,Lists!$A$2:$A$11,0))),N(INDEX(Platforms!$C$5:$C$14,MATCH(H1581,Lists!$A$2:$A$11,0)))*(K1581+IF(INDEX(Platforms!$E$5:$E$14,MATCH(H1581,Lists!$A$2:$A$11,0))="Yes",N(L1581),0))+N(INDEX(Platforms!$D$5:$D$14,MATCH(H1581,Lists!$A$2:$A$11,0)))))),""))</f>
        <v/>
      </c>
      <c r="R1581" s="16" t="str">
        <f t="shared" si="97"/>
        <v/>
      </c>
      <c r="S1581" s="17" t="str">
        <f t="shared" si="98"/>
        <v/>
      </c>
      <c r="T1581" s="18" t="str">
        <f t="shared" ca="1" si="99"/>
        <v/>
      </c>
    </row>
    <row r="1582" spans="1:20" x14ac:dyDescent="0.35">
      <c r="A1582" s="11"/>
      <c r="B1582" s="11"/>
      <c r="C1582" s="11"/>
      <c r="D1582" s="12"/>
      <c r="E1582" s="11"/>
      <c r="F1582" s="13"/>
      <c r="G1582" s="13"/>
      <c r="H1582" s="11"/>
      <c r="I1582" s="12"/>
      <c r="J1582" s="12"/>
      <c r="K1582" s="13"/>
      <c r="L1582" s="13"/>
      <c r="M1582" s="13"/>
      <c r="N1582" s="13"/>
      <c r="O1582" s="13"/>
      <c r="P1582" s="14" t="str">
        <f t="shared" si="96"/>
        <v/>
      </c>
      <c r="Q1582" s="15" t="str">
        <f>IF(OR(J1582="",H1582=""),"",IFERROR(IF(ISNUMBER(N1582),N1582,IF(K1582&lt;N(INDEX(Platforms!$G$5:$G$14,MATCH(H1582,Lists!$A$2:$A$11,0))),N(INDEX(Platforms!$H$5:$H$14,MATCH(H1582,Lists!$A$2:$A$11,0))),MAX(N(INDEX(Platforms!$F$5:$F$14,MATCH(H1582,Lists!$A$2:$A$11,0))),N(INDEX(Platforms!$C$5:$C$14,MATCH(H1582,Lists!$A$2:$A$11,0)))*(K1582+IF(INDEX(Platforms!$E$5:$E$14,MATCH(H1582,Lists!$A$2:$A$11,0))="Yes",N(L1582),0))+N(INDEX(Platforms!$D$5:$D$14,MATCH(H1582,Lists!$A$2:$A$11,0)))))),""))</f>
        <v/>
      </c>
      <c r="R1582" s="16" t="str">
        <f t="shared" si="97"/>
        <v/>
      </c>
      <c r="S1582" s="17" t="str">
        <f t="shared" si="98"/>
        <v/>
      </c>
      <c r="T1582" s="18" t="str">
        <f t="shared" ca="1" si="99"/>
        <v/>
      </c>
    </row>
    <row r="1583" spans="1:20" x14ac:dyDescent="0.35">
      <c r="A1583" s="11"/>
      <c r="B1583" s="11"/>
      <c r="C1583" s="11"/>
      <c r="D1583" s="12"/>
      <c r="E1583" s="11"/>
      <c r="F1583" s="13"/>
      <c r="G1583" s="13"/>
      <c r="H1583" s="11"/>
      <c r="I1583" s="12"/>
      <c r="J1583" s="12"/>
      <c r="K1583" s="13"/>
      <c r="L1583" s="13"/>
      <c r="M1583" s="13"/>
      <c r="N1583" s="13"/>
      <c r="O1583" s="13"/>
      <c r="P1583" s="14" t="str">
        <f t="shared" si="96"/>
        <v/>
      </c>
      <c r="Q1583" s="15" t="str">
        <f>IF(OR(J1583="",H1583=""),"",IFERROR(IF(ISNUMBER(N1583),N1583,IF(K1583&lt;N(INDEX(Platforms!$G$5:$G$14,MATCH(H1583,Lists!$A$2:$A$11,0))),N(INDEX(Platforms!$H$5:$H$14,MATCH(H1583,Lists!$A$2:$A$11,0))),MAX(N(INDEX(Platforms!$F$5:$F$14,MATCH(H1583,Lists!$A$2:$A$11,0))),N(INDEX(Platforms!$C$5:$C$14,MATCH(H1583,Lists!$A$2:$A$11,0)))*(K1583+IF(INDEX(Platforms!$E$5:$E$14,MATCH(H1583,Lists!$A$2:$A$11,0))="Yes",N(L1583),0))+N(INDEX(Platforms!$D$5:$D$14,MATCH(H1583,Lists!$A$2:$A$11,0)))))),""))</f>
        <v/>
      </c>
      <c r="R1583" s="16" t="str">
        <f t="shared" si="97"/>
        <v/>
      </c>
      <c r="S1583" s="17" t="str">
        <f t="shared" si="98"/>
        <v/>
      </c>
      <c r="T1583" s="18" t="str">
        <f t="shared" ca="1" si="99"/>
        <v/>
      </c>
    </row>
    <row r="1584" spans="1:20" x14ac:dyDescent="0.35">
      <c r="A1584" s="11"/>
      <c r="B1584" s="11"/>
      <c r="C1584" s="11"/>
      <c r="D1584" s="12"/>
      <c r="E1584" s="11"/>
      <c r="F1584" s="13"/>
      <c r="G1584" s="13"/>
      <c r="H1584" s="11"/>
      <c r="I1584" s="12"/>
      <c r="J1584" s="12"/>
      <c r="K1584" s="13"/>
      <c r="L1584" s="13"/>
      <c r="M1584" s="13"/>
      <c r="N1584" s="13"/>
      <c r="O1584" s="13"/>
      <c r="P1584" s="14" t="str">
        <f t="shared" si="96"/>
        <v/>
      </c>
      <c r="Q1584" s="15" t="str">
        <f>IF(OR(J1584="",H1584=""),"",IFERROR(IF(ISNUMBER(N1584),N1584,IF(K1584&lt;N(INDEX(Platforms!$G$5:$G$14,MATCH(H1584,Lists!$A$2:$A$11,0))),N(INDEX(Platforms!$H$5:$H$14,MATCH(H1584,Lists!$A$2:$A$11,0))),MAX(N(INDEX(Platforms!$F$5:$F$14,MATCH(H1584,Lists!$A$2:$A$11,0))),N(INDEX(Platforms!$C$5:$C$14,MATCH(H1584,Lists!$A$2:$A$11,0)))*(K1584+IF(INDEX(Platforms!$E$5:$E$14,MATCH(H1584,Lists!$A$2:$A$11,0))="Yes",N(L1584),0))+N(INDEX(Platforms!$D$5:$D$14,MATCH(H1584,Lists!$A$2:$A$11,0)))))),""))</f>
        <v/>
      </c>
      <c r="R1584" s="16" t="str">
        <f t="shared" si="97"/>
        <v/>
      </c>
      <c r="S1584" s="17" t="str">
        <f t="shared" si="98"/>
        <v/>
      </c>
      <c r="T1584" s="18" t="str">
        <f t="shared" ca="1" si="99"/>
        <v/>
      </c>
    </row>
    <row r="1585" spans="1:20" x14ac:dyDescent="0.35">
      <c r="A1585" s="11"/>
      <c r="B1585" s="11"/>
      <c r="C1585" s="11"/>
      <c r="D1585" s="12"/>
      <c r="E1585" s="11"/>
      <c r="F1585" s="13"/>
      <c r="G1585" s="13"/>
      <c r="H1585" s="11"/>
      <c r="I1585" s="12"/>
      <c r="J1585" s="12"/>
      <c r="K1585" s="13"/>
      <c r="L1585" s="13"/>
      <c r="M1585" s="13"/>
      <c r="N1585" s="13"/>
      <c r="O1585" s="13"/>
      <c r="P1585" s="14" t="str">
        <f t="shared" si="96"/>
        <v/>
      </c>
      <c r="Q1585" s="15" t="str">
        <f>IF(OR(J1585="",H1585=""),"",IFERROR(IF(ISNUMBER(N1585),N1585,IF(K1585&lt;N(INDEX(Platforms!$G$5:$G$14,MATCH(H1585,Lists!$A$2:$A$11,0))),N(INDEX(Platforms!$H$5:$H$14,MATCH(H1585,Lists!$A$2:$A$11,0))),MAX(N(INDEX(Platforms!$F$5:$F$14,MATCH(H1585,Lists!$A$2:$A$11,0))),N(INDEX(Platforms!$C$5:$C$14,MATCH(H1585,Lists!$A$2:$A$11,0)))*(K1585+IF(INDEX(Platforms!$E$5:$E$14,MATCH(H1585,Lists!$A$2:$A$11,0))="Yes",N(L1585),0))+N(INDEX(Platforms!$D$5:$D$14,MATCH(H1585,Lists!$A$2:$A$11,0)))))),""))</f>
        <v/>
      </c>
      <c r="R1585" s="16" t="str">
        <f t="shared" si="97"/>
        <v/>
      </c>
      <c r="S1585" s="17" t="str">
        <f t="shared" si="98"/>
        <v/>
      </c>
      <c r="T1585" s="18" t="str">
        <f t="shared" ca="1" si="99"/>
        <v/>
      </c>
    </row>
    <row r="1586" spans="1:20" x14ac:dyDescent="0.35">
      <c r="A1586" s="11"/>
      <c r="B1586" s="11"/>
      <c r="C1586" s="11"/>
      <c r="D1586" s="12"/>
      <c r="E1586" s="11"/>
      <c r="F1586" s="13"/>
      <c r="G1586" s="13"/>
      <c r="H1586" s="11"/>
      <c r="I1586" s="12"/>
      <c r="J1586" s="12"/>
      <c r="K1586" s="13"/>
      <c r="L1586" s="13"/>
      <c r="M1586" s="13"/>
      <c r="N1586" s="13"/>
      <c r="O1586" s="13"/>
      <c r="P1586" s="14" t="str">
        <f t="shared" si="96"/>
        <v/>
      </c>
      <c r="Q1586" s="15" t="str">
        <f>IF(OR(J1586="",H1586=""),"",IFERROR(IF(ISNUMBER(N1586),N1586,IF(K1586&lt;N(INDEX(Platforms!$G$5:$G$14,MATCH(H1586,Lists!$A$2:$A$11,0))),N(INDEX(Platforms!$H$5:$H$14,MATCH(H1586,Lists!$A$2:$A$11,0))),MAX(N(INDEX(Platforms!$F$5:$F$14,MATCH(H1586,Lists!$A$2:$A$11,0))),N(INDEX(Platforms!$C$5:$C$14,MATCH(H1586,Lists!$A$2:$A$11,0)))*(K1586+IF(INDEX(Platforms!$E$5:$E$14,MATCH(H1586,Lists!$A$2:$A$11,0))="Yes",N(L1586),0))+N(INDEX(Platforms!$D$5:$D$14,MATCH(H1586,Lists!$A$2:$A$11,0)))))),""))</f>
        <v/>
      </c>
      <c r="R1586" s="16" t="str">
        <f t="shared" si="97"/>
        <v/>
      </c>
      <c r="S1586" s="17" t="str">
        <f t="shared" si="98"/>
        <v/>
      </c>
      <c r="T1586" s="18" t="str">
        <f t="shared" ca="1" si="99"/>
        <v/>
      </c>
    </row>
    <row r="1587" spans="1:20" x14ac:dyDescent="0.35">
      <c r="A1587" s="11"/>
      <c r="B1587" s="11"/>
      <c r="C1587" s="11"/>
      <c r="D1587" s="12"/>
      <c r="E1587" s="11"/>
      <c r="F1587" s="13"/>
      <c r="G1587" s="13"/>
      <c r="H1587" s="11"/>
      <c r="I1587" s="12"/>
      <c r="J1587" s="12"/>
      <c r="K1587" s="13"/>
      <c r="L1587" s="13"/>
      <c r="M1587" s="13"/>
      <c r="N1587" s="13"/>
      <c r="O1587" s="13"/>
      <c r="P1587" s="14" t="str">
        <f t="shared" si="96"/>
        <v/>
      </c>
      <c r="Q1587" s="15" t="str">
        <f>IF(OR(J1587="",H1587=""),"",IFERROR(IF(ISNUMBER(N1587),N1587,IF(K1587&lt;N(INDEX(Platforms!$G$5:$G$14,MATCH(H1587,Lists!$A$2:$A$11,0))),N(INDEX(Platforms!$H$5:$H$14,MATCH(H1587,Lists!$A$2:$A$11,0))),MAX(N(INDEX(Platforms!$F$5:$F$14,MATCH(H1587,Lists!$A$2:$A$11,0))),N(INDEX(Platforms!$C$5:$C$14,MATCH(H1587,Lists!$A$2:$A$11,0)))*(K1587+IF(INDEX(Platforms!$E$5:$E$14,MATCH(H1587,Lists!$A$2:$A$11,0))="Yes",N(L1587),0))+N(INDEX(Platforms!$D$5:$D$14,MATCH(H1587,Lists!$A$2:$A$11,0)))))),""))</f>
        <v/>
      </c>
      <c r="R1587" s="16" t="str">
        <f t="shared" si="97"/>
        <v/>
      </c>
      <c r="S1587" s="17" t="str">
        <f t="shared" si="98"/>
        <v/>
      </c>
      <c r="T1587" s="18" t="str">
        <f t="shared" ca="1" si="99"/>
        <v/>
      </c>
    </row>
    <row r="1588" spans="1:20" x14ac:dyDescent="0.35">
      <c r="A1588" s="11"/>
      <c r="B1588" s="11"/>
      <c r="C1588" s="11"/>
      <c r="D1588" s="12"/>
      <c r="E1588" s="11"/>
      <c r="F1588" s="13"/>
      <c r="G1588" s="13"/>
      <c r="H1588" s="11"/>
      <c r="I1588" s="12"/>
      <c r="J1588" s="12"/>
      <c r="K1588" s="13"/>
      <c r="L1588" s="13"/>
      <c r="M1588" s="13"/>
      <c r="N1588" s="13"/>
      <c r="O1588" s="13"/>
      <c r="P1588" s="14" t="str">
        <f t="shared" si="96"/>
        <v/>
      </c>
      <c r="Q1588" s="15" t="str">
        <f>IF(OR(J1588="",H1588=""),"",IFERROR(IF(ISNUMBER(N1588),N1588,IF(K1588&lt;N(INDEX(Platforms!$G$5:$G$14,MATCH(H1588,Lists!$A$2:$A$11,0))),N(INDEX(Platforms!$H$5:$H$14,MATCH(H1588,Lists!$A$2:$A$11,0))),MAX(N(INDEX(Platforms!$F$5:$F$14,MATCH(H1588,Lists!$A$2:$A$11,0))),N(INDEX(Platforms!$C$5:$C$14,MATCH(H1588,Lists!$A$2:$A$11,0)))*(K1588+IF(INDEX(Platforms!$E$5:$E$14,MATCH(H1588,Lists!$A$2:$A$11,0))="Yes",N(L1588),0))+N(INDEX(Platforms!$D$5:$D$14,MATCH(H1588,Lists!$A$2:$A$11,0)))))),""))</f>
        <v/>
      </c>
      <c r="R1588" s="16" t="str">
        <f t="shared" si="97"/>
        <v/>
      </c>
      <c r="S1588" s="17" t="str">
        <f t="shared" si="98"/>
        <v/>
      </c>
      <c r="T1588" s="18" t="str">
        <f t="shared" ca="1" si="99"/>
        <v/>
      </c>
    </row>
    <row r="1589" spans="1:20" x14ac:dyDescent="0.35">
      <c r="A1589" s="11"/>
      <c r="B1589" s="11"/>
      <c r="C1589" s="11"/>
      <c r="D1589" s="12"/>
      <c r="E1589" s="11"/>
      <c r="F1589" s="13"/>
      <c r="G1589" s="13"/>
      <c r="H1589" s="11"/>
      <c r="I1589" s="12"/>
      <c r="J1589" s="12"/>
      <c r="K1589" s="13"/>
      <c r="L1589" s="13"/>
      <c r="M1589" s="13"/>
      <c r="N1589" s="13"/>
      <c r="O1589" s="13"/>
      <c r="P1589" s="14" t="str">
        <f t="shared" si="96"/>
        <v/>
      </c>
      <c r="Q1589" s="15" t="str">
        <f>IF(OR(J1589="",H1589=""),"",IFERROR(IF(ISNUMBER(N1589),N1589,IF(K1589&lt;N(INDEX(Platforms!$G$5:$G$14,MATCH(H1589,Lists!$A$2:$A$11,0))),N(INDEX(Platforms!$H$5:$H$14,MATCH(H1589,Lists!$A$2:$A$11,0))),MAX(N(INDEX(Platforms!$F$5:$F$14,MATCH(H1589,Lists!$A$2:$A$11,0))),N(INDEX(Platforms!$C$5:$C$14,MATCH(H1589,Lists!$A$2:$A$11,0)))*(K1589+IF(INDEX(Platforms!$E$5:$E$14,MATCH(H1589,Lists!$A$2:$A$11,0))="Yes",N(L1589),0))+N(INDEX(Platforms!$D$5:$D$14,MATCH(H1589,Lists!$A$2:$A$11,0)))))),""))</f>
        <v/>
      </c>
      <c r="R1589" s="16" t="str">
        <f t="shared" si="97"/>
        <v/>
      </c>
      <c r="S1589" s="17" t="str">
        <f t="shared" si="98"/>
        <v/>
      </c>
      <c r="T1589" s="18" t="str">
        <f t="shared" ca="1" si="99"/>
        <v/>
      </c>
    </row>
    <row r="1590" spans="1:20" x14ac:dyDescent="0.35">
      <c r="A1590" s="11"/>
      <c r="B1590" s="11"/>
      <c r="C1590" s="11"/>
      <c r="D1590" s="12"/>
      <c r="E1590" s="11"/>
      <c r="F1590" s="13"/>
      <c r="G1590" s="13"/>
      <c r="H1590" s="11"/>
      <c r="I1590" s="12"/>
      <c r="J1590" s="12"/>
      <c r="K1590" s="13"/>
      <c r="L1590" s="13"/>
      <c r="M1590" s="13"/>
      <c r="N1590" s="13"/>
      <c r="O1590" s="13"/>
      <c r="P1590" s="14" t="str">
        <f t="shared" si="96"/>
        <v/>
      </c>
      <c r="Q1590" s="15" t="str">
        <f>IF(OR(J1590="",H1590=""),"",IFERROR(IF(ISNUMBER(N1590),N1590,IF(K1590&lt;N(INDEX(Platforms!$G$5:$G$14,MATCH(H1590,Lists!$A$2:$A$11,0))),N(INDEX(Platforms!$H$5:$H$14,MATCH(H1590,Lists!$A$2:$A$11,0))),MAX(N(INDEX(Platforms!$F$5:$F$14,MATCH(H1590,Lists!$A$2:$A$11,0))),N(INDEX(Platforms!$C$5:$C$14,MATCH(H1590,Lists!$A$2:$A$11,0)))*(K1590+IF(INDEX(Platforms!$E$5:$E$14,MATCH(H1590,Lists!$A$2:$A$11,0))="Yes",N(L1590),0))+N(INDEX(Platforms!$D$5:$D$14,MATCH(H1590,Lists!$A$2:$A$11,0)))))),""))</f>
        <v/>
      </c>
      <c r="R1590" s="16" t="str">
        <f t="shared" si="97"/>
        <v/>
      </c>
      <c r="S1590" s="17" t="str">
        <f t="shared" si="98"/>
        <v/>
      </c>
      <c r="T1590" s="18" t="str">
        <f t="shared" ca="1" si="99"/>
        <v/>
      </c>
    </row>
    <row r="1591" spans="1:20" x14ac:dyDescent="0.35">
      <c r="A1591" s="11"/>
      <c r="B1591" s="11"/>
      <c r="C1591" s="11"/>
      <c r="D1591" s="12"/>
      <c r="E1591" s="11"/>
      <c r="F1591" s="13"/>
      <c r="G1591" s="13"/>
      <c r="H1591" s="11"/>
      <c r="I1591" s="12"/>
      <c r="J1591" s="12"/>
      <c r="K1591" s="13"/>
      <c r="L1591" s="13"/>
      <c r="M1591" s="13"/>
      <c r="N1591" s="13"/>
      <c r="O1591" s="13"/>
      <c r="P1591" s="14" t="str">
        <f t="shared" si="96"/>
        <v/>
      </c>
      <c r="Q1591" s="15" t="str">
        <f>IF(OR(J1591="",H1591=""),"",IFERROR(IF(ISNUMBER(N1591),N1591,IF(K1591&lt;N(INDEX(Platforms!$G$5:$G$14,MATCH(H1591,Lists!$A$2:$A$11,0))),N(INDEX(Platforms!$H$5:$H$14,MATCH(H1591,Lists!$A$2:$A$11,0))),MAX(N(INDEX(Platforms!$F$5:$F$14,MATCH(H1591,Lists!$A$2:$A$11,0))),N(INDEX(Platforms!$C$5:$C$14,MATCH(H1591,Lists!$A$2:$A$11,0)))*(K1591+IF(INDEX(Platforms!$E$5:$E$14,MATCH(H1591,Lists!$A$2:$A$11,0))="Yes",N(L1591),0))+N(INDEX(Platforms!$D$5:$D$14,MATCH(H1591,Lists!$A$2:$A$11,0)))))),""))</f>
        <v/>
      </c>
      <c r="R1591" s="16" t="str">
        <f t="shared" si="97"/>
        <v/>
      </c>
      <c r="S1591" s="17" t="str">
        <f t="shared" si="98"/>
        <v/>
      </c>
      <c r="T1591" s="18" t="str">
        <f t="shared" ca="1" si="99"/>
        <v/>
      </c>
    </row>
    <row r="1592" spans="1:20" x14ac:dyDescent="0.35">
      <c r="A1592" s="11"/>
      <c r="B1592" s="11"/>
      <c r="C1592" s="11"/>
      <c r="D1592" s="12"/>
      <c r="E1592" s="11"/>
      <c r="F1592" s="13"/>
      <c r="G1592" s="13"/>
      <c r="H1592" s="11"/>
      <c r="I1592" s="12"/>
      <c r="J1592" s="12"/>
      <c r="K1592" s="13"/>
      <c r="L1592" s="13"/>
      <c r="M1592" s="13"/>
      <c r="N1592" s="13"/>
      <c r="O1592" s="13"/>
      <c r="P1592" s="14" t="str">
        <f t="shared" si="96"/>
        <v/>
      </c>
      <c r="Q1592" s="15" t="str">
        <f>IF(OR(J1592="",H1592=""),"",IFERROR(IF(ISNUMBER(N1592),N1592,IF(K1592&lt;N(INDEX(Platforms!$G$5:$G$14,MATCH(H1592,Lists!$A$2:$A$11,0))),N(INDEX(Platforms!$H$5:$H$14,MATCH(H1592,Lists!$A$2:$A$11,0))),MAX(N(INDEX(Platforms!$F$5:$F$14,MATCH(H1592,Lists!$A$2:$A$11,0))),N(INDEX(Platforms!$C$5:$C$14,MATCH(H1592,Lists!$A$2:$A$11,0)))*(K1592+IF(INDEX(Platforms!$E$5:$E$14,MATCH(H1592,Lists!$A$2:$A$11,0))="Yes",N(L1592),0))+N(INDEX(Platforms!$D$5:$D$14,MATCH(H1592,Lists!$A$2:$A$11,0)))))),""))</f>
        <v/>
      </c>
      <c r="R1592" s="16" t="str">
        <f t="shared" si="97"/>
        <v/>
      </c>
      <c r="S1592" s="17" t="str">
        <f t="shared" si="98"/>
        <v/>
      </c>
      <c r="T1592" s="18" t="str">
        <f t="shared" ca="1" si="99"/>
        <v/>
      </c>
    </row>
    <row r="1593" spans="1:20" x14ac:dyDescent="0.35">
      <c r="A1593" s="11"/>
      <c r="B1593" s="11"/>
      <c r="C1593" s="11"/>
      <c r="D1593" s="12"/>
      <c r="E1593" s="11"/>
      <c r="F1593" s="13"/>
      <c r="G1593" s="13"/>
      <c r="H1593" s="11"/>
      <c r="I1593" s="12"/>
      <c r="J1593" s="12"/>
      <c r="K1593" s="13"/>
      <c r="L1593" s="13"/>
      <c r="M1593" s="13"/>
      <c r="N1593" s="13"/>
      <c r="O1593" s="13"/>
      <c r="P1593" s="14" t="str">
        <f t="shared" si="96"/>
        <v/>
      </c>
      <c r="Q1593" s="15" t="str">
        <f>IF(OR(J1593="",H1593=""),"",IFERROR(IF(ISNUMBER(N1593),N1593,IF(K1593&lt;N(INDEX(Platforms!$G$5:$G$14,MATCH(H1593,Lists!$A$2:$A$11,0))),N(INDEX(Platforms!$H$5:$H$14,MATCH(H1593,Lists!$A$2:$A$11,0))),MAX(N(INDEX(Platforms!$F$5:$F$14,MATCH(H1593,Lists!$A$2:$A$11,0))),N(INDEX(Platforms!$C$5:$C$14,MATCH(H1593,Lists!$A$2:$A$11,0)))*(K1593+IF(INDEX(Platforms!$E$5:$E$14,MATCH(H1593,Lists!$A$2:$A$11,0))="Yes",N(L1593),0))+N(INDEX(Platforms!$D$5:$D$14,MATCH(H1593,Lists!$A$2:$A$11,0)))))),""))</f>
        <v/>
      </c>
      <c r="R1593" s="16" t="str">
        <f t="shared" si="97"/>
        <v/>
      </c>
      <c r="S1593" s="17" t="str">
        <f t="shared" si="98"/>
        <v/>
      </c>
      <c r="T1593" s="18" t="str">
        <f t="shared" ca="1" si="99"/>
        <v/>
      </c>
    </row>
    <row r="1594" spans="1:20" x14ac:dyDescent="0.35">
      <c r="A1594" s="11"/>
      <c r="B1594" s="11"/>
      <c r="C1594" s="11"/>
      <c r="D1594" s="12"/>
      <c r="E1594" s="11"/>
      <c r="F1594" s="13"/>
      <c r="G1594" s="13"/>
      <c r="H1594" s="11"/>
      <c r="I1594" s="12"/>
      <c r="J1594" s="12"/>
      <c r="K1594" s="13"/>
      <c r="L1594" s="13"/>
      <c r="M1594" s="13"/>
      <c r="N1594" s="13"/>
      <c r="O1594" s="13"/>
      <c r="P1594" s="14" t="str">
        <f t="shared" si="96"/>
        <v/>
      </c>
      <c r="Q1594" s="15" t="str">
        <f>IF(OR(J1594="",H1594=""),"",IFERROR(IF(ISNUMBER(N1594),N1594,IF(K1594&lt;N(INDEX(Platforms!$G$5:$G$14,MATCH(H1594,Lists!$A$2:$A$11,0))),N(INDEX(Platforms!$H$5:$H$14,MATCH(H1594,Lists!$A$2:$A$11,0))),MAX(N(INDEX(Platforms!$F$5:$F$14,MATCH(H1594,Lists!$A$2:$A$11,0))),N(INDEX(Platforms!$C$5:$C$14,MATCH(H1594,Lists!$A$2:$A$11,0)))*(K1594+IF(INDEX(Platforms!$E$5:$E$14,MATCH(H1594,Lists!$A$2:$A$11,0))="Yes",N(L1594),0))+N(INDEX(Platforms!$D$5:$D$14,MATCH(H1594,Lists!$A$2:$A$11,0)))))),""))</f>
        <v/>
      </c>
      <c r="R1594" s="16" t="str">
        <f t="shared" si="97"/>
        <v/>
      </c>
      <c r="S1594" s="17" t="str">
        <f t="shared" si="98"/>
        <v/>
      </c>
      <c r="T1594" s="18" t="str">
        <f t="shared" ca="1" si="99"/>
        <v/>
      </c>
    </row>
    <row r="1595" spans="1:20" x14ac:dyDescent="0.35">
      <c r="A1595" s="11"/>
      <c r="B1595" s="11"/>
      <c r="C1595" s="11"/>
      <c r="D1595" s="12"/>
      <c r="E1595" s="11"/>
      <c r="F1595" s="13"/>
      <c r="G1595" s="13"/>
      <c r="H1595" s="11"/>
      <c r="I1595" s="12"/>
      <c r="J1595" s="12"/>
      <c r="K1595" s="13"/>
      <c r="L1595" s="13"/>
      <c r="M1595" s="13"/>
      <c r="N1595" s="13"/>
      <c r="O1595" s="13"/>
      <c r="P1595" s="14" t="str">
        <f t="shared" si="96"/>
        <v/>
      </c>
      <c r="Q1595" s="15" t="str">
        <f>IF(OR(J1595="",H1595=""),"",IFERROR(IF(ISNUMBER(N1595),N1595,IF(K1595&lt;N(INDEX(Platforms!$G$5:$G$14,MATCH(H1595,Lists!$A$2:$A$11,0))),N(INDEX(Platforms!$H$5:$H$14,MATCH(H1595,Lists!$A$2:$A$11,0))),MAX(N(INDEX(Platforms!$F$5:$F$14,MATCH(H1595,Lists!$A$2:$A$11,0))),N(INDEX(Platforms!$C$5:$C$14,MATCH(H1595,Lists!$A$2:$A$11,0)))*(K1595+IF(INDEX(Platforms!$E$5:$E$14,MATCH(H1595,Lists!$A$2:$A$11,0))="Yes",N(L1595),0))+N(INDEX(Platforms!$D$5:$D$14,MATCH(H1595,Lists!$A$2:$A$11,0)))))),""))</f>
        <v/>
      </c>
      <c r="R1595" s="16" t="str">
        <f t="shared" si="97"/>
        <v/>
      </c>
      <c r="S1595" s="17" t="str">
        <f t="shared" si="98"/>
        <v/>
      </c>
      <c r="T1595" s="18" t="str">
        <f t="shared" ca="1" si="99"/>
        <v/>
      </c>
    </row>
    <row r="1596" spans="1:20" x14ac:dyDescent="0.35">
      <c r="A1596" s="11"/>
      <c r="B1596" s="11"/>
      <c r="C1596" s="11"/>
      <c r="D1596" s="12"/>
      <c r="E1596" s="11"/>
      <c r="F1596" s="13"/>
      <c r="G1596" s="13"/>
      <c r="H1596" s="11"/>
      <c r="I1596" s="12"/>
      <c r="J1596" s="12"/>
      <c r="K1596" s="13"/>
      <c r="L1596" s="13"/>
      <c r="M1596" s="13"/>
      <c r="N1596" s="13"/>
      <c r="O1596" s="13"/>
      <c r="P1596" s="14" t="str">
        <f t="shared" si="96"/>
        <v/>
      </c>
      <c r="Q1596" s="15" t="str">
        <f>IF(OR(J1596="",H1596=""),"",IFERROR(IF(ISNUMBER(N1596),N1596,IF(K1596&lt;N(INDEX(Platforms!$G$5:$G$14,MATCH(H1596,Lists!$A$2:$A$11,0))),N(INDEX(Platforms!$H$5:$H$14,MATCH(H1596,Lists!$A$2:$A$11,0))),MAX(N(INDEX(Platforms!$F$5:$F$14,MATCH(H1596,Lists!$A$2:$A$11,0))),N(INDEX(Platforms!$C$5:$C$14,MATCH(H1596,Lists!$A$2:$A$11,0)))*(K1596+IF(INDEX(Platforms!$E$5:$E$14,MATCH(H1596,Lists!$A$2:$A$11,0))="Yes",N(L1596),0))+N(INDEX(Platforms!$D$5:$D$14,MATCH(H1596,Lists!$A$2:$A$11,0)))))),""))</f>
        <v/>
      </c>
      <c r="R1596" s="16" t="str">
        <f t="shared" si="97"/>
        <v/>
      </c>
      <c r="S1596" s="17" t="str">
        <f t="shared" si="98"/>
        <v/>
      </c>
      <c r="T1596" s="18" t="str">
        <f t="shared" ca="1" si="99"/>
        <v/>
      </c>
    </row>
    <row r="1597" spans="1:20" x14ac:dyDescent="0.35">
      <c r="A1597" s="11"/>
      <c r="B1597" s="11"/>
      <c r="C1597" s="11"/>
      <c r="D1597" s="12"/>
      <c r="E1597" s="11"/>
      <c r="F1597" s="13"/>
      <c r="G1597" s="13"/>
      <c r="H1597" s="11"/>
      <c r="I1597" s="12"/>
      <c r="J1597" s="12"/>
      <c r="K1597" s="13"/>
      <c r="L1597" s="13"/>
      <c r="M1597" s="13"/>
      <c r="N1597" s="13"/>
      <c r="O1597" s="13"/>
      <c r="P1597" s="14" t="str">
        <f t="shared" si="96"/>
        <v/>
      </c>
      <c r="Q1597" s="15" t="str">
        <f>IF(OR(J1597="",H1597=""),"",IFERROR(IF(ISNUMBER(N1597),N1597,IF(K1597&lt;N(INDEX(Platforms!$G$5:$G$14,MATCH(H1597,Lists!$A$2:$A$11,0))),N(INDEX(Platforms!$H$5:$H$14,MATCH(H1597,Lists!$A$2:$A$11,0))),MAX(N(INDEX(Platforms!$F$5:$F$14,MATCH(H1597,Lists!$A$2:$A$11,0))),N(INDEX(Platforms!$C$5:$C$14,MATCH(H1597,Lists!$A$2:$A$11,0)))*(K1597+IF(INDEX(Platforms!$E$5:$E$14,MATCH(H1597,Lists!$A$2:$A$11,0))="Yes",N(L1597),0))+N(INDEX(Platforms!$D$5:$D$14,MATCH(H1597,Lists!$A$2:$A$11,0)))))),""))</f>
        <v/>
      </c>
      <c r="R1597" s="16" t="str">
        <f t="shared" si="97"/>
        <v/>
      </c>
      <c r="S1597" s="17" t="str">
        <f t="shared" si="98"/>
        <v/>
      </c>
      <c r="T1597" s="18" t="str">
        <f t="shared" ca="1" si="99"/>
        <v/>
      </c>
    </row>
    <row r="1598" spans="1:20" x14ac:dyDescent="0.35">
      <c r="A1598" s="11"/>
      <c r="B1598" s="11"/>
      <c r="C1598" s="11"/>
      <c r="D1598" s="12"/>
      <c r="E1598" s="11"/>
      <c r="F1598" s="13"/>
      <c r="G1598" s="13"/>
      <c r="H1598" s="11"/>
      <c r="I1598" s="12"/>
      <c r="J1598" s="12"/>
      <c r="K1598" s="13"/>
      <c r="L1598" s="13"/>
      <c r="M1598" s="13"/>
      <c r="N1598" s="13"/>
      <c r="O1598" s="13"/>
      <c r="P1598" s="14" t="str">
        <f t="shared" si="96"/>
        <v/>
      </c>
      <c r="Q1598" s="15" t="str">
        <f>IF(OR(J1598="",H1598=""),"",IFERROR(IF(ISNUMBER(N1598),N1598,IF(K1598&lt;N(INDEX(Platforms!$G$5:$G$14,MATCH(H1598,Lists!$A$2:$A$11,0))),N(INDEX(Platforms!$H$5:$H$14,MATCH(H1598,Lists!$A$2:$A$11,0))),MAX(N(INDEX(Platforms!$F$5:$F$14,MATCH(H1598,Lists!$A$2:$A$11,0))),N(INDEX(Platforms!$C$5:$C$14,MATCH(H1598,Lists!$A$2:$A$11,0)))*(K1598+IF(INDEX(Platforms!$E$5:$E$14,MATCH(H1598,Lists!$A$2:$A$11,0))="Yes",N(L1598),0))+N(INDEX(Platforms!$D$5:$D$14,MATCH(H1598,Lists!$A$2:$A$11,0)))))),""))</f>
        <v/>
      </c>
      <c r="R1598" s="16" t="str">
        <f t="shared" si="97"/>
        <v/>
      </c>
      <c r="S1598" s="17" t="str">
        <f t="shared" si="98"/>
        <v/>
      </c>
      <c r="T1598" s="18" t="str">
        <f t="shared" ca="1" si="99"/>
        <v/>
      </c>
    </row>
    <row r="1599" spans="1:20" x14ac:dyDescent="0.35">
      <c r="A1599" s="11"/>
      <c r="B1599" s="11"/>
      <c r="C1599" s="11"/>
      <c r="D1599" s="12"/>
      <c r="E1599" s="11"/>
      <c r="F1599" s="13"/>
      <c r="G1599" s="13"/>
      <c r="H1599" s="11"/>
      <c r="I1599" s="12"/>
      <c r="J1599" s="12"/>
      <c r="K1599" s="13"/>
      <c r="L1599" s="13"/>
      <c r="M1599" s="13"/>
      <c r="N1599" s="13"/>
      <c r="O1599" s="13"/>
      <c r="P1599" s="14" t="str">
        <f t="shared" si="96"/>
        <v/>
      </c>
      <c r="Q1599" s="15" t="str">
        <f>IF(OR(J1599="",H1599=""),"",IFERROR(IF(ISNUMBER(N1599),N1599,IF(K1599&lt;N(INDEX(Platforms!$G$5:$G$14,MATCH(H1599,Lists!$A$2:$A$11,0))),N(INDEX(Platforms!$H$5:$H$14,MATCH(H1599,Lists!$A$2:$A$11,0))),MAX(N(INDEX(Platforms!$F$5:$F$14,MATCH(H1599,Lists!$A$2:$A$11,0))),N(INDEX(Platforms!$C$5:$C$14,MATCH(H1599,Lists!$A$2:$A$11,0)))*(K1599+IF(INDEX(Platforms!$E$5:$E$14,MATCH(H1599,Lists!$A$2:$A$11,0))="Yes",N(L1599),0))+N(INDEX(Platforms!$D$5:$D$14,MATCH(H1599,Lists!$A$2:$A$11,0)))))),""))</f>
        <v/>
      </c>
      <c r="R1599" s="16" t="str">
        <f t="shared" si="97"/>
        <v/>
      </c>
      <c r="S1599" s="17" t="str">
        <f t="shared" si="98"/>
        <v/>
      </c>
      <c r="T1599" s="18" t="str">
        <f t="shared" ca="1" si="99"/>
        <v/>
      </c>
    </row>
    <row r="1600" spans="1:20" x14ac:dyDescent="0.35">
      <c r="A1600" s="11"/>
      <c r="B1600" s="11"/>
      <c r="C1600" s="11"/>
      <c r="D1600" s="12"/>
      <c r="E1600" s="11"/>
      <c r="F1600" s="13"/>
      <c r="G1600" s="13"/>
      <c r="H1600" s="11"/>
      <c r="I1600" s="12"/>
      <c r="J1600" s="12"/>
      <c r="K1600" s="13"/>
      <c r="L1600" s="13"/>
      <c r="M1600" s="13"/>
      <c r="N1600" s="13"/>
      <c r="O1600" s="13"/>
      <c r="P1600" s="14" t="str">
        <f t="shared" si="96"/>
        <v/>
      </c>
      <c r="Q1600" s="15" t="str">
        <f>IF(OR(J1600="",H1600=""),"",IFERROR(IF(ISNUMBER(N1600),N1600,IF(K1600&lt;N(INDEX(Platforms!$G$5:$G$14,MATCH(H1600,Lists!$A$2:$A$11,0))),N(INDEX(Platforms!$H$5:$H$14,MATCH(H1600,Lists!$A$2:$A$11,0))),MAX(N(INDEX(Platforms!$F$5:$F$14,MATCH(H1600,Lists!$A$2:$A$11,0))),N(INDEX(Platforms!$C$5:$C$14,MATCH(H1600,Lists!$A$2:$A$11,0)))*(K1600+IF(INDEX(Platforms!$E$5:$E$14,MATCH(H1600,Lists!$A$2:$A$11,0))="Yes",N(L1600),0))+N(INDEX(Platforms!$D$5:$D$14,MATCH(H1600,Lists!$A$2:$A$11,0)))))),""))</f>
        <v/>
      </c>
      <c r="R1600" s="16" t="str">
        <f t="shared" si="97"/>
        <v/>
      </c>
      <c r="S1600" s="17" t="str">
        <f t="shared" si="98"/>
        <v/>
      </c>
      <c r="T1600" s="18" t="str">
        <f t="shared" ca="1" si="99"/>
        <v/>
      </c>
    </row>
    <row r="1601" spans="1:20" x14ac:dyDescent="0.35">
      <c r="A1601" s="11"/>
      <c r="B1601" s="11"/>
      <c r="C1601" s="11"/>
      <c r="D1601" s="12"/>
      <c r="E1601" s="11"/>
      <c r="F1601" s="13"/>
      <c r="G1601" s="13"/>
      <c r="H1601" s="11"/>
      <c r="I1601" s="12"/>
      <c r="J1601" s="12"/>
      <c r="K1601" s="13"/>
      <c r="L1601" s="13"/>
      <c r="M1601" s="13"/>
      <c r="N1601" s="13"/>
      <c r="O1601" s="13"/>
      <c r="P1601" s="14" t="str">
        <f t="shared" si="96"/>
        <v/>
      </c>
      <c r="Q1601" s="15" t="str">
        <f>IF(OR(J1601="",H1601=""),"",IFERROR(IF(ISNUMBER(N1601),N1601,IF(K1601&lt;N(INDEX(Platforms!$G$5:$G$14,MATCH(H1601,Lists!$A$2:$A$11,0))),N(INDEX(Platforms!$H$5:$H$14,MATCH(H1601,Lists!$A$2:$A$11,0))),MAX(N(INDEX(Platforms!$F$5:$F$14,MATCH(H1601,Lists!$A$2:$A$11,0))),N(INDEX(Platforms!$C$5:$C$14,MATCH(H1601,Lists!$A$2:$A$11,0)))*(K1601+IF(INDEX(Platforms!$E$5:$E$14,MATCH(H1601,Lists!$A$2:$A$11,0))="Yes",N(L1601),0))+N(INDEX(Platforms!$D$5:$D$14,MATCH(H1601,Lists!$A$2:$A$11,0)))))),""))</f>
        <v/>
      </c>
      <c r="R1601" s="16" t="str">
        <f t="shared" si="97"/>
        <v/>
      </c>
      <c r="S1601" s="17" t="str">
        <f t="shared" si="98"/>
        <v/>
      </c>
      <c r="T1601" s="18" t="str">
        <f t="shared" ca="1" si="99"/>
        <v/>
      </c>
    </row>
    <row r="1602" spans="1:20" x14ac:dyDescent="0.35">
      <c r="A1602" s="11"/>
      <c r="B1602" s="11"/>
      <c r="C1602" s="11"/>
      <c r="D1602" s="12"/>
      <c r="E1602" s="11"/>
      <c r="F1602" s="13"/>
      <c r="G1602" s="13"/>
      <c r="H1602" s="11"/>
      <c r="I1602" s="12"/>
      <c r="J1602" s="12"/>
      <c r="K1602" s="13"/>
      <c r="L1602" s="13"/>
      <c r="M1602" s="13"/>
      <c r="N1602" s="13"/>
      <c r="O1602" s="13"/>
      <c r="P1602" s="14" t="str">
        <f t="shared" si="96"/>
        <v/>
      </c>
      <c r="Q1602" s="15" t="str">
        <f>IF(OR(J1602="",H1602=""),"",IFERROR(IF(ISNUMBER(N1602),N1602,IF(K1602&lt;N(INDEX(Platforms!$G$5:$G$14,MATCH(H1602,Lists!$A$2:$A$11,0))),N(INDEX(Platforms!$H$5:$H$14,MATCH(H1602,Lists!$A$2:$A$11,0))),MAX(N(INDEX(Platforms!$F$5:$F$14,MATCH(H1602,Lists!$A$2:$A$11,0))),N(INDEX(Platforms!$C$5:$C$14,MATCH(H1602,Lists!$A$2:$A$11,0)))*(K1602+IF(INDEX(Platforms!$E$5:$E$14,MATCH(H1602,Lists!$A$2:$A$11,0))="Yes",N(L1602),0))+N(INDEX(Platforms!$D$5:$D$14,MATCH(H1602,Lists!$A$2:$A$11,0)))))),""))</f>
        <v/>
      </c>
      <c r="R1602" s="16" t="str">
        <f t="shared" si="97"/>
        <v/>
      </c>
      <c r="S1602" s="17" t="str">
        <f t="shared" si="98"/>
        <v/>
      </c>
      <c r="T1602" s="18" t="str">
        <f t="shared" ca="1" si="99"/>
        <v/>
      </c>
    </row>
    <row r="1603" spans="1:20" x14ac:dyDescent="0.35">
      <c r="A1603" s="11"/>
      <c r="B1603" s="11"/>
      <c r="C1603" s="11"/>
      <c r="D1603" s="12"/>
      <c r="E1603" s="11"/>
      <c r="F1603" s="13"/>
      <c r="G1603" s="13"/>
      <c r="H1603" s="11"/>
      <c r="I1603" s="12"/>
      <c r="J1603" s="12"/>
      <c r="K1603" s="13"/>
      <c r="L1603" s="13"/>
      <c r="M1603" s="13"/>
      <c r="N1603" s="13"/>
      <c r="O1603" s="13"/>
      <c r="P1603" s="14" t="str">
        <f t="shared" si="96"/>
        <v/>
      </c>
      <c r="Q1603" s="15" t="str">
        <f>IF(OR(J1603="",H1603=""),"",IFERROR(IF(ISNUMBER(N1603),N1603,IF(K1603&lt;N(INDEX(Platforms!$G$5:$G$14,MATCH(H1603,Lists!$A$2:$A$11,0))),N(INDEX(Platforms!$H$5:$H$14,MATCH(H1603,Lists!$A$2:$A$11,0))),MAX(N(INDEX(Platforms!$F$5:$F$14,MATCH(H1603,Lists!$A$2:$A$11,0))),N(INDEX(Platforms!$C$5:$C$14,MATCH(H1603,Lists!$A$2:$A$11,0)))*(K1603+IF(INDEX(Platforms!$E$5:$E$14,MATCH(H1603,Lists!$A$2:$A$11,0))="Yes",N(L1603),0))+N(INDEX(Platforms!$D$5:$D$14,MATCH(H1603,Lists!$A$2:$A$11,0)))))),""))</f>
        <v/>
      </c>
      <c r="R1603" s="16" t="str">
        <f t="shared" si="97"/>
        <v/>
      </c>
      <c r="S1603" s="17" t="str">
        <f t="shared" si="98"/>
        <v/>
      </c>
      <c r="T1603" s="18" t="str">
        <f t="shared" ca="1" si="99"/>
        <v/>
      </c>
    </row>
    <row r="1604" spans="1:20" x14ac:dyDescent="0.35">
      <c r="A1604" s="11"/>
      <c r="B1604" s="11"/>
      <c r="C1604" s="11"/>
      <c r="D1604" s="12"/>
      <c r="E1604" s="11"/>
      <c r="F1604" s="13"/>
      <c r="G1604" s="13"/>
      <c r="H1604" s="11"/>
      <c r="I1604" s="12"/>
      <c r="J1604" s="12"/>
      <c r="K1604" s="13"/>
      <c r="L1604" s="13"/>
      <c r="M1604" s="13"/>
      <c r="N1604" s="13"/>
      <c r="O1604" s="13"/>
      <c r="P1604" s="14" t="str">
        <f t="shared" si="96"/>
        <v/>
      </c>
      <c r="Q1604" s="15" t="str">
        <f>IF(OR(J1604="",H1604=""),"",IFERROR(IF(ISNUMBER(N1604),N1604,IF(K1604&lt;N(INDEX(Platforms!$G$5:$G$14,MATCH(H1604,Lists!$A$2:$A$11,0))),N(INDEX(Platforms!$H$5:$H$14,MATCH(H1604,Lists!$A$2:$A$11,0))),MAX(N(INDEX(Platforms!$F$5:$F$14,MATCH(H1604,Lists!$A$2:$A$11,0))),N(INDEX(Platforms!$C$5:$C$14,MATCH(H1604,Lists!$A$2:$A$11,0)))*(K1604+IF(INDEX(Platforms!$E$5:$E$14,MATCH(H1604,Lists!$A$2:$A$11,0))="Yes",N(L1604),0))+N(INDEX(Platforms!$D$5:$D$14,MATCH(H1604,Lists!$A$2:$A$11,0)))))),""))</f>
        <v/>
      </c>
      <c r="R1604" s="16" t="str">
        <f t="shared" si="97"/>
        <v/>
      </c>
      <c r="S1604" s="17" t="str">
        <f t="shared" si="98"/>
        <v/>
      </c>
      <c r="T1604" s="18" t="str">
        <f t="shared" ca="1" si="99"/>
        <v/>
      </c>
    </row>
    <row r="1605" spans="1:20" x14ac:dyDescent="0.35">
      <c r="A1605" s="11"/>
      <c r="B1605" s="11"/>
      <c r="C1605" s="11"/>
      <c r="D1605" s="12"/>
      <c r="E1605" s="11"/>
      <c r="F1605" s="13"/>
      <c r="G1605" s="13"/>
      <c r="H1605" s="11"/>
      <c r="I1605" s="12"/>
      <c r="J1605" s="12"/>
      <c r="K1605" s="13"/>
      <c r="L1605" s="13"/>
      <c r="M1605" s="13"/>
      <c r="N1605" s="13"/>
      <c r="O1605" s="13"/>
      <c r="P1605" s="14" t="str">
        <f t="shared" ref="P1605:P1668" si="100">IF(OR(B1605&lt;&gt;"",F1605&lt;&gt;"",H1605&lt;&gt;"",J1605&lt;&gt;"",K1605&lt;&gt;""),IF(J1605&lt;&gt;"","Sold",IF(I1605&lt;&gt;"","Listed","In stock")),"")</f>
        <v/>
      </c>
      <c r="Q1605" s="15" t="str">
        <f>IF(OR(J1605="",H1605=""),"",IFERROR(IF(ISNUMBER(N1605),N1605,IF(K1605&lt;N(INDEX(Platforms!$G$5:$G$14,MATCH(H1605,Lists!$A$2:$A$11,0))),N(INDEX(Platforms!$H$5:$H$14,MATCH(H1605,Lists!$A$2:$A$11,0))),MAX(N(INDEX(Platforms!$F$5:$F$14,MATCH(H1605,Lists!$A$2:$A$11,0))),N(INDEX(Platforms!$C$5:$C$14,MATCH(H1605,Lists!$A$2:$A$11,0)))*(K1605+IF(INDEX(Platforms!$E$5:$E$14,MATCH(H1605,Lists!$A$2:$A$11,0))="Yes",N(L1605),0))+N(INDEX(Platforms!$D$5:$D$14,MATCH(H1605,Lists!$A$2:$A$11,0)))))),""))</f>
        <v/>
      </c>
      <c r="R1605" s="16" t="str">
        <f t="shared" ref="R1605:R1668" si="101">IF(J1605="","",IFERROR(K1605+N(L1605)-N(O1605)-Q1605-N(M1605)-N(F1605)-N(G1605),""))</f>
        <v/>
      </c>
      <c r="S1605" s="17" t="str">
        <f t="shared" ref="S1605:S1668" si="102">IF(OR(R1605="",N(F1605)+N(G1605)=0),"",R1605/(N(F1605)+N(G1605)))</f>
        <v/>
      </c>
      <c r="T1605" s="18" t="str">
        <f t="shared" ref="T1605:T1668" ca="1" si="103">IFERROR(IF(ISNUMBER(D1605),IF(ISNUMBER(J1605),J1605,IF(J1605="",TODAY(),""))-D1605,""),"")</f>
        <v/>
      </c>
    </row>
    <row r="1606" spans="1:20" x14ac:dyDescent="0.35">
      <c r="A1606" s="11"/>
      <c r="B1606" s="11"/>
      <c r="C1606" s="11"/>
      <c r="D1606" s="12"/>
      <c r="E1606" s="11"/>
      <c r="F1606" s="13"/>
      <c r="G1606" s="13"/>
      <c r="H1606" s="11"/>
      <c r="I1606" s="12"/>
      <c r="J1606" s="12"/>
      <c r="K1606" s="13"/>
      <c r="L1606" s="13"/>
      <c r="M1606" s="13"/>
      <c r="N1606" s="13"/>
      <c r="O1606" s="13"/>
      <c r="P1606" s="14" t="str">
        <f t="shared" si="100"/>
        <v/>
      </c>
      <c r="Q1606" s="15" t="str">
        <f>IF(OR(J1606="",H1606=""),"",IFERROR(IF(ISNUMBER(N1606),N1606,IF(K1606&lt;N(INDEX(Platforms!$G$5:$G$14,MATCH(H1606,Lists!$A$2:$A$11,0))),N(INDEX(Platforms!$H$5:$H$14,MATCH(H1606,Lists!$A$2:$A$11,0))),MAX(N(INDEX(Platforms!$F$5:$F$14,MATCH(H1606,Lists!$A$2:$A$11,0))),N(INDEX(Platforms!$C$5:$C$14,MATCH(H1606,Lists!$A$2:$A$11,0)))*(K1606+IF(INDEX(Platforms!$E$5:$E$14,MATCH(H1606,Lists!$A$2:$A$11,0))="Yes",N(L1606),0))+N(INDEX(Platforms!$D$5:$D$14,MATCH(H1606,Lists!$A$2:$A$11,0)))))),""))</f>
        <v/>
      </c>
      <c r="R1606" s="16" t="str">
        <f t="shared" si="101"/>
        <v/>
      </c>
      <c r="S1606" s="17" t="str">
        <f t="shared" si="102"/>
        <v/>
      </c>
      <c r="T1606" s="18" t="str">
        <f t="shared" ca="1" si="103"/>
        <v/>
      </c>
    </row>
    <row r="1607" spans="1:20" x14ac:dyDescent="0.35">
      <c r="A1607" s="11"/>
      <c r="B1607" s="11"/>
      <c r="C1607" s="11"/>
      <c r="D1607" s="12"/>
      <c r="E1607" s="11"/>
      <c r="F1607" s="13"/>
      <c r="G1607" s="13"/>
      <c r="H1607" s="11"/>
      <c r="I1607" s="12"/>
      <c r="J1607" s="12"/>
      <c r="K1607" s="13"/>
      <c r="L1607" s="13"/>
      <c r="M1607" s="13"/>
      <c r="N1607" s="13"/>
      <c r="O1607" s="13"/>
      <c r="P1607" s="14" t="str">
        <f t="shared" si="100"/>
        <v/>
      </c>
      <c r="Q1607" s="15" t="str">
        <f>IF(OR(J1607="",H1607=""),"",IFERROR(IF(ISNUMBER(N1607),N1607,IF(K1607&lt;N(INDEX(Platforms!$G$5:$G$14,MATCH(H1607,Lists!$A$2:$A$11,0))),N(INDEX(Platforms!$H$5:$H$14,MATCH(H1607,Lists!$A$2:$A$11,0))),MAX(N(INDEX(Platforms!$F$5:$F$14,MATCH(H1607,Lists!$A$2:$A$11,0))),N(INDEX(Platforms!$C$5:$C$14,MATCH(H1607,Lists!$A$2:$A$11,0)))*(K1607+IF(INDEX(Platforms!$E$5:$E$14,MATCH(H1607,Lists!$A$2:$A$11,0))="Yes",N(L1607),0))+N(INDEX(Platforms!$D$5:$D$14,MATCH(H1607,Lists!$A$2:$A$11,0)))))),""))</f>
        <v/>
      </c>
      <c r="R1607" s="16" t="str">
        <f t="shared" si="101"/>
        <v/>
      </c>
      <c r="S1607" s="17" t="str">
        <f t="shared" si="102"/>
        <v/>
      </c>
      <c r="T1607" s="18" t="str">
        <f t="shared" ca="1" si="103"/>
        <v/>
      </c>
    </row>
    <row r="1608" spans="1:20" x14ac:dyDescent="0.35">
      <c r="A1608" s="11"/>
      <c r="B1608" s="11"/>
      <c r="C1608" s="11"/>
      <c r="D1608" s="12"/>
      <c r="E1608" s="11"/>
      <c r="F1608" s="13"/>
      <c r="G1608" s="13"/>
      <c r="H1608" s="11"/>
      <c r="I1608" s="12"/>
      <c r="J1608" s="12"/>
      <c r="K1608" s="13"/>
      <c r="L1608" s="13"/>
      <c r="M1608" s="13"/>
      <c r="N1608" s="13"/>
      <c r="O1608" s="13"/>
      <c r="P1608" s="14" t="str">
        <f t="shared" si="100"/>
        <v/>
      </c>
      <c r="Q1608" s="15" t="str">
        <f>IF(OR(J1608="",H1608=""),"",IFERROR(IF(ISNUMBER(N1608),N1608,IF(K1608&lt;N(INDEX(Platforms!$G$5:$G$14,MATCH(H1608,Lists!$A$2:$A$11,0))),N(INDEX(Platforms!$H$5:$H$14,MATCH(H1608,Lists!$A$2:$A$11,0))),MAX(N(INDEX(Platforms!$F$5:$F$14,MATCH(H1608,Lists!$A$2:$A$11,0))),N(INDEX(Platforms!$C$5:$C$14,MATCH(H1608,Lists!$A$2:$A$11,0)))*(K1608+IF(INDEX(Platforms!$E$5:$E$14,MATCH(H1608,Lists!$A$2:$A$11,0))="Yes",N(L1608),0))+N(INDEX(Platforms!$D$5:$D$14,MATCH(H1608,Lists!$A$2:$A$11,0)))))),""))</f>
        <v/>
      </c>
      <c r="R1608" s="16" t="str">
        <f t="shared" si="101"/>
        <v/>
      </c>
      <c r="S1608" s="17" t="str">
        <f t="shared" si="102"/>
        <v/>
      </c>
      <c r="T1608" s="18" t="str">
        <f t="shared" ca="1" si="103"/>
        <v/>
      </c>
    </row>
    <row r="1609" spans="1:20" x14ac:dyDescent="0.35">
      <c r="A1609" s="11"/>
      <c r="B1609" s="11"/>
      <c r="C1609" s="11"/>
      <c r="D1609" s="12"/>
      <c r="E1609" s="11"/>
      <c r="F1609" s="13"/>
      <c r="G1609" s="13"/>
      <c r="H1609" s="11"/>
      <c r="I1609" s="12"/>
      <c r="J1609" s="12"/>
      <c r="K1609" s="13"/>
      <c r="L1609" s="13"/>
      <c r="M1609" s="13"/>
      <c r="N1609" s="13"/>
      <c r="O1609" s="13"/>
      <c r="P1609" s="14" t="str">
        <f t="shared" si="100"/>
        <v/>
      </c>
      <c r="Q1609" s="15" t="str">
        <f>IF(OR(J1609="",H1609=""),"",IFERROR(IF(ISNUMBER(N1609),N1609,IF(K1609&lt;N(INDEX(Platforms!$G$5:$G$14,MATCH(H1609,Lists!$A$2:$A$11,0))),N(INDEX(Platforms!$H$5:$H$14,MATCH(H1609,Lists!$A$2:$A$11,0))),MAX(N(INDEX(Platforms!$F$5:$F$14,MATCH(H1609,Lists!$A$2:$A$11,0))),N(INDEX(Platforms!$C$5:$C$14,MATCH(H1609,Lists!$A$2:$A$11,0)))*(K1609+IF(INDEX(Platforms!$E$5:$E$14,MATCH(H1609,Lists!$A$2:$A$11,0))="Yes",N(L1609),0))+N(INDEX(Platforms!$D$5:$D$14,MATCH(H1609,Lists!$A$2:$A$11,0)))))),""))</f>
        <v/>
      </c>
      <c r="R1609" s="16" t="str">
        <f t="shared" si="101"/>
        <v/>
      </c>
      <c r="S1609" s="17" t="str">
        <f t="shared" si="102"/>
        <v/>
      </c>
      <c r="T1609" s="18" t="str">
        <f t="shared" ca="1" si="103"/>
        <v/>
      </c>
    </row>
    <row r="1610" spans="1:20" x14ac:dyDescent="0.35">
      <c r="A1610" s="11"/>
      <c r="B1610" s="11"/>
      <c r="C1610" s="11"/>
      <c r="D1610" s="12"/>
      <c r="E1610" s="11"/>
      <c r="F1610" s="13"/>
      <c r="G1610" s="13"/>
      <c r="H1610" s="11"/>
      <c r="I1610" s="12"/>
      <c r="J1610" s="12"/>
      <c r="K1610" s="13"/>
      <c r="L1610" s="13"/>
      <c r="M1610" s="13"/>
      <c r="N1610" s="13"/>
      <c r="O1610" s="13"/>
      <c r="P1610" s="14" t="str">
        <f t="shared" si="100"/>
        <v/>
      </c>
      <c r="Q1610" s="15" t="str">
        <f>IF(OR(J1610="",H1610=""),"",IFERROR(IF(ISNUMBER(N1610),N1610,IF(K1610&lt;N(INDEX(Platforms!$G$5:$G$14,MATCH(H1610,Lists!$A$2:$A$11,0))),N(INDEX(Platforms!$H$5:$H$14,MATCH(H1610,Lists!$A$2:$A$11,0))),MAX(N(INDEX(Platforms!$F$5:$F$14,MATCH(H1610,Lists!$A$2:$A$11,0))),N(INDEX(Platforms!$C$5:$C$14,MATCH(H1610,Lists!$A$2:$A$11,0)))*(K1610+IF(INDEX(Platforms!$E$5:$E$14,MATCH(H1610,Lists!$A$2:$A$11,0))="Yes",N(L1610),0))+N(INDEX(Platforms!$D$5:$D$14,MATCH(H1610,Lists!$A$2:$A$11,0)))))),""))</f>
        <v/>
      </c>
      <c r="R1610" s="16" t="str">
        <f t="shared" si="101"/>
        <v/>
      </c>
      <c r="S1610" s="17" t="str">
        <f t="shared" si="102"/>
        <v/>
      </c>
      <c r="T1610" s="18" t="str">
        <f t="shared" ca="1" si="103"/>
        <v/>
      </c>
    </row>
    <row r="1611" spans="1:20" x14ac:dyDescent="0.35">
      <c r="A1611" s="11"/>
      <c r="B1611" s="11"/>
      <c r="C1611" s="11"/>
      <c r="D1611" s="12"/>
      <c r="E1611" s="11"/>
      <c r="F1611" s="13"/>
      <c r="G1611" s="13"/>
      <c r="H1611" s="11"/>
      <c r="I1611" s="12"/>
      <c r="J1611" s="12"/>
      <c r="K1611" s="13"/>
      <c r="L1611" s="13"/>
      <c r="M1611" s="13"/>
      <c r="N1611" s="13"/>
      <c r="O1611" s="13"/>
      <c r="P1611" s="14" t="str">
        <f t="shared" si="100"/>
        <v/>
      </c>
      <c r="Q1611" s="15" t="str">
        <f>IF(OR(J1611="",H1611=""),"",IFERROR(IF(ISNUMBER(N1611),N1611,IF(K1611&lt;N(INDEX(Platforms!$G$5:$G$14,MATCH(H1611,Lists!$A$2:$A$11,0))),N(INDEX(Platforms!$H$5:$H$14,MATCH(H1611,Lists!$A$2:$A$11,0))),MAX(N(INDEX(Platforms!$F$5:$F$14,MATCH(H1611,Lists!$A$2:$A$11,0))),N(INDEX(Platforms!$C$5:$C$14,MATCH(H1611,Lists!$A$2:$A$11,0)))*(K1611+IF(INDEX(Platforms!$E$5:$E$14,MATCH(H1611,Lists!$A$2:$A$11,0))="Yes",N(L1611),0))+N(INDEX(Platforms!$D$5:$D$14,MATCH(H1611,Lists!$A$2:$A$11,0)))))),""))</f>
        <v/>
      </c>
      <c r="R1611" s="16" t="str">
        <f t="shared" si="101"/>
        <v/>
      </c>
      <c r="S1611" s="17" t="str">
        <f t="shared" si="102"/>
        <v/>
      </c>
      <c r="T1611" s="18" t="str">
        <f t="shared" ca="1" si="103"/>
        <v/>
      </c>
    </row>
    <row r="1612" spans="1:20" x14ac:dyDescent="0.35">
      <c r="A1612" s="11"/>
      <c r="B1612" s="11"/>
      <c r="C1612" s="11"/>
      <c r="D1612" s="12"/>
      <c r="E1612" s="11"/>
      <c r="F1612" s="13"/>
      <c r="G1612" s="13"/>
      <c r="H1612" s="11"/>
      <c r="I1612" s="12"/>
      <c r="J1612" s="12"/>
      <c r="K1612" s="13"/>
      <c r="L1612" s="13"/>
      <c r="M1612" s="13"/>
      <c r="N1612" s="13"/>
      <c r="O1612" s="13"/>
      <c r="P1612" s="14" t="str">
        <f t="shared" si="100"/>
        <v/>
      </c>
      <c r="Q1612" s="15" t="str">
        <f>IF(OR(J1612="",H1612=""),"",IFERROR(IF(ISNUMBER(N1612),N1612,IF(K1612&lt;N(INDEX(Platforms!$G$5:$G$14,MATCH(H1612,Lists!$A$2:$A$11,0))),N(INDEX(Platforms!$H$5:$H$14,MATCH(H1612,Lists!$A$2:$A$11,0))),MAX(N(INDEX(Platforms!$F$5:$F$14,MATCH(H1612,Lists!$A$2:$A$11,0))),N(INDEX(Platforms!$C$5:$C$14,MATCH(H1612,Lists!$A$2:$A$11,0)))*(K1612+IF(INDEX(Platforms!$E$5:$E$14,MATCH(H1612,Lists!$A$2:$A$11,0))="Yes",N(L1612),0))+N(INDEX(Platforms!$D$5:$D$14,MATCH(H1612,Lists!$A$2:$A$11,0)))))),""))</f>
        <v/>
      </c>
      <c r="R1612" s="16" t="str">
        <f t="shared" si="101"/>
        <v/>
      </c>
      <c r="S1612" s="17" t="str">
        <f t="shared" si="102"/>
        <v/>
      </c>
      <c r="T1612" s="18" t="str">
        <f t="shared" ca="1" si="103"/>
        <v/>
      </c>
    </row>
    <row r="1613" spans="1:20" x14ac:dyDescent="0.35">
      <c r="A1613" s="11"/>
      <c r="B1613" s="11"/>
      <c r="C1613" s="11"/>
      <c r="D1613" s="12"/>
      <c r="E1613" s="11"/>
      <c r="F1613" s="13"/>
      <c r="G1613" s="13"/>
      <c r="H1613" s="11"/>
      <c r="I1613" s="12"/>
      <c r="J1613" s="12"/>
      <c r="K1613" s="13"/>
      <c r="L1613" s="13"/>
      <c r="M1613" s="13"/>
      <c r="N1613" s="13"/>
      <c r="O1613" s="13"/>
      <c r="P1613" s="14" t="str">
        <f t="shared" si="100"/>
        <v/>
      </c>
      <c r="Q1613" s="15" t="str">
        <f>IF(OR(J1613="",H1613=""),"",IFERROR(IF(ISNUMBER(N1613),N1613,IF(K1613&lt;N(INDEX(Platforms!$G$5:$G$14,MATCH(H1613,Lists!$A$2:$A$11,0))),N(INDEX(Platforms!$H$5:$H$14,MATCH(H1613,Lists!$A$2:$A$11,0))),MAX(N(INDEX(Platforms!$F$5:$F$14,MATCH(H1613,Lists!$A$2:$A$11,0))),N(INDEX(Platforms!$C$5:$C$14,MATCH(H1613,Lists!$A$2:$A$11,0)))*(K1613+IF(INDEX(Platforms!$E$5:$E$14,MATCH(H1613,Lists!$A$2:$A$11,0))="Yes",N(L1613),0))+N(INDEX(Platforms!$D$5:$D$14,MATCH(H1613,Lists!$A$2:$A$11,0)))))),""))</f>
        <v/>
      </c>
      <c r="R1613" s="16" t="str">
        <f t="shared" si="101"/>
        <v/>
      </c>
      <c r="S1613" s="17" t="str">
        <f t="shared" si="102"/>
        <v/>
      </c>
      <c r="T1613" s="18" t="str">
        <f t="shared" ca="1" si="103"/>
        <v/>
      </c>
    </row>
    <row r="1614" spans="1:20" x14ac:dyDescent="0.35">
      <c r="A1614" s="11"/>
      <c r="B1614" s="11"/>
      <c r="C1614" s="11"/>
      <c r="D1614" s="12"/>
      <c r="E1614" s="11"/>
      <c r="F1614" s="13"/>
      <c r="G1614" s="13"/>
      <c r="H1614" s="11"/>
      <c r="I1614" s="12"/>
      <c r="J1614" s="12"/>
      <c r="K1614" s="13"/>
      <c r="L1614" s="13"/>
      <c r="M1614" s="13"/>
      <c r="N1614" s="13"/>
      <c r="O1614" s="13"/>
      <c r="P1614" s="14" t="str">
        <f t="shared" si="100"/>
        <v/>
      </c>
      <c r="Q1614" s="15" t="str">
        <f>IF(OR(J1614="",H1614=""),"",IFERROR(IF(ISNUMBER(N1614),N1614,IF(K1614&lt;N(INDEX(Platforms!$G$5:$G$14,MATCH(H1614,Lists!$A$2:$A$11,0))),N(INDEX(Platforms!$H$5:$H$14,MATCH(H1614,Lists!$A$2:$A$11,0))),MAX(N(INDEX(Platforms!$F$5:$F$14,MATCH(H1614,Lists!$A$2:$A$11,0))),N(INDEX(Platforms!$C$5:$C$14,MATCH(H1614,Lists!$A$2:$A$11,0)))*(K1614+IF(INDEX(Platforms!$E$5:$E$14,MATCH(H1614,Lists!$A$2:$A$11,0))="Yes",N(L1614),0))+N(INDEX(Platforms!$D$5:$D$14,MATCH(H1614,Lists!$A$2:$A$11,0)))))),""))</f>
        <v/>
      </c>
      <c r="R1614" s="16" t="str">
        <f t="shared" si="101"/>
        <v/>
      </c>
      <c r="S1614" s="17" t="str">
        <f t="shared" si="102"/>
        <v/>
      </c>
      <c r="T1614" s="18" t="str">
        <f t="shared" ca="1" si="103"/>
        <v/>
      </c>
    </row>
    <row r="1615" spans="1:20" x14ac:dyDescent="0.35">
      <c r="A1615" s="11"/>
      <c r="B1615" s="11"/>
      <c r="C1615" s="11"/>
      <c r="D1615" s="12"/>
      <c r="E1615" s="11"/>
      <c r="F1615" s="13"/>
      <c r="G1615" s="13"/>
      <c r="H1615" s="11"/>
      <c r="I1615" s="12"/>
      <c r="J1615" s="12"/>
      <c r="K1615" s="13"/>
      <c r="L1615" s="13"/>
      <c r="M1615" s="13"/>
      <c r="N1615" s="13"/>
      <c r="O1615" s="13"/>
      <c r="P1615" s="14" t="str">
        <f t="shared" si="100"/>
        <v/>
      </c>
      <c r="Q1615" s="15" t="str">
        <f>IF(OR(J1615="",H1615=""),"",IFERROR(IF(ISNUMBER(N1615),N1615,IF(K1615&lt;N(INDEX(Platforms!$G$5:$G$14,MATCH(H1615,Lists!$A$2:$A$11,0))),N(INDEX(Platforms!$H$5:$H$14,MATCH(H1615,Lists!$A$2:$A$11,0))),MAX(N(INDEX(Platforms!$F$5:$F$14,MATCH(H1615,Lists!$A$2:$A$11,0))),N(INDEX(Platforms!$C$5:$C$14,MATCH(H1615,Lists!$A$2:$A$11,0)))*(K1615+IF(INDEX(Platforms!$E$5:$E$14,MATCH(H1615,Lists!$A$2:$A$11,0))="Yes",N(L1615),0))+N(INDEX(Platforms!$D$5:$D$14,MATCH(H1615,Lists!$A$2:$A$11,0)))))),""))</f>
        <v/>
      </c>
      <c r="R1615" s="16" t="str">
        <f t="shared" si="101"/>
        <v/>
      </c>
      <c r="S1615" s="17" t="str">
        <f t="shared" si="102"/>
        <v/>
      </c>
      <c r="T1615" s="18" t="str">
        <f t="shared" ca="1" si="103"/>
        <v/>
      </c>
    </row>
    <row r="1616" spans="1:20" x14ac:dyDescent="0.35">
      <c r="A1616" s="11"/>
      <c r="B1616" s="11"/>
      <c r="C1616" s="11"/>
      <c r="D1616" s="12"/>
      <c r="E1616" s="11"/>
      <c r="F1616" s="13"/>
      <c r="G1616" s="13"/>
      <c r="H1616" s="11"/>
      <c r="I1616" s="12"/>
      <c r="J1616" s="12"/>
      <c r="K1616" s="13"/>
      <c r="L1616" s="13"/>
      <c r="M1616" s="13"/>
      <c r="N1616" s="13"/>
      <c r="O1616" s="13"/>
      <c r="P1616" s="14" t="str">
        <f t="shared" si="100"/>
        <v/>
      </c>
      <c r="Q1616" s="15" t="str">
        <f>IF(OR(J1616="",H1616=""),"",IFERROR(IF(ISNUMBER(N1616),N1616,IF(K1616&lt;N(INDEX(Platforms!$G$5:$G$14,MATCH(H1616,Lists!$A$2:$A$11,0))),N(INDEX(Platforms!$H$5:$H$14,MATCH(H1616,Lists!$A$2:$A$11,0))),MAX(N(INDEX(Platforms!$F$5:$F$14,MATCH(H1616,Lists!$A$2:$A$11,0))),N(INDEX(Platforms!$C$5:$C$14,MATCH(H1616,Lists!$A$2:$A$11,0)))*(K1616+IF(INDEX(Platforms!$E$5:$E$14,MATCH(H1616,Lists!$A$2:$A$11,0))="Yes",N(L1616),0))+N(INDEX(Platforms!$D$5:$D$14,MATCH(H1616,Lists!$A$2:$A$11,0)))))),""))</f>
        <v/>
      </c>
      <c r="R1616" s="16" t="str">
        <f t="shared" si="101"/>
        <v/>
      </c>
      <c r="S1616" s="17" t="str">
        <f t="shared" si="102"/>
        <v/>
      </c>
      <c r="T1616" s="18" t="str">
        <f t="shared" ca="1" si="103"/>
        <v/>
      </c>
    </row>
    <row r="1617" spans="1:20" x14ac:dyDescent="0.35">
      <c r="A1617" s="11"/>
      <c r="B1617" s="11"/>
      <c r="C1617" s="11"/>
      <c r="D1617" s="12"/>
      <c r="E1617" s="11"/>
      <c r="F1617" s="13"/>
      <c r="G1617" s="13"/>
      <c r="H1617" s="11"/>
      <c r="I1617" s="12"/>
      <c r="J1617" s="12"/>
      <c r="K1617" s="13"/>
      <c r="L1617" s="13"/>
      <c r="M1617" s="13"/>
      <c r="N1617" s="13"/>
      <c r="O1617" s="13"/>
      <c r="P1617" s="14" t="str">
        <f t="shared" si="100"/>
        <v/>
      </c>
      <c r="Q1617" s="15" t="str">
        <f>IF(OR(J1617="",H1617=""),"",IFERROR(IF(ISNUMBER(N1617),N1617,IF(K1617&lt;N(INDEX(Platforms!$G$5:$G$14,MATCH(H1617,Lists!$A$2:$A$11,0))),N(INDEX(Platforms!$H$5:$H$14,MATCH(H1617,Lists!$A$2:$A$11,0))),MAX(N(INDEX(Platforms!$F$5:$F$14,MATCH(H1617,Lists!$A$2:$A$11,0))),N(INDEX(Platforms!$C$5:$C$14,MATCH(H1617,Lists!$A$2:$A$11,0)))*(K1617+IF(INDEX(Platforms!$E$5:$E$14,MATCH(H1617,Lists!$A$2:$A$11,0))="Yes",N(L1617),0))+N(INDEX(Platforms!$D$5:$D$14,MATCH(H1617,Lists!$A$2:$A$11,0)))))),""))</f>
        <v/>
      </c>
      <c r="R1617" s="16" t="str">
        <f t="shared" si="101"/>
        <v/>
      </c>
      <c r="S1617" s="17" t="str">
        <f t="shared" si="102"/>
        <v/>
      </c>
      <c r="T1617" s="18" t="str">
        <f t="shared" ca="1" si="103"/>
        <v/>
      </c>
    </row>
    <row r="1618" spans="1:20" x14ac:dyDescent="0.35">
      <c r="A1618" s="11"/>
      <c r="B1618" s="11"/>
      <c r="C1618" s="11"/>
      <c r="D1618" s="12"/>
      <c r="E1618" s="11"/>
      <c r="F1618" s="13"/>
      <c r="G1618" s="13"/>
      <c r="H1618" s="11"/>
      <c r="I1618" s="12"/>
      <c r="J1618" s="12"/>
      <c r="K1618" s="13"/>
      <c r="L1618" s="13"/>
      <c r="M1618" s="13"/>
      <c r="N1618" s="13"/>
      <c r="O1618" s="13"/>
      <c r="P1618" s="14" t="str">
        <f t="shared" si="100"/>
        <v/>
      </c>
      <c r="Q1618" s="15" t="str">
        <f>IF(OR(J1618="",H1618=""),"",IFERROR(IF(ISNUMBER(N1618),N1618,IF(K1618&lt;N(INDEX(Platforms!$G$5:$G$14,MATCH(H1618,Lists!$A$2:$A$11,0))),N(INDEX(Platforms!$H$5:$H$14,MATCH(H1618,Lists!$A$2:$A$11,0))),MAX(N(INDEX(Platforms!$F$5:$F$14,MATCH(H1618,Lists!$A$2:$A$11,0))),N(INDEX(Platforms!$C$5:$C$14,MATCH(H1618,Lists!$A$2:$A$11,0)))*(K1618+IF(INDEX(Platforms!$E$5:$E$14,MATCH(H1618,Lists!$A$2:$A$11,0))="Yes",N(L1618),0))+N(INDEX(Platforms!$D$5:$D$14,MATCH(H1618,Lists!$A$2:$A$11,0)))))),""))</f>
        <v/>
      </c>
      <c r="R1618" s="16" t="str">
        <f t="shared" si="101"/>
        <v/>
      </c>
      <c r="S1618" s="17" t="str">
        <f t="shared" si="102"/>
        <v/>
      </c>
      <c r="T1618" s="18" t="str">
        <f t="shared" ca="1" si="103"/>
        <v/>
      </c>
    </row>
    <row r="1619" spans="1:20" x14ac:dyDescent="0.35">
      <c r="A1619" s="11"/>
      <c r="B1619" s="11"/>
      <c r="C1619" s="11"/>
      <c r="D1619" s="12"/>
      <c r="E1619" s="11"/>
      <c r="F1619" s="13"/>
      <c r="G1619" s="13"/>
      <c r="H1619" s="11"/>
      <c r="I1619" s="12"/>
      <c r="J1619" s="12"/>
      <c r="K1619" s="13"/>
      <c r="L1619" s="13"/>
      <c r="M1619" s="13"/>
      <c r="N1619" s="13"/>
      <c r="O1619" s="13"/>
      <c r="P1619" s="14" t="str">
        <f t="shared" si="100"/>
        <v/>
      </c>
      <c r="Q1619" s="15" t="str">
        <f>IF(OR(J1619="",H1619=""),"",IFERROR(IF(ISNUMBER(N1619),N1619,IF(K1619&lt;N(INDEX(Platforms!$G$5:$G$14,MATCH(H1619,Lists!$A$2:$A$11,0))),N(INDEX(Platforms!$H$5:$H$14,MATCH(H1619,Lists!$A$2:$A$11,0))),MAX(N(INDEX(Platforms!$F$5:$F$14,MATCH(H1619,Lists!$A$2:$A$11,0))),N(INDEX(Platforms!$C$5:$C$14,MATCH(H1619,Lists!$A$2:$A$11,0)))*(K1619+IF(INDEX(Platforms!$E$5:$E$14,MATCH(H1619,Lists!$A$2:$A$11,0))="Yes",N(L1619),0))+N(INDEX(Platforms!$D$5:$D$14,MATCH(H1619,Lists!$A$2:$A$11,0)))))),""))</f>
        <v/>
      </c>
      <c r="R1619" s="16" t="str">
        <f t="shared" si="101"/>
        <v/>
      </c>
      <c r="S1619" s="17" t="str">
        <f t="shared" si="102"/>
        <v/>
      </c>
      <c r="T1619" s="18" t="str">
        <f t="shared" ca="1" si="103"/>
        <v/>
      </c>
    </row>
    <row r="1620" spans="1:20" x14ac:dyDescent="0.35">
      <c r="A1620" s="11"/>
      <c r="B1620" s="11"/>
      <c r="C1620" s="11"/>
      <c r="D1620" s="12"/>
      <c r="E1620" s="11"/>
      <c r="F1620" s="13"/>
      <c r="G1620" s="13"/>
      <c r="H1620" s="11"/>
      <c r="I1620" s="12"/>
      <c r="J1620" s="12"/>
      <c r="K1620" s="13"/>
      <c r="L1620" s="13"/>
      <c r="M1620" s="13"/>
      <c r="N1620" s="13"/>
      <c r="O1620" s="13"/>
      <c r="P1620" s="14" t="str">
        <f t="shared" si="100"/>
        <v/>
      </c>
      <c r="Q1620" s="15" t="str">
        <f>IF(OR(J1620="",H1620=""),"",IFERROR(IF(ISNUMBER(N1620),N1620,IF(K1620&lt;N(INDEX(Platforms!$G$5:$G$14,MATCH(H1620,Lists!$A$2:$A$11,0))),N(INDEX(Platforms!$H$5:$H$14,MATCH(H1620,Lists!$A$2:$A$11,0))),MAX(N(INDEX(Platforms!$F$5:$F$14,MATCH(H1620,Lists!$A$2:$A$11,0))),N(INDEX(Platforms!$C$5:$C$14,MATCH(H1620,Lists!$A$2:$A$11,0)))*(K1620+IF(INDEX(Platforms!$E$5:$E$14,MATCH(H1620,Lists!$A$2:$A$11,0))="Yes",N(L1620),0))+N(INDEX(Platforms!$D$5:$D$14,MATCH(H1620,Lists!$A$2:$A$11,0)))))),""))</f>
        <v/>
      </c>
      <c r="R1620" s="16" t="str">
        <f t="shared" si="101"/>
        <v/>
      </c>
      <c r="S1620" s="17" t="str">
        <f t="shared" si="102"/>
        <v/>
      </c>
      <c r="T1620" s="18" t="str">
        <f t="shared" ca="1" si="103"/>
        <v/>
      </c>
    </row>
    <row r="1621" spans="1:20" x14ac:dyDescent="0.35">
      <c r="A1621" s="11"/>
      <c r="B1621" s="11"/>
      <c r="C1621" s="11"/>
      <c r="D1621" s="12"/>
      <c r="E1621" s="11"/>
      <c r="F1621" s="13"/>
      <c r="G1621" s="13"/>
      <c r="H1621" s="11"/>
      <c r="I1621" s="12"/>
      <c r="J1621" s="12"/>
      <c r="K1621" s="13"/>
      <c r="L1621" s="13"/>
      <c r="M1621" s="13"/>
      <c r="N1621" s="13"/>
      <c r="O1621" s="13"/>
      <c r="P1621" s="14" t="str">
        <f t="shared" si="100"/>
        <v/>
      </c>
      <c r="Q1621" s="15" t="str">
        <f>IF(OR(J1621="",H1621=""),"",IFERROR(IF(ISNUMBER(N1621),N1621,IF(K1621&lt;N(INDEX(Platforms!$G$5:$G$14,MATCH(H1621,Lists!$A$2:$A$11,0))),N(INDEX(Platforms!$H$5:$H$14,MATCH(H1621,Lists!$A$2:$A$11,0))),MAX(N(INDEX(Platforms!$F$5:$F$14,MATCH(H1621,Lists!$A$2:$A$11,0))),N(INDEX(Platforms!$C$5:$C$14,MATCH(H1621,Lists!$A$2:$A$11,0)))*(K1621+IF(INDEX(Platforms!$E$5:$E$14,MATCH(H1621,Lists!$A$2:$A$11,0))="Yes",N(L1621),0))+N(INDEX(Platforms!$D$5:$D$14,MATCH(H1621,Lists!$A$2:$A$11,0)))))),""))</f>
        <v/>
      </c>
      <c r="R1621" s="16" t="str">
        <f t="shared" si="101"/>
        <v/>
      </c>
      <c r="S1621" s="17" t="str">
        <f t="shared" si="102"/>
        <v/>
      </c>
      <c r="T1621" s="18" t="str">
        <f t="shared" ca="1" si="103"/>
        <v/>
      </c>
    </row>
    <row r="1622" spans="1:20" x14ac:dyDescent="0.35">
      <c r="A1622" s="11"/>
      <c r="B1622" s="11"/>
      <c r="C1622" s="11"/>
      <c r="D1622" s="12"/>
      <c r="E1622" s="11"/>
      <c r="F1622" s="13"/>
      <c r="G1622" s="13"/>
      <c r="H1622" s="11"/>
      <c r="I1622" s="12"/>
      <c r="J1622" s="12"/>
      <c r="K1622" s="13"/>
      <c r="L1622" s="13"/>
      <c r="M1622" s="13"/>
      <c r="N1622" s="13"/>
      <c r="O1622" s="13"/>
      <c r="P1622" s="14" t="str">
        <f t="shared" si="100"/>
        <v/>
      </c>
      <c r="Q1622" s="15" t="str">
        <f>IF(OR(J1622="",H1622=""),"",IFERROR(IF(ISNUMBER(N1622),N1622,IF(K1622&lt;N(INDEX(Platforms!$G$5:$G$14,MATCH(H1622,Lists!$A$2:$A$11,0))),N(INDEX(Platforms!$H$5:$H$14,MATCH(H1622,Lists!$A$2:$A$11,0))),MAX(N(INDEX(Platforms!$F$5:$F$14,MATCH(H1622,Lists!$A$2:$A$11,0))),N(INDEX(Platforms!$C$5:$C$14,MATCH(H1622,Lists!$A$2:$A$11,0)))*(K1622+IF(INDEX(Platforms!$E$5:$E$14,MATCH(H1622,Lists!$A$2:$A$11,0))="Yes",N(L1622),0))+N(INDEX(Platforms!$D$5:$D$14,MATCH(H1622,Lists!$A$2:$A$11,0)))))),""))</f>
        <v/>
      </c>
      <c r="R1622" s="16" t="str">
        <f t="shared" si="101"/>
        <v/>
      </c>
      <c r="S1622" s="17" t="str">
        <f t="shared" si="102"/>
        <v/>
      </c>
      <c r="T1622" s="18" t="str">
        <f t="shared" ca="1" si="103"/>
        <v/>
      </c>
    </row>
    <row r="1623" spans="1:20" x14ac:dyDescent="0.35">
      <c r="A1623" s="11"/>
      <c r="B1623" s="11"/>
      <c r="C1623" s="11"/>
      <c r="D1623" s="12"/>
      <c r="E1623" s="11"/>
      <c r="F1623" s="13"/>
      <c r="G1623" s="13"/>
      <c r="H1623" s="11"/>
      <c r="I1623" s="12"/>
      <c r="J1623" s="12"/>
      <c r="K1623" s="13"/>
      <c r="L1623" s="13"/>
      <c r="M1623" s="13"/>
      <c r="N1623" s="13"/>
      <c r="O1623" s="13"/>
      <c r="P1623" s="14" t="str">
        <f t="shared" si="100"/>
        <v/>
      </c>
      <c r="Q1623" s="15" t="str">
        <f>IF(OR(J1623="",H1623=""),"",IFERROR(IF(ISNUMBER(N1623),N1623,IF(K1623&lt;N(INDEX(Platforms!$G$5:$G$14,MATCH(H1623,Lists!$A$2:$A$11,0))),N(INDEX(Platforms!$H$5:$H$14,MATCH(H1623,Lists!$A$2:$A$11,0))),MAX(N(INDEX(Platforms!$F$5:$F$14,MATCH(H1623,Lists!$A$2:$A$11,0))),N(INDEX(Platforms!$C$5:$C$14,MATCH(H1623,Lists!$A$2:$A$11,0)))*(K1623+IF(INDEX(Platforms!$E$5:$E$14,MATCH(H1623,Lists!$A$2:$A$11,0))="Yes",N(L1623),0))+N(INDEX(Platforms!$D$5:$D$14,MATCH(H1623,Lists!$A$2:$A$11,0)))))),""))</f>
        <v/>
      </c>
      <c r="R1623" s="16" t="str">
        <f t="shared" si="101"/>
        <v/>
      </c>
      <c r="S1623" s="17" t="str">
        <f t="shared" si="102"/>
        <v/>
      </c>
      <c r="T1623" s="18" t="str">
        <f t="shared" ca="1" si="103"/>
        <v/>
      </c>
    </row>
    <row r="1624" spans="1:20" x14ac:dyDescent="0.35">
      <c r="A1624" s="11"/>
      <c r="B1624" s="11"/>
      <c r="C1624" s="11"/>
      <c r="D1624" s="12"/>
      <c r="E1624" s="11"/>
      <c r="F1624" s="13"/>
      <c r="G1624" s="13"/>
      <c r="H1624" s="11"/>
      <c r="I1624" s="12"/>
      <c r="J1624" s="12"/>
      <c r="K1624" s="13"/>
      <c r="L1624" s="13"/>
      <c r="M1624" s="13"/>
      <c r="N1624" s="13"/>
      <c r="O1624" s="13"/>
      <c r="P1624" s="14" t="str">
        <f t="shared" si="100"/>
        <v/>
      </c>
      <c r="Q1624" s="15" t="str">
        <f>IF(OR(J1624="",H1624=""),"",IFERROR(IF(ISNUMBER(N1624),N1624,IF(K1624&lt;N(INDEX(Platforms!$G$5:$G$14,MATCH(H1624,Lists!$A$2:$A$11,0))),N(INDEX(Platforms!$H$5:$H$14,MATCH(H1624,Lists!$A$2:$A$11,0))),MAX(N(INDEX(Platforms!$F$5:$F$14,MATCH(H1624,Lists!$A$2:$A$11,0))),N(INDEX(Platforms!$C$5:$C$14,MATCH(H1624,Lists!$A$2:$A$11,0)))*(K1624+IF(INDEX(Platforms!$E$5:$E$14,MATCH(H1624,Lists!$A$2:$A$11,0))="Yes",N(L1624),0))+N(INDEX(Platforms!$D$5:$D$14,MATCH(H1624,Lists!$A$2:$A$11,0)))))),""))</f>
        <v/>
      </c>
      <c r="R1624" s="16" t="str">
        <f t="shared" si="101"/>
        <v/>
      </c>
      <c r="S1624" s="17" t="str">
        <f t="shared" si="102"/>
        <v/>
      </c>
      <c r="T1624" s="18" t="str">
        <f t="shared" ca="1" si="103"/>
        <v/>
      </c>
    </row>
    <row r="1625" spans="1:20" x14ac:dyDescent="0.35">
      <c r="A1625" s="11"/>
      <c r="B1625" s="11"/>
      <c r="C1625" s="11"/>
      <c r="D1625" s="12"/>
      <c r="E1625" s="11"/>
      <c r="F1625" s="13"/>
      <c r="G1625" s="13"/>
      <c r="H1625" s="11"/>
      <c r="I1625" s="12"/>
      <c r="J1625" s="12"/>
      <c r="K1625" s="13"/>
      <c r="L1625" s="13"/>
      <c r="M1625" s="13"/>
      <c r="N1625" s="13"/>
      <c r="O1625" s="13"/>
      <c r="P1625" s="14" t="str">
        <f t="shared" si="100"/>
        <v/>
      </c>
      <c r="Q1625" s="15" t="str">
        <f>IF(OR(J1625="",H1625=""),"",IFERROR(IF(ISNUMBER(N1625),N1625,IF(K1625&lt;N(INDEX(Platforms!$G$5:$G$14,MATCH(H1625,Lists!$A$2:$A$11,0))),N(INDEX(Platforms!$H$5:$H$14,MATCH(H1625,Lists!$A$2:$A$11,0))),MAX(N(INDEX(Platforms!$F$5:$F$14,MATCH(H1625,Lists!$A$2:$A$11,0))),N(INDEX(Platforms!$C$5:$C$14,MATCH(H1625,Lists!$A$2:$A$11,0)))*(K1625+IF(INDEX(Platforms!$E$5:$E$14,MATCH(H1625,Lists!$A$2:$A$11,0))="Yes",N(L1625),0))+N(INDEX(Platforms!$D$5:$D$14,MATCH(H1625,Lists!$A$2:$A$11,0)))))),""))</f>
        <v/>
      </c>
      <c r="R1625" s="16" t="str">
        <f t="shared" si="101"/>
        <v/>
      </c>
      <c r="S1625" s="17" t="str">
        <f t="shared" si="102"/>
        <v/>
      </c>
      <c r="T1625" s="18" t="str">
        <f t="shared" ca="1" si="103"/>
        <v/>
      </c>
    </row>
    <row r="1626" spans="1:20" x14ac:dyDescent="0.35">
      <c r="A1626" s="11"/>
      <c r="B1626" s="11"/>
      <c r="C1626" s="11"/>
      <c r="D1626" s="12"/>
      <c r="E1626" s="11"/>
      <c r="F1626" s="13"/>
      <c r="G1626" s="13"/>
      <c r="H1626" s="11"/>
      <c r="I1626" s="12"/>
      <c r="J1626" s="12"/>
      <c r="K1626" s="13"/>
      <c r="L1626" s="13"/>
      <c r="M1626" s="13"/>
      <c r="N1626" s="13"/>
      <c r="O1626" s="13"/>
      <c r="P1626" s="14" t="str">
        <f t="shared" si="100"/>
        <v/>
      </c>
      <c r="Q1626" s="15" t="str">
        <f>IF(OR(J1626="",H1626=""),"",IFERROR(IF(ISNUMBER(N1626),N1626,IF(K1626&lt;N(INDEX(Platforms!$G$5:$G$14,MATCH(H1626,Lists!$A$2:$A$11,0))),N(INDEX(Platforms!$H$5:$H$14,MATCH(H1626,Lists!$A$2:$A$11,0))),MAX(N(INDEX(Platforms!$F$5:$F$14,MATCH(H1626,Lists!$A$2:$A$11,0))),N(INDEX(Platforms!$C$5:$C$14,MATCH(H1626,Lists!$A$2:$A$11,0)))*(K1626+IF(INDEX(Platforms!$E$5:$E$14,MATCH(H1626,Lists!$A$2:$A$11,0))="Yes",N(L1626),0))+N(INDEX(Platforms!$D$5:$D$14,MATCH(H1626,Lists!$A$2:$A$11,0)))))),""))</f>
        <v/>
      </c>
      <c r="R1626" s="16" t="str">
        <f t="shared" si="101"/>
        <v/>
      </c>
      <c r="S1626" s="17" t="str">
        <f t="shared" si="102"/>
        <v/>
      </c>
      <c r="T1626" s="18" t="str">
        <f t="shared" ca="1" si="103"/>
        <v/>
      </c>
    </row>
    <row r="1627" spans="1:20" x14ac:dyDescent="0.35">
      <c r="A1627" s="11"/>
      <c r="B1627" s="11"/>
      <c r="C1627" s="11"/>
      <c r="D1627" s="12"/>
      <c r="E1627" s="11"/>
      <c r="F1627" s="13"/>
      <c r="G1627" s="13"/>
      <c r="H1627" s="11"/>
      <c r="I1627" s="12"/>
      <c r="J1627" s="12"/>
      <c r="K1627" s="13"/>
      <c r="L1627" s="13"/>
      <c r="M1627" s="13"/>
      <c r="N1627" s="13"/>
      <c r="O1627" s="13"/>
      <c r="P1627" s="14" t="str">
        <f t="shared" si="100"/>
        <v/>
      </c>
      <c r="Q1627" s="15" t="str">
        <f>IF(OR(J1627="",H1627=""),"",IFERROR(IF(ISNUMBER(N1627),N1627,IF(K1627&lt;N(INDEX(Platforms!$G$5:$G$14,MATCH(H1627,Lists!$A$2:$A$11,0))),N(INDEX(Platforms!$H$5:$H$14,MATCH(H1627,Lists!$A$2:$A$11,0))),MAX(N(INDEX(Platforms!$F$5:$F$14,MATCH(H1627,Lists!$A$2:$A$11,0))),N(INDEX(Platforms!$C$5:$C$14,MATCH(H1627,Lists!$A$2:$A$11,0)))*(K1627+IF(INDEX(Platforms!$E$5:$E$14,MATCH(H1627,Lists!$A$2:$A$11,0))="Yes",N(L1627),0))+N(INDEX(Platforms!$D$5:$D$14,MATCH(H1627,Lists!$A$2:$A$11,0)))))),""))</f>
        <v/>
      </c>
      <c r="R1627" s="16" t="str">
        <f t="shared" si="101"/>
        <v/>
      </c>
      <c r="S1627" s="17" t="str">
        <f t="shared" si="102"/>
        <v/>
      </c>
      <c r="T1627" s="18" t="str">
        <f t="shared" ca="1" si="103"/>
        <v/>
      </c>
    </row>
    <row r="1628" spans="1:20" x14ac:dyDescent="0.35">
      <c r="A1628" s="11"/>
      <c r="B1628" s="11"/>
      <c r="C1628" s="11"/>
      <c r="D1628" s="12"/>
      <c r="E1628" s="11"/>
      <c r="F1628" s="13"/>
      <c r="G1628" s="13"/>
      <c r="H1628" s="11"/>
      <c r="I1628" s="12"/>
      <c r="J1628" s="12"/>
      <c r="K1628" s="13"/>
      <c r="L1628" s="13"/>
      <c r="M1628" s="13"/>
      <c r="N1628" s="13"/>
      <c r="O1628" s="13"/>
      <c r="P1628" s="14" t="str">
        <f t="shared" si="100"/>
        <v/>
      </c>
      <c r="Q1628" s="15" t="str">
        <f>IF(OR(J1628="",H1628=""),"",IFERROR(IF(ISNUMBER(N1628),N1628,IF(K1628&lt;N(INDEX(Platforms!$G$5:$G$14,MATCH(H1628,Lists!$A$2:$A$11,0))),N(INDEX(Platforms!$H$5:$H$14,MATCH(H1628,Lists!$A$2:$A$11,0))),MAX(N(INDEX(Platforms!$F$5:$F$14,MATCH(H1628,Lists!$A$2:$A$11,0))),N(INDEX(Platforms!$C$5:$C$14,MATCH(H1628,Lists!$A$2:$A$11,0)))*(K1628+IF(INDEX(Platforms!$E$5:$E$14,MATCH(H1628,Lists!$A$2:$A$11,0))="Yes",N(L1628),0))+N(INDEX(Platforms!$D$5:$D$14,MATCH(H1628,Lists!$A$2:$A$11,0)))))),""))</f>
        <v/>
      </c>
      <c r="R1628" s="16" t="str">
        <f t="shared" si="101"/>
        <v/>
      </c>
      <c r="S1628" s="17" t="str">
        <f t="shared" si="102"/>
        <v/>
      </c>
      <c r="T1628" s="18" t="str">
        <f t="shared" ca="1" si="103"/>
        <v/>
      </c>
    </row>
    <row r="1629" spans="1:20" x14ac:dyDescent="0.35">
      <c r="A1629" s="11"/>
      <c r="B1629" s="11"/>
      <c r="C1629" s="11"/>
      <c r="D1629" s="12"/>
      <c r="E1629" s="11"/>
      <c r="F1629" s="13"/>
      <c r="G1629" s="13"/>
      <c r="H1629" s="11"/>
      <c r="I1629" s="12"/>
      <c r="J1629" s="12"/>
      <c r="K1629" s="13"/>
      <c r="L1629" s="13"/>
      <c r="M1629" s="13"/>
      <c r="N1629" s="13"/>
      <c r="O1629" s="13"/>
      <c r="P1629" s="14" t="str">
        <f t="shared" si="100"/>
        <v/>
      </c>
      <c r="Q1629" s="15" t="str">
        <f>IF(OR(J1629="",H1629=""),"",IFERROR(IF(ISNUMBER(N1629),N1629,IF(K1629&lt;N(INDEX(Platforms!$G$5:$G$14,MATCH(H1629,Lists!$A$2:$A$11,0))),N(INDEX(Platforms!$H$5:$H$14,MATCH(H1629,Lists!$A$2:$A$11,0))),MAX(N(INDEX(Platforms!$F$5:$F$14,MATCH(H1629,Lists!$A$2:$A$11,0))),N(INDEX(Platforms!$C$5:$C$14,MATCH(H1629,Lists!$A$2:$A$11,0)))*(K1629+IF(INDEX(Platforms!$E$5:$E$14,MATCH(H1629,Lists!$A$2:$A$11,0))="Yes",N(L1629),0))+N(INDEX(Platforms!$D$5:$D$14,MATCH(H1629,Lists!$A$2:$A$11,0)))))),""))</f>
        <v/>
      </c>
      <c r="R1629" s="16" t="str">
        <f t="shared" si="101"/>
        <v/>
      </c>
      <c r="S1629" s="17" t="str">
        <f t="shared" si="102"/>
        <v/>
      </c>
      <c r="T1629" s="18" t="str">
        <f t="shared" ca="1" si="103"/>
        <v/>
      </c>
    </row>
    <row r="1630" spans="1:20" x14ac:dyDescent="0.35">
      <c r="A1630" s="11"/>
      <c r="B1630" s="11"/>
      <c r="C1630" s="11"/>
      <c r="D1630" s="12"/>
      <c r="E1630" s="11"/>
      <c r="F1630" s="13"/>
      <c r="G1630" s="13"/>
      <c r="H1630" s="11"/>
      <c r="I1630" s="12"/>
      <c r="J1630" s="12"/>
      <c r="K1630" s="13"/>
      <c r="L1630" s="13"/>
      <c r="M1630" s="13"/>
      <c r="N1630" s="13"/>
      <c r="O1630" s="13"/>
      <c r="P1630" s="14" t="str">
        <f t="shared" si="100"/>
        <v/>
      </c>
      <c r="Q1630" s="15" t="str">
        <f>IF(OR(J1630="",H1630=""),"",IFERROR(IF(ISNUMBER(N1630),N1630,IF(K1630&lt;N(INDEX(Platforms!$G$5:$G$14,MATCH(H1630,Lists!$A$2:$A$11,0))),N(INDEX(Platforms!$H$5:$H$14,MATCH(H1630,Lists!$A$2:$A$11,0))),MAX(N(INDEX(Platforms!$F$5:$F$14,MATCH(H1630,Lists!$A$2:$A$11,0))),N(INDEX(Platforms!$C$5:$C$14,MATCH(H1630,Lists!$A$2:$A$11,0)))*(K1630+IF(INDEX(Platforms!$E$5:$E$14,MATCH(H1630,Lists!$A$2:$A$11,0))="Yes",N(L1630),0))+N(INDEX(Platforms!$D$5:$D$14,MATCH(H1630,Lists!$A$2:$A$11,0)))))),""))</f>
        <v/>
      </c>
      <c r="R1630" s="16" t="str">
        <f t="shared" si="101"/>
        <v/>
      </c>
      <c r="S1630" s="17" t="str">
        <f t="shared" si="102"/>
        <v/>
      </c>
      <c r="T1630" s="18" t="str">
        <f t="shared" ca="1" si="103"/>
        <v/>
      </c>
    </row>
    <row r="1631" spans="1:20" x14ac:dyDescent="0.35">
      <c r="A1631" s="11"/>
      <c r="B1631" s="11"/>
      <c r="C1631" s="11"/>
      <c r="D1631" s="12"/>
      <c r="E1631" s="11"/>
      <c r="F1631" s="13"/>
      <c r="G1631" s="13"/>
      <c r="H1631" s="11"/>
      <c r="I1631" s="12"/>
      <c r="J1631" s="12"/>
      <c r="K1631" s="13"/>
      <c r="L1631" s="13"/>
      <c r="M1631" s="13"/>
      <c r="N1631" s="13"/>
      <c r="O1631" s="13"/>
      <c r="P1631" s="14" t="str">
        <f t="shared" si="100"/>
        <v/>
      </c>
      <c r="Q1631" s="15" t="str">
        <f>IF(OR(J1631="",H1631=""),"",IFERROR(IF(ISNUMBER(N1631),N1631,IF(K1631&lt;N(INDEX(Platforms!$G$5:$G$14,MATCH(H1631,Lists!$A$2:$A$11,0))),N(INDEX(Platforms!$H$5:$H$14,MATCH(H1631,Lists!$A$2:$A$11,0))),MAX(N(INDEX(Platforms!$F$5:$F$14,MATCH(H1631,Lists!$A$2:$A$11,0))),N(INDEX(Platforms!$C$5:$C$14,MATCH(H1631,Lists!$A$2:$A$11,0)))*(K1631+IF(INDEX(Platforms!$E$5:$E$14,MATCH(H1631,Lists!$A$2:$A$11,0))="Yes",N(L1631),0))+N(INDEX(Platforms!$D$5:$D$14,MATCH(H1631,Lists!$A$2:$A$11,0)))))),""))</f>
        <v/>
      </c>
      <c r="R1631" s="16" t="str">
        <f t="shared" si="101"/>
        <v/>
      </c>
      <c r="S1631" s="17" t="str">
        <f t="shared" si="102"/>
        <v/>
      </c>
      <c r="T1631" s="18" t="str">
        <f t="shared" ca="1" si="103"/>
        <v/>
      </c>
    </row>
    <row r="1632" spans="1:20" x14ac:dyDescent="0.35">
      <c r="A1632" s="11"/>
      <c r="B1632" s="11"/>
      <c r="C1632" s="11"/>
      <c r="D1632" s="12"/>
      <c r="E1632" s="11"/>
      <c r="F1632" s="13"/>
      <c r="G1632" s="13"/>
      <c r="H1632" s="11"/>
      <c r="I1632" s="12"/>
      <c r="J1632" s="12"/>
      <c r="K1632" s="13"/>
      <c r="L1632" s="13"/>
      <c r="M1632" s="13"/>
      <c r="N1632" s="13"/>
      <c r="O1632" s="13"/>
      <c r="P1632" s="14" t="str">
        <f t="shared" si="100"/>
        <v/>
      </c>
      <c r="Q1632" s="15" t="str">
        <f>IF(OR(J1632="",H1632=""),"",IFERROR(IF(ISNUMBER(N1632),N1632,IF(K1632&lt;N(INDEX(Platforms!$G$5:$G$14,MATCH(H1632,Lists!$A$2:$A$11,0))),N(INDEX(Platforms!$H$5:$H$14,MATCH(H1632,Lists!$A$2:$A$11,0))),MAX(N(INDEX(Platforms!$F$5:$F$14,MATCH(H1632,Lists!$A$2:$A$11,0))),N(INDEX(Platforms!$C$5:$C$14,MATCH(H1632,Lists!$A$2:$A$11,0)))*(K1632+IF(INDEX(Platforms!$E$5:$E$14,MATCH(H1632,Lists!$A$2:$A$11,0))="Yes",N(L1632),0))+N(INDEX(Platforms!$D$5:$D$14,MATCH(H1632,Lists!$A$2:$A$11,0)))))),""))</f>
        <v/>
      </c>
      <c r="R1632" s="16" t="str">
        <f t="shared" si="101"/>
        <v/>
      </c>
      <c r="S1632" s="17" t="str">
        <f t="shared" si="102"/>
        <v/>
      </c>
      <c r="T1632" s="18" t="str">
        <f t="shared" ca="1" si="103"/>
        <v/>
      </c>
    </row>
    <row r="1633" spans="1:20" x14ac:dyDescent="0.35">
      <c r="A1633" s="11"/>
      <c r="B1633" s="11"/>
      <c r="C1633" s="11"/>
      <c r="D1633" s="12"/>
      <c r="E1633" s="11"/>
      <c r="F1633" s="13"/>
      <c r="G1633" s="13"/>
      <c r="H1633" s="11"/>
      <c r="I1633" s="12"/>
      <c r="J1633" s="12"/>
      <c r="K1633" s="13"/>
      <c r="L1633" s="13"/>
      <c r="M1633" s="13"/>
      <c r="N1633" s="13"/>
      <c r="O1633" s="13"/>
      <c r="P1633" s="14" t="str">
        <f t="shared" si="100"/>
        <v/>
      </c>
      <c r="Q1633" s="15" t="str">
        <f>IF(OR(J1633="",H1633=""),"",IFERROR(IF(ISNUMBER(N1633),N1633,IF(K1633&lt;N(INDEX(Platforms!$G$5:$G$14,MATCH(H1633,Lists!$A$2:$A$11,0))),N(INDEX(Platforms!$H$5:$H$14,MATCH(H1633,Lists!$A$2:$A$11,0))),MAX(N(INDEX(Platforms!$F$5:$F$14,MATCH(H1633,Lists!$A$2:$A$11,0))),N(INDEX(Platforms!$C$5:$C$14,MATCH(H1633,Lists!$A$2:$A$11,0)))*(K1633+IF(INDEX(Platforms!$E$5:$E$14,MATCH(H1633,Lists!$A$2:$A$11,0))="Yes",N(L1633),0))+N(INDEX(Platforms!$D$5:$D$14,MATCH(H1633,Lists!$A$2:$A$11,0)))))),""))</f>
        <v/>
      </c>
      <c r="R1633" s="16" t="str">
        <f t="shared" si="101"/>
        <v/>
      </c>
      <c r="S1633" s="17" t="str">
        <f t="shared" si="102"/>
        <v/>
      </c>
      <c r="T1633" s="18" t="str">
        <f t="shared" ca="1" si="103"/>
        <v/>
      </c>
    </row>
    <row r="1634" spans="1:20" x14ac:dyDescent="0.35">
      <c r="A1634" s="11"/>
      <c r="B1634" s="11"/>
      <c r="C1634" s="11"/>
      <c r="D1634" s="12"/>
      <c r="E1634" s="11"/>
      <c r="F1634" s="13"/>
      <c r="G1634" s="13"/>
      <c r="H1634" s="11"/>
      <c r="I1634" s="12"/>
      <c r="J1634" s="12"/>
      <c r="K1634" s="13"/>
      <c r="L1634" s="13"/>
      <c r="M1634" s="13"/>
      <c r="N1634" s="13"/>
      <c r="O1634" s="13"/>
      <c r="P1634" s="14" t="str">
        <f t="shared" si="100"/>
        <v/>
      </c>
      <c r="Q1634" s="15" t="str">
        <f>IF(OR(J1634="",H1634=""),"",IFERROR(IF(ISNUMBER(N1634),N1634,IF(K1634&lt;N(INDEX(Platforms!$G$5:$G$14,MATCH(H1634,Lists!$A$2:$A$11,0))),N(INDEX(Platforms!$H$5:$H$14,MATCH(H1634,Lists!$A$2:$A$11,0))),MAX(N(INDEX(Platforms!$F$5:$F$14,MATCH(H1634,Lists!$A$2:$A$11,0))),N(INDEX(Platforms!$C$5:$C$14,MATCH(H1634,Lists!$A$2:$A$11,0)))*(K1634+IF(INDEX(Platforms!$E$5:$E$14,MATCH(H1634,Lists!$A$2:$A$11,0))="Yes",N(L1634),0))+N(INDEX(Platforms!$D$5:$D$14,MATCH(H1634,Lists!$A$2:$A$11,0)))))),""))</f>
        <v/>
      </c>
      <c r="R1634" s="16" t="str">
        <f t="shared" si="101"/>
        <v/>
      </c>
      <c r="S1634" s="17" t="str">
        <f t="shared" si="102"/>
        <v/>
      </c>
      <c r="T1634" s="18" t="str">
        <f t="shared" ca="1" si="103"/>
        <v/>
      </c>
    </row>
    <row r="1635" spans="1:20" x14ac:dyDescent="0.35">
      <c r="A1635" s="11"/>
      <c r="B1635" s="11"/>
      <c r="C1635" s="11"/>
      <c r="D1635" s="12"/>
      <c r="E1635" s="11"/>
      <c r="F1635" s="13"/>
      <c r="G1635" s="13"/>
      <c r="H1635" s="11"/>
      <c r="I1635" s="12"/>
      <c r="J1635" s="12"/>
      <c r="K1635" s="13"/>
      <c r="L1635" s="13"/>
      <c r="M1635" s="13"/>
      <c r="N1635" s="13"/>
      <c r="O1635" s="13"/>
      <c r="P1635" s="14" t="str">
        <f t="shared" si="100"/>
        <v/>
      </c>
      <c r="Q1635" s="15" t="str">
        <f>IF(OR(J1635="",H1635=""),"",IFERROR(IF(ISNUMBER(N1635),N1635,IF(K1635&lt;N(INDEX(Platforms!$G$5:$G$14,MATCH(H1635,Lists!$A$2:$A$11,0))),N(INDEX(Platforms!$H$5:$H$14,MATCH(H1635,Lists!$A$2:$A$11,0))),MAX(N(INDEX(Platforms!$F$5:$F$14,MATCH(H1635,Lists!$A$2:$A$11,0))),N(INDEX(Platforms!$C$5:$C$14,MATCH(H1635,Lists!$A$2:$A$11,0)))*(K1635+IF(INDEX(Platforms!$E$5:$E$14,MATCH(H1635,Lists!$A$2:$A$11,0))="Yes",N(L1635),0))+N(INDEX(Platforms!$D$5:$D$14,MATCH(H1635,Lists!$A$2:$A$11,0)))))),""))</f>
        <v/>
      </c>
      <c r="R1635" s="16" t="str">
        <f t="shared" si="101"/>
        <v/>
      </c>
      <c r="S1635" s="17" t="str">
        <f t="shared" si="102"/>
        <v/>
      </c>
      <c r="T1635" s="18" t="str">
        <f t="shared" ca="1" si="103"/>
        <v/>
      </c>
    </row>
    <row r="1636" spans="1:20" x14ac:dyDescent="0.35">
      <c r="A1636" s="11"/>
      <c r="B1636" s="11"/>
      <c r="C1636" s="11"/>
      <c r="D1636" s="12"/>
      <c r="E1636" s="11"/>
      <c r="F1636" s="13"/>
      <c r="G1636" s="13"/>
      <c r="H1636" s="11"/>
      <c r="I1636" s="12"/>
      <c r="J1636" s="12"/>
      <c r="K1636" s="13"/>
      <c r="L1636" s="13"/>
      <c r="M1636" s="13"/>
      <c r="N1636" s="13"/>
      <c r="O1636" s="13"/>
      <c r="P1636" s="14" t="str">
        <f t="shared" si="100"/>
        <v/>
      </c>
      <c r="Q1636" s="15" t="str">
        <f>IF(OR(J1636="",H1636=""),"",IFERROR(IF(ISNUMBER(N1636),N1636,IF(K1636&lt;N(INDEX(Platforms!$G$5:$G$14,MATCH(H1636,Lists!$A$2:$A$11,0))),N(INDEX(Platforms!$H$5:$H$14,MATCH(H1636,Lists!$A$2:$A$11,0))),MAX(N(INDEX(Platforms!$F$5:$F$14,MATCH(H1636,Lists!$A$2:$A$11,0))),N(INDEX(Platforms!$C$5:$C$14,MATCH(H1636,Lists!$A$2:$A$11,0)))*(K1636+IF(INDEX(Platforms!$E$5:$E$14,MATCH(H1636,Lists!$A$2:$A$11,0))="Yes",N(L1636),0))+N(INDEX(Platforms!$D$5:$D$14,MATCH(H1636,Lists!$A$2:$A$11,0)))))),""))</f>
        <v/>
      </c>
      <c r="R1636" s="16" t="str">
        <f t="shared" si="101"/>
        <v/>
      </c>
      <c r="S1636" s="17" t="str">
        <f t="shared" si="102"/>
        <v/>
      </c>
      <c r="T1636" s="18" t="str">
        <f t="shared" ca="1" si="103"/>
        <v/>
      </c>
    </row>
    <row r="1637" spans="1:20" x14ac:dyDescent="0.35">
      <c r="A1637" s="11"/>
      <c r="B1637" s="11"/>
      <c r="C1637" s="11"/>
      <c r="D1637" s="12"/>
      <c r="E1637" s="11"/>
      <c r="F1637" s="13"/>
      <c r="G1637" s="13"/>
      <c r="H1637" s="11"/>
      <c r="I1637" s="12"/>
      <c r="J1637" s="12"/>
      <c r="K1637" s="13"/>
      <c r="L1637" s="13"/>
      <c r="M1637" s="13"/>
      <c r="N1637" s="13"/>
      <c r="O1637" s="13"/>
      <c r="P1637" s="14" t="str">
        <f t="shared" si="100"/>
        <v/>
      </c>
      <c r="Q1637" s="15" t="str">
        <f>IF(OR(J1637="",H1637=""),"",IFERROR(IF(ISNUMBER(N1637),N1637,IF(K1637&lt;N(INDEX(Platforms!$G$5:$G$14,MATCH(H1637,Lists!$A$2:$A$11,0))),N(INDEX(Platforms!$H$5:$H$14,MATCH(H1637,Lists!$A$2:$A$11,0))),MAX(N(INDEX(Platforms!$F$5:$F$14,MATCH(H1637,Lists!$A$2:$A$11,0))),N(INDEX(Platforms!$C$5:$C$14,MATCH(H1637,Lists!$A$2:$A$11,0)))*(K1637+IF(INDEX(Platforms!$E$5:$E$14,MATCH(H1637,Lists!$A$2:$A$11,0))="Yes",N(L1637),0))+N(INDEX(Platforms!$D$5:$D$14,MATCH(H1637,Lists!$A$2:$A$11,0)))))),""))</f>
        <v/>
      </c>
      <c r="R1637" s="16" t="str">
        <f t="shared" si="101"/>
        <v/>
      </c>
      <c r="S1637" s="17" t="str">
        <f t="shared" si="102"/>
        <v/>
      </c>
      <c r="T1637" s="18" t="str">
        <f t="shared" ca="1" si="103"/>
        <v/>
      </c>
    </row>
    <row r="1638" spans="1:20" x14ac:dyDescent="0.35">
      <c r="A1638" s="11"/>
      <c r="B1638" s="11"/>
      <c r="C1638" s="11"/>
      <c r="D1638" s="12"/>
      <c r="E1638" s="11"/>
      <c r="F1638" s="13"/>
      <c r="G1638" s="13"/>
      <c r="H1638" s="11"/>
      <c r="I1638" s="12"/>
      <c r="J1638" s="12"/>
      <c r="K1638" s="13"/>
      <c r="L1638" s="13"/>
      <c r="M1638" s="13"/>
      <c r="N1638" s="13"/>
      <c r="O1638" s="13"/>
      <c r="P1638" s="14" t="str">
        <f t="shared" si="100"/>
        <v/>
      </c>
      <c r="Q1638" s="15" t="str">
        <f>IF(OR(J1638="",H1638=""),"",IFERROR(IF(ISNUMBER(N1638),N1638,IF(K1638&lt;N(INDEX(Platforms!$G$5:$G$14,MATCH(H1638,Lists!$A$2:$A$11,0))),N(INDEX(Platforms!$H$5:$H$14,MATCH(H1638,Lists!$A$2:$A$11,0))),MAX(N(INDEX(Platforms!$F$5:$F$14,MATCH(H1638,Lists!$A$2:$A$11,0))),N(INDEX(Platforms!$C$5:$C$14,MATCH(H1638,Lists!$A$2:$A$11,0)))*(K1638+IF(INDEX(Platforms!$E$5:$E$14,MATCH(H1638,Lists!$A$2:$A$11,0))="Yes",N(L1638),0))+N(INDEX(Platforms!$D$5:$D$14,MATCH(H1638,Lists!$A$2:$A$11,0)))))),""))</f>
        <v/>
      </c>
      <c r="R1638" s="16" t="str">
        <f t="shared" si="101"/>
        <v/>
      </c>
      <c r="S1638" s="17" t="str">
        <f t="shared" si="102"/>
        <v/>
      </c>
      <c r="T1638" s="18" t="str">
        <f t="shared" ca="1" si="103"/>
        <v/>
      </c>
    </row>
    <row r="1639" spans="1:20" x14ac:dyDescent="0.35">
      <c r="A1639" s="11"/>
      <c r="B1639" s="11"/>
      <c r="C1639" s="11"/>
      <c r="D1639" s="12"/>
      <c r="E1639" s="11"/>
      <c r="F1639" s="13"/>
      <c r="G1639" s="13"/>
      <c r="H1639" s="11"/>
      <c r="I1639" s="12"/>
      <c r="J1639" s="12"/>
      <c r="K1639" s="13"/>
      <c r="L1639" s="13"/>
      <c r="M1639" s="13"/>
      <c r="N1639" s="13"/>
      <c r="O1639" s="13"/>
      <c r="P1639" s="14" t="str">
        <f t="shared" si="100"/>
        <v/>
      </c>
      <c r="Q1639" s="15" t="str">
        <f>IF(OR(J1639="",H1639=""),"",IFERROR(IF(ISNUMBER(N1639),N1639,IF(K1639&lt;N(INDEX(Platforms!$G$5:$G$14,MATCH(H1639,Lists!$A$2:$A$11,0))),N(INDEX(Platforms!$H$5:$H$14,MATCH(H1639,Lists!$A$2:$A$11,0))),MAX(N(INDEX(Platforms!$F$5:$F$14,MATCH(H1639,Lists!$A$2:$A$11,0))),N(INDEX(Platforms!$C$5:$C$14,MATCH(H1639,Lists!$A$2:$A$11,0)))*(K1639+IF(INDEX(Platforms!$E$5:$E$14,MATCH(H1639,Lists!$A$2:$A$11,0))="Yes",N(L1639),0))+N(INDEX(Platforms!$D$5:$D$14,MATCH(H1639,Lists!$A$2:$A$11,0)))))),""))</f>
        <v/>
      </c>
      <c r="R1639" s="16" t="str">
        <f t="shared" si="101"/>
        <v/>
      </c>
      <c r="S1639" s="17" t="str">
        <f t="shared" si="102"/>
        <v/>
      </c>
      <c r="T1639" s="18" t="str">
        <f t="shared" ca="1" si="103"/>
        <v/>
      </c>
    </row>
    <row r="1640" spans="1:20" x14ac:dyDescent="0.35">
      <c r="A1640" s="11"/>
      <c r="B1640" s="11"/>
      <c r="C1640" s="11"/>
      <c r="D1640" s="12"/>
      <c r="E1640" s="11"/>
      <c r="F1640" s="13"/>
      <c r="G1640" s="13"/>
      <c r="H1640" s="11"/>
      <c r="I1640" s="12"/>
      <c r="J1640" s="12"/>
      <c r="K1640" s="13"/>
      <c r="L1640" s="13"/>
      <c r="M1640" s="13"/>
      <c r="N1640" s="13"/>
      <c r="O1640" s="13"/>
      <c r="P1640" s="14" t="str">
        <f t="shared" si="100"/>
        <v/>
      </c>
      <c r="Q1640" s="15" t="str">
        <f>IF(OR(J1640="",H1640=""),"",IFERROR(IF(ISNUMBER(N1640),N1640,IF(K1640&lt;N(INDEX(Platforms!$G$5:$G$14,MATCH(H1640,Lists!$A$2:$A$11,0))),N(INDEX(Platforms!$H$5:$H$14,MATCH(H1640,Lists!$A$2:$A$11,0))),MAX(N(INDEX(Platforms!$F$5:$F$14,MATCH(H1640,Lists!$A$2:$A$11,0))),N(INDEX(Platforms!$C$5:$C$14,MATCH(H1640,Lists!$A$2:$A$11,0)))*(K1640+IF(INDEX(Platforms!$E$5:$E$14,MATCH(H1640,Lists!$A$2:$A$11,0))="Yes",N(L1640),0))+N(INDEX(Platforms!$D$5:$D$14,MATCH(H1640,Lists!$A$2:$A$11,0)))))),""))</f>
        <v/>
      </c>
      <c r="R1640" s="16" t="str">
        <f t="shared" si="101"/>
        <v/>
      </c>
      <c r="S1640" s="17" t="str">
        <f t="shared" si="102"/>
        <v/>
      </c>
      <c r="T1640" s="18" t="str">
        <f t="shared" ca="1" si="103"/>
        <v/>
      </c>
    </row>
    <row r="1641" spans="1:20" x14ac:dyDescent="0.35">
      <c r="A1641" s="11"/>
      <c r="B1641" s="11"/>
      <c r="C1641" s="11"/>
      <c r="D1641" s="12"/>
      <c r="E1641" s="11"/>
      <c r="F1641" s="13"/>
      <c r="G1641" s="13"/>
      <c r="H1641" s="11"/>
      <c r="I1641" s="12"/>
      <c r="J1641" s="12"/>
      <c r="K1641" s="13"/>
      <c r="L1641" s="13"/>
      <c r="M1641" s="13"/>
      <c r="N1641" s="13"/>
      <c r="O1641" s="13"/>
      <c r="P1641" s="14" t="str">
        <f t="shared" si="100"/>
        <v/>
      </c>
      <c r="Q1641" s="15" t="str">
        <f>IF(OR(J1641="",H1641=""),"",IFERROR(IF(ISNUMBER(N1641),N1641,IF(K1641&lt;N(INDEX(Platforms!$G$5:$G$14,MATCH(H1641,Lists!$A$2:$A$11,0))),N(INDEX(Platforms!$H$5:$H$14,MATCH(H1641,Lists!$A$2:$A$11,0))),MAX(N(INDEX(Platforms!$F$5:$F$14,MATCH(H1641,Lists!$A$2:$A$11,0))),N(INDEX(Platforms!$C$5:$C$14,MATCH(H1641,Lists!$A$2:$A$11,0)))*(K1641+IF(INDEX(Platforms!$E$5:$E$14,MATCH(H1641,Lists!$A$2:$A$11,0))="Yes",N(L1641),0))+N(INDEX(Platforms!$D$5:$D$14,MATCH(H1641,Lists!$A$2:$A$11,0)))))),""))</f>
        <v/>
      </c>
      <c r="R1641" s="16" t="str">
        <f t="shared" si="101"/>
        <v/>
      </c>
      <c r="S1641" s="17" t="str">
        <f t="shared" si="102"/>
        <v/>
      </c>
      <c r="T1641" s="18" t="str">
        <f t="shared" ca="1" si="103"/>
        <v/>
      </c>
    </row>
    <row r="1642" spans="1:20" x14ac:dyDescent="0.35">
      <c r="A1642" s="11"/>
      <c r="B1642" s="11"/>
      <c r="C1642" s="11"/>
      <c r="D1642" s="12"/>
      <c r="E1642" s="11"/>
      <c r="F1642" s="13"/>
      <c r="G1642" s="13"/>
      <c r="H1642" s="11"/>
      <c r="I1642" s="12"/>
      <c r="J1642" s="12"/>
      <c r="K1642" s="13"/>
      <c r="L1642" s="13"/>
      <c r="M1642" s="13"/>
      <c r="N1642" s="13"/>
      <c r="O1642" s="13"/>
      <c r="P1642" s="14" t="str">
        <f t="shared" si="100"/>
        <v/>
      </c>
      <c r="Q1642" s="15" t="str">
        <f>IF(OR(J1642="",H1642=""),"",IFERROR(IF(ISNUMBER(N1642),N1642,IF(K1642&lt;N(INDEX(Platforms!$G$5:$G$14,MATCH(H1642,Lists!$A$2:$A$11,0))),N(INDEX(Platforms!$H$5:$H$14,MATCH(H1642,Lists!$A$2:$A$11,0))),MAX(N(INDEX(Platforms!$F$5:$F$14,MATCH(H1642,Lists!$A$2:$A$11,0))),N(INDEX(Platforms!$C$5:$C$14,MATCH(H1642,Lists!$A$2:$A$11,0)))*(K1642+IF(INDEX(Platforms!$E$5:$E$14,MATCH(H1642,Lists!$A$2:$A$11,0))="Yes",N(L1642),0))+N(INDEX(Platforms!$D$5:$D$14,MATCH(H1642,Lists!$A$2:$A$11,0)))))),""))</f>
        <v/>
      </c>
      <c r="R1642" s="16" t="str">
        <f t="shared" si="101"/>
        <v/>
      </c>
      <c r="S1642" s="17" t="str">
        <f t="shared" si="102"/>
        <v/>
      </c>
      <c r="T1642" s="18" t="str">
        <f t="shared" ca="1" si="103"/>
        <v/>
      </c>
    </row>
    <row r="1643" spans="1:20" x14ac:dyDescent="0.35">
      <c r="A1643" s="11"/>
      <c r="B1643" s="11"/>
      <c r="C1643" s="11"/>
      <c r="D1643" s="12"/>
      <c r="E1643" s="11"/>
      <c r="F1643" s="13"/>
      <c r="G1643" s="13"/>
      <c r="H1643" s="11"/>
      <c r="I1643" s="12"/>
      <c r="J1643" s="12"/>
      <c r="K1643" s="13"/>
      <c r="L1643" s="13"/>
      <c r="M1643" s="13"/>
      <c r="N1643" s="13"/>
      <c r="O1643" s="13"/>
      <c r="P1643" s="14" t="str">
        <f t="shared" si="100"/>
        <v/>
      </c>
      <c r="Q1643" s="15" t="str">
        <f>IF(OR(J1643="",H1643=""),"",IFERROR(IF(ISNUMBER(N1643),N1643,IF(K1643&lt;N(INDEX(Platforms!$G$5:$G$14,MATCH(H1643,Lists!$A$2:$A$11,0))),N(INDEX(Platforms!$H$5:$H$14,MATCH(H1643,Lists!$A$2:$A$11,0))),MAX(N(INDEX(Platforms!$F$5:$F$14,MATCH(H1643,Lists!$A$2:$A$11,0))),N(INDEX(Platforms!$C$5:$C$14,MATCH(H1643,Lists!$A$2:$A$11,0)))*(K1643+IF(INDEX(Platforms!$E$5:$E$14,MATCH(H1643,Lists!$A$2:$A$11,0))="Yes",N(L1643),0))+N(INDEX(Platforms!$D$5:$D$14,MATCH(H1643,Lists!$A$2:$A$11,0)))))),""))</f>
        <v/>
      </c>
      <c r="R1643" s="16" t="str">
        <f t="shared" si="101"/>
        <v/>
      </c>
      <c r="S1643" s="17" t="str">
        <f t="shared" si="102"/>
        <v/>
      </c>
      <c r="T1643" s="18" t="str">
        <f t="shared" ca="1" si="103"/>
        <v/>
      </c>
    </row>
    <row r="1644" spans="1:20" x14ac:dyDescent="0.35">
      <c r="A1644" s="11"/>
      <c r="B1644" s="11"/>
      <c r="C1644" s="11"/>
      <c r="D1644" s="12"/>
      <c r="E1644" s="11"/>
      <c r="F1644" s="13"/>
      <c r="G1644" s="13"/>
      <c r="H1644" s="11"/>
      <c r="I1644" s="12"/>
      <c r="J1644" s="12"/>
      <c r="K1644" s="13"/>
      <c r="L1644" s="13"/>
      <c r="M1644" s="13"/>
      <c r="N1644" s="13"/>
      <c r="O1644" s="13"/>
      <c r="P1644" s="14" t="str">
        <f t="shared" si="100"/>
        <v/>
      </c>
      <c r="Q1644" s="15" t="str">
        <f>IF(OR(J1644="",H1644=""),"",IFERROR(IF(ISNUMBER(N1644),N1644,IF(K1644&lt;N(INDEX(Platforms!$G$5:$G$14,MATCH(H1644,Lists!$A$2:$A$11,0))),N(INDEX(Platforms!$H$5:$H$14,MATCH(H1644,Lists!$A$2:$A$11,0))),MAX(N(INDEX(Platforms!$F$5:$F$14,MATCH(H1644,Lists!$A$2:$A$11,0))),N(INDEX(Platforms!$C$5:$C$14,MATCH(H1644,Lists!$A$2:$A$11,0)))*(K1644+IF(INDEX(Platforms!$E$5:$E$14,MATCH(H1644,Lists!$A$2:$A$11,0))="Yes",N(L1644),0))+N(INDEX(Platforms!$D$5:$D$14,MATCH(H1644,Lists!$A$2:$A$11,0)))))),""))</f>
        <v/>
      </c>
      <c r="R1644" s="16" t="str">
        <f t="shared" si="101"/>
        <v/>
      </c>
      <c r="S1644" s="17" t="str">
        <f t="shared" si="102"/>
        <v/>
      </c>
      <c r="T1644" s="18" t="str">
        <f t="shared" ca="1" si="103"/>
        <v/>
      </c>
    </row>
    <row r="1645" spans="1:20" x14ac:dyDescent="0.35">
      <c r="A1645" s="11"/>
      <c r="B1645" s="11"/>
      <c r="C1645" s="11"/>
      <c r="D1645" s="12"/>
      <c r="E1645" s="11"/>
      <c r="F1645" s="13"/>
      <c r="G1645" s="13"/>
      <c r="H1645" s="11"/>
      <c r="I1645" s="12"/>
      <c r="J1645" s="12"/>
      <c r="K1645" s="13"/>
      <c r="L1645" s="13"/>
      <c r="M1645" s="13"/>
      <c r="N1645" s="13"/>
      <c r="O1645" s="13"/>
      <c r="P1645" s="14" t="str">
        <f t="shared" si="100"/>
        <v/>
      </c>
      <c r="Q1645" s="15" t="str">
        <f>IF(OR(J1645="",H1645=""),"",IFERROR(IF(ISNUMBER(N1645),N1645,IF(K1645&lt;N(INDEX(Platforms!$G$5:$G$14,MATCH(H1645,Lists!$A$2:$A$11,0))),N(INDEX(Platforms!$H$5:$H$14,MATCH(H1645,Lists!$A$2:$A$11,0))),MAX(N(INDEX(Platforms!$F$5:$F$14,MATCH(H1645,Lists!$A$2:$A$11,0))),N(INDEX(Platforms!$C$5:$C$14,MATCH(H1645,Lists!$A$2:$A$11,0)))*(K1645+IF(INDEX(Platforms!$E$5:$E$14,MATCH(H1645,Lists!$A$2:$A$11,0))="Yes",N(L1645),0))+N(INDEX(Platforms!$D$5:$D$14,MATCH(H1645,Lists!$A$2:$A$11,0)))))),""))</f>
        <v/>
      </c>
      <c r="R1645" s="16" t="str">
        <f t="shared" si="101"/>
        <v/>
      </c>
      <c r="S1645" s="17" t="str">
        <f t="shared" si="102"/>
        <v/>
      </c>
      <c r="T1645" s="18" t="str">
        <f t="shared" ca="1" si="103"/>
        <v/>
      </c>
    </row>
    <row r="1646" spans="1:20" x14ac:dyDescent="0.35">
      <c r="A1646" s="11"/>
      <c r="B1646" s="11"/>
      <c r="C1646" s="11"/>
      <c r="D1646" s="12"/>
      <c r="E1646" s="11"/>
      <c r="F1646" s="13"/>
      <c r="G1646" s="13"/>
      <c r="H1646" s="11"/>
      <c r="I1646" s="12"/>
      <c r="J1646" s="12"/>
      <c r="K1646" s="13"/>
      <c r="L1646" s="13"/>
      <c r="M1646" s="13"/>
      <c r="N1646" s="13"/>
      <c r="O1646" s="13"/>
      <c r="P1646" s="14" t="str">
        <f t="shared" si="100"/>
        <v/>
      </c>
      <c r="Q1646" s="15" t="str">
        <f>IF(OR(J1646="",H1646=""),"",IFERROR(IF(ISNUMBER(N1646),N1646,IF(K1646&lt;N(INDEX(Platforms!$G$5:$G$14,MATCH(H1646,Lists!$A$2:$A$11,0))),N(INDEX(Platforms!$H$5:$H$14,MATCH(H1646,Lists!$A$2:$A$11,0))),MAX(N(INDEX(Platforms!$F$5:$F$14,MATCH(H1646,Lists!$A$2:$A$11,0))),N(INDEX(Platforms!$C$5:$C$14,MATCH(H1646,Lists!$A$2:$A$11,0)))*(K1646+IF(INDEX(Platforms!$E$5:$E$14,MATCH(H1646,Lists!$A$2:$A$11,0))="Yes",N(L1646),0))+N(INDEX(Platforms!$D$5:$D$14,MATCH(H1646,Lists!$A$2:$A$11,0)))))),""))</f>
        <v/>
      </c>
      <c r="R1646" s="16" t="str">
        <f t="shared" si="101"/>
        <v/>
      </c>
      <c r="S1646" s="17" t="str">
        <f t="shared" si="102"/>
        <v/>
      </c>
      <c r="T1646" s="18" t="str">
        <f t="shared" ca="1" si="103"/>
        <v/>
      </c>
    </row>
    <row r="1647" spans="1:20" x14ac:dyDescent="0.35">
      <c r="A1647" s="11"/>
      <c r="B1647" s="11"/>
      <c r="C1647" s="11"/>
      <c r="D1647" s="12"/>
      <c r="E1647" s="11"/>
      <c r="F1647" s="13"/>
      <c r="G1647" s="13"/>
      <c r="H1647" s="11"/>
      <c r="I1647" s="12"/>
      <c r="J1647" s="12"/>
      <c r="K1647" s="13"/>
      <c r="L1647" s="13"/>
      <c r="M1647" s="13"/>
      <c r="N1647" s="13"/>
      <c r="O1647" s="13"/>
      <c r="P1647" s="14" t="str">
        <f t="shared" si="100"/>
        <v/>
      </c>
      <c r="Q1647" s="15" t="str">
        <f>IF(OR(J1647="",H1647=""),"",IFERROR(IF(ISNUMBER(N1647),N1647,IF(K1647&lt;N(INDEX(Platforms!$G$5:$G$14,MATCH(H1647,Lists!$A$2:$A$11,0))),N(INDEX(Platforms!$H$5:$H$14,MATCH(H1647,Lists!$A$2:$A$11,0))),MAX(N(INDEX(Platforms!$F$5:$F$14,MATCH(H1647,Lists!$A$2:$A$11,0))),N(INDEX(Platforms!$C$5:$C$14,MATCH(H1647,Lists!$A$2:$A$11,0)))*(K1647+IF(INDEX(Platforms!$E$5:$E$14,MATCH(H1647,Lists!$A$2:$A$11,0))="Yes",N(L1647),0))+N(INDEX(Platforms!$D$5:$D$14,MATCH(H1647,Lists!$A$2:$A$11,0)))))),""))</f>
        <v/>
      </c>
      <c r="R1647" s="16" t="str">
        <f t="shared" si="101"/>
        <v/>
      </c>
      <c r="S1647" s="17" t="str">
        <f t="shared" si="102"/>
        <v/>
      </c>
      <c r="T1647" s="18" t="str">
        <f t="shared" ca="1" si="103"/>
        <v/>
      </c>
    </row>
    <row r="1648" spans="1:20" x14ac:dyDescent="0.35">
      <c r="A1648" s="11"/>
      <c r="B1648" s="11"/>
      <c r="C1648" s="11"/>
      <c r="D1648" s="12"/>
      <c r="E1648" s="11"/>
      <c r="F1648" s="13"/>
      <c r="G1648" s="13"/>
      <c r="H1648" s="11"/>
      <c r="I1648" s="12"/>
      <c r="J1648" s="12"/>
      <c r="K1648" s="13"/>
      <c r="L1648" s="13"/>
      <c r="M1648" s="13"/>
      <c r="N1648" s="13"/>
      <c r="O1648" s="13"/>
      <c r="P1648" s="14" t="str">
        <f t="shared" si="100"/>
        <v/>
      </c>
      <c r="Q1648" s="15" t="str">
        <f>IF(OR(J1648="",H1648=""),"",IFERROR(IF(ISNUMBER(N1648),N1648,IF(K1648&lt;N(INDEX(Platforms!$G$5:$G$14,MATCH(H1648,Lists!$A$2:$A$11,0))),N(INDEX(Platforms!$H$5:$H$14,MATCH(H1648,Lists!$A$2:$A$11,0))),MAX(N(INDEX(Platforms!$F$5:$F$14,MATCH(H1648,Lists!$A$2:$A$11,0))),N(INDEX(Platforms!$C$5:$C$14,MATCH(H1648,Lists!$A$2:$A$11,0)))*(K1648+IF(INDEX(Platforms!$E$5:$E$14,MATCH(H1648,Lists!$A$2:$A$11,0))="Yes",N(L1648),0))+N(INDEX(Platforms!$D$5:$D$14,MATCH(H1648,Lists!$A$2:$A$11,0)))))),""))</f>
        <v/>
      </c>
      <c r="R1648" s="16" t="str">
        <f t="shared" si="101"/>
        <v/>
      </c>
      <c r="S1648" s="17" t="str">
        <f t="shared" si="102"/>
        <v/>
      </c>
      <c r="T1648" s="18" t="str">
        <f t="shared" ca="1" si="103"/>
        <v/>
      </c>
    </row>
    <row r="1649" spans="1:20" x14ac:dyDescent="0.35">
      <c r="A1649" s="11"/>
      <c r="B1649" s="11"/>
      <c r="C1649" s="11"/>
      <c r="D1649" s="12"/>
      <c r="E1649" s="11"/>
      <c r="F1649" s="13"/>
      <c r="G1649" s="13"/>
      <c r="H1649" s="11"/>
      <c r="I1649" s="12"/>
      <c r="J1649" s="12"/>
      <c r="K1649" s="13"/>
      <c r="L1649" s="13"/>
      <c r="M1649" s="13"/>
      <c r="N1649" s="13"/>
      <c r="O1649" s="13"/>
      <c r="P1649" s="14" t="str">
        <f t="shared" si="100"/>
        <v/>
      </c>
      <c r="Q1649" s="15" t="str">
        <f>IF(OR(J1649="",H1649=""),"",IFERROR(IF(ISNUMBER(N1649),N1649,IF(K1649&lt;N(INDEX(Platforms!$G$5:$G$14,MATCH(H1649,Lists!$A$2:$A$11,0))),N(INDEX(Platforms!$H$5:$H$14,MATCH(H1649,Lists!$A$2:$A$11,0))),MAX(N(INDEX(Platforms!$F$5:$F$14,MATCH(H1649,Lists!$A$2:$A$11,0))),N(INDEX(Platforms!$C$5:$C$14,MATCH(H1649,Lists!$A$2:$A$11,0)))*(K1649+IF(INDEX(Platforms!$E$5:$E$14,MATCH(H1649,Lists!$A$2:$A$11,0))="Yes",N(L1649),0))+N(INDEX(Platforms!$D$5:$D$14,MATCH(H1649,Lists!$A$2:$A$11,0)))))),""))</f>
        <v/>
      </c>
      <c r="R1649" s="16" t="str">
        <f t="shared" si="101"/>
        <v/>
      </c>
      <c r="S1649" s="17" t="str">
        <f t="shared" si="102"/>
        <v/>
      </c>
      <c r="T1649" s="18" t="str">
        <f t="shared" ca="1" si="103"/>
        <v/>
      </c>
    </row>
    <row r="1650" spans="1:20" x14ac:dyDescent="0.35">
      <c r="A1650" s="11"/>
      <c r="B1650" s="11"/>
      <c r="C1650" s="11"/>
      <c r="D1650" s="12"/>
      <c r="E1650" s="11"/>
      <c r="F1650" s="13"/>
      <c r="G1650" s="13"/>
      <c r="H1650" s="11"/>
      <c r="I1650" s="12"/>
      <c r="J1650" s="12"/>
      <c r="K1650" s="13"/>
      <c r="L1650" s="13"/>
      <c r="M1650" s="13"/>
      <c r="N1650" s="13"/>
      <c r="O1650" s="13"/>
      <c r="P1650" s="14" t="str">
        <f t="shared" si="100"/>
        <v/>
      </c>
      <c r="Q1650" s="15" t="str">
        <f>IF(OR(J1650="",H1650=""),"",IFERROR(IF(ISNUMBER(N1650),N1650,IF(K1650&lt;N(INDEX(Platforms!$G$5:$G$14,MATCH(H1650,Lists!$A$2:$A$11,0))),N(INDEX(Platforms!$H$5:$H$14,MATCH(H1650,Lists!$A$2:$A$11,0))),MAX(N(INDEX(Platforms!$F$5:$F$14,MATCH(H1650,Lists!$A$2:$A$11,0))),N(INDEX(Platforms!$C$5:$C$14,MATCH(H1650,Lists!$A$2:$A$11,0)))*(K1650+IF(INDEX(Platforms!$E$5:$E$14,MATCH(H1650,Lists!$A$2:$A$11,0))="Yes",N(L1650),0))+N(INDEX(Platforms!$D$5:$D$14,MATCH(H1650,Lists!$A$2:$A$11,0)))))),""))</f>
        <v/>
      </c>
      <c r="R1650" s="16" t="str">
        <f t="shared" si="101"/>
        <v/>
      </c>
      <c r="S1650" s="17" t="str">
        <f t="shared" si="102"/>
        <v/>
      </c>
      <c r="T1650" s="18" t="str">
        <f t="shared" ca="1" si="103"/>
        <v/>
      </c>
    </row>
    <row r="1651" spans="1:20" x14ac:dyDescent="0.35">
      <c r="A1651" s="11"/>
      <c r="B1651" s="11"/>
      <c r="C1651" s="11"/>
      <c r="D1651" s="12"/>
      <c r="E1651" s="11"/>
      <c r="F1651" s="13"/>
      <c r="G1651" s="13"/>
      <c r="H1651" s="11"/>
      <c r="I1651" s="12"/>
      <c r="J1651" s="12"/>
      <c r="K1651" s="13"/>
      <c r="L1651" s="13"/>
      <c r="M1651" s="13"/>
      <c r="N1651" s="13"/>
      <c r="O1651" s="13"/>
      <c r="P1651" s="14" t="str">
        <f t="shared" si="100"/>
        <v/>
      </c>
      <c r="Q1651" s="15" t="str">
        <f>IF(OR(J1651="",H1651=""),"",IFERROR(IF(ISNUMBER(N1651),N1651,IF(K1651&lt;N(INDEX(Platforms!$G$5:$G$14,MATCH(H1651,Lists!$A$2:$A$11,0))),N(INDEX(Platforms!$H$5:$H$14,MATCH(H1651,Lists!$A$2:$A$11,0))),MAX(N(INDEX(Platforms!$F$5:$F$14,MATCH(H1651,Lists!$A$2:$A$11,0))),N(INDEX(Platforms!$C$5:$C$14,MATCH(H1651,Lists!$A$2:$A$11,0)))*(K1651+IF(INDEX(Platforms!$E$5:$E$14,MATCH(H1651,Lists!$A$2:$A$11,0))="Yes",N(L1651),0))+N(INDEX(Platforms!$D$5:$D$14,MATCH(H1651,Lists!$A$2:$A$11,0)))))),""))</f>
        <v/>
      </c>
      <c r="R1651" s="16" t="str">
        <f t="shared" si="101"/>
        <v/>
      </c>
      <c r="S1651" s="17" t="str">
        <f t="shared" si="102"/>
        <v/>
      </c>
      <c r="T1651" s="18" t="str">
        <f t="shared" ca="1" si="103"/>
        <v/>
      </c>
    </row>
    <row r="1652" spans="1:20" x14ac:dyDescent="0.35">
      <c r="A1652" s="11"/>
      <c r="B1652" s="11"/>
      <c r="C1652" s="11"/>
      <c r="D1652" s="12"/>
      <c r="E1652" s="11"/>
      <c r="F1652" s="13"/>
      <c r="G1652" s="13"/>
      <c r="H1652" s="11"/>
      <c r="I1652" s="12"/>
      <c r="J1652" s="12"/>
      <c r="K1652" s="13"/>
      <c r="L1652" s="13"/>
      <c r="M1652" s="13"/>
      <c r="N1652" s="13"/>
      <c r="O1652" s="13"/>
      <c r="P1652" s="14" t="str">
        <f t="shared" si="100"/>
        <v/>
      </c>
      <c r="Q1652" s="15" t="str">
        <f>IF(OR(J1652="",H1652=""),"",IFERROR(IF(ISNUMBER(N1652),N1652,IF(K1652&lt;N(INDEX(Platforms!$G$5:$G$14,MATCH(H1652,Lists!$A$2:$A$11,0))),N(INDEX(Platforms!$H$5:$H$14,MATCH(H1652,Lists!$A$2:$A$11,0))),MAX(N(INDEX(Platforms!$F$5:$F$14,MATCH(H1652,Lists!$A$2:$A$11,0))),N(INDEX(Platforms!$C$5:$C$14,MATCH(H1652,Lists!$A$2:$A$11,0)))*(K1652+IF(INDEX(Platforms!$E$5:$E$14,MATCH(H1652,Lists!$A$2:$A$11,0))="Yes",N(L1652),0))+N(INDEX(Platforms!$D$5:$D$14,MATCH(H1652,Lists!$A$2:$A$11,0)))))),""))</f>
        <v/>
      </c>
      <c r="R1652" s="16" t="str">
        <f t="shared" si="101"/>
        <v/>
      </c>
      <c r="S1652" s="17" t="str">
        <f t="shared" si="102"/>
        <v/>
      </c>
      <c r="T1652" s="18" t="str">
        <f t="shared" ca="1" si="103"/>
        <v/>
      </c>
    </row>
    <row r="1653" spans="1:20" x14ac:dyDescent="0.35">
      <c r="A1653" s="11"/>
      <c r="B1653" s="11"/>
      <c r="C1653" s="11"/>
      <c r="D1653" s="12"/>
      <c r="E1653" s="11"/>
      <c r="F1653" s="13"/>
      <c r="G1653" s="13"/>
      <c r="H1653" s="11"/>
      <c r="I1653" s="12"/>
      <c r="J1653" s="12"/>
      <c r="K1653" s="13"/>
      <c r="L1653" s="13"/>
      <c r="M1653" s="13"/>
      <c r="N1653" s="13"/>
      <c r="O1653" s="13"/>
      <c r="P1653" s="14" t="str">
        <f t="shared" si="100"/>
        <v/>
      </c>
      <c r="Q1653" s="15" t="str">
        <f>IF(OR(J1653="",H1653=""),"",IFERROR(IF(ISNUMBER(N1653),N1653,IF(K1653&lt;N(INDEX(Platforms!$G$5:$G$14,MATCH(H1653,Lists!$A$2:$A$11,0))),N(INDEX(Platforms!$H$5:$H$14,MATCH(H1653,Lists!$A$2:$A$11,0))),MAX(N(INDEX(Platforms!$F$5:$F$14,MATCH(H1653,Lists!$A$2:$A$11,0))),N(INDEX(Platforms!$C$5:$C$14,MATCH(H1653,Lists!$A$2:$A$11,0)))*(K1653+IF(INDEX(Platforms!$E$5:$E$14,MATCH(H1653,Lists!$A$2:$A$11,0))="Yes",N(L1653),0))+N(INDEX(Platforms!$D$5:$D$14,MATCH(H1653,Lists!$A$2:$A$11,0)))))),""))</f>
        <v/>
      </c>
      <c r="R1653" s="16" t="str">
        <f t="shared" si="101"/>
        <v/>
      </c>
      <c r="S1653" s="17" t="str">
        <f t="shared" si="102"/>
        <v/>
      </c>
      <c r="T1653" s="18" t="str">
        <f t="shared" ca="1" si="103"/>
        <v/>
      </c>
    </row>
    <row r="1654" spans="1:20" x14ac:dyDescent="0.35">
      <c r="A1654" s="11"/>
      <c r="B1654" s="11"/>
      <c r="C1654" s="11"/>
      <c r="D1654" s="12"/>
      <c r="E1654" s="11"/>
      <c r="F1654" s="13"/>
      <c r="G1654" s="13"/>
      <c r="H1654" s="11"/>
      <c r="I1654" s="12"/>
      <c r="J1654" s="12"/>
      <c r="K1654" s="13"/>
      <c r="L1654" s="13"/>
      <c r="M1654" s="13"/>
      <c r="N1654" s="13"/>
      <c r="O1654" s="13"/>
      <c r="P1654" s="14" t="str">
        <f t="shared" si="100"/>
        <v/>
      </c>
      <c r="Q1654" s="15" t="str">
        <f>IF(OR(J1654="",H1654=""),"",IFERROR(IF(ISNUMBER(N1654),N1654,IF(K1654&lt;N(INDEX(Platforms!$G$5:$G$14,MATCH(H1654,Lists!$A$2:$A$11,0))),N(INDEX(Platforms!$H$5:$H$14,MATCH(H1654,Lists!$A$2:$A$11,0))),MAX(N(INDEX(Platforms!$F$5:$F$14,MATCH(H1654,Lists!$A$2:$A$11,0))),N(INDEX(Platforms!$C$5:$C$14,MATCH(H1654,Lists!$A$2:$A$11,0)))*(K1654+IF(INDEX(Platforms!$E$5:$E$14,MATCH(H1654,Lists!$A$2:$A$11,0))="Yes",N(L1654),0))+N(INDEX(Platforms!$D$5:$D$14,MATCH(H1654,Lists!$A$2:$A$11,0)))))),""))</f>
        <v/>
      </c>
      <c r="R1654" s="16" t="str">
        <f t="shared" si="101"/>
        <v/>
      </c>
      <c r="S1654" s="17" t="str">
        <f t="shared" si="102"/>
        <v/>
      </c>
      <c r="T1654" s="18" t="str">
        <f t="shared" ca="1" si="103"/>
        <v/>
      </c>
    </row>
    <row r="1655" spans="1:20" x14ac:dyDescent="0.35">
      <c r="A1655" s="11"/>
      <c r="B1655" s="11"/>
      <c r="C1655" s="11"/>
      <c r="D1655" s="12"/>
      <c r="E1655" s="11"/>
      <c r="F1655" s="13"/>
      <c r="G1655" s="13"/>
      <c r="H1655" s="11"/>
      <c r="I1655" s="12"/>
      <c r="J1655" s="12"/>
      <c r="K1655" s="13"/>
      <c r="L1655" s="13"/>
      <c r="M1655" s="13"/>
      <c r="N1655" s="13"/>
      <c r="O1655" s="13"/>
      <c r="P1655" s="14" t="str">
        <f t="shared" si="100"/>
        <v/>
      </c>
      <c r="Q1655" s="15" t="str">
        <f>IF(OR(J1655="",H1655=""),"",IFERROR(IF(ISNUMBER(N1655),N1655,IF(K1655&lt;N(INDEX(Platforms!$G$5:$G$14,MATCH(H1655,Lists!$A$2:$A$11,0))),N(INDEX(Platforms!$H$5:$H$14,MATCH(H1655,Lists!$A$2:$A$11,0))),MAX(N(INDEX(Platforms!$F$5:$F$14,MATCH(H1655,Lists!$A$2:$A$11,0))),N(INDEX(Platforms!$C$5:$C$14,MATCH(H1655,Lists!$A$2:$A$11,0)))*(K1655+IF(INDEX(Platforms!$E$5:$E$14,MATCH(H1655,Lists!$A$2:$A$11,0))="Yes",N(L1655),0))+N(INDEX(Platforms!$D$5:$D$14,MATCH(H1655,Lists!$A$2:$A$11,0)))))),""))</f>
        <v/>
      </c>
      <c r="R1655" s="16" t="str">
        <f t="shared" si="101"/>
        <v/>
      </c>
      <c r="S1655" s="17" t="str">
        <f t="shared" si="102"/>
        <v/>
      </c>
      <c r="T1655" s="18" t="str">
        <f t="shared" ca="1" si="103"/>
        <v/>
      </c>
    </row>
    <row r="1656" spans="1:20" x14ac:dyDescent="0.35">
      <c r="A1656" s="11"/>
      <c r="B1656" s="11"/>
      <c r="C1656" s="11"/>
      <c r="D1656" s="12"/>
      <c r="E1656" s="11"/>
      <c r="F1656" s="13"/>
      <c r="G1656" s="13"/>
      <c r="H1656" s="11"/>
      <c r="I1656" s="12"/>
      <c r="J1656" s="12"/>
      <c r="K1656" s="13"/>
      <c r="L1656" s="13"/>
      <c r="M1656" s="13"/>
      <c r="N1656" s="13"/>
      <c r="O1656" s="13"/>
      <c r="P1656" s="14" t="str">
        <f t="shared" si="100"/>
        <v/>
      </c>
      <c r="Q1656" s="15" t="str">
        <f>IF(OR(J1656="",H1656=""),"",IFERROR(IF(ISNUMBER(N1656),N1656,IF(K1656&lt;N(INDEX(Platforms!$G$5:$G$14,MATCH(H1656,Lists!$A$2:$A$11,0))),N(INDEX(Platforms!$H$5:$H$14,MATCH(H1656,Lists!$A$2:$A$11,0))),MAX(N(INDEX(Platforms!$F$5:$F$14,MATCH(H1656,Lists!$A$2:$A$11,0))),N(INDEX(Platforms!$C$5:$C$14,MATCH(H1656,Lists!$A$2:$A$11,0)))*(K1656+IF(INDEX(Platforms!$E$5:$E$14,MATCH(H1656,Lists!$A$2:$A$11,0))="Yes",N(L1656),0))+N(INDEX(Platforms!$D$5:$D$14,MATCH(H1656,Lists!$A$2:$A$11,0)))))),""))</f>
        <v/>
      </c>
      <c r="R1656" s="16" t="str">
        <f t="shared" si="101"/>
        <v/>
      </c>
      <c r="S1656" s="17" t="str">
        <f t="shared" si="102"/>
        <v/>
      </c>
      <c r="T1656" s="18" t="str">
        <f t="shared" ca="1" si="103"/>
        <v/>
      </c>
    </row>
    <row r="1657" spans="1:20" x14ac:dyDescent="0.35">
      <c r="A1657" s="11"/>
      <c r="B1657" s="11"/>
      <c r="C1657" s="11"/>
      <c r="D1657" s="12"/>
      <c r="E1657" s="11"/>
      <c r="F1657" s="13"/>
      <c r="G1657" s="13"/>
      <c r="H1657" s="11"/>
      <c r="I1657" s="12"/>
      <c r="J1657" s="12"/>
      <c r="K1657" s="13"/>
      <c r="L1657" s="13"/>
      <c r="M1657" s="13"/>
      <c r="N1657" s="13"/>
      <c r="O1657" s="13"/>
      <c r="P1657" s="14" t="str">
        <f t="shared" si="100"/>
        <v/>
      </c>
      <c r="Q1657" s="15" t="str">
        <f>IF(OR(J1657="",H1657=""),"",IFERROR(IF(ISNUMBER(N1657),N1657,IF(K1657&lt;N(INDEX(Platforms!$G$5:$G$14,MATCH(H1657,Lists!$A$2:$A$11,0))),N(INDEX(Platforms!$H$5:$H$14,MATCH(H1657,Lists!$A$2:$A$11,0))),MAX(N(INDEX(Platforms!$F$5:$F$14,MATCH(H1657,Lists!$A$2:$A$11,0))),N(INDEX(Platforms!$C$5:$C$14,MATCH(H1657,Lists!$A$2:$A$11,0)))*(K1657+IF(INDEX(Platforms!$E$5:$E$14,MATCH(H1657,Lists!$A$2:$A$11,0))="Yes",N(L1657),0))+N(INDEX(Platforms!$D$5:$D$14,MATCH(H1657,Lists!$A$2:$A$11,0)))))),""))</f>
        <v/>
      </c>
      <c r="R1657" s="16" t="str">
        <f t="shared" si="101"/>
        <v/>
      </c>
      <c r="S1657" s="17" t="str">
        <f t="shared" si="102"/>
        <v/>
      </c>
      <c r="T1657" s="18" t="str">
        <f t="shared" ca="1" si="103"/>
        <v/>
      </c>
    </row>
    <row r="1658" spans="1:20" x14ac:dyDescent="0.35">
      <c r="A1658" s="11"/>
      <c r="B1658" s="11"/>
      <c r="C1658" s="11"/>
      <c r="D1658" s="12"/>
      <c r="E1658" s="11"/>
      <c r="F1658" s="13"/>
      <c r="G1658" s="13"/>
      <c r="H1658" s="11"/>
      <c r="I1658" s="12"/>
      <c r="J1658" s="12"/>
      <c r="K1658" s="13"/>
      <c r="L1658" s="13"/>
      <c r="M1658" s="13"/>
      <c r="N1658" s="13"/>
      <c r="O1658" s="13"/>
      <c r="P1658" s="14" t="str">
        <f t="shared" si="100"/>
        <v/>
      </c>
      <c r="Q1658" s="15" t="str">
        <f>IF(OR(J1658="",H1658=""),"",IFERROR(IF(ISNUMBER(N1658),N1658,IF(K1658&lt;N(INDEX(Platforms!$G$5:$G$14,MATCH(H1658,Lists!$A$2:$A$11,0))),N(INDEX(Platforms!$H$5:$H$14,MATCH(H1658,Lists!$A$2:$A$11,0))),MAX(N(INDEX(Platforms!$F$5:$F$14,MATCH(H1658,Lists!$A$2:$A$11,0))),N(INDEX(Platforms!$C$5:$C$14,MATCH(H1658,Lists!$A$2:$A$11,0)))*(K1658+IF(INDEX(Platforms!$E$5:$E$14,MATCH(H1658,Lists!$A$2:$A$11,0))="Yes",N(L1658),0))+N(INDEX(Platforms!$D$5:$D$14,MATCH(H1658,Lists!$A$2:$A$11,0)))))),""))</f>
        <v/>
      </c>
      <c r="R1658" s="16" t="str">
        <f t="shared" si="101"/>
        <v/>
      </c>
      <c r="S1658" s="17" t="str">
        <f t="shared" si="102"/>
        <v/>
      </c>
      <c r="T1658" s="18" t="str">
        <f t="shared" ca="1" si="103"/>
        <v/>
      </c>
    </row>
    <row r="1659" spans="1:20" x14ac:dyDescent="0.35">
      <c r="A1659" s="11"/>
      <c r="B1659" s="11"/>
      <c r="C1659" s="11"/>
      <c r="D1659" s="12"/>
      <c r="E1659" s="11"/>
      <c r="F1659" s="13"/>
      <c r="G1659" s="13"/>
      <c r="H1659" s="11"/>
      <c r="I1659" s="12"/>
      <c r="J1659" s="12"/>
      <c r="K1659" s="13"/>
      <c r="L1659" s="13"/>
      <c r="M1659" s="13"/>
      <c r="N1659" s="13"/>
      <c r="O1659" s="13"/>
      <c r="P1659" s="14" t="str">
        <f t="shared" si="100"/>
        <v/>
      </c>
      <c r="Q1659" s="15" t="str">
        <f>IF(OR(J1659="",H1659=""),"",IFERROR(IF(ISNUMBER(N1659),N1659,IF(K1659&lt;N(INDEX(Platforms!$G$5:$G$14,MATCH(H1659,Lists!$A$2:$A$11,0))),N(INDEX(Platforms!$H$5:$H$14,MATCH(H1659,Lists!$A$2:$A$11,0))),MAX(N(INDEX(Platforms!$F$5:$F$14,MATCH(H1659,Lists!$A$2:$A$11,0))),N(INDEX(Platforms!$C$5:$C$14,MATCH(H1659,Lists!$A$2:$A$11,0)))*(K1659+IF(INDEX(Platforms!$E$5:$E$14,MATCH(H1659,Lists!$A$2:$A$11,0))="Yes",N(L1659),0))+N(INDEX(Platforms!$D$5:$D$14,MATCH(H1659,Lists!$A$2:$A$11,0)))))),""))</f>
        <v/>
      </c>
      <c r="R1659" s="16" t="str">
        <f t="shared" si="101"/>
        <v/>
      </c>
      <c r="S1659" s="17" t="str">
        <f t="shared" si="102"/>
        <v/>
      </c>
      <c r="T1659" s="18" t="str">
        <f t="shared" ca="1" si="103"/>
        <v/>
      </c>
    </row>
    <row r="1660" spans="1:20" x14ac:dyDescent="0.35">
      <c r="A1660" s="11"/>
      <c r="B1660" s="11"/>
      <c r="C1660" s="11"/>
      <c r="D1660" s="12"/>
      <c r="E1660" s="11"/>
      <c r="F1660" s="13"/>
      <c r="G1660" s="13"/>
      <c r="H1660" s="11"/>
      <c r="I1660" s="12"/>
      <c r="J1660" s="12"/>
      <c r="K1660" s="13"/>
      <c r="L1660" s="13"/>
      <c r="M1660" s="13"/>
      <c r="N1660" s="13"/>
      <c r="O1660" s="13"/>
      <c r="P1660" s="14" t="str">
        <f t="shared" si="100"/>
        <v/>
      </c>
      <c r="Q1660" s="15" t="str">
        <f>IF(OR(J1660="",H1660=""),"",IFERROR(IF(ISNUMBER(N1660),N1660,IF(K1660&lt;N(INDEX(Platforms!$G$5:$G$14,MATCH(H1660,Lists!$A$2:$A$11,0))),N(INDEX(Platforms!$H$5:$H$14,MATCH(H1660,Lists!$A$2:$A$11,0))),MAX(N(INDEX(Platforms!$F$5:$F$14,MATCH(H1660,Lists!$A$2:$A$11,0))),N(INDEX(Platforms!$C$5:$C$14,MATCH(H1660,Lists!$A$2:$A$11,0)))*(K1660+IF(INDEX(Platforms!$E$5:$E$14,MATCH(H1660,Lists!$A$2:$A$11,0))="Yes",N(L1660),0))+N(INDEX(Platforms!$D$5:$D$14,MATCH(H1660,Lists!$A$2:$A$11,0)))))),""))</f>
        <v/>
      </c>
      <c r="R1660" s="16" t="str">
        <f t="shared" si="101"/>
        <v/>
      </c>
      <c r="S1660" s="17" t="str">
        <f t="shared" si="102"/>
        <v/>
      </c>
      <c r="T1660" s="18" t="str">
        <f t="shared" ca="1" si="103"/>
        <v/>
      </c>
    </row>
    <row r="1661" spans="1:20" x14ac:dyDescent="0.35">
      <c r="A1661" s="11"/>
      <c r="B1661" s="11"/>
      <c r="C1661" s="11"/>
      <c r="D1661" s="12"/>
      <c r="E1661" s="11"/>
      <c r="F1661" s="13"/>
      <c r="G1661" s="13"/>
      <c r="H1661" s="11"/>
      <c r="I1661" s="12"/>
      <c r="J1661" s="12"/>
      <c r="K1661" s="13"/>
      <c r="L1661" s="13"/>
      <c r="M1661" s="13"/>
      <c r="N1661" s="13"/>
      <c r="O1661" s="13"/>
      <c r="P1661" s="14" t="str">
        <f t="shared" si="100"/>
        <v/>
      </c>
      <c r="Q1661" s="15" t="str">
        <f>IF(OR(J1661="",H1661=""),"",IFERROR(IF(ISNUMBER(N1661),N1661,IF(K1661&lt;N(INDEX(Platforms!$G$5:$G$14,MATCH(H1661,Lists!$A$2:$A$11,0))),N(INDEX(Platforms!$H$5:$H$14,MATCH(H1661,Lists!$A$2:$A$11,0))),MAX(N(INDEX(Platforms!$F$5:$F$14,MATCH(H1661,Lists!$A$2:$A$11,0))),N(INDEX(Platforms!$C$5:$C$14,MATCH(H1661,Lists!$A$2:$A$11,0)))*(K1661+IF(INDEX(Platforms!$E$5:$E$14,MATCH(H1661,Lists!$A$2:$A$11,0))="Yes",N(L1661),0))+N(INDEX(Platforms!$D$5:$D$14,MATCH(H1661,Lists!$A$2:$A$11,0)))))),""))</f>
        <v/>
      </c>
      <c r="R1661" s="16" t="str">
        <f t="shared" si="101"/>
        <v/>
      </c>
      <c r="S1661" s="17" t="str">
        <f t="shared" si="102"/>
        <v/>
      </c>
      <c r="T1661" s="18" t="str">
        <f t="shared" ca="1" si="103"/>
        <v/>
      </c>
    </row>
    <row r="1662" spans="1:20" x14ac:dyDescent="0.35">
      <c r="A1662" s="11"/>
      <c r="B1662" s="11"/>
      <c r="C1662" s="11"/>
      <c r="D1662" s="12"/>
      <c r="E1662" s="11"/>
      <c r="F1662" s="13"/>
      <c r="G1662" s="13"/>
      <c r="H1662" s="11"/>
      <c r="I1662" s="12"/>
      <c r="J1662" s="12"/>
      <c r="K1662" s="13"/>
      <c r="L1662" s="13"/>
      <c r="M1662" s="13"/>
      <c r="N1662" s="13"/>
      <c r="O1662" s="13"/>
      <c r="P1662" s="14" t="str">
        <f t="shared" si="100"/>
        <v/>
      </c>
      <c r="Q1662" s="15" t="str">
        <f>IF(OR(J1662="",H1662=""),"",IFERROR(IF(ISNUMBER(N1662),N1662,IF(K1662&lt;N(INDEX(Platforms!$G$5:$G$14,MATCH(H1662,Lists!$A$2:$A$11,0))),N(INDEX(Platforms!$H$5:$H$14,MATCH(H1662,Lists!$A$2:$A$11,0))),MAX(N(INDEX(Platforms!$F$5:$F$14,MATCH(H1662,Lists!$A$2:$A$11,0))),N(INDEX(Platforms!$C$5:$C$14,MATCH(H1662,Lists!$A$2:$A$11,0)))*(K1662+IF(INDEX(Platforms!$E$5:$E$14,MATCH(H1662,Lists!$A$2:$A$11,0))="Yes",N(L1662),0))+N(INDEX(Platforms!$D$5:$D$14,MATCH(H1662,Lists!$A$2:$A$11,0)))))),""))</f>
        <v/>
      </c>
      <c r="R1662" s="16" t="str">
        <f t="shared" si="101"/>
        <v/>
      </c>
      <c r="S1662" s="17" t="str">
        <f t="shared" si="102"/>
        <v/>
      </c>
      <c r="T1662" s="18" t="str">
        <f t="shared" ca="1" si="103"/>
        <v/>
      </c>
    </row>
    <row r="1663" spans="1:20" x14ac:dyDescent="0.35">
      <c r="A1663" s="11"/>
      <c r="B1663" s="11"/>
      <c r="C1663" s="11"/>
      <c r="D1663" s="12"/>
      <c r="E1663" s="11"/>
      <c r="F1663" s="13"/>
      <c r="G1663" s="13"/>
      <c r="H1663" s="11"/>
      <c r="I1663" s="12"/>
      <c r="J1663" s="12"/>
      <c r="K1663" s="13"/>
      <c r="L1663" s="13"/>
      <c r="M1663" s="13"/>
      <c r="N1663" s="13"/>
      <c r="O1663" s="13"/>
      <c r="P1663" s="14" t="str">
        <f t="shared" si="100"/>
        <v/>
      </c>
      <c r="Q1663" s="15" t="str">
        <f>IF(OR(J1663="",H1663=""),"",IFERROR(IF(ISNUMBER(N1663),N1663,IF(K1663&lt;N(INDEX(Platforms!$G$5:$G$14,MATCH(H1663,Lists!$A$2:$A$11,0))),N(INDEX(Platforms!$H$5:$H$14,MATCH(H1663,Lists!$A$2:$A$11,0))),MAX(N(INDEX(Platforms!$F$5:$F$14,MATCH(H1663,Lists!$A$2:$A$11,0))),N(INDEX(Platforms!$C$5:$C$14,MATCH(H1663,Lists!$A$2:$A$11,0)))*(K1663+IF(INDEX(Platforms!$E$5:$E$14,MATCH(H1663,Lists!$A$2:$A$11,0))="Yes",N(L1663),0))+N(INDEX(Platforms!$D$5:$D$14,MATCH(H1663,Lists!$A$2:$A$11,0)))))),""))</f>
        <v/>
      </c>
      <c r="R1663" s="16" t="str">
        <f t="shared" si="101"/>
        <v/>
      </c>
      <c r="S1663" s="17" t="str">
        <f t="shared" si="102"/>
        <v/>
      </c>
      <c r="T1663" s="18" t="str">
        <f t="shared" ca="1" si="103"/>
        <v/>
      </c>
    </row>
    <row r="1664" spans="1:20" x14ac:dyDescent="0.35">
      <c r="A1664" s="11"/>
      <c r="B1664" s="11"/>
      <c r="C1664" s="11"/>
      <c r="D1664" s="12"/>
      <c r="E1664" s="11"/>
      <c r="F1664" s="13"/>
      <c r="G1664" s="13"/>
      <c r="H1664" s="11"/>
      <c r="I1664" s="12"/>
      <c r="J1664" s="12"/>
      <c r="K1664" s="13"/>
      <c r="L1664" s="13"/>
      <c r="M1664" s="13"/>
      <c r="N1664" s="13"/>
      <c r="O1664" s="13"/>
      <c r="P1664" s="14" t="str">
        <f t="shared" si="100"/>
        <v/>
      </c>
      <c r="Q1664" s="15" t="str">
        <f>IF(OR(J1664="",H1664=""),"",IFERROR(IF(ISNUMBER(N1664),N1664,IF(K1664&lt;N(INDEX(Platforms!$G$5:$G$14,MATCH(H1664,Lists!$A$2:$A$11,0))),N(INDEX(Platforms!$H$5:$H$14,MATCH(H1664,Lists!$A$2:$A$11,0))),MAX(N(INDEX(Platforms!$F$5:$F$14,MATCH(H1664,Lists!$A$2:$A$11,0))),N(INDEX(Platforms!$C$5:$C$14,MATCH(H1664,Lists!$A$2:$A$11,0)))*(K1664+IF(INDEX(Platforms!$E$5:$E$14,MATCH(H1664,Lists!$A$2:$A$11,0))="Yes",N(L1664),0))+N(INDEX(Platforms!$D$5:$D$14,MATCH(H1664,Lists!$A$2:$A$11,0)))))),""))</f>
        <v/>
      </c>
      <c r="R1664" s="16" t="str">
        <f t="shared" si="101"/>
        <v/>
      </c>
      <c r="S1664" s="17" t="str">
        <f t="shared" si="102"/>
        <v/>
      </c>
      <c r="T1664" s="18" t="str">
        <f t="shared" ca="1" si="103"/>
        <v/>
      </c>
    </row>
    <row r="1665" spans="1:20" x14ac:dyDescent="0.35">
      <c r="A1665" s="11"/>
      <c r="B1665" s="11"/>
      <c r="C1665" s="11"/>
      <c r="D1665" s="12"/>
      <c r="E1665" s="11"/>
      <c r="F1665" s="13"/>
      <c r="G1665" s="13"/>
      <c r="H1665" s="11"/>
      <c r="I1665" s="12"/>
      <c r="J1665" s="12"/>
      <c r="K1665" s="13"/>
      <c r="L1665" s="13"/>
      <c r="M1665" s="13"/>
      <c r="N1665" s="13"/>
      <c r="O1665" s="13"/>
      <c r="P1665" s="14" t="str">
        <f t="shared" si="100"/>
        <v/>
      </c>
      <c r="Q1665" s="15" t="str">
        <f>IF(OR(J1665="",H1665=""),"",IFERROR(IF(ISNUMBER(N1665),N1665,IF(K1665&lt;N(INDEX(Platforms!$G$5:$G$14,MATCH(H1665,Lists!$A$2:$A$11,0))),N(INDEX(Platforms!$H$5:$H$14,MATCH(H1665,Lists!$A$2:$A$11,0))),MAX(N(INDEX(Platforms!$F$5:$F$14,MATCH(H1665,Lists!$A$2:$A$11,0))),N(INDEX(Platforms!$C$5:$C$14,MATCH(H1665,Lists!$A$2:$A$11,0)))*(K1665+IF(INDEX(Platforms!$E$5:$E$14,MATCH(H1665,Lists!$A$2:$A$11,0))="Yes",N(L1665),0))+N(INDEX(Platforms!$D$5:$D$14,MATCH(H1665,Lists!$A$2:$A$11,0)))))),""))</f>
        <v/>
      </c>
      <c r="R1665" s="16" t="str">
        <f t="shared" si="101"/>
        <v/>
      </c>
      <c r="S1665" s="17" t="str">
        <f t="shared" si="102"/>
        <v/>
      </c>
      <c r="T1665" s="18" t="str">
        <f t="shared" ca="1" si="103"/>
        <v/>
      </c>
    </row>
    <row r="1666" spans="1:20" x14ac:dyDescent="0.35">
      <c r="A1666" s="11"/>
      <c r="B1666" s="11"/>
      <c r="C1666" s="11"/>
      <c r="D1666" s="12"/>
      <c r="E1666" s="11"/>
      <c r="F1666" s="13"/>
      <c r="G1666" s="13"/>
      <c r="H1666" s="11"/>
      <c r="I1666" s="12"/>
      <c r="J1666" s="12"/>
      <c r="K1666" s="13"/>
      <c r="L1666" s="13"/>
      <c r="M1666" s="13"/>
      <c r="N1666" s="13"/>
      <c r="O1666" s="13"/>
      <c r="P1666" s="14" t="str">
        <f t="shared" si="100"/>
        <v/>
      </c>
      <c r="Q1666" s="15" t="str">
        <f>IF(OR(J1666="",H1666=""),"",IFERROR(IF(ISNUMBER(N1666),N1666,IF(K1666&lt;N(INDEX(Platforms!$G$5:$G$14,MATCH(H1666,Lists!$A$2:$A$11,0))),N(INDEX(Platforms!$H$5:$H$14,MATCH(H1666,Lists!$A$2:$A$11,0))),MAX(N(INDEX(Platforms!$F$5:$F$14,MATCH(H1666,Lists!$A$2:$A$11,0))),N(INDEX(Platforms!$C$5:$C$14,MATCH(H1666,Lists!$A$2:$A$11,0)))*(K1666+IF(INDEX(Platforms!$E$5:$E$14,MATCH(H1666,Lists!$A$2:$A$11,0))="Yes",N(L1666),0))+N(INDEX(Platforms!$D$5:$D$14,MATCH(H1666,Lists!$A$2:$A$11,0)))))),""))</f>
        <v/>
      </c>
      <c r="R1666" s="16" t="str">
        <f t="shared" si="101"/>
        <v/>
      </c>
      <c r="S1666" s="17" t="str">
        <f t="shared" si="102"/>
        <v/>
      </c>
      <c r="T1666" s="18" t="str">
        <f t="shared" ca="1" si="103"/>
        <v/>
      </c>
    </row>
    <row r="1667" spans="1:20" x14ac:dyDescent="0.35">
      <c r="A1667" s="11"/>
      <c r="B1667" s="11"/>
      <c r="C1667" s="11"/>
      <c r="D1667" s="12"/>
      <c r="E1667" s="11"/>
      <c r="F1667" s="13"/>
      <c r="G1667" s="13"/>
      <c r="H1667" s="11"/>
      <c r="I1667" s="12"/>
      <c r="J1667" s="12"/>
      <c r="K1667" s="13"/>
      <c r="L1667" s="13"/>
      <c r="M1667" s="13"/>
      <c r="N1667" s="13"/>
      <c r="O1667" s="13"/>
      <c r="P1667" s="14" t="str">
        <f t="shared" si="100"/>
        <v/>
      </c>
      <c r="Q1667" s="15" t="str">
        <f>IF(OR(J1667="",H1667=""),"",IFERROR(IF(ISNUMBER(N1667),N1667,IF(K1667&lt;N(INDEX(Platforms!$G$5:$G$14,MATCH(H1667,Lists!$A$2:$A$11,0))),N(INDEX(Platforms!$H$5:$H$14,MATCH(H1667,Lists!$A$2:$A$11,0))),MAX(N(INDEX(Platforms!$F$5:$F$14,MATCH(H1667,Lists!$A$2:$A$11,0))),N(INDEX(Platforms!$C$5:$C$14,MATCH(H1667,Lists!$A$2:$A$11,0)))*(K1667+IF(INDEX(Platforms!$E$5:$E$14,MATCH(H1667,Lists!$A$2:$A$11,0))="Yes",N(L1667),0))+N(INDEX(Platforms!$D$5:$D$14,MATCH(H1667,Lists!$A$2:$A$11,0)))))),""))</f>
        <v/>
      </c>
      <c r="R1667" s="16" t="str">
        <f t="shared" si="101"/>
        <v/>
      </c>
      <c r="S1667" s="17" t="str">
        <f t="shared" si="102"/>
        <v/>
      </c>
      <c r="T1667" s="18" t="str">
        <f t="shared" ca="1" si="103"/>
        <v/>
      </c>
    </row>
    <row r="1668" spans="1:20" x14ac:dyDescent="0.35">
      <c r="A1668" s="11"/>
      <c r="B1668" s="11"/>
      <c r="C1668" s="11"/>
      <c r="D1668" s="12"/>
      <c r="E1668" s="11"/>
      <c r="F1668" s="13"/>
      <c r="G1668" s="13"/>
      <c r="H1668" s="11"/>
      <c r="I1668" s="12"/>
      <c r="J1668" s="12"/>
      <c r="K1668" s="13"/>
      <c r="L1668" s="13"/>
      <c r="M1668" s="13"/>
      <c r="N1668" s="13"/>
      <c r="O1668" s="13"/>
      <c r="P1668" s="14" t="str">
        <f t="shared" si="100"/>
        <v/>
      </c>
      <c r="Q1668" s="15" t="str">
        <f>IF(OR(J1668="",H1668=""),"",IFERROR(IF(ISNUMBER(N1668),N1668,IF(K1668&lt;N(INDEX(Platforms!$G$5:$G$14,MATCH(H1668,Lists!$A$2:$A$11,0))),N(INDEX(Platforms!$H$5:$H$14,MATCH(H1668,Lists!$A$2:$A$11,0))),MAX(N(INDEX(Platforms!$F$5:$F$14,MATCH(H1668,Lists!$A$2:$A$11,0))),N(INDEX(Platforms!$C$5:$C$14,MATCH(H1668,Lists!$A$2:$A$11,0)))*(K1668+IF(INDEX(Platforms!$E$5:$E$14,MATCH(H1668,Lists!$A$2:$A$11,0))="Yes",N(L1668),0))+N(INDEX(Platforms!$D$5:$D$14,MATCH(H1668,Lists!$A$2:$A$11,0)))))),""))</f>
        <v/>
      </c>
      <c r="R1668" s="16" t="str">
        <f t="shared" si="101"/>
        <v/>
      </c>
      <c r="S1668" s="17" t="str">
        <f t="shared" si="102"/>
        <v/>
      </c>
      <c r="T1668" s="18" t="str">
        <f t="shared" ca="1" si="103"/>
        <v/>
      </c>
    </row>
    <row r="1669" spans="1:20" x14ac:dyDescent="0.35">
      <c r="A1669" s="11"/>
      <c r="B1669" s="11"/>
      <c r="C1669" s="11"/>
      <c r="D1669" s="12"/>
      <c r="E1669" s="11"/>
      <c r="F1669" s="13"/>
      <c r="G1669" s="13"/>
      <c r="H1669" s="11"/>
      <c r="I1669" s="12"/>
      <c r="J1669" s="12"/>
      <c r="K1669" s="13"/>
      <c r="L1669" s="13"/>
      <c r="M1669" s="13"/>
      <c r="N1669" s="13"/>
      <c r="O1669" s="13"/>
      <c r="P1669" s="14" t="str">
        <f t="shared" ref="P1669:P1732" si="104">IF(OR(B1669&lt;&gt;"",F1669&lt;&gt;"",H1669&lt;&gt;"",J1669&lt;&gt;"",K1669&lt;&gt;""),IF(J1669&lt;&gt;"","Sold",IF(I1669&lt;&gt;"","Listed","In stock")),"")</f>
        <v/>
      </c>
      <c r="Q1669" s="15" t="str">
        <f>IF(OR(J1669="",H1669=""),"",IFERROR(IF(ISNUMBER(N1669),N1669,IF(K1669&lt;N(INDEX(Platforms!$G$5:$G$14,MATCH(H1669,Lists!$A$2:$A$11,0))),N(INDEX(Platforms!$H$5:$H$14,MATCH(H1669,Lists!$A$2:$A$11,0))),MAX(N(INDEX(Platforms!$F$5:$F$14,MATCH(H1669,Lists!$A$2:$A$11,0))),N(INDEX(Platforms!$C$5:$C$14,MATCH(H1669,Lists!$A$2:$A$11,0)))*(K1669+IF(INDEX(Platforms!$E$5:$E$14,MATCH(H1669,Lists!$A$2:$A$11,0))="Yes",N(L1669),0))+N(INDEX(Platforms!$D$5:$D$14,MATCH(H1669,Lists!$A$2:$A$11,0)))))),""))</f>
        <v/>
      </c>
      <c r="R1669" s="16" t="str">
        <f t="shared" ref="R1669:R1732" si="105">IF(J1669="","",IFERROR(K1669+N(L1669)-N(O1669)-Q1669-N(M1669)-N(F1669)-N(G1669),""))</f>
        <v/>
      </c>
      <c r="S1669" s="17" t="str">
        <f t="shared" ref="S1669:S1732" si="106">IF(OR(R1669="",N(F1669)+N(G1669)=0),"",R1669/(N(F1669)+N(G1669)))</f>
        <v/>
      </c>
      <c r="T1669" s="18" t="str">
        <f t="shared" ref="T1669:T1732" ca="1" si="107">IFERROR(IF(ISNUMBER(D1669),IF(ISNUMBER(J1669),J1669,IF(J1669="",TODAY(),""))-D1669,""),"")</f>
        <v/>
      </c>
    </row>
    <row r="1670" spans="1:20" x14ac:dyDescent="0.35">
      <c r="A1670" s="11"/>
      <c r="B1670" s="11"/>
      <c r="C1670" s="11"/>
      <c r="D1670" s="12"/>
      <c r="E1670" s="11"/>
      <c r="F1670" s="13"/>
      <c r="G1670" s="13"/>
      <c r="H1670" s="11"/>
      <c r="I1670" s="12"/>
      <c r="J1670" s="12"/>
      <c r="K1670" s="13"/>
      <c r="L1670" s="13"/>
      <c r="M1670" s="13"/>
      <c r="N1670" s="13"/>
      <c r="O1670" s="13"/>
      <c r="P1670" s="14" t="str">
        <f t="shared" si="104"/>
        <v/>
      </c>
      <c r="Q1670" s="15" t="str">
        <f>IF(OR(J1670="",H1670=""),"",IFERROR(IF(ISNUMBER(N1670),N1670,IF(K1670&lt;N(INDEX(Platforms!$G$5:$G$14,MATCH(H1670,Lists!$A$2:$A$11,0))),N(INDEX(Platforms!$H$5:$H$14,MATCH(H1670,Lists!$A$2:$A$11,0))),MAX(N(INDEX(Platforms!$F$5:$F$14,MATCH(H1670,Lists!$A$2:$A$11,0))),N(INDEX(Platforms!$C$5:$C$14,MATCH(H1670,Lists!$A$2:$A$11,0)))*(K1670+IF(INDEX(Platforms!$E$5:$E$14,MATCH(H1670,Lists!$A$2:$A$11,0))="Yes",N(L1670),0))+N(INDEX(Platforms!$D$5:$D$14,MATCH(H1670,Lists!$A$2:$A$11,0)))))),""))</f>
        <v/>
      </c>
      <c r="R1670" s="16" t="str">
        <f t="shared" si="105"/>
        <v/>
      </c>
      <c r="S1670" s="17" t="str">
        <f t="shared" si="106"/>
        <v/>
      </c>
      <c r="T1670" s="18" t="str">
        <f t="shared" ca="1" si="107"/>
        <v/>
      </c>
    </row>
    <row r="1671" spans="1:20" x14ac:dyDescent="0.35">
      <c r="A1671" s="11"/>
      <c r="B1671" s="11"/>
      <c r="C1671" s="11"/>
      <c r="D1671" s="12"/>
      <c r="E1671" s="11"/>
      <c r="F1671" s="13"/>
      <c r="G1671" s="13"/>
      <c r="H1671" s="11"/>
      <c r="I1671" s="12"/>
      <c r="J1671" s="12"/>
      <c r="K1671" s="13"/>
      <c r="L1671" s="13"/>
      <c r="M1671" s="13"/>
      <c r="N1671" s="13"/>
      <c r="O1671" s="13"/>
      <c r="P1671" s="14" t="str">
        <f t="shared" si="104"/>
        <v/>
      </c>
      <c r="Q1671" s="15" t="str">
        <f>IF(OR(J1671="",H1671=""),"",IFERROR(IF(ISNUMBER(N1671),N1671,IF(K1671&lt;N(INDEX(Platforms!$G$5:$G$14,MATCH(H1671,Lists!$A$2:$A$11,0))),N(INDEX(Platforms!$H$5:$H$14,MATCH(H1671,Lists!$A$2:$A$11,0))),MAX(N(INDEX(Platforms!$F$5:$F$14,MATCH(H1671,Lists!$A$2:$A$11,0))),N(INDEX(Platforms!$C$5:$C$14,MATCH(H1671,Lists!$A$2:$A$11,0)))*(K1671+IF(INDEX(Platforms!$E$5:$E$14,MATCH(H1671,Lists!$A$2:$A$11,0))="Yes",N(L1671),0))+N(INDEX(Platforms!$D$5:$D$14,MATCH(H1671,Lists!$A$2:$A$11,0)))))),""))</f>
        <v/>
      </c>
      <c r="R1671" s="16" t="str">
        <f t="shared" si="105"/>
        <v/>
      </c>
      <c r="S1671" s="17" t="str">
        <f t="shared" si="106"/>
        <v/>
      </c>
      <c r="T1671" s="18" t="str">
        <f t="shared" ca="1" si="107"/>
        <v/>
      </c>
    </row>
    <row r="1672" spans="1:20" x14ac:dyDescent="0.35">
      <c r="A1672" s="11"/>
      <c r="B1672" s="11"/>
      <c r="C1672" s="11"/>
      <c r="D1672" s="12"/>
      <c r="E1672" s="11"/>
      <c r="F1672" s="13"/>
      <c r="G1672" s="13"/>
      <c r="H1672" s="11"/>
      <c r="I1672" s="12"/>
      <c r="J1672" s="12"/>
      <c r="K1672" s="13"/>
      <c r="L1672" s="13"/>
      <c r="M1672" s="13"/>
      <c r="N1672" s="13"/>
      <c r="O1672" s="13"/>
      <c r="P1672" s="14" t="str">
        <f t="shared" si="104"/>
        <v/>
      </c>
      <c r="Q1672" s="15" t="str">
        <f>IF(OR(J1672="",H1672=""),"",IFERROR(IF(ISNUMBER(N1672),N1672,IF(K1672&lt;N(INDEX(Platforms!$G$5:$G$14,MATCH(H1672,Lists!$A$2:$A$11,0))),N(INDEX(Platforms!$H$5:$H$14,MATCH(H1672,Lists!$A$2:$A$11,0))),MAX(N(INDEX(Platforms!$F$5:$F$14,MATCH(H1672,Lists!$A$2:$A$11,0))),N(INDEX(Platforms!$C$5:$C$14,MATCH(H1672,Lists!$A$2:$A$11,0)))*(K1672+IF(INDEX(Platforms!$E$5:$E$14,MATCH(H1672,Lists!$A$2:$A$11,0))="Yes",N(L1672),0))+N(INDEX(Platforms!$D$5:$D$14,MATCH(H1672,Lists!$A$2:$A$11,0)))))),""))</f>
        <v/>
      </c>
      <c r="R1672" s="16" t="str">
        <f t="shared" si="105"/>
        <v/>
      </c>
      <c r="S1672" s="17" t="str">
        <f t="shared" si="106"/>
        <v/>
      </c>
      <c r="T1672" s="18" t="str">
        <f t="shared" ca="1" si="107"/>
        <v/>
      </c>
    </row>
    <row r="1673" spans="1:20" x14ac:dyDescent="0.35">
      <c r="A1673" s="11"/>
      <c r="B1673" s="11"/>
      <c r="C1673" s="11"/>
      <c r="D1673" s="12"/>
      <c r="E1673" s="11"/>
      <c r="F1673" s="13"/>
      <c r="G1673" s="13"/>
      <c r="H1673" s="11"/>
      <c r="I1673" s="12"/>
      <c r="J1673" s="12"/>
      <c r="K1673" s="13"/>
      <c r="L1673" s="13"/>
      <c r="M1673" s="13"/>
      <c r="N1673" s="13"/>
      <c r="O1673" s="13"/>
      <c r="P1673" s="14" t="str">
        <f t="shared" si="104"/>
        <v/>
      </c>
      <c r="Q1673" s="15" t="str">
        <f>IF(OR(J1673="",H1673=""),"",IFERROR(IF(ISNUMBER(N1673),N1673,IF(K1673&lt;N(INDEX(Platforms!$G$5:$G$14,MATCH(H1673,Lists!$A$2:$A$11,0))),N(INDEX(Platforms!$H$5:$H$14,MATCH(H1673,Lists!$A$2:$A$11,0))),MAX(N(INDEX(Platforms!$F$5:$F$14,MATCH(H1673,Lists!$A$2:$A$11,0))),N(INDEX(Platforms!$C$5:$C$14,MATCH(H1673,Lists!$A$2:$A$11,0)))*(K1673+IF(INDEX(Platforms!$E$5:$E$14,MATCH(H1673,Lists!$A$2:$A$11,0))="Yes",N(L1673),0))+N(INDEX(Platforms!$D$5:$D$14,MATCH(H1673,Lists!$A$2:$A$11,0)))))),""))</f>
        <v/>
      </c>
      <c r="R1673" s="16" t="str">
        <f t="shared" si="105"/>
        <v/>
      </c>
      <c r="S1673" s="17" t="str">
        <f t="shared" si="106"/>
        <v/>
      </c>
      <c r="T1673" s="18" t="str">
        <f t="shared" ca="1" si="107"/>
        <v/>
      </c>
    </row>
    <row r="1674" spans="1:20" x14ac:dyDescent="0.35">
      <c r="A1674" s="11"/>
      <c r="B1674" s="11"/>
      <c r="C1674" s="11"/>
      <c r="D1674" s="12"/>
      <c r="E1674" s="11"/>
      <c r="F1674" s="13"/>
      <c r="G1674" s="13"/>
      <c r="H1674" s="11"/>
      <c r="I1674" s="12"/>
      <c r="J1674" s="12"/>
      <c r="K1674" s="13"/>
      <c r="L1674" s="13"/>
      <c r="M1674" s="13"/>
      <c r="N1674" s="13"/>
      <c r="O1674" s="13"/>
      <c r="P1674" s="14" t="str">
        <f t="shared" si="104"/>
        <v/>
      </c>
      <c r="Q1674" s="15" t="str">
        <f>IF(OR(J1674="",H1674=""),"",IFERROR(IF(ISNUMBER(N1674),N1674,IF(K1674&lt;N(INDEX(Platforms!$G$5:$G$14,MATCH(H1674,Lists!$A$2:$A$11,0))),N(INDEX(Platforms!$H$5:$H$14,MATCH(H1674,Lists!$A$2:$A$11,0))),MAX(N(INDEX(Platforms!$F$5:$F$14,MATCH(H1674,Lists!$A$2:$A$11,0))),N(INDEX(Platforms!$C$5:$C$14,MATCH(H1674,Lists!$A$2:$A$11,0)))*(K1674+IF(INDEX(Platforms!$E$5:$E$14,MATCH(H1674,Lists!$A$2:$A$11,0))="Yes",N(L1674),0))+N(INDEX(Platforms!$D$5:$D$14,MATCH(H1674,Lists!$A$2:$A$11,0)))))),""))</f>
        <v/>
      </c>
      <c r="R1674" s="16" t="str">
        <f t="shared" si="105"/>
        <v/>
      </c>
      <c r="S1674" s="17" t="str">
        <f t="shared" si="106"/>
        <v/>
      </c>
      <c r="T1674" s="18" t="str">
        <f t="shared" ca="1" si="107"/>
        <v/>
      </c>
    </row>
    <row r="1675" spans="1:20" x14ac:dyDescent="0.35">
      <c r="A1675" s="11"/>
      <c r="B1675" s="11"/>
      <c r="C1675" s="11"/>
      <c r="D1675" s="12"/>
      <c r="E1675" s="11"/>
      <c r="F1675" s="13"/>
      <c r="G1675" s="13"/>
      <c r="H1675" s="11"/>
      <c r="I1675" s="12"/>
      <c r="J1675" s="12"/>
      <c r="K1675" s="13"/>
      <c r="L1675" s="13"/>
      <c r="M1675" s="13"/>
      <c r="N1675" s="13"/>
      <c r="O1675" s="13"/>
      <c r="P1675" s="14" t="str">
        <f t="shared" si="104"/>
        <v/>
      </c>
      <c r="Q1675" s="15" t="str">
        <f>IF(OR(J1675="",H1675=""),"",IFERROR(IF(ISNUMBER(N1675),N1675,IF(K1675&lt;N(INDEX(Platforms!$G$5:$G$14,MATCH(H1675,Lists!$A$2:$A$11,0))),N(INDEX(Platforms!$H$5:$H$14,MATCH(H1675,Lists!$A$2:$A$11,0))),MAX(N(INDEX(Platforms!$F$5:$F$14,MATCH(H1675,Lists!$A$2:$A$11,0))),N(INDEX(Platforms!$C$5:$C$14,MATCH(H1675,Lists!$A$2:$A$11,0)))*(K1675+IF(INDEX(Platforms!$E$5:$E$14,MATCH(H1675,Lists!$A$2:$A$11,0))="Yes",N(L1675),0))+N(INDEX(Platforms!$D$5:$D$14,MATCH(H1675,Lists!$A$2:$A$11,0)))))),""))</f>
        <v/>
      </c>
      <c r="R1675" s="16" t="str">
        <f t="shared" si="105"/>
        <v/>
      </c>
      <c r="S1675" s="17" t="str">
        <f t="shared" si="106"/>
        <v/>
      </c>
      <c r="T1675" s="18" t="str">
        <f t="shared" ca="1" si="107"/>
        <v/>
      </c>
    </row>
    <row r="1676" spans="1:20" x14ac:dyDescent="0.35">
      <c r="A1676" s="11"/>
      <c r="B1676" s="11"/>
      <c r="C1676" s="11"/>
      <c r="D1676" s="12"/>
      <c r="E1676" s="11"/>
      <c r="F1676" s="13"/>
      <c r="G1676" s="13"/>
      <c r="H1676" s="11"/>
      <c r="I1676" s="12"/>
      <c r="J1676" s="12"/>
      <c r="K1676" s="13"/>
      <c r="L1676" s="13"/>
      <c r="M1676" s="13"/>
      <c r="N1676" s="13"/>
      <c r="O1676" s="13"/>
      <c r="P1676" s="14" t="str">
        <f t="shared" si="104"/>
        <v/>
      </c>
      <c r="Q1676" s="15" t="str">
        <f>IF(OR(J1676="",H1676=""),"",IFERROR(IF(ISNUMBER(N1676),N1676,IF(K1676&lt;N(INDEX(Platforms!$G$5:$G$14,MATCH(H1676,Lists!$A$2:$A$11,0))),N(INDEX(Platforms!$H$5:$H$14,MATCH(H1676,Lists!$A$2:$A$11,0))),MAX(N(INDEX(Platforms!$F$5:$F$14,MATCH(H1676,Lists!$A$2:$A$11,0))),N(INDEX(Platforms!$C$5:$C$14,MATCH(H1676,Lists!$A$2:$A$11,0)))*(K1676+IF(INDEX(Platforms!$E$5:$E$14,MATCH(H1676,Lists!$A$2:$A$11,0))="Yes",N(L1676),0))+N(INDEX(Platforms!$D$5:$D$14,MATCH(H1676,Lists!$A$2:$A$11,0)))))),""))</f>
        <v/>
      </c>
      <c r="R1676" s="16" t="str">
        <f t="shared" si="105"/>
        <v/>
      </c>
      <c r="S1676" s="17" t="str">
        <f t="shared" si="106"/>
        <v/>
      </c>
      <c r="T1676" s="18" t="str">
        <f t="shared" ca="1" si="107"/>
        <v/>
      </c>
    </row>
    <row r="1677" spans="1:20" x14ac:dyDescent="0.35">
      <c r="A1677" s="11"/>
      <c r="B1677" s="11"/>
      <c r="C1677" s="11"/>
      <c r="D1677" s="12"/>
      <c r="E1677" s="11"/>
      <c r="F1677" s="13"/>
      <c r="G1677" s="13"/>
      <c r="H1677" s="11"/>
      <c r="I1677" s="12"/>
      <c r="J1677" s="12"/>
      <c r="K1677" s="13"/>
      <c r="L1677" s="13"/>
      <c r="M1677" s="13"/>
      <c r="N1677" s="13"/>
      <c r="O1677" s="13"/>
      <c r="P1677" s="14" t="str">
        <f t="shared" si="104"/>
        <v/>
      </c>
      <c r="Q1677" s="15" t="str">
        <f>IF(OR(J1677="",H1677=""),"",IFERROR(IF(ISNUMBER(N1677),N1677,IF(K1677&lt;N(INDEX(Platforms!$G$5:$G$14,MATCH(H1677,Lists!$A$2:$A$11,0))),N(INDEX(Platforms!$H$5:$H$14,MATCH(H1677,Lists!$A$2:$A$11,0))),MAX(N(INDEX(Platforms!$F$5:$F$14,MATCH(H1677,Lists!$A$2:$A$11,0))),N(INDEX(Platforms!$C$5:$C$14,MATCH(H1677,Lists!$A$2:$A$11,0)))*(K1677+IF(INDEX(Platforms!$E$5:$E$14,MATCH(H1677,Lists!$A$2:$A$11,0))="Yes",N(L1677),0))+N(INDEX(Platforms!$D$5:$D$14,MATCH(H1677,Lists!$A$2:$A$11,0)))))),""))</f>
        <v/>
      </c>
      <c r="R1677" s="16" t="str">
        <f t="shared" si="105"/>
        <v/>
      </c>
      <c r="S1677" s="17" t="str">
        <f t="shared" si="106"/>
        <v/>
      </c>
      <c r="T1677" s="18" t="str">
        <f t="shared" ca="1" si="107"/>
        <v/>
      </c>
    </row>
    <row r="1678" spans="1:20" x14ac:dyDescent="0.35">
      <c r="A1678" s="11"/>
      <c r="B1678" s="11"/>
      <c r="C1678" s="11"/>
      <c r="D1678" s="12"/>
      <c r="E1678" s="11"/>
      <c r="F1678" s="13"/>
      <c r="G1678" s="13"/>
      <c r="H1678" s="11"/>
      <c r="I1678" s="12"/>
      <c r="J1678" s="12"/>
      <c r="K1678" s="13"/>
      <c r="L1678" s="13"/>
      <c r="M1678" s="13"/>
      <c r="N1678" s="13"/>
      <c r="O1678" s="13"/>
      <c r="P1678" s="14" t="str">
        <f t="shared" si="104"/>
        <v/>
      </c>
      <c r="Q1678" s="15" t="str">
        <f>IF(OR(J1678="",H1678=""),"",IFERROR(IF(ISNUMBER(N1678),N1678,IF(K1678&lt;N(INDEX(Platforms!$G$5:$G$14,MATCH(H1678,Lists!$A$2:$A$11,0))),N(INDEX(Platforms!$H$5:$H$14,MATCH(H1678,Lists!$A$2:$A$11,0))),MAX(N(INDEX(Platforms!$F$5:$F$14,MATCH(H1678,Lists!$A$2:$A$11,0))),N(INDEX(Platforms!$C$5:$C$14,MATCH(H1678,Lists!$A$2:$A$11,0)))*(K1678+IF(INDEX(Platforms!$E$5:$E$14,MATCH(H1678,Lists!$A$2:$A$11,0))="Yes",N(L1678),0))+N(INDEX(Platforms!$D$5:$D$14,MATCH(H1678,Lists!$A$2:$A$11,0)))))),""))</f>
        <v/>
      </c>
      <c r="R1678" s="16" t="str">
        <f t="shared" si="105"/>
        <v/>
      </c>
      <c r="S1678" s="17" t="str">
        <f t="shared" si="106"/>
        <v/>
      </c>
      <c r="T1678" s="18" t="str">
        <f t="shared" ca="1" si="107"/>
        <v/>
      </c>
    </row>
    <row r="1679" spans="1:20" x14ac:dyDescent="0.35">
      <c r="A1679" s="11"/>
      <c r="B1679" s="11"/>
      <c r="C1679" s="11"/>
      <c r="D1679" s="12"/>
      <c r="E1679" s="11"/>
      <c r="F1679" s="13"/>
      <c r="G1679" s="13"/>
      <c r="H1679" s="11"/>
      <c r="I1679" s="12"/>
      <c r="J1679" s="12"/>
      <c r="K1679" s="13"/>
      <c r="L1679" s="13"/>
      <c r="M1679" s="13"/>
      <c r="N1679" s="13"/>
      <c r="O1679" s="13"/>
      <c r="P1679" s="14" t="str">
        <f t="shared" si="104"/>
        <v/>
      </c>
      <c r="Q1679" s="15" t="str">
        <f>IF(OR(J1679="",H1679=""),"",IFERROR(IF(ISNUMBER(N1679),N1679,IF(K1679&lt;N(INDEX(Platforms!$G$5:$G$14,MATCH(H1679,Lists!$A$2:$A$11,0))),N(INDEX(Platforms!$H$5:$H$14,MATCH(H1679,Lists!$A$2:$A$11,0))),MAX(N(INDEX(Platforms!$F$5:$F$14,MATCH(H1679,Lists!$A$2:$A$11,0))),N(INDEX(Platforms!$C$5:$C$14,MATCH(H1679,Lists!$A$2:$A$11,0)))*(K1679+IF(INDEX(Platforms!$E$5:$E$14,MATCH(H1679,Lists!$A$2:$A$11,0))="Yes",N(L1679),0))+N(INDEX(Platforms!$D$5:$D$14,MATCH(H1679,Lists!$A$2:$A$11,0)))))),""))</f>
        <v/>
      </c>
      <c r="R1679" s="16" t="str">
        <f t="shared" si="105"/>
        <v/>
      </c>
      <c r="S1679" s="17" t="str">
        <f t="shared" si="106"/>
        <v/>
      </c>
      <c r="T1679" s="18" t="str">
        <f t="shared" ca="1" si="107"/>
        <v/>
      </c>
    </row>
    <row r="1680" spans="1:20" x14ac:dyDescent="0.35">
      <c r="A1680" s="11"/>
      <c r="B1680" s="11"/>
      <c r="C1680" s="11"/>
      <c r="D1680" s="12"/>
      <c r="E1680" s="11"/>
      <c r="F1680" s="13"/>
      <c r="G1680" s="13"/>
      <c r="H1680" s="11"/>
      <c r="I1680" s="12"/>
      <c r="J1680" s="12"/>
      <c r="K1680" s="13"/>
      <c r="L1680" s="13"/>
      <c r="M1680" s="13"/>
      <c r="N1680" s="13"/>
      <c r="O1680" s="13"/>
      <c r="P1680" s="14" t="str">
        <f t="shared" si="104"/>
        <v/>
      </c>
      <c r="Q1680" s="15" t="str">
        <f>IF(OR(J1680="",H1680=""),"",IFERROR(IF(ISNUMBER(N1680),N1680,IF(K1680&lt;N(INDEX(Platforms!$G$5:$G$14,MATCH(H1680,Lists!$A$2:$A$11,0))),N(INDEX(Platforms!$H$5:$H$14,MATCH(H1680,Lists!$A$2:$A$11,0))),MAX(N(INDEX(Platforms!$F$5:$F$14,MATCH(H1680,Lists!$A$2:$A$11,0))),N(INDEX(Platforms!$C$5:$C$14,MATCH(H1680,Lists!$A$2:$A$11,0)))*(K1680+IF(INDEX(Platforms!$E$5:$E$14,MATCH(H1680,Lists!$A$2:$A$11,0))="Yes",N(L1680),0))+N(INDEX(Platforms!$D$5:$D$14,MATCH(H1680,Lists!$A$2:$A$11,0)))))),""))</f>
        <v/>
      </c>
      <c r="R1680" s="16" t="str">
        <f t="shared" si="105"/>
        <v/>
      </c>
      <c r="S1680" s="17" t="str">
        <f t="shared" si="106"/>
        <v/>
      </c>
      <c r="T1680" s="18" t="str">
        <f t="shared" ca="1" si="107"/>
        <v/>
      </c>
    </row>
    <row r="1681" spans="1:20" x14ac:dyDescent="0.35">
      <c r="A1681" s="11"/>
      <c r="B1681" s="11"/>
      <c r="C1681" s="11"/>
      <c r="D1681" s="12"/>
      <c r="E1681" s="11"/>
      <c r="F1681" s="13"/>
      <c r="G1681" s="13"/>
      <c r="H1681" s="11"/>
      <c r="I1681" s="12"/>
      <c r="J1681" s="12"/>
      <c r="K1681" s="13"/>
      <c r="L1681" s="13"/>
      <c r="M1681" s="13"/>
      <c r="N1681" s="13"/>
      <c r="O1681" s="13"/>
      <c r="P1681" s="14" t="str">
        <f t="shared" si="104"/>
        <v/>
      </c>
      <c r="Q1681" s="15" t="str">
        <f>IF(OR(J1681="",H1681=""),"",IFERROR(IF(ISNUMBER(N1681),N1681,IF(K1681&lt;N(INDEX(Platforms!$G$5:$G$14,MATCH(H1681,Lists!$A$2:$A$11,0))),N(INDEX(Platforms!$H$5:$H$14,MATCH(H1681,Lists!$A$2:$A$11,0))),MAX(N(INDEX(Platforms!$F$5:$F$14,MATCH(H1681,Lists!$A$2:$A$11,0))),N(INDEX(Platforms!$C$5:$C$14,MATCH(H1681,Lists!$A$2:$A$11,0)))*(K1681+IF(INDEX(Platforms!$E$5:$E$14,MATCH(H1681,Lists!$A$2:$A$11,0))="Yes",N(L1681),0))+N(INDEX(Platforms!$D$5:$D$14,MATCH(H1681,Lists!$A$2:$A$11,0)))))),""))</f>
        <v/>
      </c>
      <c r="R1681" s="16" t="str">
        <f t="shared" si="105"/>
        <v/>
      </c>
      <c r="S1681" s="17" t="str">
        <f t="shared" si="106"/>
        <v/>
      </c>
      <c r="T1681" s="18" t="str">
        <f t="shared" ca="1" si="107"/>
        <v/>
      </c>
    </row>
    <row r="1682" spans="1:20" x14ac:dyDescent="0.35">
      <c r="A1682" s="11"/>
      <c r="B1682" s="11"/>
      <c r="C1682" s="11"/>
      <c r="D1682" s="12"/>
      <c r="E1682" s="11"/>
      <c r="F1682" s="13"/>
      <c r="G1682" s="13"/>
      <c r="H1682" s="11"/>
      <c r="I1682" s="12"/>
      <c r="J1682" s="12"/>
      <c r="K1682" s="13"/>
      <c r="L1682" s="13"/>
      <c r="M1682" s="13"/>
      <c r="N1682" s="13"/>
      <c r="O1682" s="13"/>
      <c r="P1682" s="14" t="str">
        <f t="shared" si="104"/>
        <v/>
      </c>
      <c r="Q1682" s="15" t="str">
        <f>IF(OR(J1682="",H1682=""),"",IFERROR(IF(ISNUMBER(N1682),N1682,IF(K1682&lt;N(INDEX(Platforms!$G$5:$G$14,MATCH(H1682,Lists!$A$2:$A$11,0))),N(INDEX(Platforms!$H$5:$H$14,MATCH(H1682,Lists!$A$2:$A$11,0))),MAX(N(INDEX(Platforms!$F$5:$F$14,MATCH(H1682,Lists!$A$2:$A$11,0))),N(INDEX(Platforms!$C$5:$C$14,MATCH(H1682,Lists!$A$2:$A$11,0)))*(K1682+IF(INDEX(Platforms!$E$5:$E$14,MATCH(H1682,Lists!$A$2:$A$11,0))="Yes",N(L1682),0))+N(INDEX(Platforms!$D$5:$D$14,MATCH(H1682,Lists!$A$2:$A$11,0)))))),""))</f>
        <v/>
      </c>
      <c r="R1682" s="16" t="str">
        <f t="shared" si="105"/>
        <v/>
      </c>
      <c r="S1682" s="17" t="str">
        <f t="shared" si="106"/>
        <v/>
      </c>
      <c r="T1682" s="18" t="str">
        <f t="shared" ca="1" si="107"/>
        <v/>
      </c>
    </row>
    <row r="1683" spans="1:20" x14ac:dyDescent="0.35">
      <c r="A1683" s="11"/>
      <c r="B1683" s="11"/>
      <c r="C1683" s="11"/>
      <c r="D1683" s="12"/>
      <c r="E1683" s="11"/>
      <c r="F1683" s="13"/>
      <c r="G1683" s="13"/>
      <c r="H1683" s="11"/>
      <c r="I1683" s="12"/>
      <c r="J1683" s="12"/>
      <c r="K1683" s="13"/>
      <c r="L1683" s="13"/>
      <c r="M1683" s="13"/>
      <c r="N1683" s="13"/>
      <c r="O1683" s="13"/>
      <c r="P1683" s="14" t="str">
        <f t="shared" si="104"/>
        <v/>
      </c>
      <c r="Q1683" s="15" t="str">
        <f>IF(OR(J1683="",H1683=""),"",IFERROR(IF(ISNUMBER(N1683),N1683,IF(K1683&lt;N(INDEX(Platforms!$G$5:$G$14,MATCH(H1683,Lists!$A$2:$A$11,0))),N(INDEX(Platforms!$H$5:$H$14,MATCH(H1683,Lists!$A$2:$A$11,0))),MAX(N(INDEX(Platforms!$F$5:$F$14,MATCH(H1683,Lists!$A$2:$A$11,0))),N(INDEX(Platforms!$C$5:$C$14,MATCH(H1683,Lists!$A$2:$A$11,0)))*(K1683+IF(INDEX(Platforms!$E$5:$E$14,MATCH(H1683,Lists!$A$2:$A$11,0))="Yes",N(L1683),0))+N(INDEX(Platforms!$D$5:$D$14,MATCH(H1683,Lists!$A$2:$A$11,0)))))),""))</f>
        <v/>
      </c>
      <c r="R1683" s="16" t="str">
        <f t="shared" si="105"/>
        <v/>
      </c>
      <c r="S1683" s="17" t="str">
        <f t="shared" si="106"/>
        <v/>
      </c>
      <c r="T1683" s="18" t="str">
        <f t="shared" ca="1" si="107"/>
        <v/>
      </c>
    </row>
    <row r="1684" spans="1:20" x14ac:dyDescent="0.35">
      <c r="A1684" s="11"/>
      <c r="B1684" s="11"/>
      <c r="C1684" s="11"/>
      <c r="D1684" s="12"/>
      <c r="E1684" s="11"/>
      <c r="F1684" s="13"/>
      <c r="G1684" s="13"/>
      <c r="H1684" s="11"/>
      <c r="I1684" s="12"/>
      <c r="J1684" s="12"/>
      <c r="K1684" s="13"/>
      <c r="L1684" s="13"/>
      <c r="M1684" s="13"/>
      <c r="N1684" s="13"/>
      <c r="O1684" s="13"/>
      <c r="P1684" s="14" t="str">
        <f t="shared" si="104"/>
        <v/>
      </c>
      <c r="Q1684" s="15" t="str">
        <f>IF(OR(J1684="",H1684=""),"",IFERROR(IF(ISNUMBER(N1684),N1684,IF(K1684&lt;N(INDEX(Platforms!$G$5:$G$14,MATCH(H1684,Lists!$A$2:$A$11,0))),N(INDEX(Platforms!$H$5:$H$14,MATCH(H1684,Lists!$A$2:$A$11,0))),MAX(N(INDEX(Platforms!$F$5:$F$14,MATCH(H1684,Lists!$A$2:$A$11,0))),N(INDEX(Platforms!$C$5:$C$14,MATCH(H1684,Lists!$A$2:$A$11,0)))*(K1684+IF(INDEX(Platforms!$E$5:$E$14,MATCH(H1684,Lists!$A$2:$A$11,0))="Yes",N(L1684),0))+N(INDEX(Platforms!$D$5:$D$14,MATCH(H1684,Lists!$A$2:$A$11,0)))))),""))</f>
        <v/>
      </c>
      <c r="R1684" s="16" t="str">
        <f t="shared" si="105"/>
        <v/>
      </c>
      <c r="S1684" s="17" t="str">
        <f t="shared" si="106"/>
        <v/>
      </c>
      <c r="T1684" s="18" t="str">
        <f t="shared" ca="1" si="107"/>
        <v/>
      </c>
    </row>
    <row r="1685" spans="1:20" x14ac:dyDescent="0.35">
      <c r="A1685" s="11"/>
      <c r="B1685" s="11"/>
      <c r="C1685" s="11"/>
      <c r="D1685" s="12"/>
      <c r="E1685" s="11"/>
      <c r="F1685" s="13"/>
      <c r="G1685" s="13"/>
      <c r="H1685" s="11"/>
      <c r="I1685" s="12"/>
      <c r="J1685" s="12"/>
      <c r="K1685" s="13"/>
      <c r="L1685" s="13"/>
      <c r="M1685" s="13"/>
      <c r="N1685" s="13"/>
      <c r="O1685" s="13"/>
      <c r="P1685" s="14" t="str">
        <f t="shared" si="104"/>
        <v/>
      </c>
      <c r="Q1685" s="15" t="str">
        <f>IF(OR(J1685="",H1685=""),"",IFERROR(IF(ISNUMBER(N1685),N1685,IF(K1685&lt;N(INDEX(Platforms!$G$5:$G$14,MATCH(H1685,Lists!$A$2:$A$11,0))),N(INDEX(Platforms!$H$5:$H$14,MATCH(H1685,Lists!$A$2:$A$11,0))),MAX(N(INDEX(Platforms!$F$5:$F$14,MATCH(H1685,Lists!$A$2:$A$11,0))),N(INDEX(Platforms!$C$5:$C$14,MATCH(H1685,Lists!$A$2:$A$11,0)))*(K1685+IF(INDEX(Platforms!$E$5:$E$14,MATCH(H1685,Lists!$A$2:$A$11,0))="Yes",N(L1685),0))+N(INDEX(Platforms!$D$5:$D$14,MATCH(H1685,Lists!$A$2:$A$11,0)))))),""))</f>
        <v/>
      </c>
      <c r="R1685" s="16" t="str">
        <f t="shared" si="105"/>
        <v/>
      </c>
      <c r="S1685" s="17" t="str">
        <f t="shared" si="106"/>
        <v/>
      </c>
      <c r="T1685" s="18" t="str">
        <f t="shared" ca="1" si="107"/>
        <v/>
      </c>
    </row>
    <row r="1686" spans="1:20" x14ac:dyDescent="0.35">
      <c r="A1686" s="11"/>
      <c r="B1686" s="11"/>
      <c r="C1686" s="11"/>
      <c r="D1686" s="12"/>
      <c r="E1686" s="11"/>
      <c r="F1686" s="13"/>
      <c r="G1686" s="13"/>
      <c r="H1686" s="11"/>
      <c r="I1686" s="12"/>
      <c r="J1686" s="12"/>
      <c r="K1686" s="13"/>
      <c r="L1686" s="13"/>
      <c r="M1686" s="13"/>
      <c r="N1686" s="13"/>
      <c r="O1686" s="13"/>
      <c r="P1686" s="14" t="str">
        <f t="shared" si="104"/>
        <v/>
      </c>
      <c r="Q1686" s="15" t="str">
        <f>IF(OR(J1686="",H1686=""),"",IFERROR(IF(ISNUMBER(N1686),N1686,IF(K1686&lt;N(INDEX(Platforms!$G$5:$G$14,MATCH(H1686,Lists!$A$2:$A$11,0))),N(INDEX(Platforms!$H$5:$H$14,MATCH(H1686,Lists!$A$2:$A$11,0))),MAX(N(INDEX(Platforms!$F$5:$F$14,MATCH(H1686,Lists!$A$2:$A$11,0))),N(INDEX(Platforms!$C$5:$C$14,MATCH(H1686,Lists!$A$2:$A$11,0)))*(K1686+IF(INDEX(Platforms!$E$5:$E$14,MATCH(H1686,Lists!$A$2:$A$11,0))="Yes",N(L1686),0))+N(INDEX(Platforms!$D$5:$D$14,MATCH(H1686,Lists!$A$2:$A$11,0)))))),""))</f>
        <v/>
      </c>
      <c r="R1686" s="16" t="str">
        <f t="shared" si="105"/>
        <v/>
      </c>
      <c r="S1686" s="17" t="str">
        <f t="shared" si="106"/>
        <v/>
      </c>
      <c r="T1686" s="18" t="str">
        <f t="shared" ca="1" si="107"/>
        <v/>
      </c>
    </row>
    <row r="1687" spans="1:20" x14ac:dyDescent="0.35">
      <c r="A1687" s="11"/>
      <c r="B1687" s="11"/>
      <c r="C1687" s="11"/>
      <c r="D1687" s="12"/>
      <c r="E1687" s="11"/>
      <c r="F1687" s="13"/>
      <c r="G1687" s="13"/>
      <c r="H1687" s="11"/>
      <c r="I1687" s="12"/>
      <c r="J1687" s="12"/>
      <c r="K1687" s="13"/>
      <c r="L1687" s="13"/>
      <c r="M1687" s="13"/>
      <c r="N1687" s="13"/>
      <c r="O1687" s="13"/>
      <c r="P1687" s="14" t="str">
        <f t="shared" si="104"/>
        <v/>
      </c>
      <c r="Q1687" s="15" t="str">
        <f>IF(OR(J1687="",H1687=""),"",IFERROR(IF(ISNUMBER(N1687),N1687,IF(K1687&lt;N(INDEX(Platforms!$G$5:$G$14,MATCH(H1687,Lists!$A$2:$A$11,0))),N(INDEX(Platforms!$H$5:$H$14,MATCH(H1687,Lists!$A$2:$A$11,0))),MAX(N(INDEX(Platforms!$F$5:$F$14,MATCH(H1687,Lists!$A$2:$A$11,0))),N(INDEX(Platforms!$C$5:$C$14,MATCH(H1687,Lists!$A$2:$A$11,0)))*(K1687+IF(INDEX(Platforms!$E$5:$E$14,MATCH(H1687,Lists!$A$2:$A$11,0))="Yes",N(L1687),0))+N(INDEX(Platforms!$D$5:$D$14,MATCH(H1687,Lists!$A$2:$A$11,0)))))),""))</f>
        <v/>
      </c>
      <c r="R1687" s="16" t="str">
        <f t="shared" si="105"/>
        <v/>
      </c>
      <c r="S1687" s="17" t="str">
        <f t="shared" si="106"/>
        <v/>
      </c>
      <c r="T1687" s="18" t="str">
        <f t="shared" ca="1" si="107"/>
        <v/>
      </c>
    </row>
    <row r="1688" spans="1:20" x14ac:dyDescent="0.35">
      <c r="A1688" s="11"/>
      <c r="B1688" s="11"/>
      <c r="C1688" s="11"/>
      <c r="D1688" s="12"/>
      <c r="E1688" s="11"/>
      <c r="F1688" s="13"/>
      <c r="G1688" s="13"/>
      <c r="H1688" s="11"/>
      <c r="I1688" s="12"/>
      <c r="J1688" s="12"/>
      <c r="K1688" s="13"/>
      <c r="L1688" s="13"/>
      <c r="M1688" s="13"/>
      <c r="N1688" s="13"/>
      <c r="O1688" s="13"/>
      <c r="P1688" s="14" t="str">
        <f t="shared" si="104"/>
        <v/>
      </c>
      <c r="Q1688" s="15" t="str">
        <f>IF(OR(J1688="",H1688=""),"",IFERROR(IF(ISNUMBER(N1688),N1688,IF(K1688&lt;N(INDEX(Platforms!$G$5:$G$14,MATCH(H1688,Lists!$A$2:$A$11,0))),N(INDEX(Platforms!$H$5:$H$14,MATCH(H1688,Lists!$A$2:$A$11,0))),MAX(N(INDEX(Platforms!$F$5:$F$14,MATCH(H1688,Lists!$A$2:$A$11,0))),N(INDEX(Platforms!$C$5:$C$14,MATCH(H1688,Lists!$A$2:$A$11,0)))*(K1688+IF(INDEX(Platforms!$E$5:$E$14,MATCH(H1688,Lists!$A$2:$A$11,0))="Yes",N(L1688),0))+N(INDEX(Platforms!$D$5:$D$14,MATCH(H1688,Lists!$A$2:$A$11,0)))))),""))</f>
        <v/>
      </c>
      <c r="R1688" s="16" t="str">
        <f t="shared" si="105"/>
        <v/>
      </c>
      <c r="S1688" s="17" t="str">
        <f t="shared" si="106"/>
        <v/>
      </c>
      <c r="T1688" s="18" t="str">
        <f t="shared" ca="1" si="107"/>
        <v/>
      </c>
    </row>
    <row r="1689" spans="1:20" x14ac:dyDescent="0.35">
      <c r="A1689" s="11"/>
      <c r="B1689" s="11"/>
      <c r="C1689" s="11"/>
      <c r="D1689" s="12"/>
      <c r="E1689" s="11"/>
      <c r="F1689" s="13"/>
      <c r="G1689" s="13"/>
      <c r="H1689" s="11"/>
      <c r="I1689" s="12"/>
      <c r="J1689" s="12"/>
      <c r="K1689" s="13"/>
      <c r="L1689" s="13"/>
      <c r="M1689" s="13"/>
      <c r="N1689" s="13"/>
      <c r="O1689" s="13"/>
      <c r="P1689" s="14" t="str">
        <f t="shared" si="104"/>
        <v/>
      </c>
      <c r="Q1689" s="15" t="str">
        <f>IF(OR(J1689="",H1689=""),"",IFERROR(IF(ISNUMBER(N1689),N1689,IF(K1689&lt;N(INDEX(Platforms!$G$5:$G$14,MATCH(H1689,Lists!$A$2:$A$11,0))),N(INDEX(Platforms!$H$5:$H$14,MATCH(H1689,Lists!$A$2:$A$11,0))),MAX(N(INDEX(Platforms!$F$5:$F$14,MATCH(H1689,Lists!$A$2:$A$11,0))),N(INDEX(Platforms!$C$5:$C$14,MATCH(H1689,Lists!$A$2:$A$11,0)))*(K1689+IF(INDEX(Platforms!$E$5:$E$14,MATCH(H1689,Lists!$A$2:$A$11,0))="Yes",N(L1689),0))+N(INDEX(Platforms!$D$5:$D$14,MATCH(H1689,Lists!$A$2:$A$11,0)))))),""))</f>
        <v/>
      </c>
      <c r="R1689" s="16" t="str">
        <f t="shared" si="105"/>
        <v/>
      </c>
      <c r="S1689" s="17" t="str">
        <f t="shared" si="106"/>
        <v/>
      </c>
      <c r="T1689" s="18" t="str">
        <f t="shared" ca="1" si="107"/>
        <v/>
      </c>
    </row>
    <row r="1690" spans="1:20" x14ac:dyDescent="0.35">
      <c r="A1690" s="11"/>
      <c r="B1690" s="11"/>
      <c r="C1690" s="11"/>
      <c r="D1690" s="12"/>
      <c r="E1690" s="11"/>
      <c r="F1690" s="13"/>
      <c r="G1690" s="13"/>
      <c r="H1690" s="11"/>
      <c r="I1690" s="12"/>
      <c r="J1690" s="12"/>
      <c r="K1690" s="13"/>
      <c r="L1690" s="13"/>
      <c r="M1690" s="13"/>
      <c r="N1690" s="13"/>
      <c r="O1690" s="13"/>
      <c r="P1690" s="14" t="str">
        <f t="shared" si="104"/>
        <v/>
      </c>
      <c r="Q1690" s="15" t="str">
        <f>IF(OR(J1690="",H1690=""),"",IFERROR(IF(ISNUMBER(N1690),N1690,IF(K1690&lt;N(INDEX(Platforms!$G$5:$G$14,MATCH(H1690,Lists!$A$2:$A$11,0))),N(INDEX(Platforms!$H$5:$H$14,MATCH(H1690,Lists!$A$2:$A$11,0))),MAX(N(INDEX(Platforms!$F$5:$F$14,MATCH(H1690,Lists!$A$2:$A$11,0))),N(INDEX(Platforms!$C$5:$C$14,MATCH(H1690,Lists!$A$2:$A$11,0)))*(K1690+IF(INDEX(Platforms!$E$5:$E$14,MATCH(H1690,Lists!$A$2:$A$11,0))="Yes",N(L1690),0))+N(INDEX(Platforms!$D$5:$D$14,MATCH(H1690,Lists!$A$2:$A$11,0)))))),""))</f>
        <v/>
      </c>
      <c r="R1690" s="16" t="str">
        <f t="shared" si="105"/>
        <v/>
      </c>
      <c r="S1690" s="17" t="str">
        <f t="shared" si="106"/>
        <v/>
      </c>
      <c r="T1690" s="18" t="str">
        <f t="shared" ca="1" si="107"/>
        <v/>
      </c>
    </row>
    <row r="1691" spans="1:20" x14ac:dyDescent="0.35">
      <c r="A1691" s="11"/>
      <c r="B1691" s="11"/>
      <c r="C1691" s="11"/>
      <c r="D1691" s="12"/>
      <c r="E1691" s="11"/>
      <c r="F1691" s="13"/>
      <c r="G1691" s="13"/>
      <c r="H1691" s="11"/>
      <c r="I1691" s="12"/>
      <c r="J1691" s="12"/>
      <c r="K1691" s="13"/>
      <c r="L1691" s="13"/>
      <c r="M1691" s="13"/>
      <c r="N1691" s="13"/>
      <c r="O1691" s="13"/>
      <c r="P1691" s="14" t="str">
        <f t="shared" si="104"/>
        <v/>
      </c>
      <c r="Q1691" s="15" t="str">
        <f>IF(OR(J1691="",H1691=""),"",IFERROR(IF(ISNUMBER(N1691),N1691,IF(K1691&lt;N(INDEX(Platforms!$G$5:$G$14,MATCH(H1691,Lists!$A$2:$A$11,0))),N(INDEX(Platforms!$H$5:$H$14,MATCH(H1691,Lists!$A$2:$A$11,0))),MAX(N(INDEX(Platforms!$F$5:$F$14,MATCH(H1691,Lists!$A$2:$A$11,0))),N(INDEX(Platforms!$C$5:$C$14,MATCH(H1691,Lists!$A$2:$A$11,0)))*(K1691+IF(INDEX(Platforms!$E$5:$E$14,MATCH(H1691,Lists!$A$2:$A$11,0))="Yes",N(L1691),0))+N(INDEX(Platforms!$D$5:$D$14,MATCH(H1691,Lists!$A$2:$A$11,0)))))),""))</f>
        <v/>
      </c>
      <c r="R1691" s="16" t="str">
        <f t="shared" si="105"/>
        <v/>
      </c>
      <c r="S1691" s="17" t="str">
        <f t="shared" si="106"/>
        <v/>
      </c>
      <c r="T1691" s="18" t="str">
        <f t="shared" ca="1" si="107"/>
        <v/>
      </c>
    </row>
    <row r="1692" spans="1:20" x14ac:dyDescent="0.35">
      <c r="A1692" s="11"/>
      <c r="B1692" s="11"/>
      <c r="C1692" s="11"/>
      <c r="D1692" s="12"/>
      <c r="E1692" s="11"/>
      <c r="F1692" s="13"/>
      <c r="G1692" s="13"/>
      <c r="H1692" s="11"/>
      <c r="I1692" s="12"/>
      <c r="J1692" s="12"/>
      <c r="K1692" s="13"/>
      <c r="L1692" s="13"/>
      <c r="M1692" s="13"/>
      <c r="N1692" s="13"/>
      <c r="O1692" s="13"/>
      <c r="P1692" s="14" t="str">
        <f t="shared" si="104"/>
        <v/>
      </c>
      <c r="Q1692" s="15" t="str">
        <f>IF(OR(J1692="",H1692=""),"",IFERROR(IF(ISNUMBER(N1692),N1692,IF(K1692&lt;N(INDEX(Platforms!$G$5:$G$14,MATCH(H1692,Lists!$A$2:$A$11,0))),N(INDEX(Platforms!$H$5:$H$14,MATCH(H1692,Lists!$A$2:$A$11,0))),MAX(N(INDEX(Platforms!$F$5:$F$14,MATCH(H1692,Lists!$A$2:$A$11,0))),N(INDEX(Platforms!$C$5:$C$14,MATCH(H1692,Lists!$A$2:$A$11,0)))*(K1692+IF(INDEX(Platforms!$E$5:$E$14,MATCH(H1692,Lists!$A$2:$A$11,0))="Yes",N(L1692),0))+N(INDEX(Platforms!$D$5:$D$14,MATCH(H1692,Lists!$A$2:$A$11,0)))))),""))</f>
        <v/>
      </c>
      <c r="R1692" s="16" t="str">
        <f t="shared" si="105"/>
        <v/>
      </c>
      <c r="S1692" s="17" t="str">
        <f t="shared" si="106"/>
        <v/>
      </c>
      <c r="T1692" s="18" t="str">
        <f t="shared" ca="1" si="107"/>
        <v/>
      </c>
    </row>
    <row r="1693" spans="1:20" x14ac:dyDescent="0.35">
      <c r="A1693" s="11"/>
      <c r="B1693" s="11"/>
      <c r="C1693" s="11"/>
      <c r="D1693" s="12"/>
      <c r="E1693" s="11"/>
      <c r="F1693" s="13"/>
      <c r="G1693" s="13"/>
      <c r="H1693" s="11"/>
      <c r="I1693" s="12"/>
      <c r="J1693" s="12"/>
      <c r="K1693" s="13"/>
      <c r="L1693" s="13"/>
      <c r="M1693" s="13"/>
      <c r="N1693" s="13"/>
      <c r="O1693" s="13"/>
      <c r="P1693" s="14" t="str">
        <f t="shared" si="104"/>
        <v/>
      </c>
      <c r="Q1693" s="15" t="str">
        <f>IF(OR(J1693="",H1693=""),"",IFERROR(IF(ISNUMBER(N1693),N1693,IF(K1693&lt;N(INDEX(Platforms!$G$5:$G$14,MATCH(H1693,Lists!$A$2:$A$11,0))),N(INDEX(Platforms!$H$5:$H$14,MATCH(H1693,Lists!$A$2:$A$11,0))),MAX(N(INDEX(Platforms!$F$5:$F$14,MATCH(H1693,Lists!$A$2:$A$11,0))),N(INDEX(Platforms!$C$5:$C$14,MATCH(H1693,Lists!$A$2:$A$11,0)))*(K1693+IF(INDEX(Platforms!$E$5:$E$14,MATCH(H1693,Lists!$A$2:$A$11,0))="Yes",N(L1693),0))+N(INDEX(Platforms!$D$5:$D$14,MATCH(H1693,Lists!$A$2:$A$11,0)))))),""))</f>
        <v/>
      </c>
      <c r="R1693" s="16" t="str">
        <f t="shared" si="105"/>
        <v/>
      </c>
      <c r="S1693" s="17" t="str">
        <f t="shared" si="106"/>
        <v/>
      </c>
      <c r="T1693" s="18" t="str">
        <f t="shared" ca="1" si="107"/>
        <v/>
      </c>
    </row>
    <row r="1694" spans="1:20" x14ac:dyDescent="0.35">
      <c r="A1694" s="11"/>
      <c r="B1694" s="11"/>
      <c r="C1694" s="11"/>
      <c r="D1694" s="12"/>
      <c r="E1694" s="11"/>
      <c r="F1694" s="13"/>
      <c r="G1694" s="13"/>
      <c r="H1694" s="11"/>
      <c r="I1694" s="12"/>
      <c r="J1694" s="12"/>
      <c r="K1694" s="13"/>
      <c r="L1694" s="13"/>
      <c r="M1694" s="13"/>
      <c r="N1694" s="13"/>
      <c r="O1694" s="13"/>
      <c r="P1694" s="14" t="str">
        <f t="shared" si="104"/>
        <v/>
      </c>
      <c r="Q1694" s="15" t="str">
        <f>IF(OR(J1694="",H1694=""),"",IFERROR(IF(ISNUMBER(N1694),N1694,IF(K1694&lt;N(INDEX(Platforms!$G$5:$G$14,MATCH(H1694,Lists!$A$2:$A$11,0))),N(INDEX(Platforms!$H$5:$H$14,MATCH(H1694,Lists!$A$2:$A$11,0))),MAX(N(INDEX(Platforms!$F$5:$F$14,MATCH(H1694,Lists!$A$2:$A$11,0))),N(INDEX(Platforms!$C$5:$C$14,MATCH(H1694,Lists!$A$2:$A$11,0)))*(K1694+IF(INDEX(Platforms!$E$5:$E$14,MATCH(H1694,Lists!$A$2:$A$11,0))="Yes",N(L1694),0))+N(INDEX(Platforms!$D$5:$D$14,MATCH(H1694,Lists!$A$2:$A$11,0)))))),""))</f>
        <v/>
      </c>
      <c r="R1694" s="16" t="str">
        <f t="shared" si="105"/>
        <v/>
      </c>
      <c r="S1694" s="17" t="str">
        <f t="shared" si="106"/>
        <v/>
      </c>
      <c r="T1694" s="18" t="str">
        <f t="shared" ca="1" si="107"/>
        <v/>
      </c>
    </row>
    <row r="1695" spans="1:20" x14ac:dyDescent="0.35">
      <c r="A1695" s="11"/>
      <c r="B1695" s="11"/>
      <c r="C1695" s="11"/>
      <c r="D1695" s="12"/>
      <c r="E1695" s="11"/>
      <c r="F1695" s="13"/>
      <c r="G1695" s="13"/>
      <c r="H1695" s="11"/>
      <c r="I1695" s="12"/>
      <c r="J1695" s="12"/>
      <c r="K1695" s="13"/>
      <c r="L1695" s="13"/>
      <c r="M1695" s="13"/>
      <c r="N1695" s="13"/>
      <c r="O1695" s="13"/>
      <c r="P1695" s="14" t="str">
        <f t="shared" si="104"/>
        <v/>
      </c>
      <c r="Q1695" s="15" t="str">
        <f>IF(OR(J1695="",H1695=""),"",IFERROR(IF(ISNUMBER(N1695),N1695,IF(K1695&lt;N(INDEX(Platforms!$G$5:$G$14,MATCH(H1695,Lists!$A$2:$A$11,0))),N(INDEX(Platforms!$H$5:$H$14,MATCH(H1695,Lists!$A$2:$A$11,0))),MAX(N(INDEX(Platforms!$F$5:$F$14,MATCH(H1695,Lists!$A$2:$A$11,0))),N(INDEX(Platforms!$C$5:$C$14,MATCH(H1695,Lists!$A$2:$A$11,0)))*(K1695+IF(INDEX(Platforms!$E$5:$E$14,MATCH(H1695,Lists!$A$2:$A$11,0))="Yes",N(L1695),0))+N(INDEX(Platforms!$D$5:$D$14,MATCH(H1695,Lists!$A$2:$A$11,0)))))),""))</f>
        <v/>
      </c>
      <c r="R1695" s="16" t="str">
        <f t="shared" si="105"/>
        <v/>
      </c>
      <c r="S1695" s="17" t="str">
        <f t="shared" si="106"/>
        <v/>
      </c>
      <c r="T1695" s="18" t="str">
        <f t="shared" ca="1" si="107"/>
        <v/>
      </c>
    </row>
    <row r="1696" spans="1:20" x14ac:dyDescent="0.35">
      <c r="A1696" s="11"/>
      <c r="B1696" s="11"/>
      <c r="C1696" s="11"/>
      <c r="D1696" s="12"/>
      <c r="E1696" s="11"/>
      <c r="F1696" s="13"/>
      <c r="G1696" s="13"/>
      <c r="H1696" s="11"/>
      <c r="I1696" s="12"/>
      <c r="J1696" s="12"/>
      <c r="K1696" s="13"/>
      <c r="L1696" s="13"/>
      <c r="M1696" s="13"/>
      <c r="N1696" s="13"/>
      <c r="O1696" s="13"/>
      <c r="P1696" s="14" t="str">
        <f t="shared" si="104"/>
        <v/>
      </c>
      <c r="Q1696" s="15" t="str">
        <f>IF(OR(J1696="",H1696=""),"",IFERROR(IF(ISNUMBER(N1696),N1696,IF(K1696&lt;N(INDEX(Platforms!$G$5:$G$14,MATCH(H1696,Lists!$A$2:$A$11,0))),N(INDEX(Platforms!$H$5:$H$14,MATCH(H1696,Lists!$A$2:$A$11,0))),MAX(N(INDEX(Platforms!$F$5:$F$14,MATCH(H1696,Lists!$A$2:$A$11,0))),N(INDEX(Platforms!$C$5:$C$14,MATCH(H1696,Lists!$A$2:$A$11,0)))*(K1696+IF(INDEX(Platforms!$E$5:$E$14,MATCH(H1696,Lists!$A$2:$A$11,0))="Yes",N(L1696),0))+N(INDEX(Platforms!$D$5:$D$14,MATCH(H1696,Lists!$A$2:$A$11,0)))))),""))</f>
        <v/>
      </c>
      <c r="R1696" s="16" t="str">
        <f t="shared" si="105"/>
        <v/>
      </c>
      <c r="S1696" s="17" t="str">
        <f t="shared" si="106"/>
        <v/>
      </c>
      <c r="T1696" s="18" t="str">
        <f t="shared" ca="1" si="107"/>
        <v/>
      </c>
    </row>
    <row r="1697" spans="1:20" x14ac:dyDescent="0.35">
      <c r="A1697" s="11"/>
      <c r="B1697" s="11"/>
      <c r="C1697" s="11"/>
      <c r="D1697" s="12"/>
      <c r="E1697" s="11"/>
      <c r="F1697" s="13"/>
      <c r="G1697" s="13"/>
      <c r="H1697" s="11"/>
      <c r="I1697" s="12"/>
      <c r="J1697" s="12"/>
      <c r="K1697" s="13"/>
      <c r="L1697" s="13"/>
      <c r="M1697" s="13"/>
      <c r="N1697" s="13"/>
      <c r="O1697" s="13"/>
      <c r="P1697" s="14" t="str">
        <f t="shared" si="104"/>
        <v/>
      </c>
      <c r="Q1697" s="15" t="str">
        <f>IF(OR(J1697="",H1697=""),"",IFERROR(IF(ISNUMBER(N1697),N1697,IF(K1697&lt;N(INDEX(Platforms!$G$5:$G$14,MATCH(H1697,Lists!$A$2:$A$11,0))),N(INDEX(Platforms!$H$5:$H$14,MATCH(H1697,Lists!$A$2:$A$11,0))),MAX(N(INDEX(Platforms!$F$5:$F$14,MATCH(H1697,Lists!$A$2:$A$11,0))),N(INDEX(Platforms!$C$5:$C$14,MATCH(H1697,Lists!$A$2:$A$11,0)))*(K1697+IF(INDEX(Platforms!$E$5:$E$14,MATCH(H1697,Lists!$A$2:$A$11,0))="Yes",N(L1697),0))+N(INDEX(Platforms!$D$5:$D$14,MATCH(H1697,Lists!$A$2:$A$11,0)))))),""))</f>
        <v/>
      </c>
      <c r="R1697" s="16" t="str">
        <f t="shared" si="105"/>
        <v/>
      </c>
      <c r="S1697" s="17" t="str">
        <f t="shared" si="106"/>
        <v/>
      </c>
      <c r="T1697" s="18" t="str">
        <f t="shared" ca="1" si="107"/>
        <v/>
      </c>
    </row>
    <row r="1698" spans="1:20" x14ac:dyDescent="0.35">
      <c r="A1698" s="11"/>
      <c r="B1698" s="11"/>
      <c r="C1698" s="11"/>
      <c r="D1698" s="12"/>
      <c r="E1698" s="11"/>
      <c r="F1698" s="13"/>
      <c r="G1698" s="13"/>
      <c r="H1698" s="11"/>
      <c r="I1698" s="12"/>
      <c r="J1698" s="12"/>
      <c r="K1698" s="13"/>
      <c r="L1698" s="13"/>
      <c r="M1698" s="13"/>
      <c r="N1698" s="13"/>
      <c r="O1698" s="13"/>
      <c r="P1698" s="14" t="str">
        <f t="shared" si="104"/>
        <v/>
      </c>
      <c r="Q1698" s="15" t="str">
        <f>IF(OR(J1698="",H1698=""),"",IFERROR(IF(ISNUMBER(N1698),N1698,IF(K1698&lt;N(INDEX(Platforms!$G$5:$G$14,MATCH(H1698,Lists!$A$2:$A$11,0))),N(INDEX(Platforms!$H$5:$H$14,MATCH(H1698,Lists!$A$2:$A$11,0))),MAX(N(INDEX(Platforms!$F$5:$F$14,MATCH(H1698,Lists!$A$2:$A$11,0))),N(INDEX(Platforms!$C$5:$C$14,MATCH(H1698,Lists!$A$2:$A$11,0)))*(K1698+IF(INDEX(Platforms!$E$5:$E$14,MATCH(H1698,Lists!$A$2:$A$11,0))="Yes",N(L1698),0))+N(INDEX(Platforms!$D$5:$D$14,MATCH(H1698,Lists!$A$2:$A$11,0)))))),""))</f>
        <v/>
      </c>
      <c r="R1698" s="16" t="str">
        <f t="shared" si="105"/>
        <v/>
      </c>
      <c r="S1698" s="17" t="str">
        <f t="shared" si="106"/>
        <v/>
      </c>
      <c r="T1698" s="18" t="str">
        <f t="shared" ca="1" si="107"/>
        <v/>
      </c>
    </row>
    <row r="1699" spans="1:20" x14ac:dyDescent="0.35">
      <c r="A1699" s="11"/>
      <c r="B1699" s="11"/>
      <c r="C1699" s="11"/>
      <c r="D1699" s="12"/>
      <c r="E1699" s="11"/>
      <c r="F1699" s="13"/>
      <c r="G1699" s="13"/>
      <c r="H1699" s="11"/>
      <c r="I1699" s="12"/>
      <c r="J1699" s="12"/>
      <c r="K1699" s="13"/>
      <c r="L1699" s="13"/>
      <c r="M1699" s="13"/>
      <c r="N1699" s="13"/>
      <c r="O1699" s="13"/>
      <c r="P1699" s="14" t="str">
        <f t="shared" si="104"/>
        <v/>
      </c>
      <c r="Q1699" s="15" t="str">
        <f>IF(OR(J1699="",H1699=""),"",IFERROR(IF(ISNUMBER(N1699),N1699,IF(K1699&lt;N(INDEX(Platforms!$G$5:$G$14,MATCH(H1699,Lists!$A$2:$A$11,0))),N(INDEX(Platforms!$H$5:$H$14,MATCH(H1699,Lists!$A$2:$A$11,0))),MAX(N(INDEX(Platforms!$F$5:$F$14,MATCH(H1699,Lists!$A$2:$A$11,0))),N(INDEX(Platforms!$C$5:$C$14,MATCH(H1699,Lists!$A$2:$A$11,0)))*(K1699+IF(INDEX(Platforms!$E$5:$E$14,MATCH(H1699,Lists!$A$2:$A$11,0))="Yes",N(L1699),0))+N(INDEX(Platforms!$D$5:$D$14,MATCH(H1699,Lists!$A$2:$A$11,0)))))),""))</f>
        <v/>
      </c>
      <c r="R1699" s="16" t="str">
        <f t="shared" si="105"/>
        <v/>
      </c>
      <c r="S1699" s="17" t="str">
        <f t="shared" si="106"/>
        <v/>
      </c>
      <c r="T1699" s="18" t="str">
        <f t="shared" ca="1" si="107"/>
        <v/>
      </c>
    </row>
    <row r="1700" spans="1:20" x14ac:dyDescent="0.35">
      <c r="A1700" s="11"/>
      <c r="B1700" s="11"/>
      <c r="C1700" s="11"/>
      <c r="D1700" s="12"/>
      <c r="E1700" s="11"/>
      <c r="F1700" s="13"/>
      <c r="G1700" s="13"/>
      <c r="H1700" s="11"/>
      <c r="I1700" s="12"/>
      <c r="J1700" s="12"/>
      <c r="K1700" s="13"/>
      <c r="L1700" s="13"/>
      <c r="M1700" s="13"/>
      <c r="N1700" s="13"/>
      <c r="O1700" s="13"/>
      <c r="P1700" s="14" t="str">
        <f t="shared" si="104"/>
        <v/>
      </c>
      <c r="Q1700" s="15" t="str">
        <f>IF(OR(J1700="",H1700=""),"",IFERROR(IF(ISNUMBER(N1700),N1700,IF(K1700&lt;N(INDEX(Platforms!$G$5:$G$14,MATCH(H1700,Lists!$A$2:$A$11,0))),N(INDEX(Platforms!$H$5:$H$14,MATCH(H1700,Lists!$A$2:$A$11,0))),MAX(N(INDEX(Platforms!$F$5:$F$14,MATCH(H1700,Lists!$A$2:$A$11,0))),N(INDEX(Platforms!$C$5:$C$14,MATCH(H1700,Lists!$A$2:$A$11,0)))*(K1700+IF(INDEX(Platforms!$E$5:$E$14,MATCH(H1700,Lists!$A$2:$A$11,0))="Yes",N(L1700),0))+N(INDEX(Platforms!$D$5:$D$14,MATCH(H1700,Lists!$A$2:$A$11,0)))))),""))</f>
        <v/>
      </c>
      <c r="R1700" s="16" t="str">
        <f t="shared" si="105"/>
        <v/>
      </c>
      <c r="S1700" s="17" t="str">
        <f t="shared" si="106"/>
        <v/>
      </c>
      <c r="T1700" s="18" t="str">
        <f t="shared" ca="1" si="107"/>
        <v/>
      </c>
    </row>
    <row r="1701" spans="1:20" x14ac:dyDescent="0.35">
      <c r="A1701" s="11"/>
      <c r="B1701" s="11"/>
      <c r="C1701" s="11"/>
      <c r="D1701" s="12"/>
      <c r="E1701" s="11"/>
      <c r="F1701" s="13"/>
      <c r="G1701" s="13"/>
      <c r="H1701" s="11"/>
      <c r="I1701" s="12"/>
      <c r="J1701" s="12"/>
      <c r="K1701" s="13"/>
      <c r="L1701" s="13"/>
      <c r="M1701" s="13"/>
      <c r="N1701" s="13"/>
      <c r="O1701" s="13"/>
      <c r="P1701" s="14" t="str">
        <f t="shared" si="104"/>
        <v/>
      </c>
      <c r="Q1701" s="15" t="str">
        <f>IF(OR(J1701="",H1701=""),"",IFERROR(IF(ISNUMBER(N1701),N1701,IF(K1701&lt;N(INDEX(Platforms!$G$5:$G$14,MATCH(H1701,Lists!$A$2:$A$11,0))),N(INDEX(Platforms!$H$5:$H$14,MATCH(H1701,Lists!$A$2:$A$11,0))),MAX(N(INDEX(Platforms!$F$5:$F$14,MATCH(H1701,Lists!$A$2:$A$11,0))),N(INDEX(Platforms!$C$5:$C$14,MATCH(H1701,Lists!$A$2:$A$11,0)))*(K1701+IF(INDEX(Platforms!$E$5:$E$14,MATCH(H1701,Lists!$A$2:$A$11,0))="Yes",N(L1701),0))+N(INDEX(Platforms!$D$5:$D$14,MATCH(H1701,Lists!$A$2:$A$11,0)))))),""))</f>
        <v/>
      </c>
      <c r="R1701" s="16" t="str">
        <f t="shared" si="105"/>
        <v/>
      </c>
      <c r="S1701" s="17" t="str">
        <f t="shared" si="106"/>
        <v/>
      </c>
      <c r="T1701" s="18" t="str">
        <f t="shared" ca="1" si="107"/>
        <v/>
      </c>
    </row>
    <row r="1702" spans="1:20" x14ac:dyDescent="0.35">
      <c r="A1702" s="11"/>
      <c r="B1702" s="11"/>
      <c r="C1702" s="11"/>
      <c r="D1702" s="12"/>
      <c r="E1702" s="11"/>
      <c r="F1702" s="13"/>
      <c r="G1702" s="13"/>
      <c r="H1702" s="11"/>
      <c r="I1702" s="12"/>
      <c r="J1702" s="12"/>
      <c r="K1702" s="13"/>
      <c r="L1702" s="13"/>
      <c r="M1702" s="13"/>
      <c r="N1702" s="13"/>
      <c r="O1702" s="13"/>
      <c r="P1702" s="14" t="str">
        <f t="shared" si="104"/>
        <v/>
      </c>
      <c r="Q1702" s="15" t="str">
        <f>IF(OR(J1702="",H1702=""),"",IFERROR(IF(ISNUMBER(N1702),N1702,IF(K1702&lt;N(INDEX(Platforms!$G$5:$G$14,MATCH(H1702,Lists!$A$2:$A$11,0))),N(INDEX(Platforms!$H$5:$H$14,MATCH(H1702,Lists!$A$2:$A$11,0))),MAX(N(INDEX(Platforms!$F$5:$F$14,MATCH(H1702,Lists!$A$2:$A$11,0))),N(INDEX(Platforms!$C$5:$C$14,MATCH(H1702,Lists!$A$2:$A$11,0)))*(K1702+IF(INDEX(Platforms!$E$5:$E$14,MATCH(H1702,Lists!$A$2:$A$11,0))="Yes",N(L1702),0))+N(INDEX(Platforms!$D$5:$D$14,MATCH(H1702,Lists!$A$2:$A$11,0)))))),""))</f>
        <v/>
      </c>
      <c r="R1702" s="16" t="str">
        <f t="shared" si="105"/>
        <v/>
      </c>
      <c r="S1702" s="17" t="str">
        <f t="shared" si="106"/>
        <v/>
      </c>
      <c r="T1702" s="18" t="str">
        <f t="shared" ca="1" si="107"/>
        <v/>
      </c>
    </row>
    <row r="1703" spans="1:20" x14ac:dyDescent="0.35">
      <c r="A1703" s="11"/>
      <c r="B1703" s="11"/>
      <c r="C1703" s="11"/>
      <c r="D1703" s="12"/>
      <c r="E1703" s="11"/>
      <c r="F1703" s="13"/>
      <c r="G1703" s="13"/>
      <c r="H1703" s="11"/>
      <c r="I1703" s="12"/>
      <c r="J1703" s="12"/>
      <c r="K1703" s="13"/>
      <c r="L1703" s="13"/>
      <c r="M1703" s="13"/>
      <c r="N1703" s="13"/>
      <c r="O1703" s="13"/>
      <c r="P1703" s="14" t="str">
        <f t="shared" si="104"/>
        <v/>
      </c>
      <c r="Q1703" s="15" t="str">
        <f>IF(OR(J1703="",H1703=""),"",IFERROR(IF(ISNUMBER(N1703),N1703,IF(K1703&lt;N(INDEX(Platforms!$G$5:$G$14,MATCH(H1703,Lists!$A$2:$A$11,0))),N(INDEX(Platforms!$H$5:$H$14,MATCH(H1703,Lists!$A$2:$A$11,0))),MAX(N(INDEX(Platforms!$F$5:$F$14,MATCH(H1703,Lists!$A$2:$A$11,0))),N(INDEX(Platforms!$C$5:$C$14,MATCH(H1703,Lists!$A$2:$A$11,0)))*(K1703+IF(INDEX(Platforms!$E$5:$E$14,MATCH(H1703,Lists!$A$2:$A$11,0))="Yes",N(L1703),0))+N(INDEX(Platforms!$D$5:$D$14,MATCH(H1703,Lists!$A$2:$A$11,0)))))),""))</f>
        <v/>
      </c>
      <c r="R1703" s="16" t="str">
        <f t="shared" si="105"/>
        <v/>
      </c>
      <c r="S1703" s="17" t="str">
        <f t="shared" si="106"/>
        <v/>
      </c>
      <c r="T1703" s="18" t="str">
        <f t="shared" ca="1" si="107"/>
        <v/>
      </c>
    </row>
    <row r="1704" spans="1:20" x14ac:dyDescent="0.35">
      <c r="A1704" s="11"/>
      <c r="B1704" s="11"/>
      <c r="C1704" s="11"/>
      <c r="D1704" s="12"/>
      <c r="E1704" s="11"/>
      <c r="F1704" s="13"/>
      <c r="G1704" s="13"/>
      <c r="H1704" s="11"/>
      <c r="I1704" s="12"/>
      <c r="J1704" s="12"/>
      <c r="K1704" s="13"/>
      <c r="L1704" s="13"/>
      <c r="M1704" s="13"/>
      <c r="N1704" s="13"/>
      <c r="O1704" s="13"/>
      <c r="P1704" s="14" t="str">
        <f t="shared" si="104"/>
        <v/>
      </c>
      <c r="Q1704" s="15" t="str">
        <f>IF(OR(J1704="",H1704=""),"",IFERROR(IF(ISNUMBER(N1704),N1704,IF(K1704&lt;N(INDEX(Platforms!$G$5:$G$14,MATCH(H1704,Lists!$A$2:$A$11,0))),N(INDEX(Platforms!$H$5:$H$14,MATCH(H1704,Lists!$A$2:$A$11,0))),MAX(N(INDEX(Platforms!$F$5:$F$14,MATCH(H1704,Lists!$A$2:$A$11,0))),N(INDEX(Platforms!$C$5:$C$14,MATCH(H1704,Lists!$A$2:$A$11,0)))*(K1704+IF(INDEX(Platforms!$E$5:$E$14,MATCH(H1704,Lists!$A$2:$A$11,0))="Yes",N(L1704),0))+N(INDEX(Platforms!$D$5:$D$14,MATCH(H1704,Lists!$A$2:$A$11,0)))))),""))</f>
        <v/>
      </c>
      <c r="R1704" s="16" t="str">
        <f t="shared" si="105"/>
        <v/>
      </c>
      <c r="S1704" s="17" t="str">
        <f t="shared" si="106"/>
        <v/>
      </c>
      <c r="T1704" s="18" t="str">
        <f t="shared" ca="1" si="107"/>
        <v/>
      </c>
    </row>
    <row r="1705" spans="1:20" x14ac:dyDescent="0.35">
      <c r="A1705" s="11"/>
      <c r="B1705" s="11"/>
      <c r="C1705" s="11"/>
      <c r="D1705" s="12"/>
      <c r="E1705" s="11"/>
      <c r="F1705" s="13"/>
      <c r="G1705" s="13"/>
      <c r="H1705" s="11"/>
      <c r="I1705" s="12"/>
      <c r="J1705" s="12"/>
      <c r="K1705" s="13"/>
      <c r="L1705" s="13"/>
      <c r="M1705" s="13"/>
      <c r="N1705" s="13"/>
      <c r="O1705" s="13"/>
      <c r="P1705" s="14" t="str">
        <f t="shared" si="104"/>
        <v/>
      </c>
      <c r="Q1705" s="15" t="str">
        <f>IF(OR(J1705="",H1705=""),"",IFERROR(IF(ISNUMBER(N1705),N1705,IF(K1705&lt;N(INDEX(Platforms!$G$5:$G$14,MATCH(H1705,Lists!$A$2:$A$11,0))),N(INDEX(Platforms!$H$5:$H$14,MATCH(H1705,Lists!$A$2:$A$11,0))),MAX(N(INDEX(Platforms!$F$5:$F$14,MATCH(H1705,Lists!$A$2:$A$11,0))),N(INDEX(Platforms!$C$5:$C$14,MATCH(H1705,Lists!$A$2:$A$11,0)))*(K1705+IF(INDEX(Platforms!$E$5:$E$14,MATCH(H1705,Lists!$A$2:$A$11,0))="Yes",N(L1705),0))+N(INDEX(Platforms!$D$5:$D$14,MATCH(H1705,Lists!$A$2:$A$11,0)))))),""))</f>
        <v/>
      </c>
      <c r="R1705" s="16" t="str">
        <f t="shared" si="105"/>
        <v/>
      </c>
      <c r="S1705" s="17" t="str">
        <f t="shared" si="106"/>
        <v/>
      </c>
      <c r="T1705" s="18" t="str">
        <f t="shared" ca="1" si="107"/>
        <v/>
      </c>
    </row>
    <row r="1706" spans="1:20" x14ac:dyDescent="0.35">
      <c r="A1706" s="11"/>
      <c r="B1706" s="11"/>
      <c r="C1706" s="11"/>
      <c r="D1706" s="12"/>
      <c r="E1706" s="11"/>
      <c r="F1706" s="13"/>
      <c r="G1706" s="13"/>
      <c r="H1706" s="11"/>
      <c r="I1706" s="12"/>
      <c r="J1706" s="12"/>
      <c r="K1706" s="13"/>
      <c r="L1706" s="13"/>
      <c r="M1706" s="13"/>
      <c r="N1706" s="13"/>
      <c r="O1706" s="13"/>
      <c r="P1706" s="14" t="str">
        <f t="shared" si="104"/>
        <v/>
      </c>
      <c r="Q1706" s="15" t="str">
        <f>IF(OR(J1706="",H1706=""),"",IFERROR(IF(ISNUMBER(N1706),N1706,IF(K1706&lt;N(INDEX(Platforms!$G$5:$G$14,MATCH(H1706,Lists!$A$2:$A$11,0))),N(INDEX(Platforms!$H$5:$H$14,MATCH(H1706,Lists!$A$2:$A$11,0))),MAX(N(INDEX(Platforms!$F$5:$F$14,MATCH(H1706,Lists!$A$2:$A$11,0))),N(INDEX(Platforms!$C$5:$C$14,MATCH(H1706,Lists!$A$2:$A$11,0)))*(K1706+IF(INDEX(Platforms!$E$5:$E$14,MATCH(H1706,Lists!$A$2:$A$11,0))="Yes",N(L1706),0))+N(INDEX(Platforms!$D$5:$D$14,MATCH(H1706,Lists!$A$2:$A$11,0)))))),""))</f>
        <v/>
      </c>
      <c r="R1706" s="16" t="str">
        <f t="shared" si="105"/>
        <v/>
      </c>
      <c r="S1706" s="17" t="str">
        <f t="shared" si="106"/>
        <v/>
      </c>
      <c r="T1706" s="18" t="str">
        <f t="shared" ca="1" si="107"/>
        <v/>
      </c>
    </row>
    <row r="1707" spans="1:20" x14ac:dyDescent="0.35">
      <c r="A1707" s="11"/>
      <c r="B1707" s="11"/>
      <c r="C1707" s="11"/>
      <c r="D1707" s="12"/>
      <c r="E1707" s="11"/>
      <c r="F1707" s="13"/>
      <c r="G1707" s="13"/>
      <c r="H1707" s="11"/>
      <c r="I1707" s="12"/>
      <c r="J1707" s="12"/>
      <c r="K1707" s="13"/>
      <c r="L1707" s="13"/>
      <c r="M1707" s="13"/>
      <c r="N1707" s="13"/>
      <c r="O1707" s="13"/>
      <c r="P1707" s="14" t="str">
        <f t="shared" si="104"/>
        <v/>
      </c>
      <c r="Q1707" s="15" t="str">
        <f>IF(OR(J1707="",H1707=""),"",IFERROR(IF(ISNUMBER(N1707),N1707,IF(K1707&lt;N(INDEX(Platforms!$G$5:$G$14,MATCH(H1707,Lists!$A$2:$A$11,0))),N(INDEX(Platforms!$H$5:$H$14,MATCH(H1707,Lists!$A$2:$A$11,0))),MAX(N(INDEX(Platforms!$F$5:$F$14,MATCH(H1707,Lists!$A$2:$A$11,0))),N(INDEX(Platforms!$C$5:$C$14,MATCH(H1707,Lists!$A$2:$A$11,0)))*(K1707+IF(INDEX(Platforms!$E$5:$E$14,MATCH(H1707,Lists!$A$2:$A$11,0))="Yes",N(L1707),0))+N(INDEX(Platforms!$D$5:$D$14,MATCH(H1707,Lists!$A$2:$A$11,0)))))),""))</f>
        <v/>
      </c>
      <c r="R1707" s="16" t="str">
        <f t="shared" si="105"/>
        <v/>
      </c>
      <c r="S1707" s="17" t="str">
        <f t="shared" si="106"/>
        <v/>
      </c>
      <c r="T1707" s="18" t="str">
        <f t="shared" ca="1" si="107"/>
        <v/>
      </c>
    </row>
    <row r="1708" spans="1:20" x14ac:dyDescent="0.35">
      <c r="A1708" s="11"/>
      <c r="B1708" s="11"/>
      <c r="C1708" s="11"/>
      <c r="D1708" s="12"/>
      <c r="E1708" s="11"/>
      <c r="F1708" s="13"/>
      <c r="G1708" s="13"/>
      <c r="H1708" s="11"/>
      <c r="I1708" s="12"/>
      <c r="J1708" s="12"/>
      <c r="K1708" s="13"/>
      <c r="L1708" s="13"/>
      <c r="M1708" s="13"/>
      <c r="N1708" s="13"/>
      <c r="O1708" s="13"/>
      <c r="P1708" s="14" t="str">
        <f t="shared" si="104"/>
        <v/>
      </c>
      <c r="Q1708" s="15" t="str">
        <f>IF(OR(J1708="",H1708=""),"",IFERROR(IF(ISNUMBER(N1708),N1708,IF(K1708&lt;N(INDEX(Platforms!$G$5:$G$14,MATCH(H1708,Lists!$A$2:$A$11,0))),N(INDEX(Platforms!$H$5:$H$14,MATCH(H1708,Lists!$A$2:$A$11,0))),MAX(N(INDEX(Platforms!$F$5:$F$14,MATCH(H1708,Lists!$A$2:$A$11,0))),N(INDEX(Platforms!$C$5:$C$14,MATCH(H1708,Lists!$A$2:$A$11,0)))*(K1708+IF(INDEX(Platforms!$E$5:$E$14,MATCH(H1708,Lists!$A$2:$A$11,0))="Yes",N(L1708),0))+N(INDEX(Platforms!$D$5:$D$14,MATCH(H1708,Lists!$A$2:$A$11,0)))))),""))</f>
        <v/>
      </c>
      <c r="R1708" s="16" t="str">
        <f t="shared" si="105"/>
        <v/>
      </c>
      <c r="S1708" s="17" t="str">
        <f t="shared" si="106"/>
        <v/>
      </c>
      <c r="T1708" s="18" t="str">
        <f t="shared" ca="1" si="107"/>
        <v/>
      </c>
    </row>
    <row r="1709" spans="1:20" x14ac:dyDescent="0.35">
      <c r="A1709" s="11"/>
      <c r="B1709" s="11"/>
      <c r="C1709" s="11"/>
      <c r="D1709" s="12"/>
      <c r="E1709" s="11"/>
      <c r="F1709" s="13"/>
      <c r="G1709" s="13"/>
      <c r="H1709" s="11"/>
      <c r="I1709" s="12"/>
      <c r="J1709" s="12"/>
      <c r="K1709" s="13"/>
      <c r="L1709" s="13"/>
      <c r="M1709" s="13"/>
      <c r="N1709" s="13"/>
      <c r="O1709" s="13"/>
      <c r="P1709" s="14" t="str">
        <f t="shared" si="104"/>
        <v/>
      </c>
      <c r="Q1709" s="15" t="str">
        <f>IF(OR(J1709="",H1709=""),"",IFERROR(IF(ISNUMBER(N1709),N1709,IF(K1709&lt;N(INDEX(Platforms!$G$5:$G$14,MATCH(H1709,Lists!$A$2:$A$11,0))),N(INDEX(Platforms!$H$5:$H$14,MATCH(H1709,Lists!$A$2:$A$11,0))),MAX(N(INDEX(Platforms!$F$5:$F$14,MATCH(H1709,Lists!$A$2:$A$11,0))),N(INDEX(Platforms!$C$5:$C$14,MATCH(H1709,Lists!$A$2:$A$11,0)))*(K1709+IF(INDEX(Platforms!$E$5:$E$14,MATCH(H1709,Lists!$A$2:$A$11,0))="Yes",N(L1709),0))+N(INDEX(Platforms!$D$5:$D$14,MATCH(H1709,Lists!$A$2:$A$11,0)))))),""))</f>
        <v/>
      </c>
      <c r="R1709" s="16" t="str">
        <f t="shared" si="105"/>
        <v/>
      </c>
      <c r="S1709" s="17" t="str">
        <f t="shared" si="106"/>
        <v/>
      </c>
      <c r="T1709" s="18" t="str">
        <f t="shared" ca="1" si="107"/>
        <v/>
      </c>
    </row>
    <row r="1710" spans="1:20" x14ac:dyDescent="0.35">
      <c r="A1710" s="11"/>
      <c r="B1710" s="11"/>
      <c r="C1710" s="11"/>
      <c r="D1710" s="12"/>
      <c r="E1710" s="11"/>
      <c r="F1710" s="13"/>
      <c r="G1710" s="13"/>
      <c r="H1710" s="11"/>
      <c r="I1710" s="12"/>
      <c r="J1710" s="12"/>
      <c r="K1710" s="13"/>
      <c r="L1710" s="13"/>
      <c r="M1710" s="13"/>
      <c r="N1710" s="13"/>
      <c r="O1710" s="13"/>
      <c r="P1710" s="14" t="str">
        <f t="shared" si="104"/>
        <v/>
      </c>
      <c r="Q1710" s="15" t="str">
        <f>IF(OR(J1710="",H1710=""),"",IFERROR(IF(ISNUMBER(N1710),N1710,IF(K1710&lt;N(INDEX(Platforms!$G$5:$G$14,MATCH(H1710,Lists!$A$2:$A$11,0))),N(INDEX(Platforms!$H$5:$H$14,MATCH(H1710,Lists!$A$2:$A$11,0))),MAX(N(INDEX(Platforms!$F$5:$F$14,MATCH(H1710,Lists!$A$2:$A$11,0))),N(INDEX(Platforms!$C$5:$C$14,MATCH(H1710,Lists!$A$2:$A$11,0)))*(K1710+IF(INDEX(Platforms!$E$5:$E$14,MATCH(H1710,Lists!$A$2:$A$11,0))="Yes",N(L1710),0))+N(INDEX(Platforms!$D$5:$D$14,MATCH(H1710,Lists!$A$2:$A$11,0)))))),""))</f>
        <v/>
      </c>
      <c r="R1710" s="16" t="str">
        <f t="shared" si="105"/>
        <v/>
      </c>
      <c r="S1710" s="17" t="str">
        <f t="shared" si="106"/>
        <v/>
      </c>
      <c r="T1710" s="18" t="str">
        <f t="shared" ca="1" si="107"/>
        <v/>
      </c>
    </row>
    <row r="1711" spans="1:20" x14ac:dyDescent="0.35">
      <c r="A1711" s="11"/>
      <c r="B1711" s="11"/>
      <c r="C1711" s="11"/>
      <c r="D1711" s="12"/>
      <c r="E1711" s="11"/>
      <c r="F1711" s="13"/>
      <c r="G1711" s="13"/>
      <c r="H1711" s="11"/>
      <c r="I1711" s="12"/>
      <c r="J1711" s="12"/>
      <c r="K1711" s="13"/>
      <c r="L1711" s="13"/>
      <c r="M1711" s="13"/>
      <c r="N1711" s="13"/>
      <c r="O1711" s="13"/>
      <c r="P1711" s="14" t="str">
        <f t="shared" si="104"/>
        <v/>
      </c>
      <c r="Q1711" s="15" t="str">
        <f>IF(OR(J1711="",H1711=""),"",IFERROR(IF(ISNUMBER(N1711),N1711,IF(K1711&lt;N(INDEX(Platforms!$G$5:$G$14,MATCH(H1711,Lists!$A$2:$A$11,0))),N(INDEX(Platforms!$H$5:$H$14,MATCH(H1711,Lists!$A$2:$A$11,0))),MAX(N(INDEX(Platforms!$F$5:$F$14,MATCH(H1711,Lists!$A$2:$A$11,0))),N(INDEX(Platforms!$C$5:$C$14,MATCH(H1711,Lists!$A$2:$A$11,0)))*(K1711+IF(INDEX(Platforms!$E$5:$E$14,MATCH(H1711,Lists!$A$2:$A$11,0))="Yes",N(L1711),0))+N(INDEX(Platforms!$D$5:$D$14,MATCH(H1711,Lists!$A$2:$A$11,0)))))),""))</f>
        <v/>
      </c>
      <c r="R1711" s="16" t="str">
        <f t="shared" si="105"/>
        <v/>
      </c>
      <c r="S1711" s="17" t="str">
        <f t="shared" si="106"/>
        <v/>
      </c>
      <c r="T1711" s="18" t="str">
        <f t="shared" ca="1" si="107"/>
        <v/>
      </c>
    </row>
    <row r="1712" spans="1:20" x14ac:dyDescent="0.35">
      <c r="A1712" s="11"/>
      <c r="B1712" s="11"/>
      <c r="C1712" s="11"/>
      <c r="D1712" s="12"/>
      <c r="E1712" s="11"/>
      <c r="F1712" s="13"/>
      <c r="G1712" s="13"/>
      <c r="H1712" s="11"/>
      <c r="I1712" s="12"/>
      <c r="J1712" s="12"/>
      <c r="K1712" s="13"/>
      <c r="L1712" s="13"/>
      <c r="M1712" s="13"/>
      <c r="N1712" s="13"/>
      <c r="O1712" s="13"/>
      <c r="P1712" s="14" t="str">
        <f t="shared" si="104"/>
        <v/>
      </c>
      <c r="Q1712" s="15" t="str">
        <f>IF(OR(J1712="",H1712=""),"",IFERROR(IF(ISNUMBER(N1712),N1712,IF(K1712&lt;N(INDEX(Platforms!$G$5:$G$14,MATCH(H1712,Lists!$A$2:$A$11,0))),N(INDEX(Platforms!$H$5:$H$14,MATCH(H1712,Lists!$A$2:$A$11,0))),MAX(N(INDEX(Platforms!$F$5:$F$14,MATCH(H1712,Lists!$A$2:$A$11,0))),N(INDEX(Platforms!$C$5:$C$14,MATCH(H1712,Lists!$A$2:$A$11,0)))*(K1712+IF(INDEX(Platforms!$E$5:$E$14,MATCH(H1712,Lists!$A$2:$A$11,0))="Yes",N(L1712),0))+N(INDEX(Platforms!$D$5:$D$14,MATCH(H1712,Lists!$A$2:$A$11,0)))))),""))</f>
        <v/>
      </c>
      <c r="R1712" s="16" t="str">
        <f t="shared" si="105"/>
        <v/>
      </c>
      <c r="S1712" s="17" t="str">
        <f t="shared" si="106"/>
        <v/>
      </c>
      <c r="T1712" s="18" t="str">
        <f t="shared" ca="1" si="107"/>
        <v/>
      </c>
    </row>
    <row r="1713" spans="1:20" x14ac:dyDescent="0.35">
      <c r="A1713" s="11"/>
      <c r="B1713" s="11"/>
      <c r="C1713" s="11"/>
      <c r="D1713" s="12"/>
      <c r="E1713" s="11"/>
      <c r="F1713" s="13"/>
      <c r="G1713" s="13"/>
      <c r="H1713" s="11"/>
      <c r="I1713" s="12"/>
      <c r="J1713" s="12"/>
      <c r="K1713" s="13"/>
      <c r="L1713" s="13"/>
      <c r="M1713" s="13"/>
      <c r="N1713" s="13"/>
      <c r="O1713" s="13"/>
      <c r="P1713" s="14" t="str">
        <f t="shared" si="104"/>
        <v/>
      </c>
      <c r="Q1713" s="15" t="str">
        <f>IF(OR(J1713="",H1713=""),"",IFERROR(IF(ISNUMBER(N1713),N1713,IF(K1713&lt;N(INDEX(Platforms!$G$5:$G$14,MATCH(H1713,Lists!$A$2:$A$11,0))),N(INDEX(Platforms!$H$5:$H$14,MATCH(H1713,Lists!$A$2:$A$11,0))),MAX(N(INDEX(Platforms!$F$5:$F$14,MATCH(H1713,Lists!$A$2:$A$11,0))),N(INDEX(Platforms!$C$5:$C$14,MATCH(H1713,Lists!$A$2:$A$11,0)))*(K1713+IF(INDEX(Platforms!$E$5:$E$14,MATCH(H1713,Lists!$A$2:$A$11,0))="Yes",N(L1713),0))+N(INDEX(Platforms!$D$5:$D$14,MATCH(H1713,Lists!$A$2:$A$11,0)))))),""))</f>
        <v/>
      </c>
      <c r="R1713" s="16" t="str">
        <f t="shared" si="105"/>
        <v/>
      </c>
      <c r="S1713" s="17" t="str">
        <f t="shared" si="106"/>
        <v/>
      </c>
      <c r="T1713" s="18" t="str">
        <f t="shared" ca="1" si="107"/>
        <v/>
      </c>
    </row>
    <row r="1714" spans="1:20" x14ac:dyDescent="0.35">
      <c r="A1714" s="11"/>
      <c r="B1714" s="11"/>
      <c r="C1714" s="11"/>
      <c r="D1714" s="12"/>
      <c r="E1714" s="11"/>
      <c r="F1714" s="13"/>
      <c r="G1714" s="13"/>
      <c r="H1714" s="11"/>
      <c r="I1714" s="12"/>
      <c r="J1714" s="12"/>
      <c r="K1714" s="13"/>
      <c r="L1714" s="13"/>
      <c r="M1714" s="13"/>
      <c r="N1714" s="13"/>
      <c r="O1714" s="13"/>
      <c r="P1714" s="14" t="str">
        <f t="shared" si="104"/>
        <v/>
      </c>
      <c r="Q1714" s="15" t="str">
        <f>IF(OR(J1714="",H1714=""),"",IFERROR(IF(ISNUMBER(N1714),N1714,IF(K1714&lt;N(INDEX(Platforms!$G$5:$G$14,MATCH(H1714,Lists!$A$2:$A$11,0))),N(INDEX(Platforms!$H$5:$H$14,MATCH(H1714,Lists!$A$2:$A$11,0))),MAX(N(INDEX(Platforms!$F$5:$F$14,MATCH(H1714,Lists!$A$2:$A$11,0))),N(INDEX(Platforms!$C$5:$C$14,MATCH(H1714,Lists!$A$2:$A$11,0)))*(K1714+IF(INDEX(Platforms!$E$5:$E$14,MATCH(H1714,Lists!$A$2:$A$11,0))="Yes",N(L1714),0))+N(INDEX(Platforms!$D$5:$D$14,MATCH(H1714,Lists!$A$2:$A$11,0)))))),""))</f>
        <v/>
      </c>
      <c r="R1714" s="16" t="str">
        <f t="shared" si="105"/>
        <v/>
      </c>
      <c r="S1714" s="17" t="str">
        <f t="shared" si="106"/>
        <v/>
      </c>
      <c r="T1714" s="18" t="str">
        <f t="shared" ca="1" si="107"/>
        <v/>
      </c>
    </row>
    <row r="1715" spans="1:20" x14ac:dyDescent="0.35">
      <c r="A1715" s="11"/>
      <c r="B1715" s="11"/>
      <c r="C1715" s="11"/>
      <c r="D1715" s="12"/>
      <c r="E1715" s="11"/>
      <c r="F1715" s="13"/>
      <c r="G1715" s="13"/>
      <c r="H1715" s="11"/>
      <c r="I1715" s="12"/>
      <c r="J1715" s="12"/>
      <c r="K1715" s="13"/>
      <c r="L1715" s="13"/>
      <c r="M1715" s="13"/>
      <c r="N1715" s="13"/>
      <c r="O1715" s="13"/>
      <c r="P1715" s="14" t="str">
        <f t="shared" si="104"/>
        <v/>
      </c>
      <c r="Q1715" s="15" t="str">
        <f>IF(OR(J1715="",H1715=""),"",IFERROR(IF(ISNUMBER(N1715),N1715,IF(K1715&lt;N(INDEX(Platforms!$G$5:$G$14,MATCH(H1715,Lists!$A$2:$A$11,0))),N(INDEX(Platforms!$H$5:$H$14,MATCH(H1715,Lists!$A$2:$A$11,0))),MAX(N(INDEX(Platforms!$F$5:$F$14,MATCH(H1715,Lists!$A$2:$A$11,0))),N(INDEX(Platforms!$C$5:$C$14,MATCH(H1715,Lists!$A$2:$A$11,0)))*(K1715+IF(INDEX(Platforms!$E$5:$E$14,MATCH(H1715,Lists!$A$2:$A$11,0))="Yes",N(L1715),0))+N(INDEX(Platforms!$D$5:$D$14,MATCH(H1715,Lists!$A$2:$A$11,0)))))),""))</f>
        <v/>
      </c>
      <c r="R1715" s="16" t="str">
        <f t="shared" si="105"/>
        <v/>
      </c>
      <c r="S1715" s="17" t="str">
        <f t="shared" si="106"/>
        <v/>
      </c>
      <c r="T1715" s="18" t="str">
        <f t="shared" ca="1" si="107"/>
        <v/>
      </c>
    </row>
    <row r="1716" spans="1:20" x14ac:dyDescent="0.35">
      <c r="A1716" s="11"/>
      <c r="B1716" s="11"/>
      <c r="C1716" s="11"/>
      <c r="D1716" s="12"/>
      <c r="E1716" s="11"/>
      <c r="F1716" s="13"/>
      <c r="G1716" s="13"/>
      <c r="H1716" s="11"/>
      <c r="I1716" s="12"/>
      <c r="J1716" s="12"/>
      <c r="K1716" s="13"/>
      <c r="L1716" s="13"/>
      <c r="M1716" s="13"/>
      <c r="N1716" s="13"/>
      <c r="O1716" s="13"/>
      <c r="P1716" s="14" t="str">
        <f t="shared" si="104"/>
        <v/>
      </c>
      <c r="Q1716" s="15" t="str">
        <f>IF(OR(J1716="",H1716=""),"",IFERROR(IF(ISNUMBER(N1716),N1716,IF(K1716&lt;N(INDEX(Platforms!$G$5:$G$14,MATCH(H1716,Lists!$A$2:$A$11,0))),N(INDEX(Platforms!$H$5:$H$14,MATCH(H1716,Lists!$A$2:$A$11,0))),MAX(N(INDEX(Platforms!$F$5:$F$14,MATCH(H1716,Lists!$A$2:$A$11,0))),N(INDEX(Platforms!$C$5:$C$14,MATCH(H1716,Lists!$A$2:$A$11,0)))*(K1716+IF(INDEX(Platforms!$E$5:$E$14,MATCH(H1716,Lists!$A$2:$A$11,0))="Yes",N(L1716),0))+N(INDEX(Platforms!$D$5:$D$14,MATCH(H1716,Lists!$A$2:$A$11,0)))))),""))</f>
        <v/>
      </c>
      <c r="R1716" s="16" t="str">
        <f t="shared" si="105"/>
        <v/>
      </c>
      <c r="S1716" s="17" t="str">
        <f t="shared" si="106"/>
        <v/>
      </c>
      <c r="T1716" s="18" t="str">
        <f t="shared" ca="1" si="107"/>
        <v/>
      </c>
    </row>
    <row r="1717" spans="1:20" x14ac:dyDescent="0.35">
      <c r="A1717" s="11"/>
      <c r="B1717" s="11"/>
      <c r="C1717" s="11"/>
      <c r="D1717" s="12"/>
      <c r="E1717" s="11"/>
      <c r="F1717" s="13"/>
      <c r="G1717" s="13"/>
      <c r="H1717" s="11"/>
      <c r="I1717" s="12"/>
      <c r="J1717" s="12"/>
      <c r="K1717" s="13"/>
      <c r="L1717" s="13"/>
      <c r="M1717" s="13"/>
      <c r="N1717" s="13"/>
      <c r="O1717" s="13"/>
      <c r="P1717" s="14" t="str">
        <f t="shared" si="104"/>
        <v/>
      </c>
      <c r="Q1717" s="15" t="str">
        <f>IF(OR(J1717="",H1717=""),"",IFERROR(IF(ISNUMBER(N1717),N1717,IF(K1717&lt;N(INDEX(Platforms!$G$5:$G$14,MATCH(H1717,Lists!$A$2:$A$11,0))),N(INDEX(Platforms!$H$5:$H$14,MATCH(H1717,Lists!$A$2:$A$11,0))),MAX(N(INDEX(Platforms!$F$5:$F$14,MATCH(H1717,Lists!$A$2:$A$11,0))),N(INDEX(Platforms!$C$5:$C$14,MATCH(H1717,Lists!$A$2:$A$11,0)))*(K1717+IF(INDEX(Platforms!$E$5:$E$14,MATCH(H1717,Lists!$A$2:$A$11,0))="Yes",N(L1717),0))+N(INDEX(Platforms!$D$5:$D$14,MATCH(H1717,Lists!$A$2:$A$11,0)))))),""))</f>
        <v/>
      </c>
      <c r="R1717" s="16" t="str">
        <f t="shared" si="105"/>
        <v/>
      </c>
      <c r="S1717" s="17" t="str">
        <f t="shared" si="106"/>
        <v/>
      </c>
      <c r="T1717" s="18" t="str">
        <f t="shared" ca="1" si="107"/>
        <v/>
      </c>
    </row>
    <row r="1718" spans="1:20" x14ac:dyDescent="0.35">
      <c r="A1718" s="11"/>
      <c r="B1718" s="11"/>
      <c r="C1718" s="11"/>
      <c r="D1718" s="12"/>
      <c r="E1718" s="11"/>
      <c r="F1718" s="13"/>
      <c r="G1718" s="13"/>
      <c r="H1718" s="11"/>
      <c r="I1718" s="12"/>
      <c r="J1718" s="12"/>
      <c r="K1718" s="13"/>
      <c r="L1718" s="13"/>
      <c r="M1718" s="13"/>
      <c r="N1718" s="13"/>
      <c r="O1718" s="13"/>
      <c r="P1718" s="14" t="str">
        <f t="shared" si="104"/>
        <v/>
      </c>
      <c r="Q1718" s="15" t="str">
        <f>IF(OR(J1718="",H1718=""),"",IFERROR(IF(ISNUMBER(N1718),N1718,IF(K1718&lt;N(INDEX(Platforms!$G$5:$G$14,MATCH(H1718,Lists!$A$2:$A$11,0))),N(INDEX(Platforms!$H$5:$H$14,MATCH(H1718,Lists!$A$2:$A$11,0))),MAX(N(INDEX(Platforms!$F$5:$F$14,MATCH(H1718,Lists!$A$2:$A$11,0))),N(INDEX(Platforms!$C$5:$C$14,MATCH(H1718,Lists!$A$2:$A$11,0)))*(K1718+IF(INDEX(Platforms!$E$5:$E$14,MATCH(H1718,Lists!$A$2:$A$11,0))="Yes",N(L1718),0))+N(INDEX(Platforms!$D$5:$D$14,MATCH(H1718,Lists!$A$2:$A$11,0)))))),""))</f>
        <v/>
      </c>
      <c r="R1718" s="16" t="str">
        <f t="shared" si="105"/>
        <v/>
      </c>
      <c r="S1718" s="17" t="str">
        <f t="shared" si="106"/>
        <v/>
      </c>
      <c r="T1718" s="18" t="str">
        <f t="shared" ca="1" si="107"/>
        <v/>
      </c>
    </row>
    <row r="1719" spans="1:20" x14ac:dyDescent="0.35">
      <c r="A1719" s="11"/>
      <c r="B1719" s="11"/>
      <c r="C1719" s="11"/>
      <c r="D1719" s="12"/>
      <c r="E1719" s="11"/>
      <c r="F1719" s="13"/>
      <c r="G1719" s="13"/>
      <c r="H1719" s="11"/>
      <c r="I1719" s="12"/>
      <c r="J1719" s="12"/>
      <c r="K1719" s="13"/>
      <c r="L1719" s="13"/>
      <c r="M1719" s="13"/>
      <c r="N1719" s="13"/>
      <c r="O1719" s="13"/>
      <c r="P1719" s="14" t="str">
        <f t="shared" si="104"/>
        <v/>
      </c>
      <c r="Q1719" s="15" t="str">
        <f>IF(OR(J1719="",H1719=""),"",IFERROR(IF(ISNUMBER(N1719),N1719,IF(K1719&lt;N(INDEX(Platforms!$G$5:$G$14,MATCH(H1719,Lists!$A$2:$A$11,0))),N(INDEX(Platforms!$H$5:$H$14,MATCH(H1719,Lists!$A$2:$A$11,0))),MAX(N(INDEX(Platforms!$F$5:$F$14,MATCH(H1719,Lists!$A$2:$A$11,0))),N(INDEX(Platforms!$C$5:$C$14,MATCH(H1719,Lists!$A$2:$A$11,0)))*(K1719+IF(INDEX(Platforms!$E$5:$E$14,MATCH(H1719,Lists!$A$2:$A$11,0))="Yes",N(L1719),0))+N(INDEX(Platforms!$D$5:$D$14,MATCH(H1719,Lists!$A$2:$A$11,0)))))),""))</f>
        <v/>
      </c>
      <c r="R1719" s="16" t="str">
        <f t="shared" si="105"/>
        <v/>
      </c>
      <c r="S1719" s="17" t="str">
        <f t="shared" si="106"/>
        <v/>
      </c>
      <c r="T1719" s="18" t="str">
        <f t="shared" ca="1" si="107"/>
        <v/>
      </c>
    </row>
    <row r="1720" spans="1:20" x14ac:dyDescent="0.35">
      <c r="A1720" s="11"/>
      <c r="B1720" s="11"/>
      <c r="C1720" s="11"/>
      <c r="D1720" s="12"/>
      <c r="E1720" s="11"/>
      <c r="F1720" s="13"/>
      <c r="G1720" s="13"/>
      <c r="H1720" s="11"/>
      <c r="I1720" s="12"/>
      <c r="J1720" s="12"/>
      <c r="K1720" s="13"/>
      <c r="L1720" s="13"/>
      <c r="M1720" s="13"/>
      <c r="N1720" s="13"/>
      <c r="O1720" s="13"/>
      <c r="P1720" s="14" t="str">
        <f t="shared" si="104"/>
        <v/>
      </c>
      <c r="Q1720" s="15" t="str">
        <f>IF(OR(J1720="",H1720=""),"",IFERROR(IF(ISNUMBER(N1720),N1720,IF(K1720&lt;N(INDEX(Platforms!$G$5:$G$14,MATCH(H1720,Lists!$A$2:$A$11,0))),N(INDEX(Platforms!$H$5:$H$14,MATCH(H1720,Lists!$A$2:$A$11,0))),MAX(N(INDEX(Platforms!$F$5:$F$14,MATCH(H1720,Lists!$A$2:$A$11,0))),N(INDEX(Platforms!$C$5:$C$14,MATCH(H1720,Lists!$A$2:$A$11,0)))*(K1720+IF(INDEX(Platforms!$E$5:$E$14,MATCH(H1720,Lists!$A$2:$A$11,0))="Yes",N(L1720),0))+N(INDEX(Platforms!$D$5:$D$14,MATCH(H1720,Lists!$A$2:$A$11,0)))))),""))</f>
        <v/>
      </c>
      <c r="R1720" s="16" t="str">
        <f t="shared" si="105"/>
        <v/>
      </c>
      <c r="S1720" s="17" t="str">
        <f t="shared" si="106"/>
        <v/>
      </c>
      <c r="T1720" s="18" t="str">
        <f t="shared" ca="1" si="107"/>
        <v/>
      </c>
    </row>
    <row r="1721" spans="1:20" x14ac:dyDescent="0.35">
      <c r="A1721" s="11"/>
      <c r="B1721" s="11"/>
      <c r="C1721" s="11"/>
      <c r="D1721" s="12"/>
      <c r="E1721" s="11"/>
      <c r="F1721" s="13"/>
      <c r="G1721" s="13"/>
      <c r="H1721" s="11"/>
      <c r="I1721" s="12"/>
      <c r="J1721" s="12"/>
      <c r="K1721" s="13"/>
      <c r="L1721" s="13"/>
      <c r="M1721" s="13"/>
      <c r="N1721" s="13"/>
      <c r="O1721" s="13"/>
      <c r="P1721" s="14" t="str">
        <f t="shared" si="104"/>
        <v/>
      </c>
      <c r="Q1721" s="15" t="str">
        <f>IF(OR(J1721="",H1721=""),"",IFERROR(IF(ISNUMBER(N1721),N1721,IF(K1721&lt;N(INDEX(Platforms!$G$5:$G$14,MATCH(H1721,Lists!$A$2:$A$11,0))),N(INDEX(Platforms!$H$5:$H$14,MATCH(H1721,Lists!$A$2:$A$11,0))),MAX(N(INDEX(Platforms!$F$5:$F$14,MATCH(H1721,Lists!$A$2:$A$11,0))),N(INDEX(Platforms!$C$5:$C$14,MATCH(H1721,Lists!$A$2:$A$11,0)))*(K1721+IF(INDEX(Platforms!$E$5:$E$14,MATCH(H1721,Lists!$A$2:$A$11,0))="Yes",N(L1721),0))+N(INDEX(Platforms!$D$5:$D$14,MATCH(H1721,Lists!$A$2:$A$11,0)))))),""))</f>
        <v/>
      </c>
      <c r="R1721" s="16" t="str">
        <f t="shared" si="105"/>
        <v/>
      </c>
      <c r="S1721" s="17" t="str">
        <f t="shared" si="106"/>
        <v/>
      </c>
      <c r="T1721" s="18" t="str">
        <f t="shared" ca="1" si="107"/>
        <v/>
      </c>
    </row>
    <row r="1722" spans="1:20" x14ac:dyDescent="0.35">
      <c r="A1722" s="11"/>
      <c r="B1722" s="11"/>
      <c r="C1722" s="11"/>
      <c r="D1722" s="12"/>
      <c r="E1722" s="11"/>
      <c r="F1722" s="13"/>
      <c r="G1722" s="13"/>
      <c r="H1722" s="11"/>
      <c r="I1722" s="12"/>
      <c r="J1722" s="12"/>
      <c r="K1722" s="13"/>
      <c r="L1722" s="13"/>
      <c r="M1722" s="13"/>
      <c r="N1722" s="13"/>
      <c r="O1722" s="13"/>
      <c r="P1722" s="14" t="str">
        <f t="shared" si="104"/>
        <v/>
      </c>
      <c r="Q1722" s="15" t="str">
        <f>IF(OR(J1722="",H1722=""),"",IFERROR(IF(ISNUMBER(N1722),N1722,IF(K1722&lt;N(INDEX(Platforms!$G$5:$G$14,MATCH(H1722,Lists!$A$2:$A$11,0))),N(INDEX(Platforms!$H$5:$H$14,MATCH(H1722,Lists!$A$2:$A$11,0))),MAX(N(INDEX(Platforms!$F$5:$F$14,MATCH(H1722,Lists!$A$2:$A$11,0))),N(INDEX(Platforms!$C$5:$C$14,MATCH(H1722,Lists!$A$2:$A$11,0)))*(K1722+IF(INDEX(Platforms!$E$5:$E$14,MATCH(H1722,Lists!$A$2:$A$11,0))="Yes",N(L1722),0))+N(INDEX(Platforms!$D$5:$D$14,MATCH(H1722,Lists!$A$2:$A$11,0)))))),""))</f>
        <v/>
      </c>
      <c r="R1722" s="16" t="str">
        <f t="shared" si="105"/>
        <v/>
      </c>
      <c r="S1722" s="17" t="str">
        <f t="shared" si="106"/>
        <v/>
      </c>
      <c r="T1722" s="18" t="str">
        <f t="shared" ca="1" si="107"/>
        <v/>
      </c>
    </row>
    <row r="1723" spans="1:20" x14ac:dyDescent="0.35">
      <c r="A1723" s="11"/>
      <c r="B1723" s="11"/>
      <c r="C1723" s="11"/>
      <c r="D1723" s="12"/>
      <c r="E1723" s="11"/>
      <c r="F1723" s="13"/>
      <c r="G1723" s="13"/>
      <c r="H1723" s="11"/>
      <c r="I1723" s="12"/>
      <c r="J1723" s="12"/>
      <c r="K1723" s="13"/>
      <c r="L1723" s="13"/>
      <c r="M1723" s="13"/>
      <c r="N1723" s="13"/>
      <c r="O1723" s="13"/>
      <c r="P1723" s="14" t="str">
        <f t="shared" si="104"/>
        <v/>
      </c>
      <c r="Q1723" s="15" t="str">
        <f>IF(OR(J1723="",H1723=""),"",IFERROR(IF(ISNUMBER(N1723),N1723,IF(K1723&lt;N(INDEX(Platforms!$G$5:$G$14,MATCH(H1723,Lists!$A$2:$A$11,0))),N(INDEX(Platforms!$H$5:$H$14,MATCH(H1723,Lists!$A$2:$A$11,0))),MAX(N(INDEX(Platforms!$F$5:$F$14,MATCH(H1723,Lists!$A$2:$A$11,0))),N(INDEX(Platforms!$C$5:$C$14,MATCH(H1723,Lists!$A$2:$A$11,0)))*(K1723+IF(INDEX(Platforms!$E$5:$E$14,MATCH(H1723,Lists!$A$2:$A$11,0))="Yes",N(L1723),0))+N(INDEX(Platforms!$D$5:$D$14,MATCH(H1723,Lists!$A$2:$A$11,0)))))),""))</f>
        <v/>
      </c>
      <c r="R1723" s="16" t="str">
        <f t="shared" si="105"/>
        <v/>
      </c>
      <c r="S1723" s="17" t="str">
        <f t="shared" si="106"/>
        <v/>
      </c>
      <c r="T1723" s="18" t="str">
        <f t="shared" ca="1" si="107"/>
        <v/>
      </c>
    </row>
    <row r="1724" spans="1:20" x14ac:dyDescent="0.35">
      <c r="A1724" s="11"/>
      <c r="B1724" s="11"/>
      <c r="C1724" s="11"/>
      <c r="D1724" s="12"/>
      <c r="E1724" s="11"/>
      <c r="F1724" s="13"/>
      <c r="G1724" s="13"/>
      <c r="H1724" s="11"/>
      <c r="I1724" s="12"/>
      <c r="J1724" s="12"/>
      <c r="K1724" s="13"/>
      <c r="L1724" s="13"/>
      <c r="M1724" s="13"/>
      <c r="N1724" s="13"/>
      <c r="O1724" s="13"/>
      <c r="P1724" s="14" t="str">
        <f t="shared" si="104"/>
        <v/>
      </c>
      <c r="Q1724" s="15" t="str">
        <f>IF(OR(J1724="",H1724=""),"",IFERROR(IF(ISNUMBER(N1724),N1724,IF(K1724&lt;N(INDEX(Platforms!$G$5:$G$14,MATCH(H1724,Lists!$A$2:$A$11,0))),N(INDEX(Platforms!$H$5:$H$14,MATCH(H1724,Lists!$A$2:$A$11,0))),MAX(N(INDEX(Platforms!$F$5:$F$14,MATCH(H1724,Lists!$A$2:$A$11,0))),N(INDEX(Platforms!$C$5:$C$14,MATCH(H1724,Lists!$A$2:$A$11,0)))*(K1724+IF(INDEX(Platforms!$E$5:$E$14,MATCH(H1724,Lists!$A$2:$A$11,0))="Yes",N(L1724),0))+N(INDEX(Platforms!$D$5:$D$14,MATCH(H1724,Lists!$A$2:$A$11,0)))))),""))</f>
        <v/>
      </c>
      <c r="R1724" s="16" t="str">
        <f t="shared" si="105"/>
        <v/>
      </c>
      <c r="S1724" s="17" t="str">
        <f t="shared" si="106"/>
        <v/>
      </c>
      <c r="T1724" s="18" t="str">
        <f t="shared" ca="1" si="107"/>
        <v/>
      </c>
    </row>
    <row r="1725" spans="1:20" x14ac:dyDescent="0.35">
      <c r="A1725" s="11"/>
      <c r="B1725" s="11"/>
      <c r="C1725" s="11"/>
      <c r="D1725" s="12"/>
      <c r="E1725" s="11"/>
      <c r="F1725" s="13"/>
      <c r="G1725" s="13"/>
      <c r="H1725" s="11"/>
      <c r="I1725" s="12"/>
      <c r="J1725" s="12"/>
      <c r="K1725" s="13"/>
      <c r="L1725" s="13"/>
      <c r="M1725" s="13"/>
      <c r="N1725" s="13"/>
      <c r="O1725" s="13"/>
      <c r="P1725" s="14" t="str">
        <f t="shared" si="104"/>
        <v/>
      </c>
      <c r="Q1725" s="15" t="str">
        <f>IF(OR(J1725="",H1725=""),"",IFERROR(IF(ISNUMBER(N1725),N1725,IF(K1725&lt;N(INDEX(Platforms!$G$5:$G$14,MATCH(H1725,Lists!$A$2:$A$11,0))),N(INDEX(Platforms!$H$5:$H$14,MATCH(H1725,Lists!$A$2:$A$11,0))),MAX(N(INDEX(Platforms!$F$5:$F$14,MATCH(H1725,Lists!$A$2:$A$11,0))),N(INDEX(Platforms!$C$5:$C$14,MATCH(H1725,Lists!$A$2:$A$11,0)))*(K1725+IF(INDEX(Platforms!$E$5:$E$14,MATCH(H1725,Lists!$A$2:$A$11,0))="Yes",N(L1725),0))+N(INDEX(Platforms!$D$5:$D$14,MATCH(H1725,Lists!$A$2:$A$11,0)))))),""))</f>
        <v/>
      </c>
      <c r="R1725" s="16" t="str">
        <f t="shared" si="105"/>
        <v/>
      </c>
      <c r="S1725" s="17" t="str">
        <f t="shared" si="106"/>
        <v/>
      </c>
      <c r="T1725" s="18" t="str">
        <f t="shared" ca="1" si="107"/>
        <v/>
      </c>
    </row>
    <row r="1726" spans="1:20" x14ac:dyDescent="0.35">
      <c r="A1726" s="11"/>
      <c r="B1726" s="11"/>
      <c r="C1726" s="11"/>
      <c r="D1726" s="12"/>
      <c r="E1726" s="11"/>
      <c r="F1726" s="13"/>
      <c r="G1726" s="13"/>
      <c r="H1726" s="11"/>
      <c r="I1726" s="12"/>
      <c r="J1726" s="12"/>
      <c r="K1726" s="13"/>
      <c r="L1726" s="13"/>
      <c r="M1726" s="13"/>
      <c r="N1726" s="13"/>
      <c r="O1726" s="13"/>
      <c r="P1726" s="14" t="str">
        <f t="shared" si="104"/>
        <v/>
      </c>
      <c r="Q1726" s="15" t="str">
        <f>IF(OR(J1726="",H1726=""),"",IFERROR(IF(ISNUMBER(N1726),N1726,IF(K1726&lt;N(INDEX(Platforms!$G$5:$G$14,MATCH(H1726,Lists!$A$2:$A$11,0))),N(INDEX(Platforms!$H$5:$H$14,MATCH(H1726,Lists!$A$2:$A$11,0))),MAX(N(INDEX(Platforms!$F$5:$F$14,MATCH(H1726,Lists!$A$2:$A$11,0))),N(INDEX(Platforms!$C$5:$C$14,MATCH(H1726,Lists!$A$2:$A$11,0)))*(K1726+IF(INDEX(Platforms!$E$5:$E$14,MATCH(H1726,Lists!$A$2:$A$11,0))="Yes",N(L1726),0))+N(INDEX(Platforms!$D$5:$D$14,MATCH(H1726,Lists!$A$2:$A$11,0)))))),""))</f>
        <v/>
      </c>
      <c r="R1726" s="16" t="str">
        <f t="shared" si="105"/>
        <v/>
      </c>
      <c r="S1726" s="17" t="str">
        <f t="shared" si="106"/>
        <v/>
      </c>
      <c r="T1726" s="18" t="str">
        <f t="shared" ca="1" si="107"/>
        <v/>
      </c>
    </row>
    <row r="1727" spans="1:20" x14ac:dyDescent="0.35">
      <c r="A1727" s="11"/>
      <c r="B1727" s="11"/>
      <c r="C1727" s="11"/>
      <c r="D1727" s="12"/>
      <c r="E1727" s="11"/>
      <c r="F1727" s="13"/>
      <c r="G1727" s="13"/>
      <c r="H1727" s="11"/>
      <c r="I1727" s="12"/>
      <c r="J1727" s="12"/>
      <c r="K1727" s="13"/>
      <c r="L1727" s="13"/>
      <c r="M1727" s="13"/>
      <c r="N1727" s="13"/>
      <c r="O1727" s="13"/>
      <c r="P1727" s="14" t="str">
        <f t="shared" si="104"/>
        <v/>
      </c>
      <c r="Q1727" s="15" t="str">
        <f>IF(OR(J1727="",H1727=""),"",IFERROR(IF(ISNUMBER(N1727),N1727,IF(K1727&lt;N(INDEX(Platforms!$G$5:$G$14,MATCH(H1727,Lists!$A$2:$A$11,0))),N(INDEX(Platforms!$H$5:$H$14,MATCH(H1727,Lists!$A$2:$A$11,0))),MAX(N(INDEX(Platforms!$F$5:$F$14,MATCH(H1727,Lists!$A$2:$A$11,0))),N(INDEX(Platforms!$C$5:$C$14,MATCH(H1727,Lists!$A$2:$A$11,0)))*(K1727+IF(INDEX(Platforms!$E$5:$E$14,MATCH(H1727,Lists!$A$2:$A$11,0))="Yes",N(L1727),0))+N(INDEX(Platforms!$D$5:$D$14,MATCH(H1727,Lists!$A$2:$A$11,0)))))),""))</f>
        <v/>
      </c>
      <c r="R1727" s="16" t="str">
        <f t="shared" si="105"/>
        <v/>
      </c>
      <c r="S1727" s="17" t="str">
        <f t="shared" si="106"/>
        <v/>
      </c>
      <c r="T1727" s="18" t="str">
        <f t="shared" ca="1" si="107"/>
        <v/>
      </c>
    </row>
    <row r="1728" spans="1:20" x14ac:dyDescent="0.35">
      <c r="A1728" s="11"/>
      <c r="B1728" s="11"/>
      <c r="C1728" s="11"/>
      <c r="D1728" s="12"/>
      <c r="E1728" s="11"/>
      <c r="F1728" s="13"/>
      <c r="G1728" s="13"/>
      <c r="H1728" s="11"/>
      <c r="I1728" s="12"/>
      <c r="J1728" s="12"/>
      <c r="K1728" s="13"/>
      <c r="L1728" s="13"/>
      <c r="M1728" s="13"/>
      <c r="N1728" s="13"/>
      <c r="O1728" s="13"/>
      <c r="P1728" s="14" t="str">
        <f t="shared" si="104"/>
        <v/>
      </c>
      <c r="Q1728" s="15" t="str">
        <f>IF(OR(J1728="",H1728=""),"",IFERROR(IF(ISNUMBER(N1728),N1728,IF(K1728&lt;N(INDEX(Platforms!$G$5:$G$14,MATCH(H1728,Lists!$A$2:$A$11,0))),N(INDEX(Platforms!$H$5:$H$14,MATCH(H1728,Lists!$A$2:$A$11,0))),MAX(N(INDEX(Platforms!$F$5:$F$14,MATCH(H1728,Lists!$A$2:$A$11,0))),N(INDEX(Platforms!$C$5:$C$14,MATCH(H1728,Lists!$A$2:$A$11,0)))*(K1728+IF(INDEX(Platforms!$E$5:$E$14,MATCH(H1728,Lists!$A$2:$A$11,0))="Yes",N(L1728),0))+N(INDEX(Platforms!$D$5:$D$14,MATCH(H1728,Lists!$A$2:$A$11,0)))))),""))</f>
        <v/>
      </c>
      <c r="R1728" s="16" t="str">
        <f t="shared" si="105"/>
        <v/>
      </c>
      <c r="S1728" s="17" t="str">
        <f t="shared" si="106"/>
        <v/>
      </c>
      <c r="T1728" s="18" t="str">
        <f t="shared" ca="1" si="107"/>
        <v/>
      </c>
    </row>
    <row r="1729" spans="1:20" x14ac:dyDescent="0.35">
      <c r="A1729" s="11"/>
      <c r="B1729" s="11"/>
      <c r="C1729" s="11"/>
      <c r="D1729" s="12"/>
      <c r="E1729" s="11"/>
      <c r="F1729" s="13"/>
      <c r="G1729" s="13"/>
      <c r="H1729" s="11"/>
      <c r="I1729" s="12"/>
      <c r="J1729" s="12"/>
      <c r="K1729" s="13"/>
      <c r="L1729" s="13"/>
      <c r="M1729" s="13"/>
      <c r="N1729" s="13"/>
      <c r="O1729" s="13"/>
      <c r="P1729" s="14" t="str">
        <f t="shared" si="104"/>
        <v/>
      </c>
      <c r="Q1729" s="15" t="str">
        <f>IF(OR(J1729="",H1729=""),"",IFERROR(IF(ISNUMBER(N1729),N1729,IF(K1729&lt;N(INDEX(Platforms!$G$5:$G$14,MATCH(H1729,Lists!$A$2:$A$11,0))),N(INDEX(Platforms!$H$5:$H$14,MATCH(H1729,Lists!$A$2:$A$11,0))),MAX(N(INDEX(Platforms!$F$5:$F$14,MATCH(H1729,Lists!$A$2:$A$11,0))),N(INDEX(Platforms!$C$5:$C$14,MATCH(H1729,Lists!$A$2:$A$11,0)))*(K1729+IF(INDEX(Platforms!$E$5:$E$14,MATCH(H1729,Lists!$A$2:$A$11,0))="Yes",N(L1729),0))+N(INDEX(Platforms!$D$5:$D$14,MATCH(H1729,Lists!$A$2:$A$11,0)))))),""))</f>
        <v/>
      </c>
      <c r="R1729" s="16" t="str">
        <f t="shared" si="105"/>
        <v/>
      </c>
      <c r="S1729" s="17" t="str">
        <f t="shared" si="106"/>
        <v/>
      </c>
      <c r="T1729" s="18" t="str">
        <f t="shared" ca="1" si="107"/>
        <v/>
      </c>
    </row>
    <row r="1730" spans="1:20" x14ac:dyDescent="0.35">
      <c r="A1730" s="11"/>
      <c r="B1730" s="11"/>
      <c r="C1730" s="11"/>
      <c r="D1730" s="12"/>
      <c r="E1730" s="11"/>
      <c r="F1730" s="13"/>
      <c r="G1730" s="13"/>
      <c r="H1730" s="11"/>
      <c r="I1730" s="12"/>
      <c r="J1730" s="12"/>
      <c r="K1730" s="13"/>
      <c r="L1730" s="13"/>
      <c r="M1730" s="13"/>
      <c r="N1730" s="13"/>
      <c r="O1730" s="13"/>
      <c r="P1730" s="14" t="str">
        <f t="shared" si="104"/>
        <v/>
      </c>
      <c r="Q1730" s="15" t="str">
        <f>IF(OR(J1730="",H1730=""),"",IFERROR(IF(ISNUMBER(N1730),N1730,IF(K1730&lt;N(INDEX(Platforms!$G$5:$G$14,MATCH(H1730,Lists!$A$2:$A$11,0))),N(INDEX(Platforms!$H$5:$H$14,MATCH(H1730,Lists!$A$2:$A$11,0))),MAX(N(INDEX(Platforms!$F$5:$F$14,MATCH(H1730,Lists!$A$2:$A$11,0))),N(INDEX(Platforms!$C$5:$C$14,MATCH(H1730,Lists!$A$2:$A$11,0)))*(K1730+IF(INDEX(Platforms!$E$5:$E$14,MATCH(H1730,Lists!$A$2:$A$11,0))="Yes",N(L1730),0))+N(INDEX(Platforms!$D$5:$D$14,MATCH(H1730,Lists!$A$2:$A$11,0)))))),""))</f>
        <v/>
      </c>
      <c r="R1730" s="16" t="str">
        <f t="shared" si="105"/>
        <v/>
      </c>
      <c r="S1730" s="17" t="str">
        <f t="shared" si="106"/>
        <v/>
      </c>
      <c r="T1730" s="18" t="str">
        <f t="shared" ca="1" si="107"/>
        <v/>
      </c>
    </row>
    <row r="1731" spans="1:20" x14ac:dyDescent="0.35">
      <c r="A1731" s="11"/>
      <c r="B1731" s="11"/>
      <c r="C1731" s="11"/>
      <c r="D1731" s="12"/>
      <c r="E1731" s="11"/>
      <c r="F1731" s="13"/>
      <c r="G1731" s="13"/>
      <c r="H1731" s="11"/>
      <c r="I1731" s="12"/>
      <c r="J1731" s="12"/>
      <c r="K1731" s="13"/>
      <c r="L1731" s="13"/>
      <c r="M1731" s="13"/>
      <c r="N1731" s="13"/>
      <c r="O1731" s="13"/>
      <c r="P1731" s="14" t="str">
        <f t="shared" si="104"/>
        <v/>
      </c>
      <c r="Q1731" s="15" t="str">
        <f>IF(OR(J1731="",H1731=""),"",IFERROR(IF(ISNUMBER(N1731),N1731,IF(K1731&lt;N(INDEX(Platforms!$G$5:$G$14,MATCH(H1731,Lists!$A$2:$A$11,0))),N(INDEX(Platforms!$H$5:$H$14,MATCH(H1731,Lists!$A$2:$A$11,0))),MAX(N(INDEX(Platforms!$F$5:$F$14,MATCH(H1731,Lists!$A$2:$A$11,0))),N(INDEX(Platforms!$C$5:$C$14,MATCH(H1731,Lists!$A$2:$A$11,0)))*(K1731+IF(INDEX(Platforms!$E$5:$E$14,MATCH(H1731,Lists!$A$2:$A$11,0))="Yes",N(L1731),0))+N(INDEX(Platforms!$D$5:$D$14,MATCH(H1731,Lists!$A$2:$A$11,0)))))),""))</f>
        <v/>
      </c>
      <c r="R1731" s="16" t="str">
        <f t="shared" si="105"/>
        <v/>
      </c>
      <c r="S1731" s="17" t="str">
        <f t="shared" si="106"/>
        <v/>
      </c>
      <c r="T1731" s="18" t="str">
        <f t="shared" ca="1" si="107"/>
        <v/>
      </c>
    </row>
    <row r="1732" spans="1:20" x14ac:dyDescent="0.35">
      <c r="A1732" s="11"/>
      <c r="B1732" s="11"/>
      <c r="C1732" s="11"/>
      <c r="D1732" s="12"/>
      <c r="E1732" s="11"/>
      <c r="F1732" s="13"/>
      <c r="G1732" s="13"/>
      <c r="H1732" s="11"/>
      <c r="I1732" s="12"/>
      <c r="J1732" s="12"/>
      <c r="K1732" s="13"/>
      <c r="L1732" s="13"/>
      <c r="M1732" s="13"/>
      <c r="N1732" s="13"/>
      <c r="O1732" s="13"/>
      <c r="P1732" s="14" t="str">
        <f t="shared" si="104"/>
        <v/>
      </c>
      <c r="Q1732" s="15" t="str">
        <f>IF(OR(J1732="",H1732=""),"",IFERROR(IF(ISNUMBER(N1732),N1732,IF(K1732&lt;N(INDEX(Platforms!$G$5:$G$14,MATCH(H1732,Lists!$A$2:$A$11,0))),N(INDEX(Platforms!$H$5:$H$14,MATCH(H1732,Lists!$A$2:$A$11,0))),MAX(N(INDEX(Platforms!$F$5:$F$14,MATCH(H1732,Lists!$A$2:$A$11,0))),N(INDEX(Platforms!$C$5:$C$14,MATCH(H1732,Lists!$A$2:$A$11,0)))*(K1732+IF(INDEX(Platforms!$E$5:$E$14,MATCH(H1732,Lists!$A$2:$A$11,0))="Yes",N(L1732),0))+N(INDEX(Platforms!$D$5:$D$14,MATCH(H1732,Lists!$A$2:$A$11,0)))))),""))</f>
        <v/>
      </c>
      <c r="R1732" s="16" t="str">
        <f t="shared" si="105"/>
        <v/>
      </c>
      <c r="S1732" s="17" t="str">
        <f t="shared" si="106"/>
        <v/>
      </c>
      <c r="T1732" s="18" t="str">
        <f t="shared" ca="1" si="107"/>
        <v/>
      </c>
    </row>
    <row r="1733" spans="1:20" x14ac:dyDescent="0.35">
      <c r="A1733" s="11"/>
      <c r="B1733" s="11"/>
      <c r="C1733" s="11"/>
      <c r="D1733" s="12"/>
      <c r="E1733" s="11"/>
      <c r="F1733" s="13"/>
      <c r="G1733" s="13"/>
      <c r="H1733" s="11"/>
      <c r="I1733" s="12"/>
      <c r="J1733" s="12"/>
      <c r="K1733" s="13"/>
      <c r="L1733" s="13"/>
      <c r="M1733" s="13"/>
      <c r="N1733" s="13"/>
      <c r="O1733" s="13"/>
      <c r="P1733" s="14" t="str">
        <f t="shared" ref="P1733:P1796" si="108">IF(OR(B1733&lt;&gt;"",F1733&lt;&gt;"",H1733&lt;&gt;"",J1733&lt;&gt;"",K1733&lt;&gt;""),IF(J1733&lt;&gt;"","Sold",IF(I1733&lt;&gt;"","Listed","In stock")),"")</f>
        <v/>
      </c>
      <c r="Q1733" s="15" t="str">
        <f>IF(OR(J1733="",H1733=""),"",IFERROR(IF(ISNUMBER(N1733),N1733,IF(K1733&lt;N(INDEX(Platforms!$G$5:$G$14,MATCH(H1733,Lists!$A$2:$A$11,0))),N(INDEX(Platforms!$H$5:$H$14,MATCH(H1733,Lists!$A$2:$A$11,0))),MAX(N(INDEX(Platforms!$F$5:$F$14,MATCH(H1733,Lists!$A$2:$A$11,0))),N(INDEX(Platforms!$C$5:$C$14,MATCH(H1733,Lists!$A$2:$A$11,0)))*(K1733+IF(INDEX(Platforms!$E$5:$E$14,MATCH(H1733,Lists!$A$2:$A$11,0))="Yes",N(L1733),0))+N(INDEX(Platforms!$D$5:$D$14,MATCH(H1733,Lists!$A$2:$A$11,0)))))),""))</f>
        <v/>
      </c>
      <c r="R1733" s="16" t="str">
        <f t="shared" ref="R1733:R1796" si="109">IF(J1733="","",IFERROR(K1733+N(L1733)-N(O1733)-Q1733-N(M1733)-N(F1733)-N(G1733),""))</f>
        <v/>
      </c>
      <c r="S1733" s="17" t="str">
        <f t="shared" ref="S1733:S1796" si="110">IF(OR(R1733="",N(F1733)+N(G1733)=0),"",R1733/(N(F1733)+N(G1733)))</f>
        <v/>
      </c>
      <c r="T1733" s="18" t="str">
        <f t="shared" ref="T1733:T1796" ca="1" si="111">IFERROR(IF(ISNUMBER(D1733),IF(ISNUMBER(J1733),J1733,IF(J1733="",TODAY(),""))-D1733,""),"")</f>
        <v/>
      </c>
    </row>
    <row r="1734" spans="1:20" x14ac:dyDescent="0.35">
      <c r="A1734" s="11"/>
      <c r="B1734" s="11"/>
      <c r="C1734" s="11"/>
      <c r="D1734" s="12"/>
      <c r="E1734" s="11"/>
      <c r="F1734" s="13"/>
      <c r="G1734" s="13"/>
      <c r="H1734" s="11"/>
      <c r="I1734" s="12"/>
      <c r="J1734" s="12"/>
      <c r="K1734" s="13"/>
      <c r="L1734" s="13"/>
      <c r="M1734" s="13"/>
      <c r="N1734" s="13"/>
      <c r="O1734" s="13"/>
      <c r="P1734" s="14" t="str">
        <f t="shared" si="108"/>
        <v/>
      </c>
      <c r="Q1734" s="15" t="str">
        <f>IF(OR(J1734="",H1734=""),"",IFERROR(IF(ISNUMBER(N1734),N1734,IF(K1734&lt;N(INDEX(Platforms!$G$5:$G$14,MATCH(H1734,Lists!$A$2:$A$11,0))),N(INDEX(Platforms!$H$5:$H$14,MATCH(H1734,Lists!$A$2:$A$11,0))),MAX(N(INDEX(Platforms!$F$5:$F$14,MATCH(H1734,Lists!$A$2:$A$11,0))),N(INDEX(Platforms!$C$5:$C$14,MATCH(H1734,Lists!$A$2:$A$11,0)))*(K1734+IF(INDEX(Platforms!$E$5:$E$14,MATCH(H1734,Lists!$A$2:$A$11,0))="Yes",N(L1734),0))+N(INDEX(Platforms!$D$5:$D$14,MATCH(H1734,Lists!$A$2:$A$11,0)))))),""))</f>
        <v/>
      </c>
      <c r="R1734" s="16" t="str">
        <f t="shared" si="109"/>
        <v/>
      </c>
      <c r="S1734" s="17" t="str">
        <f t="shared" si="110"/>
        <v/>
      </c>
      <c r="T1734" s="18" t="str">
        <f t="shared" ca="1" si="111"/>
        <v/>
      </c>
    </row>
    <row r="1735" spans="1:20" x14ac:dyDescent="0.35">
      <c r="A1735" s="11"/>
      <c r="B1735" s="11"/>
      <c r="C1735" s="11"/>
      <c r="D1735" s="12"/>
      <c r="E1735" s="11"/>
      <c r="F1735" s="13"/>
      <c r="G1735" s="13"/>
      <c r="H1735" s="11"/>
      <c r="I1735" s="12"/>
      <c r="J1735" s="12"/>
      <c r="K1735" s="13"/>
      <c r="L1735" s="13"/>
      <c r="M1735" s="13"/>
      <c r="N1735" s="13"/>
      <c r="O1735" s="13"/>
      <c r="P1735" s="14" t="str">
        <f t="shared" si="108"/>
        <v/>
      </c>
      <c r="Q1735" s="15" t="str">
        <f>IF(OR(J1735="",H1735=""),"",IFERROR(IF(ISNUMBER(N1735),N1735,IF(K1735&lt;N(INDEX(Platforms!$G$5:$G$14,MATCH(H1735,Lists!$A$2:$A$11,0))),N(INDEX(Platforms!$H$5:$H$14,MATCH(H1735,Lists!$A$2:$A$11,0))),MAX(N(INDEX(Platforms!$F$5:$F$14,MATCH(H1735,Lists!$A$2:$A$11,0))),N(INDEX(Platforms!$C$5:$C$14,MATCH(H1735,Lists!$A$2:$A$11,0)))*(K1735+IF(INDEX(Platforms!$E$5:$E$14,MATCH(H1735,Lists!$A$2:$A$11,0))="Yes",N(L1735),0))+N(INDEX(Platforms!$D$5:$D$14,MATCH(H1735,Lists!$A$2:$A$11,0)))))),""))</f>
        <v/>
      </c>
      <c r="R1735" s="16" t="str">
        <f t="shared" si="109"/>
        <v/>
      </c>
      <c r="S1735" s="17" t="str">
        <f t="shared" si="110"/>
        <v/>
      </c>
      <c r="T1735" s="18" t="str">
        <f t="shared" ca="1" si="111"/>
        <v/>
      </c>
    </row>
    <row r="1736" spans="1:20" x14ac:dyDescent="0.35">
      <c r="A1736" s="11"/>
      <c r="B1736" s="11"/>
      <c r="C1736" s="11"/>
      <c r="D1736" s="12"/>
      <c r="E1736" s="11"/>
      <c r="F1736" s="13"/>
      <c r="G1736" s="13"/>
      <c r="H1736" s="11"/>
      <c r="I1736" s="12"/>
      <c r="J1736" s="12"/>
      <c r="K1736" s="13"/>
      <c r="L1736" s="13"/>
      <c r="M1736" s="13"/>
      <c r="N1736" s="13"/>
      <c r="O1736" s="13"/>
      <c r="P1736" s="14" t="str">
        <f t="shared" si="108"/>
        <v/>
      </c>
      <c r="Q1736" s="15" t="str">
        <f>IF(OR(J1736="",H1736=""),"",IFERROR(IF(ISNUMBER(N1736),N1736,IF(K1736&lt;N(INDEX(Platforms!$G$5:$G$14,MATCH(H1736,Lists!$A$2:$A$11,0))),N(INDEX(Platforms!$H$5:$H$14,MATCH(H1736,Lists!$A$2:$A$11,0))),MAX(N(INDEX(Platforms!$F$5:$F$14,MATCH(H1736,Lists!$A$2:$A$11,0))),N(INDEX(Platforms!$C$5:$C$14,MATCH(H1736,Lists!$A$2:$A$11,0)))*(K1736+IF(INDEX(Platforms!$E$5:$E$14,MATCH(H1736,Lists!$A$2:$A$11,0))="Yes",N(L1736),0))+N(INDEX(Platforms!$D$5:$D$14,MATCH(H1736,Lists!$A$2:$A$11,0)))))),""))</f>
        <v/>
      </c>
      <c r="R1736" s="16" t="str">
        <f t="shared" si="109"/>
        <v/>
      </c>
      <c r="S1736" s="17" t="str">
        <f t="shared" si="110"/>
        <v/>
      </c>
      <c r="T1736" s="18" t="str">
        <f t="shared" ca="1" si="111"/>
        <v/>
      </c>
    </row>
    <row r="1737" spans="1:20" x14ac:dyDescent="0.35">
      <c r="A1737" s="11"/>
      <c r="B1737" s="11"/>
      <c r="C1737" s="11"/>
      <c r="D1737" s="12"/>
      <c r="E1737" s="11"/>
      <c r="F1737" s="13"/>
      <c r="G1737" s="13"/>
      <c r="H1737" s="11"/>
      <c r="I1737" s="12"/>
      <c r="J1737" s="12"/>
      <c r="K1737" s="13"/>
      <c r="L1737" s="13"/>
      <c r="M1737" s="13"/>
      <c r="N1737" s="13"/>
      <c r="O1737" s="13"/>
      <c r="P1737" s="14" t="str">
        <f t="shared" si="108"/>
        <v/>
      </c>
      <c r="Q1737" s="15" t="str">
        <f>IF(OR(J1737="",H1737=""),"",IFERROR(IF(ISNUMBER(N1737),N1737,IF(K1737&lt;N(INDEX(Platforms!$G$5:$G$14,MATCH(H1737,Lists!$A$2:$A$11,0))),N(INDEX(Platforms!$H$5:$H$14,MATCH(H1737,Lists!$A$2:$A$11,0))),MAX(N(INDEX(Platforms!$F$5:$F$14,MATCH(H1737,Lists!$A$2:$A$11,0))),N(INDEX(Platforms!$C$5:$C$14,MATCH(H1737,Lists!$A$2:$A$11,0)))*(K1737+IF(INDEX(Platforms!$E$5:$E$14,MATCH(H1737,Lists!$A$2:$A$11,0))="Yes",N(L1737),0))+N(INDEX(Platforms!$D$5:$D$14,MATCH(H1737,Lists!$A$2:$A$11,0)))))),""))</f>
        <v/>
      </c>
      <c r="R1737" s="16" t="str">
        <f t="shared" si="109"/>
        <v/>
      </c>
      <c r="S1737" s="17" t="str">
        <f t="shared" si="110"/>
        <v/>
      </c>
      <c r="T1737" s="18" t="str">
        <f t="shared" ca="1" si="111"/>
        <v/>
      </c>
    </row>
    <row r="1738" spans="1:20" x14ac:dyDescent="0.35">
      <c r="A1738" s="11"/>
      <c r="B1738" s="11"/>
      <c r="C1738" s="11"/>
      <c r="D1738" s="12"/>
      <c r="E1738" s="11"/>
      <c r="F1738" s="13"/>
      <c r="G1738" s="13"/>
      <c r="H1738" s="11"/>
      <c r="I1738" s="12"/>
      <c r="J1738" s="12"/>
      <c r="K1738" s="13"/>
      <c r="L1738" s="13"/>
      <c r="M1738" s="13"/>
      <c r="N1738" s="13"/>
      <c r="O1738" s="13"/>
      <c r="P1738" s="14" t="str">
        <f t="shared" si="108"/>
        <v/>
      </c>
      <c r="Q1738" s="15" t="str">
        <f>IF(OR(J1738="",H1738=""),"",IFERROR(IF(ISNUMBER(N1738),N1738,IF(K1738&lt;N(INDEX(Platforms!$G$5:$G$14,MATCH(H1738,Lists!$A$2:$A$11,0))),N(INDEX(Platforms!$H$5:$H$14,MATCH(H1738,Lists!$A$2:$A$11,0))),MAX(N(INDEX(Platforms!$F$5:$F$14,MATCH(H1738,Lists!$A$2:$A$11,0))),N(INDEX(Platforms!$C$5:$C$14,MATCH(H1738,Lists!$A$2:$A$11,0)))*(K1738+IF(INDEX(Platforms!$E$5:$E$14,MATCH(H1738,Lists!$A$2:$A$11,0))="Yes",N(L1738),0))+N(INDEX(Platforms!$D$5:$D$14,MATCH(H1738,Lists!$A$2:$A$11,0)))))),""))</f>
        <v/>
      </c>
      <c r="R1738" s="16" t="str">
        <f t="shared" si="109"/>
        <v/>
      </c>
      <c r="S1738" s="17" t="str">
        <f t="shared" si="110"/>
        <v/>
      </c>
      <c r="T1738" s="18" t="str">
        <f t="shared" ca="1" si="111"/>
        <v/>
      </c>
    </row>
    <row r="1739" spans="1:20" x14ac:dyDescent="0.35">
      <c r="A1739" s="11"/>
      <c r="B1739" s="11"/>
      <c r="C1739" s="11"/>
      <c r="D1739" s="12"/>
      <c r="E1739" s="11"/>
      <c r="F1739" s="13"/>
      <c r="G1739" s="13"/>
      <c r="H1739" s="11"/>
      <c r="I1739" s="12"/>
      <c r="J1739" s="12"/>
      <c r="K1739" s="13"/>
      <c r="L1739" s="13"/>
      <c r="M1739" s="13"/>
      <c r="N1739" s="13"/>
      <c r="O1739" s="13"/>
      <c r="P1739" s="14" t="str">
        <f t="shared" si="108"/>
        <v/>
      </c>
      <c r="Q1739" s="15" t="str">
        <f>IF(OR(J1739="",H1739=""),"",IFERROR(IF(ISNUMBER(N1739),N1739,IF(K1739&lt;N(INDEX(Platforms!$G$5:$G$14,MATCH(H1739,Lists!$A$2:$A$11,0))),N(INDEX(Platforms!$H$5:$H$14,MATCH(H1739,Lists!$A$2:$A$11,0))),MAX(N(INDEX(Platforms!$F$5:$F$14,MATCH(H1739,Lists!$A$2:$A$11,0))),N(INDEX(Platforms!$C$5:$C$14,MATCH(H1739,Lists!$A$2:$A$11,0)))*(K1739+IF(INDEX(Platforms!$E$5:$E$14,MATCH(H1739,Lists!$A$2:$A$11,0))="Yes",N(L1739),0))+N(INDEX(Platforms!$D$5:$D$14,MATCH(H1739,Lists!$A$2:$A$11,0)))))),""))</f>
        <v/>
      </c>
      <c r="R1739" s="16" t="str">
        <f t="shared" si="109"/>
        <v/>
      </c>
      <c r="S1739" s="17" t="str">
        <f t="shared" si="110"/>
        <v/>
      </c>
      <c r="T1739" s="18" t="str">
        <f t="shared" ca="1" si="111"/>
        <v/>
      </c>
    </row>
    <row r="1740" spans="1:20" x14ac:dyDescent="0.35">
      <c r="A1740" s="11"/>
      <c r="B1740" s="11"/>
      <c r="C1740" s="11"/>
      <c r="D1740" s="12"/>
      <c r="E1740" s="11"/>
      <c r="F1740" s="13"/>
      <c r="G1740" s="13"/>
      <c r="H1740" s="11"/>
      <c r="I1740" s="12"/>
      <c r="J1740" s="12"/>
      <c r="K1740" s="13"/>
      <c r="L1740" s="13"/>
      <c r="M1740" s="13"/>
      <c r="N1740" s="13"/>
      <c r="O1740" s="13"/>
      <c r="P1740" s="14" t="str">
        <f t="shared" si="108"/>
        <v/>
      </c>
      <c r="Q1740" s="15" t="str">
        <f>IF(OR(J1740="",H1740=""),"",IFERROR(IF(ISNUMBER(N1740),N1740,IF(K1740&lt;N(INDEX(Platforms!$G$5:$G$14,MATCH(H1740,Lists!$A$2:$A$11,0))),N(INDEX(Platforms!$H$5:$H$14,MATCH(H1740,Lists!$A$2:$A$11,0))),MAX(N(INDEX(Platforms!$F$5:$F$14,MATCH(H1740,Lists!$A$2:$A$11,0))),N(INDEX(Platforms!$C$5:$C$14,MATCH(H1740,Lists!$A$2:$A$11,0)))*(K1740+IF(INDEX(Platforms!$E$5:$E$14,MATCH(H1740,Lists!$A$2:$A$11,0))="Yes",N(L1740),0))+N(INDEX(Platforms!$D$5:$D$14,MATCH(H1740,Lists!$A$2:$A$11,0)))))),""))</f>
        <v/>
      </c>
      <c r="R1740" s="16" t="str">
        <f t="shared" si="109"/>
        <v/>
      </c>
      <c r="S1740" s="17" t="str">
        <f t="shared" si="110"/>
        <v/>
      </c>
      <c r="T1740" s="18" t="str">
        <f t="shared" ca="1" si="111"/>
        <v/>
      </c>
    </row>
    <row r="1741" spans="1:20" x14ac:dyDescent="0.35">
      <c r="A1741" s="11"/>
      <c r="B1741" s="11"/>
      <c r="C1741" s="11"/>
      <c r="D1741" s="12"/>
      <c r="E1741" s="11"/>
      <c r="F1741" s="13"/>
      <c r="G1741" s="13"/>
      <c r="H1741" s="11"/>
      <c r="I1741" s="12"/>
      <c r="J1741" s="12"/>
      <c r="K1741" s="13"/>
      <c r="L1741" s="13"/>
      <c r="M1741" s="13"/>
      <c r="N1741" s="13"/>
      <c r="O1741" s="13"/>
      <c r="P1741" s="14" t="str">
        <f t="shared" si="108"/>
        <v/>
      </c>
      <c r="Q1741" s="15" t="str">
        <f>IF(OR(J1741="",H1741=""),"",IFERROR(IF(ISNUMBER(N1741),N1741,IF(K1741&lt;N(INDEX(Platforms!$G$5:$G$14,MATCH(H1741,Lists!$A$2:$A$11,0))),N(INDEX(Platforms!$H$5:$H$14,MATCH(H1741,Lists!$A$2:$A$11,0))),MAX(N(INDEX(Platforms!$F$5:$F$14,MATCH(H1741,Lists!$A$2:$A$11,0))),N(INDEX(Platforms!$C$5:$C$14,MATCH(H1741,Lists!$A$2:$A$11,0)))*(K1741+IF(INDEX(Platforms!$E$5:$E$14,MATCH(H1741,Lists!$A$2:$A$11,0))="Yes",N(L1741),0))+N(INDEX(Platforms!$D$5:$D$14,MATCH(H1741,Lists!$A$2:$A$11,0)))))),""))</f>
        <v/>
      </c>
      <c r="R1741" s="16" t="str">
        <f t="shared" si="109"/>
        <v/>
      </c>
      <c r="S1741" s="17" t="str">
        <f t="shared" si="110"/>
        <v/>
      </c>
      <c r="T1741" s="18" t="str">
        <f t="shared" ca="1" si="111"/>
        <v/>
      </c>
    </row>
    <row r="1742" spans="1:20" x14ac:dyDescent="0.35">
      <c r="A1742" s="11"/>
      <c r="B1742" s="11"/>
      <c r="C1742" s="11"/>
      <c r="D1742" s="12"/>
      <c r="E1742" s="11"/>
      <c r="F1742" s="13"/>
      <c r="G1742" s="13"/>
      <c r="H1742" s="11"/>
      <c r="I1742" s="12"/>
      <c r="J1742" s="12"/>
      <c r="K1742" s="13"/>
      <c r="L1742" s="13"/>
      <c r="M1742" s="13"/>
      <c r="N1742" s="13"/>
      <c r="O1742" s="13"/>
      <c r="P1742" s="14" t="str">
        <f t="shared" si="108"/>
        <v/>
      </c>
      <c r="Q1742" s="15" t="str">
        <f>IF(OR(J1742="",H1742=""),"",IFERROR(IF(ISNUMBER(N1742),N1742,IF(K1742&lt;N(INDEX(Platforms!$G$5:$G$14,MATCH(H1742,Lists!$A$2:$A$11,0))),N(INDEX(Platforms!$H$5:$H$14,MATCH(H1742,Lists!$A$2:$A$11,0))),MAX(N(INDEX(Platforms!$F$5:$F$14,MATCH(H1742,Lists!$A$2:$A$11,0))),N(INDEX(Platforms!$C$5:$C$14,MATCH(H1742,Lists!$A$2:$A$11,0)))*(K1742+IF(INDEX(Platforms!$E$5:$E$14,MATCH(H1742,Lists!$A$2:$A$11,0))="Yes",N(L1742),0))+N(INDEX(Platforms!$D$5:$D$14,MATCH(H1742,Lists!$A$2:$A$11,0)))))),""))</f>
        <v/>
      </c>
      <c r="R1742" s="16" t="str">
        <f t="shared" si="109"/>
        <v/>
      </c>
      <c r="S1742" s="17" t="str">
        <f t="shared" si="110"/>
        <v/>
      </c>
      <c r="T1742" s="18" t="str">
        <f t="shared" ca="1" si="111"/>
        <v/>
      </c>
    </row>
    <row r="1743" spans="1:20" x14ac:dyDescent="0.35">
      <c r="A1743" s="11"/>
      <c r="B1743" s="11"/>
      <c r="C1743" s="11"/>
      <c r="D1743" s="12"/>
      <c r="E1743" s="11"/>
      <c r="F1743" s="13"/>
      <c r="G1743" s="13"/>
      <c r="H1743" s="11"/>
      <c r="I1743" s="12"/>
      <c r="J1743" s="12"/>
      <c r="K1743" s="13"/>
      <c r="L1743" s="13"/>
      <c r="M1743" s="13"/>
      <c r="N1743" s="13"/>
      <c r="O1743" s="13"/>
      <c r="P1743" s="14" t="str">
        <f t="shared" si="108"/>
        <v/>
      </c>
      <c r="Q1743" s="15" t="str">
        <f>IF(OR(J1743="",H1743=""),"",IFERROR(IF(ISNUMBER(N1743),N1743,IF(K1743&lt;N(INDEX(Platforms!$G$5:$G$14,MATCH(H1743,Lists!$A$2:$A$11,0))),N(INDEX(Platforms!$H$5:$H$14,MATCH(H1743,Lists!$A$2:$A$11,0))),MAX(N(INDEX(Platforms!$F$5:$F$14,MATCH(H1743,Lists!$A$2:$A$11,0))),N(INDEX(Platforms!$C$5:$C$14,MATCH(H1743,Lists!$A$2:$A$11,0)))*(K1743+IF(INDEX(Platforms!$E$5:$E$14,MATCH(H1743,Lists!$A$2:$A$11,0))="Yes",N(L1743),0))+N(INDEX(Platforms!$D$5:$D$14,MATCH(H1743,Lists!$A$2:$A$11,0)))))),""))</f>
        <v/>
      </c>
      <c r="R1743" s="16" t="str">
        <f t="shared" si="109"/>
        <v/>
      </c>
      <c r="S1743" s="17" t="str">
        <f t="shared" si="110"/>
        <v/>
      </c>
      <c r="T1743" s="18" t="str">
        <f t="shared" ca="1" si="111"/>
        <v/>
      </c>
    </row>
    <row r="1744" spans="1:20" x14ac:dyDescent="0.35">
      <c r="A1744" s="11"/>
      <c r="B1744" s="11"/>
      <c r="C1744" s="11"/>
      <c r="D1744" s="12"/>
      <c r="E1744" s="11"/>
      <c r="F1744" s="13"/>
      <c r="G1744" s="13"/>
      <c r="H1744" s="11"/>
      <c r="I1744" s="12"/>
      <c r="J1744" s="12"/>
      <c r="K1744" s="13"/>
      <c r="L1744" s="13"/>
      <c r="M1744" s="13"/>
      <c r="N1744" s="13"/>
      <c r="O1744" s="13"/>
      <c r="P1744" s="14" t="str">
        <f t="shared" si="108"/>
        <v/>
      </c>
      <c r="Q1744" s="15" t="str">
        <f>IF(OR(J1744="",H1744=""),"",IFERROR(IF(ISNUMBER(N1744),N1744,IF(K1744&lt;N(INDEX(Platforms!$G$5:$G$14,MATCH(H1744,Lists!$A$2:$A$11,0))),N(INDEX(Platforms!$H$5:$H$14,MATCH(H1744,Lists!$A$2:$A$11,0))),MAX(N(INDEX(Platforms!$F$5:$F$14,MATCH(H1744,Lists!$A$2:$A$11,0))),N(INDEX(Platforms!$C$5:$C$14,MATCH(H1744,Lists!$A$2:$A$11,0)))*(K1744+IF(INDEX(Platforms!$E$5:$E$14,MATCH(H1744,Lists!$A$2:$A$11,0))="Yes",N(L1744),0))+N(INDEX(Platforms!$D$5:$D$14,MATCH(H1744,Lists!$A$2:$A$11,0)))))),""))</f>
        <v/>
      </c>
      <c r="R1744" s="16" t="str">
        <f t="shared" si="109"/>
        <v/>
      </c>
      <c r="S1744" s="17" t="str">
        <f t="shared" si="110"/>
        <v/>
      </c>
      <c r="T1744" s="18" t="str">
        <f t="shared" ca="1" si="111"/>
        <v/>
      </c>
    </row>
    <row r="1745" spans="1:20" x14ac:dyDescent="0.35">
      <c r="A1745" s="11"/>
      <c r="B1745" s="11"/>
      <c r="C1745" s="11"/>
      <c r="D1745" s="12"/>
      <c r="E1745" s="11"/>
      <c r="F1745" s="13"/>
      <c r="G1745" s="13"/>
      <c r="H1745" s="11"/>
      <c r="I1745" s="12"/>
      <c r="J1745" s="12"/>
      <c r="K1745" s="13"/>
      <c r="L1745" s="13"/>
      <c r="M1745" s="13"/>
      <c r="N1745" s="13"/>
      <c r="O1745" s="13"/>
      <c r="P1745" s="14" t="str">
        <f t="shared" si="108"/>
        <v/>
      </c>
      <c r="Q1745" s="15" t="str">
        <f>IF(OR(J1745="",H1745=""),"",IFERROR(IF(ISNUMBER(N1745),N1745,IF(K1745&lt;N(INDEX(Platforms!$G$5:$G$14,MATCH(H1745,Lists!$A$2:$A$11,0))),N(INDEX(Platforms!$H$5:$H$14,MATCH(H1745,Lists!$A$2:$A$11,0))),MAX(N(INDEX(Platforms!$F$5:$F$14,MATCH(H1745,Lists!$A$2:$A$11,0))),N(INDEX(Platforms!$C$5:$C$14,MATCH(H1745,Lists!$A$2:$A$11,0)))*(K1745+IF(INDEX(Platforms!$E$5:$E$14,MATCH(H1745,Lists!$A$2:$A$11,0))="Yes",N(L1745),0))+N(INDEX(Platforms!$D$5:$D$14,MATCH(H1745,Lists!$A$2:$A$11,0)))))),""))</f>
        <v/>
      </c>
      <c r="R1745" s="16" t="str">
        <f t="shared" si="109"/>
        <v/>
      </c>
      <c r="S1745" s="17" t="str">
        <f t="shared" si="110"/>
        <v/>
      </c>
      <c r="T1745" s="18" t="str">
        <f t="shared" ca="1" si="111"/>
        <v/>
      </c>
    </row>
    <row r="1746" spans="1:20" x14ac:dyDescent="0.35">
      <c r="A1746" s="11"/>
      <c r="B1746" s="11"/>
      <c r="C1746" s="11"/>
      <c r="D1746" s="12"/>
      <c r="E1746" s="11"/>
      <c r="F1746" s="13"/>
      <c r="G1746" s="13"/>
      <c r="H1746" s="11"/>
      <c r="I1746" s="12"/>
      <c r="J1746" s="12"/>
      <c r="K1746" s="13"/>
      <c r="L1746" s="13"/>
      <c r="M1746" s="13"/>
      <c r="N1746" s="13"/>
      <c r="O1746" s="13"/>
      <c r="P1746" s="14" t="str">
        <f t="shared" si="108"/>
        <v/>
      </c>
      <c r="Q1746" s="15" t="str">
        <f>IF(OR(J1746="",H1746=""),"",IFERROR(IF(ISNUMBER(N1746),N1746,IF(K1746&lt;N(INDEX(Platforms!$G$5:$G$14,MATCH(H1746,Lists!$A$2:$A$11,0))),N(INDEX(Platforms!$H$5:$H$14,MATCH(H1746,Lists!$A$2:$A$11,0))),MAX(N(INDEX(Platforms!$F$5:$F$14,MATCH(H1746,Lists!$A$2:$A$11,0))),N(INDEX(Platforms!$C$5:$C$14,MATCH(H1746,Lists!$A$2:$A$11,0)))*(K1746+IF(INDEX(Platforms!$E$5:$E$14,MATCH(H1746,Lists!$A$2:$A$11,0))="Yes",N(L1746),0))+N(INDEX(Platforms!$D$5:$D$14,MATCH(H1746,Lists!$A$2:$A$11,0)))))),""))</f>
        <v/>
      </c>
      <c r="R1746" s="16" t="str">
        <f t="shared" si="109"/>
        <v/>
      </c>
      <c r="S1746" s="17" t="str">
        <f t="shared" si="110"/>
        <v/>
      </c>
      <c r="T1746" s="18" t="str">
        <f t="shared" ca="1" si="111"/>
        <v/>
      </c>
    </row>
    <row r="1747" spans="1:20" x14ac:dyDescent="0.35">
      <c r="A1747" s="11"/>
      <c r="B1747" s="11"/>
      <c r="C1747" s="11"/>
      <c r="D1747" s="12"/>
      <c r="E1747" s="11"/>
      <c r="F1747" s="13"/>
      <c r="G1747" s="13"/>
      <c r="H1747" s="11"/>
      <c r="I1747" s="12"/>
      <c r="J1747" s="12"/>
      <c r="K1747" s="13"/>
      <c r="L1747" s="13"/>
      <c r="M1747" s="13"/>
      <c r="N1747" s="13"/>
      <c r="O1747" s="13"/>
      <c r="P1747" s="14" t="str">
        <f t="shared" si="108"/>
        <v/>
      </c>
      <c r="Q1747" s="15" t="str">
        <f>IF(OR(J1747="",H1747=""),"",IFERROR(IF(ISNUMBER(N1747),N1747,IF(K1747&lt;N(INDEX(Platforms!$G$5:$G$14,MATCH(H1747,Lists!$A$2:$A$11,0))),N(INDEX(Platforms!$H$5:$H$14,MATCH(H1747,Lists!$A$2:$A$11,0))),MAX(N(INDEX(Platforms!$F$5:$F$14,MATCH(H1747,Lists!$A$2:$A$11,0))),N(INDEX(Platforms!$C$5:$C$14,MATCH(H1747,Lists!$A$2:$A$11,0)))*(K1747+IF(INDEX(Platforms!$E$5:$E$14,MATCH(H1747,Lists!$A$2:$A$11,0))="Yes",N(L1747),0))+N(INDEX(Platforms!$D$5:$D$14,MATCH(H1747,Lists!$A$2:$A$11,0)))))),""))</f>
        <v/>
      </c>
      <c r="R1747" s="16" t="str">
        <f t="shared" si="109"/>
        <v/>
      </c>
      <c r="S1747" s="17" t="str">
        <f t="shared" si="110"/>
        <v/>
      </c>
      <c r="T1747" s="18" t="str">
        <f t="shared" ca="1" si="111"/>
        <v/>
      </c>
    </row>
    <row r="1748" spans="1:20" x14ac:dyDescent="0.35">
      <c r="A1748" s="11"/>
      <c r="B1748" s="11"/>
      <c r="C1748" s="11"/>
      <c r="D1748" s="12"/>
      <c r="E1748" s="11"/>
      <c r="F1748" s="13"/>
      <c r="G1748" s="13"/>
      <c r="H1748" s="11"/>
      <c r="I1748" s="12"/>
      <c r="J1748" s="12"/>
      <c r="K1748" s="13"/>
      <c r="L1748" s="13"/>
      <c r="M1748" s="13"/>
      <c r="N1748" s="13"/>
      <c r="O1748" s="13"/>
      <c r="P1748" s="14" t="str">
        <f t="shared" si="108"/>
        <v/>
      </c>
      <c r="Q1748" s="15" t="str">
        <f>IF(OR(J1748="",H1748=""),"",IFERROR(IF(ISNUMBER(N1748),N1748,IF(K1748&lt;N(INDEX(Platforms!$G$5:$G$14,MATCH(H1748,Lists!$A$2:$A$11,0))),N(INDEX(Platforms!$H$5:$H$14,MATCH(H1748,Lists!$A$2:$A$11,0))),MAX(N(INDEX(Platforms!$F$5:$F$14,MATCH(H1748,Lists!$A$2:$A$11,0))),N(INDEX(Platforms!$C$5:$C$14,MATCH(H1748,Lists!$A$2:$A$11,0)))*(K1748+IF(INDEX(Platforms!$E$5:$E$14,MATCH(H1748,Lists!$A$2:$A$11,0))="Yes",N(L1748),0))+N(INDEX(Platforms!$D$5:$D$14,MATCH(H1748,Lists!$A$2:$A$11,0)))))),""))</f>
        <v/>
      </c>
      <c r="R1748" s="16" t="str">
        <f t="shared" si="109"/>
        <v/>
      </c>
      <c r="S1748" s="17" t="str">
        <f t="shared" si="110"/>
        <v/>
      </c>
      <c r="T1748" s="18" t="str">
        <f t="shared" ca="1" si="111"/>
        <v/>
      </c>
    </row>
    <row r="1749" spans="1:20" x14ac:dyDescent="0.35">
      <c r="A1749" s="11"/>
      <c r="B1749" s="11"/>
      <c r="C1749" s="11"/>
      <c r="D1749" s="12"/>
      <c r="E1749" s="11"/>
      <c r="F1749" s="13"/>
      <c r="G1749" s="13"/>
      <c r="H1749" s="11"/>
      <c r="I1749" s="12"/>
      <c r="J1749" s="12"/>
      <c r="K1749" s="13"/>
      <c r="L1749" s="13"/>
      <c r="M1749" s="13"/>
      <c r="N1749" s="13"/>
      <c r="O1749" s="13"/>
      <c r="P1749" s="14" t="str">
        <f t="shared" si="108"/>
        <v/>
      </c>
      <c r="Q1749" s="15" t="str">
        <f>IF(OR(J1749="",H1749=""),"",IFERROR(IF(ISNUMBER(N1749),N1749,IF(K1749&lt;N(INDEX(Platforms!$G$5:$G$14,MATCH(H1749,Lists!$A$2:$A$11,0))),N(INDEX(Platforms!$H$5:$H$14,MATCH(H1749,Lists!$A$2:$A$11,0))),MAX(N(INDEX(Platforms!$F$5:$F$14,MATCH(H1749,Lists!$A$2:$A$11,0))),N(INDEX(Platforms!$C$5:$C$14,MATCH(H1749,Lists!$A$2:$A$11,0)))*(K1749+IF(INDEX(Platforms!$E$5:$E$14,MATCH(H1749,Lists!$A$2:$A$11,0))="Yes",N(L1749),0))+N(INDEX(Platforms!$D$5:$D$14,MATCH(H1749,Lists!$A$2:$A$11,0)))))),""))</f>
        <v/>
      </c>
      <c r="R1749" s="16" t="str">
        <f t="shared" si="109"/>
        <v/>
      </c>
      <c r="S1749" s="17" t="str">
        <f t="shared" si="110"/>
        <v/>
      </c>
      <c r="T1749" s="18" t="str">
        <f t="shared" ca="1" si="111"/>
        <v/>
      </c>
    </row>
    <row r="1750" spans="1:20" x14ac:dyDescent="0.35">
      <c r="A1750" s="11"/>
      <c r="B1750" s="11"/>
      <c r="C1750" s="11"/>
      <c r="D1750" s="12"/>
      <c r="E1750" s="11"/>
      <c r="F1750" s="13"/>
      <c r="G1750" s="13"/>
      <c r="H1750" s="11"/>
      <c r="I1750" s="12"/>
      <c r="J1750" s="12"/>
      <c r="K1750" s="13"/>
      <c r="L1750" s="13"/>
      <c r="M1750" s="13"/>
      <c r="N1750" s="13"/>
      <c r="O1750" s="13"/>
      <c r="P1750" s="14" t="str">
        <f t="shared" si="108"/>
        <v/>
      </c>
      <c r="Q1750" s="15" t="str">
        <f>IF(OR(J1750="",H1750=""),"",IFERROR(IF(ISNUMBER(N1750),N1750,IF(K1750&lt;N(INDEX(Platforms!$G$5:$G$14,MATCH(H1750,Lists!$A$2:$A$11,0))),N(INDEX(Platforms!$H$5:$H$14,MATCH(H1750,Lists!$A$2:$A$11,0))),MAX(N(INDEX(Platforms!$F$5:$F$14,MATCH(H1750,Lists!$A$2:$A$11,0))),N(INDEX(Platforms!$C$5:$C$14,MATCH(H1750,Lists!$A$2:$A$11,0)))*(K1750+IF(INDEX(Platforms!$E$5:$E$14,MATCH(H1750,Lists!$A$2:$A$11,0))="Yes",N(L1750),0))+N(INDEX(Platforms!$D$5:$D$14,MATCH(H1750,Lists!$A$2:$A$11,0)))))),""))</f>
        <v/>
      </c>
      <c r="R1750" s="16" t="str">
        <f t="shared" si="109"/>
        <v/>
      </c>
      <c r="S1750" s="17" t="str">
        <f t="shared" si="110"/>
        <v/>
      </c>
      <c r="T1750" s="18" t="str">
        <f t="shared" ca="1" si="111"/>
        <v/>
      </c>
    </row>
    <row r="1751" spans="1:20" x14ac:dyDescent="0.35">
      <c r="A1751" s="11"/>
      <c r="B1751" s="11"/>
      <c r="C1751" s="11"/>
      <c r="D1751" s="12"/>
      <c r="E1751" s="11"/>
      <c r="F1751" s="13"/>
      <c r="G1751" s="13"/>
      <c r="H1751" s="11"/>
      <c r="I1751" s="12"/>
      <c r="J1751" s="12"/>
      <c r="K1751" s="13"/>
      <c r="L1751" s="13"/>
      <c r="M1751" s="13"/>
      <c r="N1751" s="13"/>
      <c r="O1751" s="13"/>
      <c r="P1751" s="14" t="str">
        <f t="shared" si="108"/>
        <v/>
      </c>
      <c r="Q1751" s="15" t="str">
        <f>IF(OR(J1751="",H1751=""),"",IFERROR(IF(ISNUMBER(N1751),N1751,IF(K1751&lt;N(INDEX(Platforms!$G$5:$G$14,MATCH(H1751,Lists!$A$2:$A$11,0))),N(INDEX(Platforms!$H$5:$H$14,MATCH(H1751,Lists!$A$2:$A$11,0))),MAX(N(INDEX(Platforms!$F$5:$F$14,MATCH(H1751,Lists!$A$2:$A$11,0))),N(INDEX(Platforms!$C$5:$C$14,MATCH(H1751,Lists!$A$2:$A$11,0)))*(K1751+IF(INDEX(Platforms!$E$5:$E$14,MATCH(H1751,Lists!$A$2:$A$11,0))="Yes",N(L1751),0))+N(INDEX(Platforms!$D$5:$D$14,MATCH(H1751,Lists!$A$2:$A$11,0)))))),""))</f>
        <v/>
      </c>
      <c r="R1751" s="16" t="str">
        <f t="shared" si="109"/>
        <v/>
      </c>
      <c r="S1751" s="17" t="str">
        <f t="shared" si="110"/>
        <v/>
      </c>
      <c r="T1751" s="18" t="str">
        <f t="shared" ca="1" si="111"/>
        <v/>
      </c>
    </row>
    <row r="1752" spans="1:20" x14ac:dyDescent="0.35">
      <c r="A1752" s="11"/>
      <c r="B1752" s="11"/>
      <c r="C1752" s="11"/>
      <c r="D1752" s="12"/>
      <c r="E1752" s="11"/>
      <c r="F1752" s="13"/>
      <c r="G1752" s="13"/>
      <c r="H1752" s="11"/>
      <c r="I1752" s="12"/>
      <c r="J1752" s="12"/>
      <c r="K1752" s="13"/>
      <c r="L1752" s="13"/>
      <c r="M1752" s="13"/>
      <c r="N1752" s="13"/>
      <c r="O1752" s="13"/>
      <c r="P1752" s="14" t="str">
        <f t="shared" si="108"/>
        <v/>
      </c>
      <c r="Q1752" s="15" t="str">
        <f>IF(OR(J1752="",H1752=""),"",IFERROR(IF(ISNUMBER(N1752),N1752,IF(K1752&lt;N(INDEX(Platforms!$G$5:$G$14,MATCH(H1752,Lists!$A$2:$A$11,0))),N(INDEX(Platforms!$H$5:$H$14,MATCH(H1752,Lists!$A$2:$A$11,0))),MAX(N(INDEX(Platforms!$F$5:$F$14,MATCH(H1752,Lists!$A$2:$A$11,0))),N(INDEX(Platforms!$C$5:$C$14,MATCH(H1752,Lists!$A$2:$A$11,0)))*(K1752+IF(INDEX(Platforms!$E$5:$E$14,MATCH(H1752,Lists!$A$2:$A$11,0))="Yes",N(L1752),0))+N(INDEX(Platforms!$D$5:$D$14,MATCH(H1752,Lists!$A$2:$A$11,0)))))),""))</f>
        <v/>
      </c>
      <c r="R1752" s="16" t="str">
        <f t="shared" si="109"/>
        <v/>
      </c>
      <c r="S1752" s="17" t="str">
        <f t="shared" si="110"/>
        <v/>
      </c>
      <c r="T1752" s="18" t="str">
        <f t="shared" ca="1" si="111"/>
        <v/>
      </c>
    </row>
    <row r="1753" spans="1:20" x14ac:dyDescent="0.35">
      <c r="A1753" s="11"/>
      <c r="B1753" s="11"/>
      <c r="C1753" s="11"/>
      <c r="D1753" s="12"/>
      <c r="E1753" s="11"/>
      <c r="F1753" s="13"/>
      <c r="G1753" s="13"/>
      <c r="H1753" s="11"/>
      <c r="I1753" s="12"/>
      <c r="J1753" s="12"/>
      <c r="K1753" s="13"/>
      <c r="L1753" s="13"/>
      <c r="M1753" s="13"/>
      <c r="N1753" s="13"/>
      <c r="O1753" s="13"/>
      <c r="P1753" s="14" t="str">
        <f t="shared" si="108"/>
        <v/>
      </c>
      <c r="Q1753" s="15" t="str">
        <f>IF(OR(J1753="",H1753=""),"",IFERROR(IF(ISNUMBER(N1753),N1753,IF(K1753&lt;N(INDEX(Platforms!$G$5:$G$14,MATCH(H1753,Lists!$A$2:$A$11,0))),N(INDEX(Platforms!$H$5:$H$14,MATCH(H1753,Lists!$A$2:$A$11,0))),MAX(N(INDEX(Platforms!$F$5:$F$14,MATCH(H1753,Lists!$A$2:$A$11,0))),N(INDEX(Platforms!$C$5:$C$14,MATCH(H1753,Lists!$A$2:$A$11,0)))*(K1753+IF(INDEX(Platforms!$E$5:$E$14,MATCH(H1753,Lists!$A$2:$A$11,0))="Yes",N(L1753),0))+N(INDEX(Platforms!$D$5:$D$14,MATCH(H1753,Lists!$A$2:$A$11,0)))))),""))</f>
        <v/>
      </c>
      <c r="R1753" s="16" t="str">
        <f t="shared" si="109"/>
        <v/>
      </c>
      <c r="S1753" s="17" t="str">
        <f t="shared" si="110"/>
        <v/>
      </c>
      <c r="T1753" s="18" t="str">
        <f t="shared" ca="1" si="111"/>
        <v/>
      </c>
    </row>
    <row r="1754" spans="1:20" x14ac:dyDescent="0.35">
      <c r="A1754" s="11"/>
      <c r="B1754" s="11"/>
      <c r="C1754" s="11"/>
      <c r="D1754" s="12"/>
      <c r="E1754" s="11"/>
      <c r="F1754" s="13"/>
      <c r="G1754" s="13"/>
      <c r="H1754" s="11"/>
      <c r="I1754" s="12"/>
      <c r="J1754" s="12"/>
      <c r="K1754" s="13"/>
      <c r="L1754" s="13"/>
      <c r="M1754" s="13"/>
      <c r="N1754" s="13"/>
      <c r="O1754" s="13"/>
      <c r="P1754" s="14" t="str">
        <f t="shared" si="108"/>
        <v/>
      </c>
      <c r="Q1754" s="15" t="str">
        <f>IF(OR(J1754="",H1754=""),"",IFERROR(IF(ISNUMBER(N1754),N1754,IF(K1754&lt;N(INDEX(Platforms!$G$5:$G$14,MATCH(H1754,Lists!$A$2:$A$11,0))),N(INDEX(Platforms!$H$5:$H$14,MATCH(H1754,Lists!$A$2:$A$11,0))),MAX(N(INDEX(Platforms!$F$5:$F$14,MATCH(H1754,Lists!$A$2:$A$11,0))),N(INDEX(Platforms!$C$5:$C$14,MATCH(H1754,Lists!$A$2:$A$11,0)))*(K1754+IF(INDEX(Platforms!$E$5:$E$14,MATCH(H1754,Lists!$A$2:$A$11,0))="Yes",N(L1754),0))+N(INDEX(Platforms!$D$5:$D$14,MATCH(H1754,Lists!$A$2:$A$11,0)))))),""))</f>
        <v/>
      </c>
      <c r="R1754" s="16" t="str">
        <f t="shared" si="109"/>
        <v/>
      </c>
      <c r="S1754" s="17" t="str">
        <f t="shared" si="110"/>
        <v/>
      </c>
      <c r="T1754" s="18" t="str">
        <f t="shared" ca="1" si="111"/>
        <v/>
      </c>
    </row>
    <row r="1755" spans="1:20" x14ac:dyDescent="0.35">
      <c r="A1755" s="11"/>
      <c r="B1755" s="11"/>
      <c r="C1755" s="11"/>
      <c r="D1755" s="12"/>
      <c r="E1755" s="11"/>
      <c r="F1755" s="13"/>
      <c r="G1755" s="13"/>
      <c r="H1755" s="11"/>
      <c r="I1755" s="12"/>
      <c r="J1755" s="12"/>
      <c r="K1755" s="13"/>
      <c r="L1755" s="13"/>
      <c r="M1755" s="13"/>
      <c r="N1755" s="13"/>
      <c r="O1755" s="13"/>
      <c r="P1755" s="14" t="str">
        <f t="shared" si="108"/>
        <v/>
      </c>
      <c r="Q1755" s="15" t="str">
        <f>IF(OR(J1755="",H1755=""),"",IFERROR(IF(ISNUMBER(N1755),N1755,IF(K1755&lt;N(INDEX(Platforms!$G$5:$G$14,MATCH(H1755,Lists!$A$2:$A$11,0))),N(INDEX(Platforms!$H$5:$H$14,MATCH(H1755,Lists!$A$2:$A$11,0))),MAX(N(INDEX(Platforms!$F$5:$F$14,MATCH(H1755,Lists!$A$2:$A$11,0))),N(INDEX(Platforms!$C$5:$C$14,MATCH(H1755,Lists!$A$2:$A$11,0)))*(K1755+IF(INDEX(Platforms!$E$5:$E$14,MATCH(H1755,Lists!$A$2:$A$11,0))="Yes",N(L1755),0))+N(INDEX(Platforms!$D$5:$D$14,MATCH(H1755,Lists!$A$2:$A$11,0)))))),""))</f>
        <v/>
      </c>
      <c r="R1755" s="16" t="str">
        <f t="shared" si="109"/>
        <v/>
      </c>
      <c r="S1755" s="17" t="str">
        <f t="shared" si="110"/>
        <v/>
      </c>
      <c r="T1755" s="18" t="str">
        <f t="shared" ca="1" si="111"/>
        <v/>
      </c>
    </row>
    <row r="1756" spans="1:20" x14ac:dyDescent="0.35">
      <c r="A1756" s="11"/>
      <c r="B1756" s="11"/>
      <c r="C1756" s="11"/>
      <c r="D1756" s="12"/>
      <c r="E1756" s="11"/>
      <c r="F1756" s="13"/>
      <c r="G1756" s="13"/>
      <c r="H1756" s="11"/>
      <c r="I1756" s="12"/>
      <c r="J1756" s="12"/>
      <c r="K1756" s="13"/>
      <c r="L1756" s="13"/>
      <c r="M1756" s="13"/>
      <c r="N1756" s="13"/>
      <c r="O1756" s="13"/>
      <c r="P1756" s="14" t="str">
        <f t="shared" si="108"/>
        <v/>
      </c>
      <c r="Q1756" s="15" t="str">
        <f>IF(OR(J1756="",H1756=""),"",IFERROR(IF(ISNUMBER(N1756),N1756,IF(K1756&lt;N(INDEX(Platforms!$G$5:$G$14,MATCH(H1756,Lists!$A$2:$A$11,0))),N(INDEX(Platforms!$H$5:$H$14,MATCH(H1756,Lists!$A$2:$A$11,0))),MAX(N(INDEX(Platforms!$F$5:$F$14,MATCH(H1756,Lists!$A$2:$A$11,0))),N(INDEX(Platforms!$C$5:$C$14,MATCH(H1756,Lists!$A$2:$A$11,0)))*(K1756+IF(INDEX(Platforms!$E$5:$E$14,MATCH(H1756,Lists!$A$2:$A$11,0))="Yes",N(L1756),0))+N(INDEX(Platforms!$D$5:$D$14,MATCH(H1756,Lists!$A$2:$A$11,0)))))),""))</f>
        <v/>
      </c>
      <c r="R1756" s="16" t="str">
        <f t="shared" si="109"/>
        <v/>
      </c>
      <c r="S1756" s="17" t="str">
        <f t="shared" si="110"/>
        <v/>
      </c>
      <c r="T1756" s="18" t="str">
        <f t="shared" ca="1" si="111"/>
        <v/>
      </c>
    </row>
    <row r="1757" spans="1:20" x14ac:dyDescent="0.35">
      <c r="A1757" s="11"/>
      <c r="B1757" s="11"/>
      <c r="C1757" s="11"/>
      <c r="D1757" s="12"/>
      <c r="E1757" s="11"/>
      <c r="F1757" s="13"/>
      <c r="G1757" s="13"/>
      <c r="H1757" s="11"/>
      <c r="I1757" s="12"/>
      <c r="J1757" s="12"/>
      <c r="K1757" s="13"/>
      <c r="L1757" s="13"/>
      <c r="M1757" s="13"/>
      <c r="N1757" s="13"/>
      <c r="O1757" s="13"/>
      <c r="P1757" s="14" t="str">
        <f t="shared" si="108"/>
        <v/>
      </c>
      <c r="Q1757" s="15" t="str">
        <f>IF(OR(J1757="",H1757=""),"",IFERROR(IF(ISNUMBER(N1757),N1757,IF(K1757&lt;N(INDEX(Platforms!$G$5:$G$14,MATCH(H1757,Lists!$A$2:$A$11,0))),N(INDEX(Platforms!$H$5:$H$14,MATCH(H1757,Lists!$A$2:$A$11,0))),MAX(N(INDEX(Platforms!$F$5:$F$14,MATCH(H1757,Lists!$A$2:$A$11,0))),N(INDEX(Platforms!$C$5:$C$14,MATCH(H1757,Lists!$A$2:$A$11,0)))*(K1757+IF(INDEX(Platforms!$E$5:$E$14,MATCH(H1757,Lists!$A$2:$A$11,0))="Yes",N(L1757),0))+N(INDEX(Platforms!$D$5:$D$14,MATCH(H1757,Lists!$A$2:$A$11,0)))))),""))</f>
        <v/>
      </c>
      <c r="R1757" s="16" t="str">
        <f t="shared" si="109"/>
        <v/>
      </c>
      <c r="S1757" s="17" t="str">
        <f t="shared" si="110"/>
        <v/>
      </c>
      <c r="T1757" s="18" t="str">
        <f t="shared" ca="1" si="111"/>
        <v/>
      </c>
    </row>
    <row r="1758" spans="1:20" x14ac:dyDescent="0.35">
      <c r="A1758" s="11"/>
      <c r="B1758" s="11"/>
      <c r="C1758" s="11"/>
      <c r="D1758" s="12"/>
      <c r="E1758" s="11"/>
      <c r="F1758" s="13"/>
      <c r="G1758" s="13"/>
      <c r="H1758" s="11"/>
      <c r="I1758" s="12"/>
      <c r="J1758" s="12"/>
      <c r="K1758" s="13"/>
      <c r="L1758" s="13"/>
      <c r="M1758" s="13"/>
      <c r="N1758" s="13"/>
      <c r="O1758" s="13"/>
      <c r="P1758" s="14" t="str">
        <f t="shared" si="108"/>
        <v/>
      </c>
      <c r="Q1758" s="15" t="str">
        <f>IF(OR(J1758="",H1758=""),"",IFERROR(IF(ISNUMBER(N1758),N1758,IF(K1758&lt;N(INDEX(Platforms!$G$5:$G$14,MATCH(H1758,Lists!$A$2:$A$11,0))),N(INDEX(Platforms!$H$5:$H$14,MATCH(H1758,Lists!$A$2:$A$11,0))),MAX(N(INDEX(Platforms!$F$5:$F$14,MATCH(H1758,Lists!$A$2:$A$11,0))),N(INDEX(Platforms!$C$5:$C$14,MATCH(H1758,Lists!$A$2:$A$11,0)))*(K1758+IF(INDEX(Platforms!$E$5:$E$14,MATCH(H1758,Lists!$A$2:$A$11,0))="Yes",N(L1758),0))+N(INDEX(Platforms!$D$5:$D$14,MATCH(H1758,Lists!$A$2:$A$11,0)))))),""))</f>
        <v/>
      </c>
      <c r="R1758" s="16" t="str">
        <f t="shared" si="109"/>
        <v/>
      </c>
      <c r="S1758" s="17" t="str">
        <f t="shared" si="110"/>
        <v/>
      </c>
      <c r="T1758" s="18" t="str">
        <f t="shared" ca="1" si="111"/>
        <v/>
      </c>
    </row>
    <row r="1759" spans="1:20" x14ac:dyDescent="0.35">
      <c r="A1759" s="11"/>
      <c r="B1759" s="11"/>
      <c r="C1759" s="11"/>
      <c r="D1759" s="12"/>
      <c r="E1759" s="11"/>
      <c r="F1759" s="13"/>
      <c r="G1759" s="13"/>
      <c r="H1759" s="11"/>
      <c r="I1759" s="12"/>
      <c r="J1759" s="12"/>
      <c r="K1759" s="13"/>
      <c r="L1759" s="13"/>
      <c r="M1759" s="13"/>
      <c r="N1759" s="13"/>
      <c r="O1759" s="13"/>
      <c r="P1759" s="14" t="str">
        <f t="shared" si="108"/>
        <v/>
      </c>
      <c r="Q1759" s="15" t="str">
        <f>IF(OR(J1759="",H1759=""),"",IFERROR(IF(ISNUMBER(N1759),N1759,IF(K1759&lt;N(INDEX(Platforms!$G$5:$G$14,MATCH(H1759,Lists!$A$2:$A$11,0))),N(INDEX(Platforms!$H$5:$H$14,MATCH(H1759,Lists!$A$2:$A$11,0))),MAX(N(INDEX(Platforms!$F$5:$F$14,MATCH(H1759,Lists!$A$2:$A$11,0))),N(INDEX(Platforms!$C$5:$C$14,MATCH(H1759,Lists!$A$2:$A$11,0)))*(K1759+IF(INDEX(Platforms!$E$5:$E$14,MATCH(H1759,Lists!$A$2:$A$11,0))="Yes",N(L1759),0))+N(INDEX(Platforms!$D$5:$D$14,MATCH(H1759,Lists!$A$2:$A$11,0)))))),""))</f>
        <v/>
      </c>
      <c r="R1759" s="16" t="str">
        <f t="shared" si="109"/>
        <v/>
      </c>
      <c r="S1759" s="17" t="str">
        <f t="shared" si="110"/>
        <v/>
      </c>
      <c r="T1759" s="18" t="str">
        <f t="shared" ca="1" si="111"/>
        <v/>
      </c>
    </row>
    <row r="1760" spans="1:20" x14ac:dyDescent="0.35">
      <c r="A1760" s="11"/>
      <c r="B1760" s="11"/>
      <c r="C1760" s="11"/>
      <c r="D1760" s="12"/>
      <c r="E1760" s="11"/>
      <c r="F1760" s="13"/>
      <c r="G1760" s="13"/>
      <c r="H1760" s="11"/>
      <c r="I1760" s="12"/>
      <c r="J1760" s="12"/>
      <c r="K1760" s="13"/>
      <c r="L1760" s="13"/>
      <c r="M1760" s="13"/>
      <c r="N1760" s="13"/>
      <c r="O1760" s="13"/>
      <c r="P1760" s="14" t="str">
        <f t="shared" si="108"/>
        <v/>
      </c>
      <c r="Q1760" s="15" t="str">
        <f>IF(OR(J1760="",H1760=""),"",IFERROR(IF(ISNUMBER(N1760),N1760,IF(K1760&lt;N(INDEX(Platforms!$G$5:$G$14,MATCH(H1760,Lists!$A$2:$A$11,0))),N(INDEX(Platforms!$H$5:$H$14,MATCH(H1760,Lists!$A$2:$A$11,0))),MAX(N(INDEX(Platforms!$F$5:$F$14,MATCH(H1760,Lists!$A$2:$A$11,0))),N(INDEX(Platforms!$C$5:$C$14,MATCH(H1760,Lists!$A$2:$A$11,0)))*(K1760+IF(INDEX(Platforms!$E$5:$E$14,MATCH(H1760,Lists!$A$2:$A$11,0))="Yes",N(L1760),0))+N(INDEX(Platforms!$D$5:$D$14,MATCH(H1760,Lists!$A$2:$A$11,0)))))),""))</f>
        <v/>
      </c>
      <c r="R1760" s="16" t="str">
        <f t="shared" si="109"/>
        <v/>
      </c>
      <c r="S1760" s="17" t="str">
        <f t="shared" si="110"/>
        <v/>
      </c>
      <c r="T1760" s="18" t="str">
        <f t="shared" ca="1" si="111"/>
        <v/>
      </c>
    </row>
    <row r="1761" spans="1:20" x14ac:dyDescent="0.35">
      <c r="A1761" s="11"/>
      <c r="B1761" s="11"/>
      <c r="C1761" s="11"/>
      <c r="D1761" s="12"/>
      <c r="E1761" s="11"/>
      <c r="F1761" s="13"/>
      <c r="G1761" s="13"/>
      <c r="H1761" s="11"/>
      <c r="I1761" s="12"/>
      <c r="J1761" s="12"/>
      <c r="K1761" s="13"/>
      <c r="L1761" s="13"/>
      <c r="M1761" s="13"/>
      <c r="N1761" s="13"/>
      <c r="O1761" s="13"/>
      <c r="P1761" s="14" t="str">
        <f t="shared" si="108"/>
        <v/>
      </c>
      <c r="Q1761" s="15" t="str">
        <f>IF(OR(J1761="",H1761=""),"",IFERROR(IF(ISNUMBER(N1761),N1761,IF(K1761&lt;N(INDEX(Platforms!$G$5:$G$14,MATCH(H1761,Lists!$A$2:$A$11,0))),N(INDEX(Platforms!$H$5:$H$14,MATCH(H1761,Lists!$A$2:$A$11,0))),MAX(N(INDEX(Platforms!$F$5:$F$14,MATCH(H1761,Lists!$A$2:$A$11,0))),N(INDEX(Platforms!$C$5:$C$14,MATCH(H1761,Lists!$A$2:$A$11,0)))*(K1761+IF(INDEX(Platforms!$E$5:$E$14,MATCH(H1761,Lists!$A$2:$A$11,0))="Yes",N(L1761),0))+N(INDEX(Platforms!$D$5:$D$14,MATCH(H1761,Lists!$A$2:$A$11,0)))))),""))</f>
        <v/>
      </c>
      <c r="R1761" s="16" t="str">
        <f t="shared" si="109"/>
        <v/>
      </c>
      <c r="S1761" s="17" t="str">
        <f t="shared" si="110"/>
        <v/>
      </c>
      <c r="T1761" s="18" t="str">
        <f t="shared" ca="1" si="111"/>
        <v/>
      </c>
    </row>
    <row r="1762" spans="1:20" x14ac:dyDescent="0.35">
      <c r="A1762" s="11"/>
      <c r="B1762" s="11"/>
      <c r="C1762" s="11"/>
      <c r="D1762" s="12"/>
      <c r="E1762" s="11"/>
      <c r="F1762" s="13"/>
      <c r="G1762" s="13"/>
      <c r="H1762" s="11"/>
      <c r="I1762" s="12"/>
      <c r="J1762" s="12"/>
      <c r="K1762" s="13"/>
      <c r="L1762" s="13"/>
      <c r="M1762" s="13"/>
      <c r="N1762" s="13"/>
      <c r="O1762" s="13"/>
      <c r="P1762" s="14" t="str">
        <f t="shared" si="108"/>
        <v/>
      </c>
      <c r="Q1762" s="15" t="str">
        <f>IF(OR(J1762="",H1762=""),"",IFERROR(IF(ISNUMBER(N1762),N1762,IF(K1762&lt;N(INDEX(Platforms!$G$5:$G$14,MATCH(H1762,Lists!$A$2:$A$11,0))),N(INDEX(Platforms!$H$5:$H$14,MATCH(H1762,Lists!$A$2:$A$11,0))),MAX(N(INDEX(Platforms!$F$5:$F$14,MATCH(H1762,Lists!$A$2:$A$11,0))),N(INDEX(Platforms!$C$5:$C$14,MATCH(H1762,Lists!$A$2:$A$11,0)))*(K1762+IF(INDEX(Platforms!$E$5:$E$14,MATCH(H1762,Lists!$A$2:$A$11,0))="Yes",N(L1762),0))+N(INDEX(Platforms!$D$5:$D$14,MATCH(H1762,Lists!$A$2:$A$11,0)))))),""))</f>
        <v/>
      </c>
      <c r="R1762" s="16" t="str">
        <f t="shared" si="109"/>
        <v/>
      </c>
      <c r="S1762" s="17" t="str">
        <f t="shared" si="110"/>
        <v/>
      </c>
      <c r="T1762" s="18" t="str">
        <f t="shared" ca="1" si="111"/>
        <v/>
      </c>
    </row>
    <row r="1763" spans="1:20" x14ac:dyDescent="0.35">
      <c r="A1763" s="11"/>
      <c r="B1763" s="11"/>
      <c r="C1763" s="11"/>
      <c r="D1763" s="12"/>
      <c r="E1763" s="11"/>
      <c r="F1763" s="13"/>
      <c r="G1763" s="13"/>
      <c r="H1763" s="11"/>
      <c r="I1763" s="12"/>
      <c r="J1763" s="12"/>
      <c r="K1763" s="13"/>
      <c r="L1763" s="13"/>
      <c r="M1763" s="13"/>
      <c r="N1763" s="13"/>
      <c r="O1763" s="13"/>
      <c r="P1763" s="14" t="str">
        <f t="shared" si="108"/>
        <v/>
      </c>
      <c r="Q1763" s="15" t="str">
        <f>IF(OR(J1763="",H1763=""),"",IFERROR(IF(ISNUMBER(N1763),N1763,IF(K1763&lt;N(INDEX(Platforms!$G$5:$G$14,MATCH(H1763,Lists!$A$2:$A$11,0))),N(INDEX(Platforms!$H$5:$H$14,MATCH(H1763,Lists!$A$2:$A$11,0))),MAX(N(INDEX(Platforms!$F$5:$F$14,MATCH(H1763,Lists!$A$2:$A$11,0))),N(INDEX(Platforms!$C$5:$C$14,MATCH(H1763,Lists!$A$2:$A$11,0)))*(K1763+IF(INDEX(Platforms!$E$5:$E$14,MATCH(H1763,Lists!$A$2:$A$11,0))="Yes",N(L1763),0))+N(INDEX(Platforms!$D$5:$D$14,MATCH(H1763,Lists!$A$2:$A$11,0)))))),""))</f>
        <v/>
      </c>
      <c r="R1763" s="16" t="str">
        <f t="shared" si="109"/>
        <v/>
      </c>
      <c r="S1763" s="17" t="str">
        <f t="shared" si="110"/>
        <v/>
      </c>
      <c r="T1763" s="18" t="str">
        <f t="shared" ca="1" si="111"/>
        <v/>
      </c>
    </row>
    <row r="1764" spans="1:20" x14ac:dyDescent="0.35">
      <c r="A1764" s="11"/>
      <c r="B1764" s="11"/>
      <c r="C1764" s="11"/>
      <c r="D1764" s="12"/>
      <c r="E1764" s="11"/>
      <c r="F1764" s="13"/>
      <c r="G1764" s="13"/>
      <c r="H1764" s="11"/>
      <c r="I1764" s="12"/>
      <c r="J1764" s="12"/>
      <c r="K1764" s="13"/>
      <c r="L1764" s="13"/>
      <c r="M1764" s="13"/>
      <c r="N1764" s="13"/>
      <c r="O1764" s="13"/>
      <c r="P1764" s="14" t="str">
        <f t="shared" si="108"/>
        <v/>
      </c>
      <c r="Q1764" s="15" t="str">
        <f>IF(OR(J1764="",H1764=""),"",IFERROR(IF(ISNUMBER(N1764),N1764,IF(K1764&lt;N(INDEX(Platforms!$G$5:$G$14,MATCH(H1764,Lists!$A$2:$A$11,0))),N(INDEX(Platforms!$H$5:$H$14,MATCH(H1764,Lists!$A$2:$A$11,0))),MAX(N(INDEX(Platforms!$F$5:$F$14,MATCH(H1764,Lists!$A$2:$A$11,0))),N(INDEX(Platforms!$C$5:$C$14,MATCH(H1764,Lists!$A$2:$A$11,0)))*(K1764+IF(INDEX(Platforms!$E$5:$E$14,MATCH(H1764,Lists!$A$2:$A$11,0))="Yes",N(L1764),0))+N(INDEX(Platforms!$D$5:$D$14,MATCH(H1764,Lists!$A$2:$A$11,0)))))),""))</f>
        <v/>
      </c>
      <c r="R1764" s="16" t="str">
        <f t="shared" si="109"/>
        <v/>
      </c>
      <c r="S1764" s="17" t="str">
        <f t="shared" si="110"/>
        <v/>
      </c>
      <c r="T1764" s="18" t="str">
        <f t="shared" ca="1" si="111"/>
        <v/>
      </c>
    </row>
    <row r="1765" spans="1:20" x14ac:dyDescent="0.35">
      <c r="A1765" s="11"/>
      <c r="B1765" s="11"/>
      <c r="C1765" s="11"/>
      <c r="D1765" s="12"/>
      <c r="E1765" s="11"/>
      <c r="F1765" s="13"/>
      <c r="G1765" s="13"/>
      <c r="H1765" s="11"/>
      <c r="I1765" s="12"/>
      <c r="J1765" s="12"/>
      <c r="K1765" s="13"/>
      <c r="L1765" s="13"/>
      <c r="M1765" s="13"/>
      <c r="N1765" s="13"/>
      <c r="O1765" s="13"/>
      <c r="P1765" s="14" t="str">
        <f t="shared" si="108"/>
        <v/>
      </c>
      <c r="Q1765" s="15" t="str">
        <f>IF(OR(J1765="",H1765=""),"",IFERROR(IF(ISNUMBER(N1765),N1765,IF(K1765&lt;N(INDEX(Platforms!$G$5:$G$14,MATCH(H1765,Lists!$A$2:$A$11,0))),N(INDEX(Platforms!$H$5:$H$14,MATCH(H1765,Lists!$A$2:$A$11,0))),MAX(N(INDEX(Platforms!$F$5:$F$14,MATCH(H1765,Lists!$A$2:$A$11,0))),N(INDEX(Platforms!$C$5:$C$14,MATCH(H1765,Lists!$A$2:$A$11,0)))*(K1765+IF(INDEX(Platforms!$E$5:$E$14,MATCH(H1765,Lists!$A$2:$A$11,0))="Yes",N(L1765),0))+N(INDEX(Platforms!$D$5:$D$14,MATCH(H1765,Lists!$A$2:$A$11,0)))))),""))</f>
        <v/>
      </c>
      <c r="R1765" s="16" t="str">
        <f t="shared" si="109"/>
        <v/>
      </c>
      <c r="S1765" s="17" t="str">
        <f t="shared" si="110"/>
        <v/>
      </c>
      <c r="T1765" s="18" t="str">
        <f t="shared" ca="1" si="111"/>
        <v/>
      </c>
    </row>
    <row r="1766" spans="1:20" x14ac:dyDescent="0.35">
      <c r="A1766" s="11"/>
      <c r="B1766" s="11"/>
      <c r="C1766" s="11"/>
      <c r="D1766" s="12"/>
      <c r="E1766" s="11"/>
      <c r="F1766" s="13"/>
      <c r="G1766" s="13"/>
      <c r="H1766" s="11"/>
      <c r="I1766" s="12"/>
      <c r="J1766" s="12"/>
      <c r="K1766" s="13"/>
      <c r="L1766" s="13"/>
      <c r="M1766" s="13"/>
      <c r="N1766" s="13"/>
      <c r="O1766" s="13"/>
      <c r="P1766" s="14" t="str">
        <f t="shared" si="108"/>
        <v/>
      </c>
      <c r="Q1766" s="15" t="str">
        <f>IF(OR(J1766="",H1766=""),"",IFERROR(IF(ISNUMBER(N1766),N1766,IF(K1766&lt;N(INDEX(Platforms!$G$5:$G$14,MATCH(H1766,Lists!$A$2:$A$11,0))),N(INDEX(Platforms!$H$5:$H$14,MATCH(H1766,Lists!$A$2:$A$11,0))),MAX(N(INDEX(Platforms!$F$5:$F$14,MATCH(H1766,Lists!$A$2:$A$11,0))),N(INDEX(Platforms!$C$5:$C$14,MATCH(H1766,Lists!$A$2:$A$11,0)))*(K1766+IF(INDEX(Platforms!$E$5:$E$14,MATCH(H1766,Lists!$A$2:$A$11,0))="Yes",N(L1766),0))+N(INDEX(Platforms!$D$5:$D$14,MATCH(H1766,Lists!$A$2:$A$11,0)))))),""))</f>
        <v/>
      </c>
      <c r="R1766" s="16" t="str">
        <f t="shared" si="109"/>
        <v/>
      </c>
      <c r="S1766" s="17" t="str">
        <f t="shared" si="110"/>
        <v/>
      </c>
      <c r="T1766" s="18" t="str">
        <f t="shared" ca="1" si="111"/>
        <v/>
      </c>
    </row>
    <row r="1767" spans="1:20" x14ac:dyDescent="0.35">
      <c r="A1767" s="11"/>
      <c r="B1767" s="11"/>
      <c r="C1767" s="11"/>
      <c r="D1767" s="12"/>
      <c r="E1767" s="11"/>
      <c r="F1767" s="13"/>
      <c r="G1767" s="13"/>
      <c r="H1767" s="11"/>
      <c r="I1767" s="12"/>
      <c r="J1767" s="12"/>
      <c r="K1767" s="13"/>
      <c r="L1767" s="13"/>
      <c r="M1767" s="13"/>
      <c r="N1767" s="13"/>
      <c r="O1767" s="13"/>
      <c r="P1767" s="14" t="str">
        <f t="shared" si="108"/>
        <v/>
      </c>
      <c r="Q1767" s="15" t="str">
        <f>IF(OR(J1767="",H1767=""),"",IFERROR(IF(ISNUMBER(N1767),N1767,IF(K1767&lt;N(INDEX(Platforms!$G$5:$G$14,MATCH(H1767,Lists!$A$2:$A$11,0))),N(INDEX(Platforms!$H$5:$H$14,MATCH(H1767,Lists!$A$2:$A$11,0))),MAX(N(INDEX(Platforms!$F$5:$F$14,MATCH(H1767,Lists!$A$2:$A$11,0))),N(INDEX(Platforms!$C$5:$C$14,MATCH(H1767,Lists!$A$2:$A$11,0)))*(K1767+IF(INDEX(Platforms!$E$5:$E$14,MATCH(H1767,Lists!$A$2:$A$11,0))="Yes",N(L1767),0))+N(INDEX(Platforms!$D$5:$D$14,MATCH(H1767,Lists!$A$2:$A$11,0)))))),""))</f>
        <v/>
      </c>
      <c r="R1767" s="16" t="str">
        <f t="shared" si="109"/>
        <v/>
      </c>
      <c r="S1767" s="17" t="str">
        <f t="shared" si="110"/>
        <v/>
      </c>
      <c r="T1767" s="18" t="str">
        <f t="shared" ca="1" si="111"/>
        <v/>
      </c>
    </row>
    <row r="1768" spans="1:20" x14ac:dyDescent="0.35">
      <c r="A1768" s="11"/>
      <c r="B1768" s="11"/>
      <c r="C1768" s="11"/>
      <c r="D1768" s="12"/>
      <c r="E1768" s="11"/>
      <c r="F1768" s="13"/>
      <c r="G1768" s="13"/>
      <c r="H1768" s="11"/>
      <c r="I1768" s="12"/>
      <c r="J1768" s="12"/>
      <c r="K1768" s="13"/>
      <c r="L1768" s="13"/>
      <c r="M1768" s="13"/>
      <c r="N1768" s="13"/>
      <c r="O1768" s="13"/>
      <c r="P1768" s="14" t="str">
        <f t="shared" si="108"/>
        <v/>
      </c>
      <c r="Q1768" s="15" t="str">
        <f>IF(OR(J1768="",H1768=""),"",IFERROR(IF(ISNUMBER(N1768),N1768,IF(K1768&lt;N(INDEX(Platforms!$G$5:$G$14,MATCH(H1768,Lists!$A$2:$A$11,0))),N(INDEX(Platforms!$H$5:$H$14,MATCH(H1768,Lists!$A$2:$A$11,0))),MAX(N(INDEX(Platforms!$F$5:$F$14,MATCH(H1768,Lists!$A$2:$A$11,0))),N(INDEX(Platforms!$C$5:$C$14,MATCH(H1768,Lists!$A$2:$A$11,0)))*(K1768+IF(INDEX(Platforms!$E$5:$E$14,MATCH(H1768,Lists!$A$2:$A$11,0))="Yes",N(L1768),0))+N(INDEX(Platforms!$D$5:$D$14,MATCH(H1768,Lists!$A$2:$A$11,0)))))),""))</f>
        <v/>
      </c>
      <c r="R1768" s="16" t="str">
        <f t="shared" si="109"/>
        <v/>
      </c>
      <c r="S1768" s="17" t="str">
        <f t="shared" si="110"/>
        <v/>
      </c>
      <c r="T1768" s="18" t="str">
        <f t="shared" ca="1" si="111"/>
        <v/>
      </c>
    </row>
    <row r="1769" spans="1:20" x14ac:dyDescent="0.35">
      <c r="A1769" s="11"/>
      <c r="B1769" s="11"/>
      <c r="C1769" s="11"/>
      <c r="D1769" s="12"/>
      <c r="E1769" s="11"/>
      <c r="F1769" s="13"/>
      <c r="G1769" s="13"/>
      <c r="H1769" s="11"/>
      <c r="I1769" s="12"/>
      <c r="J1769" s="12"/>
      <c r="K1769" s="13"/>
      <c r="L1769" s="13"/>
      <c r="M1769" s="13"/>
      <c r="N1769" s="13"/>
      <c r="O1769" s="13"/>
      <c r="P1769" s="14" t="str">
        <f t="shared" si="108"/>
        <v/>
      </c>
      <c r="Q1769" s="15" t="str">
        <f>IF(OR(J1769="",H1769=""),"",IFERROR(IF(ISNUMBER(N1769),N1769,IF(K1769&lt;N(INDEX(Platforms!$G$5:$G$14,MATCH(H1769,Lists!$A$2:$A$11,0))),N(INDEX(Platforms!$H$5:$H$14,MATCH(H1769,Lists!$A$2:$A$11,0))),MAX(N(INDEX(Platforms!$F$5:$F$14,MATCH(H1769,Lists!$A$2:$A$11,0))),N(INDEX(Platforms!$C$5:$C$14,MATCH(H1769,Lists!$A$2:$A$11,0)))*(K1769+IF(INDEX(Platforms!$E$5:$E$14,MATCH(H1769,Lists!$A$2:$A$11,0))="Yes",N(L1769),0))+N(INDEX(Platforms!$D$5:$D$14,MATCH(H1769,Lists!$A$2:$A$11,0)))))),""))</f>
        <v/>
      </c>
      <c r="R1769" s="16" t="str">
        <f t="shared" si="109"/>
        <v/>
      </c>
      <c r="S1769" s="17" t="str">
        <f t="shared" si="110"/>
        <v/>
      </c>
      <c r="T1769" s="18" t="str">
        <f t="shared" ca="1" si="111"/>
        <v/>
      </c>
    </row>
    <row r="1770" spans="1:20" x14ac:dyDescent="0.35">
      <c r="A1770" s="11"/>
      <c r="B1770" s="11"/>
      <c r="C1770" s="11"/>
      <c r="D1770" s="12"/>
      <c r="E1770" s="11"/>
      <c r="F1770" s="13"/>
      <c r="G1770" s="13"/>
      <c r="H1770" s="11"/>
      <c r="I1770" s="12"/>
      <c r="J1770" s="12"/>
      <c r="K1770" s="13"/>
      <c r="L1770" s="13"/>
      <c r="M1770" s="13"/>
      <c r="N1770" s="13"/>
      <c r="O1770" s="13"/>
      <c r="P1770" s="14" t="str">
        <f t="shared" si="108"/>
        <v/>
      </c>
      <c r="Q1770" s="15" t="str">
        <f>IF(OR(J1770="",H1770=""),"",IFERROR(IF(ISNUMBER(N1770),N1770,IF(K1770&lt;N(INDEX(Platforms!$G$5:$G$14,MATCH(H1770,Lists!$A$2:$A$11,0))),N(INDEX(Platforms!$H$5:$H$14,MATCH(H1770,Lists!$A$2:$A$11,0))),MAX(N(INDEX(Platforms!$F$5:$F$14,MATCH(H1770,Lists!$A$2:$A$11,0))),N(INDEX(Platforms!$C$5:$C$14,MATCH(H1770,Lists!$A$2:$A$11,0)))*(K1770+IF(INDEX(Platforms!$E$5:$E$14,MATCH(H1770,Lists!$A$2:$A$11,0))="Yes",N(L1770),0))+N(INDEX(Platforms!$D$5:$D$14,MATCH(H1770,Lists!$A$2:$A$11,0)))))),""))</f>
        <v/>
      </c>
      <c r="R1770" s="16" t="str">
        <f t="shared" si="109"/>
        <v/>
      </c>
      <c r="S1770" s="17" t="str">
        <f t="shared" si="110"/>
        <v/>
      </c>
      <c r="T1770" s="18" t="str">
        <f t="shared" ca="1" si="111"/>
        <v/>
      </c>
    </row>
    <row r="1771" spans="1:20" x14ac:dyDescent="0.35">
      <c r="A1771" s="11"/>
      <c r="B1771" s="11"/>
      <c r="C1771" s="11"/>
      <c r="D1771" s="12"/>
      <c r="E1771" s="11"/>
      <c r="F1771" s="13"/>
      <c r="G1771" s="13"/>
      <c r="H1771" s="11"/>
      <c r="I1771" s="12"/>
      <c r="J1771" s="12"/>
      <c r="K1771" s="13"/>
      <c r="L1771" s="13"/>
      <c r="M1771" s="13"/>
      <c r="N1771" s="13"/>
      <c r="O1771" s="13"/>
      <c r="P1771" s="14" t="str">
        <f t="shared" si="108"/>
        <v/>
      </c>
      <c r="Q1771" s="15" t="str">
        <f>IF(OR(J1771="",H1771=""),"",IFERROR(IF(ISNUMBER(N1771),N1771,IF(K1771&lt;N(INDEX(Platforms!$G$5:$G$14,MATCH(H1771,Lists!$A$2:$A$11,0))),N(INDEX(Platforms!$H$5:$H$14,MATCH(H1771,Lists!$A$2:$A$11,0))),MAX(N(INDEX(Platforms!$F$5:$F$14,MATCH(H1771,Lists!$A$2:$A$11,0))),N(INDEX(Platforms!$C$5:$C$14,MATCH(H1771,Lists!$A$2:$A$11,0)))*(K1771+IF(INDEX(Platforms!$E$5:$E$14,MATCH(H1771,Lists!$A$2:$A$11,0))="Yes",N(L1771),0))+N(INDEX(Platforms!$D$5:$D$14,MATCH(H1771,Lists!$A$2:$A$11,0)))))),""))</f>
        <v/>
      </c>
      <c r="R1771" s="16" t="str">
        <f t="shared" si="109"/>
        <v/>
      </c>
      <c r="S1771" s="17" t="str">
        <f t="shared" si="110"/>
        <v/>
      </c>
      <c r="T1771" s="18" t="str">
        <f t="shared" ca="1" si="111"/>
        <v/>
      </c>
    </row>
    <row r="1772" spans="1:20" x14ac:dyDescent="0.35">
      <c r="A1772" s="11"/>
      <c r="B1772" s="11"/>
      <c r="C1772" s="11"/>
      <c r="D1772" s="12"/>
      <c r="E1772" s="11"/>
      <c r="F1772" s="13"/>
      <c r="G1772" s="13"/>
      <c r="H1772" s="11"/>
      <c r="I1772" s="12"/>
      <c r="J1772" s="12"/>
      <c r="K1772" s="13"/>
      <c r="L1772" s="13"/>
      <c r="M1772" s="13"/>
      <c r="N1772" s="13"/>
      <c r="O1772" s="13"/>
      <c r="P1772" s="14" t="str">
        <f t="shared" si="108"/>
        <v/>
      </c>
      <c r="Q1772" s="15" t="str">
        <f>IF(OR(J1772="",H1772=""),"",IFERROR(IF(ISNUMBER(N1772),N1772,IF(K1772&lt;N(INDEX(Platforms!$G$5:$G$14,MATCH(H1772,Lists!$A$2:$A$11,0))),N(INDEX(Platforms!$H$5:$H$14,MATCH(H1772,Lists!$A$2:$A$11,0))),MAX(N(INDEX(Platforms!$F$5:$F$14,MATCH(H1772,Lists!$A$2:$A$11,0))),N(INDEX(Platforms!$C$5:$C$14,MATCH(H1772,Lists!$A$2:$A$11,0)))*(K1772+IF(INDEX(Platforms!$E$5:$E$14,MATCH(H1772,Lists!$A$2:$A$11,0))="Yes",N(L1772),0))+N(INDEX(Platforms!$D$5:$D$14,MATCH(H1772,Lists!$A$2:$A$11,0)))))),""))</f>
        <v/>
      </c>
      <c r="R1772" s="16" t="str">
        <f t="shared" si="109"/>
        <v/>
      </c>
      <c r="S1772" s="17" t="str">
        <f t="shared" si="110"/>
        <v/>
      </c>
      <c r="T1772" s="18" t="str">
        <f t="shared" ca="1" si="111"/>
        <v/>
      </c>
    </row>
    <row r="1773" spans="1:20" x14ac:dyDescent="0.35">
      <c r="A1773" s="11"/>
      <c r="B1773" s="11"/>
      <c r="C1773" s="11"/>
      <c r="D1773" s="12"/>
      <c r="E1773" s="11"/>
      <c r="F1773" s="13"/>
      <c r="G1773" s="13"/>
      <c r="H1773" s="11"/>
      <c r="I1773" s="12"/>
      <c r="J1773" s="12"/>
      <c r="K1773" s="13"/>
      <c r="L1773" s="13"/>
      <c r="M1773" s="13"/>
      <c r="N1773" s="13"/>
      <c r="O1773" s="13"/>
      <c r="P1773" s="14" t="str">
        <f t="shared" si="108"/>
        <v/>
      </c>
      <c r="Q1773" s="15" t="str">
        <f>IF(OR(J1773="",H1773=""),"",IFERROR(IF(ISNUMBER(N1773),N1773,IF(K1773&lt;N(INDEX(Platforms!$G$5:$G$14,MATCH(H1773,Lists!$A$2:$A$11,0))),N(INDEX(Platforms!$H$5:$H$14,MATCH(H1773,Lists!$A$2:$A$11,0))),MAX(N(INDEX(Platforms!$F$5:$F$14,MATCH(H1773,Lists!$A$2:$A$11,0))),N(INDEX(Platforms!$C$5:$C$14,MATCH(H1773,Lists!$A$2:$A$11,0)))*(K1773+IF(INDEX(Platforms!$E$5:$E$14,MATCH(H1773,Lists!$A$2:$A$11,0))="Yes",N(L1773),0))+N(INDEX(Platforms!$D$5:$D$14,MATCH(H1773,Lists!$A$2:$A$11,0)))))),""))</f>
        <v/>
      </c>
      <c r="R1773" s="16" t="str">
        <f t="shared" si="109"/>
        <v/>
      </c>
      <c r="S1773" s="17" t="str">
        <f t="shared" si="110"/>
        <v/>
      </c>
      <c r="T1773" s="18" t="str">
        <f t="shared" ca="1" si="111"/>
        <v/>
      </c>
    </row>
    <row r="1774" spans="1:20" x14ac:dyDescent="0.35">
      <c r="A1774" s="11"/>
      <c r="B1774" s="11"/>
      <c r="C1774" s="11"/>
      <c r="D1774" s="12"/>
      <c r="E1774" s="11"/>
      <c r="F1774" s="13"/>
      <c r="G1774" s="13"/>
      <c r="H1774" s="11"/>
      <c r="I1774" s="12"/>
      <c r="J1774" s="12"/>
      <c r="K1774" s="13"/>
      <c r="L1774" s="13"/>
      <c r="M1774" s="13"/>
      <c r="N1774" s="13"/>
      <c r="O1774" s="13"/>
      <c r="P1774" s="14" t="str">
        <f t="shared" si="108"/>
        <v/>
      </c>
      <c r="Q1774" s="15" t="str">
        <f>IF(OR(J1774="",H1774=""),"",IFERROR(IF(ISNUMBER(N1774),N1774,IF(K1774&lt;N(INDEX(Platforms!$G$5:$G$14,MATCH(H1774,Lists!$A$2:$A$11,0))),N(INDEX(Platforms!$H$5:$H$14,MATCH(H1774,Lists!$A$2:$A$11,0))),MAX(N(INDEX(Platforms!$F$5:$F$14,MATCH(H1774,Lists!$A$2:$A$11,0))),N(INDEX(Platforms!$C$5:$C$14,MATCH(H1774,Lists!$A$2:$A$11,0)))*(K1774+IF(INDEX(Platforms!$E$5:$E$14,MATCH(H1774,Lists!$A$2:$A$11,0))="Yes",N(L1774),0))+N(INDEX(Platforms!$D$5:$D$14,MATCH(H1774,Lists!$A$2:$A$11,0)))))),""))</f>
        <v/>
      </c>
      <c r="R1774" s="16" t="str">
        <f t="shared" si="109"/>
        <v/>
      </c>
      <c r="S1774" s="17" t="str">
        <f t="shared" si="110"/>
        <v/>
      </c>
      <c r="T1774" s="18" t="str">
        <f t="shared" ca="1" si="111"/>
        <v/>
      </c>
    </row>
    <row r="1775" spans="1:20" x14ac:dyDescent="0.35">
      <c r="A1775" s="11"/>
      <c r="B1775" s="11"/>
      <c r="C1775" s="11"/>
      <c r="D1775" s="12"/>
      <c r="E1775" s="11"/>
      <c r="F1775" s="13"/>
      <c r="G1775" s="13"/>
      <c r="H1775" s="11"/>
      <c r="I1775" s="12"/>
      <c r="J1775" s="12"/>
      <c r="K1775" s="13"/>
      <c r="L1775" s="13"/>
      <c r="M1775" s="13"/>
      <c r="N1775" s="13"/>
      <c r="O1775" s="13"/>
      <c r="P1775" s="14" t="str">
        <f t="shared" si="108"/>
        <v/>
      </c>
      <c r="Q1775" s="15" t="str">
        <f>IF(OR(J1775="",H1775=""),"",IFERROR(IF(ISNUMBER(N1775),N1775,IF(K1775&lt;N(INDEX(Platforms!$G$5:$G$14,MATCH(H1775,Lists!$A$2:$A$11,0))),N(INDEX(Platforms!$H$5:$H$14,MATCH(H1775,Lists!$A$2:$A$11,0))),MAX(N(INDEX(Platforms!$F$5:$F$14,MATCH(H1775,Lists!$A$2:$A$11,0))),N(INDEX(Platforms!$C$5:$C$14,MATCH(H1775,Lists!$A$2:$A$11,0)))*(K1775+IF(INDEX(Platforms!$E$5:$E$14,MATCH(H1775,Lists!$A$2:$A$11,0))="Yes",N(L1775),0))+N(INDEX(Platforms!$D$5:$D$14,MATCH(H1775,Lists!$A$2:$A$11,0)))))),""))</f>
        <v/>
      </c>
      <c r="R1775" s="16" t="str">
        <f t="shared" si="109"/>
        <v/>
      </c>
      <c r="S1775" s="17" t="str">
        <f t="shared" si="110"/>
        <v/>
      </c>
      <c r="T1775" s="18" t="str">
        <f t="shared" ca="1" si="111"/>
        <v/>
      </c>
    </row>
    <row r="1776" spans="1:20" x14ac:dyDescent="0.35">
      <c r="A1776" s="11"/>
      <c r="B1776" s="11"/>
      <c r="C1776" s="11"/>
      <c r="D1776" s="12"/>
      <c r="E1776" s="11"/>
      <c r="F1776" s="13"/>
      <c r="G1776" s="13"/>
      <c r="H1776" s="11"/>
      <c r="I1776" s="12"/>
      <c r="J1776" s="12"/>
      <c r="K1776" s="13"/>
      <c r="L1776" s="13"/>
      <c r="M1776" s="13"/>
      <c r="N1776" s="13"/>
      <c r="O1776" s="13"/>
      <c r="P1776" s="14" t="str">
        <f t="shared" si="108"/>
        <v/>
      </c>
      <c r="Q1776" s="15" t="str">
        <f>IF(OR(J1776="",H1776=""),"",IFERROR(IF(ISNUMBER(N1776),N1776,IF(K1776&lt;N(INDEX(Platforms!$G$5:$G$14,MATCH(H1776,Lists!$A$2:$A$11,0))),N(INDEX(Platforms!$H$5:$H$14,MATCH(H1776,Lists!$A$2:$A$11,0))),MAX(N(INDEX(Platforms!$F$5:$F$14,MATCH(H1776,Lists!$A$2:$A$11,0))),N(INDEX(Platforms!$C$5:$C$14,MATCH(H1776,Lists!$A$2:$A$11,0)))*(K1776+IF(INDEX(Platforms!$E$5:$E$14,MATCH(H1776,Lists!$A$2:$A$11,0))="Yes",N(L1776),0))+N(INDEX(Platforms!$D$5:$D$14,MATCH(H1776,Lists!$A$2:$A$11,0)))))),""))</f>
        <v/>
      </c>
      <c r="R1776" s="16" t="str">
        <f t="shared" si="109"/>
        <v/>
      </c>
      <c r="S1776" s="17" t="str">
        <f t="shared" si="110"/>
        <v/>
      </c>
      <c r="T1776" s="18" t="str">
        <f t="shared" ca="1" si="111"/>
        <v/>
      </c>
    </row>
    <row r="1777" spans="1:20" x14ac:dyDescent="0.35">
      <c r="A1777" s="11"/>
      <c r="B1777" s="11"/>
      <c r="C1777" s="11"/>
      <c r="D1777" s="12"/>
      <c r="E1777" s="11"/>
      <c r="F1777" s="13"/>
      <c r="G1777" s="13"/>
      <c r="H1777" s="11"/>
      <c r="I1777" s="12"/>
      <c r="J1777" s="12"/>
      <c r="K1777" s="13"/>
      <c r="L1777" s="13"/>
      <c r="M1777" s="13"/>
      <c r="N1777" s="13"/>
      <c r="O1777" s="13"/>
      <c r="P1777" s="14" t="str">
        <f t="shared" si="108"/>
        <v/>
      </c>
      <c r="Q1777" s="15" t="str">
        <f>IF(OR(J1777="",H1777=""),"",IFERROR(IF(ISNUMBER(N1777),N1777,IF(K1777&lt;N(INDEX(Platforms!$G$5:$G$14,MATCH(H1777,Lists!$A$2:$A$11,0))),N(INDEX(Platforms!$H$5:$H$14,MATCH(H1777,Lists!$A$2:$A$11,0))),MAX(N(INDEX(Platforms!$F$5:$F$14,MATCH(H1777,Lists!$A$2:$A$11,0))),N(INDEX(Platforms!$C$5:$C$14,MATCH(H1777,Lists!$A$2:$A$11,0)))*(K1777+IF(INDEX(Platforms!$E$5:$E$14,MATCH(H1777,Lists!$A$2:$A$11,0))="Yes",N(L1777),0))+N(INDEX(Platforms!$D$5:$D$14,MATCH(H1777,Lists!$A$2:$A$11,0)))))),""))</f>
        <v/>
      </c>
      <c r="R1777" s="16" t="str">
        <f t="shared" si="109"/>
        <v/>
      </c>
      <c r="S1777" s="17" t="str">
        <f t="shared" si="110"/>
        <v/>
      </c>
      <c r="T1777" s="18" t="str">
        <f t="shared" ca="1" si="111"/>
        <v/>
      </c>
    </row>
    <row r="1778" spans="1:20" x14ac:dyDescent="0.35">
      <c r="A1778" s="11"/>
      <c r="B1778" s="11"/>
      <c r="C1778" s="11"/>
      <c r="D1778" s="12"/>
      <c r="E1778" s="11"/>
      <c r="F1778" s="13"/>
      <c r="G1778" s="13"/>
      <c r="H1778" s="11"/>
      <c r="I1778" s="12"/>
      <c r="J1778" s="12"/>
      <c r="K1778" s="13"/>
      <c r="L1778" s="13"/>
      <c r="M1778" s="13"/>
      <c r="N1778" s="13"/>
      <c r="O1778" s="13"/>
      <c r="P1778" s="14" t="str">
        <f t="shared" si="108"/>
        <v/>
      </c>
      <c r="Q1778" s="15" t="str">
        <f>IF(OR(J1778="",H1778=""),"",IFERROR(IF(ISNUMBER(N1778),N1778,IF(K1778&lt;N(INDEX(Platforms!$G$5:$G$14,MATCH(H1778,Lists!$A$2:$A$11,0))),N(INDEX(Platforms!$H$5:$H$14,MATCH(H1778,Lists!$A$2:$A$11,0))),MAX(N(INDEX(Platforms!$F$5:$F$14,MATCH(H1778,Lists!$A$2:$A$11,0))),N(INDEX(Platforms!$C$5:$C$14,MATCH(H1778,Lists!$A$2:$A$11,0)))*(K1778+IF(INDEX(Platforms!$E$5:$E$14,MATCH(H1778,Lists!$A$2:$A$11,0))="Yes",N(L1778),0))+N(INDEX(Platforms!$D$5:$D$14,MATCH(H1778,Lists!$A$2:$A$11,0)))))),""))</f>
        <v/>
      </c>
      <c r="R1778" s="16" t="str">
        <f t="shared" si="109"/>
        <v/>
      </c>
      <c r="S1778" s="17" t="str">
        <f t="shared" si="110"/>
        <v/>
      </c>
      <c r="T1778" s="18" t="str">
        <f t="shared" ca="1" si="111"/>
        <v/>
      </c>
    </row>
    <row r="1779" spans="1:20" x14ac:dyDescent="0.35">
      <c r="A1779" s="11"/>
      <c r="B1779" s="11"/>
      <c r="C1779" s="11"/>
      <c r="D1779" s="12"/>
      <c r="E1779" s="11"/>
      <c r="F1779" s="13"/>
      <c r="G1779" s="13"/>
      <c r="H1779" s="11"/>
      <c r="I1779" s="12"/>
      <c r="J1779" s="12"/>
      <c r="K1779" s="13"/>
      <c r="L1779" s="13"/>
      <c r="M1779" s="13"/>
      <c r="N1779" s="13"/>
      <c r="O1779" s="13"/>
      <c r="P1779" s="14" t="str">
        <f t="shared" si="108"/>
        <v/>
      </c>
      <c r="Q1779" s="15" t="str">
        <f>IF(OR(J1779="",H1779=""),"",IFERROR(IF(ISNUMBER(N1779),N1779,IF(K1779&lt;N(INDEX(Platforms!$G$5:$G$14,MATCH(H1779,Lists!$A$2:$A$11,0))),N(INDEX(Platforms!$H$5:$H$14,MATCH(H1779,Lists!$A$2:$A$11,0))),MAX(N(INDEX(Platforms!$F$5:$F$14,MATCH(H1779,Lists!$A$2:$A$11,0))),N(INDEX(Platforms!$C$5:$C$14,MATCH(H1779,Lists!$A$2:$A$11,0)))*(K1779+IF(INDEX(Platforms!$E$5:$E$14,MATCH(H1779,Lists!$A$2:$A$11,0))="Yes",N(L1779),0))+N(INDEX(Platforms!$D$5:$D$14,MATCH(H1779,Lists!$A$2:$A$11,0)))))),""))</f>
        <v/>
      </c>
      <c r="R1779" s="16" t="str">
        <f t="shared" si="109"/>
        <v/>
      </c>
      <c r="S1779" s="17" t="str">
        <f t="shared" si="110"/>
        <v/>
      </c>
      <c r="T1779" s="18" t="str">
        <f t="shared" ca="1" si="111"/>
        <v/>
      </c>
    </row>
    <row r="1780" spans="1:20" x14ac:dyDescent="0.35">
      <c r="A1780" s="11"/>
      <c r="B1780" s="11"/>
      <c r="C1780" s="11"/>
      <c r="D1780" s="12"/>
      <c r="E1780" s="11"/>
      <c r="F1780" s="13"/>
      <c r="G1780" s="13"/>
      <c r="H1780" s="11"/>
      <c r="I1780" s="12"/>
      <c r="J1780" s="12"/>
      <c r="K1780" s="13"/>
      <c r="L1780" s="13"/>
      <c r="M1780" s="13"/>
      <c r="N1780" s="13"/>
      <c r="O1780" s="13"/>
      <c r="P1780" s="14" t="str">
        <f t="shared" si="108"/>
        <v/>
      </c>
      <c r="Q1780" s="15" t="str">
        <f>IF(OR(J1780="",H1780=""),"",IFERROR(IF(ISNUMBER(N1780),N1780,IF(K1780&lt;N(INDEX(Platforms!$G$5:$G$14,MATCH(H1780,Lists!$A$2:$A$11,0))),N(INDEX(Platforms!$H$5:$H$14,MATCH(H1780,Lists!$A$2:$A$11,0))),MAX(N(INDEX(Platforms!$F$5:$F$14,MATCH(H1780,Lists!$A$2:$A$11,0))),N(INDEX(Platforms!$C$5:$C$14,MATCH(H1780,Lists!$A$2:$A$11,0)))*(K1780+IF(INDEX(Platforms!$E$5:$E$14,MATCH(H1780,Lists!$A$2:$A$11,0))="Yes",N(L1780),0))+N(INDEX(Platforms!$D$5:$D$14,MATCH(H1780,Lists!$A$2:$A$11,0)))))),""))</f>
        <v/>
      </c>
      <c r="R1780" s="16" t="str">
        <f t="shared" si="109"/>
        <v/>
      </c>
      <c r="S1780" s="17" t="str">
        <f t="shared" si="110"/>
        <v/>
      </c>
      <c r="T1780" s="18" t="str">
        <f t="shared" ca="1" si="111"/>
        <v/>
      </c>
    </row>
    <row r="1781" spans="1:20" x14ac:dyDescent="0.35">
      <c r="A1781" s="11"/>
      <c r="B1781" s="11"/>
      <c r="C1781" s="11"/>
      <c r="D1781" s="12"/>
      <c r="E1781" s="11"/>
      <c r="F1781" s="13"/>
      <c r="G1781" s="13"/>
      <c r="H1781" s="11"/>
      <c r="I1781" s="12"/>
      <c r="J1781" s="12"/>
      <c r="K1781" s="13"/>
      <c r="L1781" s="13"/>
      <c r="M1781" s="13"/>
      <c r="N1781" s="13"/>
      <c r="O1781" s="13"/>
      <c r="P1781" s="14" t="str">
        <f t="shared" si="108"/>
        <v/>
      </c>
      <c r="Q1781" s="15" t="str">
        <f>IF(OR(J1781="",H1781=""),"",IFERROR(IF(ISNUMBER(N1781),N1781,IF(K1781&lt;N(INDEX(Platforms!$G$5:$G$14,MATCH(H1781,Lists!$A$2:$A$11,0))),N(INDEX(Platforms!$H$5:$H$14,MATCH(H1781,Lists!$A$2:$A$11,0))),MAX(N(INDEX(Platforms!$F$5:$F$14,MATCH(H1781,Lists!$A$2:$A$11,0))),N(INDEX(Platforms!$C$5:$C$14,MATCH(H1781,Lists!$A$2:$A$11,0)))*(K1781+IF(INDEX(Platforms!$E$5:$E$14,MATCH(H1781,Lists!$A$2:$A$11,0))="Yes",N(L1781),0))+N(INDEX(Platforms!$D$5:$D$14,MATCH(H1781,Lists!$A$2:$A$11,0)))))),""))</f>
        <v/>
      </c>
      <c r="R1781" s="16" t="str">
        <f t="shared" si="109"/>
        <v/>
      </c>
      <c r="S1781" s="17" t="str">
        <f t="shared" si="110"/>
        <v/>
      </c>
      <c r="T1781" s="18" t="str">
        <f t="shared" ca="1" si="111"/>
        <v/>
      </c>
    </row>
    <row r="1782" spans="1:20" x14ac:dyDescent="0.35">
      <c r="A1782" s="11"/>
      <c r="B1782" s="11"/>
      <c r="C1782" s="11"/>
      <c r="D1782" s="12"/>
      <c r="E1782" s="11"/>
      <c r="F1782" s="13"/>
      <c r="G1782" s="13"/>
      <c r="H1782" s="11"/>
      <c r="I1782" s="12"/>
      <c r="J1782" s="12"/>
      <c r="K1782" s="13"/>
      <c r="L1782" s="13"/>
      <c r="M1782" s="13"/>
      <c r="N1782" s="13"/>
      <c r="O1782" s="13"/>
      <c r="P1782" s="14" t="str">
        <f t="shared" si="108"/>
        <v/>
      </c>
      <c r="Q1782" s="15" t="str">
        <f>IF(OR(J1782="",H1782=""),"",IFERROR(IF(ISNUMBER(N1782),N1782,IF(K1782&lt;N(INDEX(Platforms!$G$5:$G$14,MATCH(H1782,Lists!$A$2:$A$11,0))),N(INDEX(Platforms!$H$5:$H$14,MATCH(H1782,Lists!$A$2:$A$11,0))),MAX(N(INDEX(Platforms!$F$5:$F$14,MATCH(H1782,Lists!$A$2:$A$11,0))),N(INDEX(Platforms!$C$5:$C$14,MATCH(H1782,Lists!$A$2:$A$11,0)))*(K1782+IF(INDEX(Platforms!$E$5:$E$14,MATCH(H1782,Lists!$A$2:$A$11,0))="Yes",N(L1782),0))+N(INDEX(Platforms!$D$5:$D$14,MATCH(H1782,Lists!$A$2:$A$11,0)))))),""))</f>
        <v/>
      </c>
      <c r="R1782" s="16" t="str">
        <f t="shared" si="109"/>
        <v/>
      </c>
      <c r="S1782" s="17" t="str">
        <f t="shared" si="110"/>
        <v/>
      </c>
      <c r="T1782" s="18" t="str">
        <f t="shared" ca="1" si="111"/>
        <v/>
      </c>
    </row>
    <row r="1783" spans="1:20" x14ac:dyDescent="0.35">
      <c r="A1783" s="11"/>
      <c r="B1783" s="11"/>
      <c r="C1783" s="11"/>
      <c r="D1783" s="12"/>
      <c r="E1783" s="11"/>
      <c r="F1783" s="13"/>
      <c r="G1783" s="13"/>
      <c r="H1783" s="11"/>
      <c r="I1783" s="12"/>
      <c r="J1783" s="12"/>
      <c r="K1783" s="13"/>
      <c r="L1783" s="13"/>
      <c r="M1783" s="13"/>
      <c r="N1783" s="13"/>
      <c r="O1783" s="13"/>
      <c r="P1783" s="14" t="str">
        <f t="shared" si="108"/>
        <v/>
      </c>
      <c r="Q1783" s="15" t="str">
        <f>IF(OR(J1783="",H1783=""),"",IFERROR(IF(ISNUMBER(N1783),N1783,IF(K1783&lt;N(INDEX(Platforms!$G$5:$G$14,MATCH(H1783,Lists!$A$2:$A$11,0))),N(INDEX(Platforms!$H$5:$H$14,MATCH(H1783,Lists!$A$2:$A$11,0))),MAX(N(INDEX(Platforms!$F$5:$F$14,MATCH(H1783,Lists!$A$2:$A$11,0))),N(INDEX(Platforms!$C$5:$C$14,MATCH(H1783,Lists!$A$2:$A$11,0)))*(K1783+IF(INDEX(Platforms!$E$5:$E$14,MATCH(H1783,Lists!$A$2:$A$11,0))="Yes",N(L1783),0))+N(INDEX(Platforms!$D$5:$D$14,MATCH(H1783,Lists!$A$2:$A$11,0)))))),""))</f>
        <v/>
      </c>
      <c r="R1783" s="16" t="str">
        <f t="shared" si="109"/>
        <v/>
      </c>
      <c r="S1783" s="17" t="str">
        <f t="shared" si="110"/>
        <v/>
      </c>
      <c r="T1783" s="18" t="str">
        <f t="shared" ca="1" si="111"/>
        <v/>
      </c>
    </row>
    <row r="1784" spans="1:20" x14ac:dyDescent="0.35">
      <c r="A1784" s="11"/>
      <c r="B1784" s="11"/>
      <c r="C1784" s="11"/>
      <c r="D1784" s="12"/>
      <c r="E1784" s="11"/>
      <c r="F1784" s="13"/>
      <c r="G1784" s="13"/>
      <c r="H1784" s="11"/>
      <c r="I1784" s="12"/>
      <c r="J1784" s="12"/>
      <c r="K1784" s="13"/>
      <c r="L1784" s="13"/>
      <c r="M1784" s="13"/>
      <c r="N1784" s="13"/>
      <c r="O1784" s="13"/>
      <c r="P1784" s="14" t="str">
        <f t="shared" si="108"/>
        <v/>
      </c>
      <c r="Q1784" s="15" t="str">
        <f>IF(OR(J1784="",H1784=""),"",IFERROR(IF(ISNUMBER(N1784),N1784,IF(K1784&lt;N(INDEX(Platforms!$G$5:$G$14,MATCH(H1784,Lists!$A$2:$A$11,0))),N(INDEX(Platforms!$H$5:$H$14,MATCH(H1784,Lists!$A$2:$A$11,0))),MAX(N(INDEX(Platforms!$F$5:$F$14,MATCH(H1784,Lists!$A$2:$A$11,0))),N(INDEX(Platforms!$C$5:$C$14,MATCH(H1784,Lists!$A$2:$A$11,0)))*(K1784+IF(INDEX(Platforms!$E$5:$E$14,MATCH(H1784,Lists!$A$2:$A$11,0))="Yes",N(L1784),0))+N(INDEX(Platforms!$D$5:$D$14,MATCH(H1784,Lists!$A$2:$A$11,0)))))),""))</f>
        <v/>
      </c>
      <c r="R1784" s="16" t="str">
        <f t="shared" si="109"/>
        <v/>
      </c>
      <c r="S1784" s="17" t="str">
        <f t="shared" si="110"/>
        <v/>
      </c>
      <c r="T1784" s="18" t="str">
        <f t="shared" ca="1" si="111"/>
        <v/>
      </c>
    </row>
    <row r="1785" spans="1:20" x14ac:dyDescent="0.35">
      <c r="A1785" s="11"/>
      <c r="B1785" s="11"/>
      <c r="C1785" s="11"/>
      <c r="D1785" s="12"/>
      <c r="E1785" s="11"/>
      <c r="F1785" s="13"/>
      <c r="G1785" s="13"/>
      <c r="H1785" s="11"/>
      <c r="I1785" s="12"/>
      <c r="J1785" s="12"/>
      <c r="K1785" s="13"/>
      <c r="L1785" s="13"/>
      <c r="M1785" s="13"/>
      <c r="N1785" s="13"/>
      <c r="O1785" s="13"/>
      <c r="P1785" s="14" t="str">
        <f t="shared" si="108"/>
        <v/>
      </c>
      <c r="Q1785" s="15" t="str">
        <f>IF(OR(J1785="",H1785=""),"",IFERROR(IF(ISNUMBER(N1785),N1785,IF(K1785&lt;N(INDEX(Platforms!$G$5:$G$14,MATCH(H1785,Lists!$A$2:$A$11,0))),N(INDEX(Platforms!$H$5:$H$14,MATCH(H1785,Lists!$A$2:$A$11,0))),MAX(N(INDEX(Platforms!$F$5:$F$14,MATCH(H1785,Lists!$A$2:$A$11,0))),N(INDEX(Platforms!$C$5:$C$14,MATCH(H1785,Lists!$A$2:$A$11,0)))*(K1785+IF(INDEX(Platforms!$E$5:$E$14,MATCH(H1785,Lists!$A$2:$A$11,0))="Yes",N(L1785),0))+N(INDEX(Platforms!$D$5:$D$14,MATCH(H1785,Lists!$A$2:$A$11,0)))))),""))</f>
        <v/>
      </c>
      <c r="R1785" s="16" t="str">
        <f t="shared" si="109"/>
        <v/>
      </c>
      <c r="S1785" s="17" t="str">
        <f t="shared" si="110"/>
        <v/>
      </c>
      <c r="T1785" s="18" t="str">
        <f t="shared" ca="1" si="111"/>
        <v/>
      </c>
    </row>
    <row r="1786" spans="1:20" x14ac:dyDescent="0.35">
      <c r="A1786" s="11"/>
      <c r="B1786" s="11"/>
      <c r="C1786" s="11"/>
      <c r="D1786" s="12"/>
      <c r="E1786" s="11"/>
      <c r="F1786" s="13"/>
      <c r="G1786" s="13"/>
      <c r="H1786" s="11"/>
      <c r="I1786" s="12"/>
      <c r="J1786" s="12"/>
      <c r="K1786" s="13"/>
      <c r="L1786" s="13"/>
      <c r="M1786" s="13"/>
      <c r="N1786" s="13"/>
      <c r="O1786" s="13"/>
      <c r="P1786" s="14" t="str">
        <f t="shared" si="108"/>
        <v/>
      </c>
      <c r="Q1786" s="15" t="str">
        <f>IF(OR(J1786="",H1786=""),"",IFERROR(IF(ISNUMBER(N1786),N1786,IF(K1786&lt;N(INDEX(Platforms!$G$5:$G$14,MATCH(H1786,Lists!$A$2:$A$11,0))),N(INDEX(Platforms!$H$5:$H$14,MATCH(H1786,Lists!$A$2:$A$11,0))),MAX(N(INDEX(Platforms!$F$5:$F$14,MATCH(H1786,Lists!$A$2:$A$11,0))),N(INDEX(Platforms!$C$5:$C$14,MATCH(H1786,Lists!$A$2:$A$11,0)))*(K1786+IF(INDEX(Platforms!$E$5:$E$14,MATCH(H1786,Lists!$A$2:$A$11,0))="Yes",N(L1786),0))+N(INDEX(Platforms!$D$5:$D$14,MATCH(H1786,Lists!$A$2:$A$11,0)))))),""))</f>
        <v/>
      </c>
      <c r="R1786" s="16" t="str">
        <f t="shared" si="109"/>
        <v/>
      </c>
      <c r="S1786" s="17" t="str">
        <f t="shared" si="110"/>
        <v/>
      </c>
      <c r="T1786" s="18" t="str">
        <f t="shared" ca="1" si="111"/>
        <v/>
      </c>
    </row>
    <row r="1787" spans="1:20" x14ac:dyDescent="0.35">
      <c r="A1787" s="11"/>
      <c r="B1787" s="11"/>
      <c r="C1787" s="11"/>
      <c r="D1787" s="12"/>
      <c r="E1787" s="11"/>
      <c r="F1787" s="13"/>
      <c r="G1787" s="13"/>
      <c r="H1787" s="11"/>
      <c r="I1787" s="12"/>
      <c r="J1787" s="12"/>
      <c r="K1787" s="13"/>
      <c r="L1787" s="13"/>
      <c r="M1787" s="13"/>
      <c r="N1787" s="13"/>
      <c r="O1787" s="13"/>
      <c r="P1787" s="14" t="str">
        <f t="shared" si="108"/>
        <v/>
      </c>
      <c r="Q1787" s="15" t="str">
        <f>IF(OR(J1787="",H1787=""),"",IFERROR(IF(ISNUMBER(N1787),N1787,IF(K1787&lt;N(INDEX(Platforms!$G$5:$G$14,MATCH(H1787,Lists!$A$2:$A$11,0))),N(INDEX(Platforms!$H$5:$H$14,MATCH(H1787,Lists!$A$2:$A$11,0))),MAX(N(INDEX(Platforms!$F$5:$F$14,MATCH(H1787,Lists!$A$2:$A$11,0))),N(INDEX(Platforms!$C$5:$C$14,MATCH(H1787,Lists!$A$2:$A$11,0)))*(K1787+IF(INDEX(Platforms!$E$5:$E$14,MATCH(H1787,Lists!$A$2:$A$11,0))="Yes",N(L1787),0))+N(INDEX(Platforms!$D$5:$D$14,MATCH(H1787,Lists!$A$2:$A$11,0)))))),""))</f>
        <v/>
      </c>
      <c r="R1787" s="16" t="str">
        <f t="shared" si="109"/>
        <v/>
      </c>
      <c r="S1787" s="17" t="str">
        <f t="shared" si="110"/>
        <v/>
      </c>
      <c r="T1787" s="18" t="str">
        <f t="shared" ca="1" si="111"/>
        <v/>
      </c>
    </row>
    <row r="1788" spans="1:20" x14ac:dyDescent="0.35">
      <c r="A1788" s="11"/>
      <c r="B1788" s="11"/>
      <c r="C1788" s="11"/>
      <c r="D1788" s="12"/>
      <c r="E1788" s="11"/>
      <c r="F1788" s="13"/>
      <c r="G1788" s="13"/>
      <c r="H1788" s="11"/>
      <c r="I1788" s="12"/>
      <c r="J1788" s="12"/>
      <c r="K1788" s="13"/>
      <c r="L1788" s="13"/>
      <c r="M1788" s="13"/>
      <c r="N1788" s="13"/>
      <c r="O1788" s="13"/>
      <c r="P1788" s="14" t="str">
        <f t="shared" si="108"/>
        <v/>
      </c>
      <c r="Q1788" s="15" t="str">
        <f>IF(OR(J1788="",H1788=""),"",IFERROR(IF(ISNUMBER(N1788),N1788,IF(K1788&lt;N(INDEX(Platforms!$G$5:$G$14,MATCH(H1788,Lists!$A$2:$A$11,0))),N(INDEX(Platforms!$H$5:$H$14,MATCH(H1788,Lists!$A$2:$A$11,0))),MAX(N(INDEX(Platforms!$F$5:$F$14,MATCH(H1788,Lists!$A$2:$A$11,0))),N(INDEX(Platforms!$C$5:$C$14,MATCH(H1788,Lists!$A$2:$A$11,0)))*(K1788+IF(INDEX(Platforms!$E$5:$E$14,MATCH(H1788,Lists!$A$2:$A$11,0))="Yes",N(L1788),0))+N(INDEX(Platforms!$D$5:$D$14,MATCH(H1788,Lists!$A$2:$A$11,0)))))),""))</f>
        <v/>
      </c>
      <c r="R1788" s="16" t="str">
        <f t="shared" si="109"/>
        <v/>
      </c>
      <c r="S1788" s="17" t="str">
        <f t="shared" si="110"/>
        <v/>
      </c>
      <c r="T1788" s="18" t="str">
        <f t="shared" ca="1" si="111"/>
        <v/>
      </c>
    </row>
    <row r="1789" spans="1:20" x14ac:dyDescent="0.35">
      <c r="A1789" s="11"/>
      <c r="B1789" s="11"/>
      <c r="C1789" s="11"/>
      <c r="D1789" s="12"/>
      <c r="E1789" s="11"/>
      <c r="F1789" s="13"/>
      <c r="G1789" s="13"/>
      <c r="H1789" s="11"/>
      <c r="I1789" s="12"/>
      <c r="J1789" s="12"/>
      <c r="K1789" s="13"/>
      <c r="L1789" s="13"/>
      <c r="M1789" s="13"/>
      <c r="N1789" s="13"/>
      <c r="O1789" s="13"/>
      <c r="P1789" s="14" t="str">
        <f t="shared" si="108"/>
        <v/>
      </c>
      <c r="Q1789" s="15" t="str">
        <f>IF(OR(J1789="",H1789=""),"",IFERROR(IF(ISNUMBER(N1789),N1789,IF(K1789&lt;N(INDEX(Platforms!$G$5:$G$14,MATCH(H1789,Lists!$A$2:$A$11,0))),N(INDEX(Platforms!$H$5:$H$14,MATCH(H1789,Lists!$A$2:$A$11,0))),MAX(N(INDEX(Platforms!$F$5:$F$14,MATCH(H1789,Lists!$A$2:$A$11,0))),N(INDEX(Platforms!$C$5:$C$14,MATCH(H1789,Lists!$A$2:$A$11,0)))*(K1789+IF(INDEX(Platforms!$E$5:$E$14,MATCH(H1789,Lists!$A$2:$A$11,0))="Yes",N(L1789),0))+N(INDEX(Platforms!$D$5:$D$14,MATCH(H1789,Lists!$A$2:$A$11,0)))))),""))</f>
        <v/>
      </c>
      <c r="R1789" s="16" t="str">
        <f t="shared" si="109"/>
        <v/>
      </c>
      <c r="S1789" s="17" t="str">
        <f t="shared" si="110"/>
        <v/>
      </c>
      <c r="T1789" s="18" t="str">
        <f t="shared" ca="1" si="111"/>
        <v/>
      </c>
    </row>
    <row r="1790" spans="1:20" x14ac:dyDescent="0.35">
      <c r="A1790" s="11"/>
      <c r="B1790" s="11"/>
      <c r="C1790" s="11"/>
      <c r="D1790" s="12"/>
      <c r="E1790" s="11"/>
      <c r="F1790" s="13"/>
      <c r="G1790" s="13"/>
      <c r="H1790" s="11"/>
      <c r="I1790" s="12"/>
      <c r="J1790" s="12"/>
      <c r="K1790" s="13"/>
      <c r="L1790" s="13"/>
      <c r="M1790" s="13"/>
      <c r="N1790" s="13"/>
      <c r="O1790" s="13"/>
      <c r="P1790" s="14" t="str">
        <f t="shared" si="108"/>
        <v/>
      </c>
      <c r="Q1790" s="15" t="str">
        <f>IF(OR(J1790="",H1790=""),"",IFERROR(IF(ISNUMBER(N1790),N1790,IF(K1790&lt;N(INDEX(Platforms!$G$5:$G$14,MATCH(H1790,Lists!$A$2:$A$11,0))),N(INDEX(Platforms!$H$5:$H$14,MATCH(H1790,Lists!$A$2:$A$11,0))),MAX(N(INDEX(Platforms!$F$5:$F$14,MATCH(H1790,Lists!$A$2:$A$11,0))),N(INDEX(Platforms!$C$5:$C$14,MATCH(H1790,Lists!$A$2:$A$11,0)))*(K1790+IF(INDEX(Platforms!$E$5:$E$14,MATCH(H1790,Lists!$A$2:$A$11,0))="Yes",N(L1790),0))+N(INDEX(Platforms!$D$5:$D$14,MATCH(H1790,Lists!$A$2:$A$11,0)))))),""))</f>
        <v/>
      </c>
      <c r="R1790" s="16" t="str">
        <f t="shared" si="109"/>
        <v/>
      </c>
      <c r="S1790" s="17" t="str">
        <f t="shared" si="110"/>
        <v/>
      </c>
      <c r="T1790" s="18" t="str">
        <f t="shared" ca="1" si="111"/>
        <v/>
      </c>
    </row>
    <row r="1791" spans="1:20" x14ac:dyDescent="0.35">
      <c r="A1791" s="11"/>
      <c r="B1791" s="11"/>
      <c r="C1791" s="11"/>
      <c r="D1791" s="12"/>
      <c r="E1791" s="11"/>
      <c r="F1791" s="13"/>
      <c r="G1791" s="13"/>
      <c r="H1791" s="11"/>
      <c r="I1791" s="12"/>
      <c r="J1791" s="12"/>
      <c r="K1791" s="13"/>
      <c r="L1791" s="13"/>
      <c r="M1791" s="13"/>
      <c r="N1791" s="13"/>
      <c r="O1791" s="13"/>
      <c r="P1791" s="14" t="str">
        <f t="shared" si="108"/>
        <v/>
      </c>
      <c r="Q1791" s="15" t="str">
        <f>IF(OR(J1791="",H1791=""),"",IFERROR(IF(ISNUMBER(N1791),N1791,IF(K1791&lt;N(INDEX(Platforms!$G$5:$G$14,MATCH(H1791,Lists!$A$2:$A$11,0))),N(INDEX(Platforms!$H$5:$H$14,MATCH(H1791,Lists!$A$2:$A$11,0))),MAX(N(INDEX(Platforms!$F$5:$F$14,MATCH(H1791,Lists!$A$2:$A$11,0))),N(INDEX(Platforms!$C$5:$C$14,MATCH(H1791,Lists!$A$2:$A$11,0)))*(K1791+IF(INDEX(Platforms!$E$5:$E$14,MATCH(H1791,Lists!$A$2:$A$11,0))="Yes",N(L1791),0))+N(INDEX(Platforms!$D$5:$D$14,MATCH(H1791,Lists!$A$2:$A$11,0)))))),""))</f>
        <v/>
      </c>
      <c r="R1791" s="16" t="str">
        <f t="shared" si="109"/>
        <v/>
      </c>
      <c r="S1791" s="17" t="str">
        <f t="shared" si="110"/>
        <v/>
      </c>
      <c r="T1791" s="18" t="str">
        <f t="shared" ca="1" si="111"/>
        <v/>
      </c>
    </row>
    <row r="1792" spans="1:20" x14ac:dyDescent="0.35">
      <c r="A1792" s="11"/>
      <c r="B1792" s="11"/>
      <c r="C1792" s="11"/>
      <c r="D1792" s="12"/>
      <c r="E1792" s="11"/>
      <c r="F1792" s="13"/>
      <c r="G1792" s="13"/>
      <c r="H1792" s="11"/>
      <c r="I1792" s="12"/>
      <c r="J1792" s="12"/>
      <c r="K1792" s="13"/>
      <c r="L1792" s="13"/>
      <c r="M1792" s="13"/>
      <c r="N1792" s="13"/>
      <c r="O1792" s="13"/>
      <c r="P1792" s="14" t="str">
        <f t="shared" si="108"/>
        <v/>
      </c>
      <c r="Q1792" s="15" t="str">
        <f>IF(OR(J1792="",H1792=""),"",IFERROR(IF(ISNUMBER(N1792),N1792,IF(K1792&lt;N(INDEX(Platforms!$G$5:$G$14,MATCH(H1792,Lists!$A$2:$A$11,0))),N(INDEX(Platforms!$H$5:$H$14,MATCH(H1792,Lists!$A$2:$A$11,0))),MAX(N(INDEX(Platforms!$F$5:$F$14,MATCH(H1792,Lists!$A$2:$A$11,0))),N(INDEX(Platforms!$C$5:$C$14,MATCH(H1792,Lists!$A$2:$A$11,0)))*(K1792+IF(INDEX(Platforms!$E$5:$E$14,MATCH(H1792,Lists!$A$2:$A$11,0))="Yes",N(L1792),0))+N(INDEX(Platforms!$D$5:$D$14,MATCH(H1792,Lists!$A$2:$A$11,0)))))),""))</f>
        <v/>
      </c>
      <c r="R1792" s="16" t="str">
        <f t="shared" si="109"/>
        <v/>
      </c>
      <c r="S1792" s="17" t="str">
        <f t="shared" si="110"/>
        <v/>
      </c>
      <c r="T1792" s="18" t="str">
        <f t="shared" ca="1" si="111"/>
        <v/>
      </c>
    </row>
    <row r="1793" spans="1:20" x14ac:dyDescent="0.35">
      <c r="A1793" s="11"/>
      <c r="B1793" s="11"/>
      <c r="C1793" s="11"/>
      <c r="D1793" s="12"/>
      <c r="E1793" s="11"/>
      <c r="F1793" s="13"/>
      <c r="G1793" s="13"/>
      <c r="H1793" s="11"/>
      <c r="I1793" s="12"/>
      <c r="J1793" s="12"/>
      <c r="K1793" s="13"/>
      <c r="L1793" s="13"/>
      <c r="M1793" s="13"/>
      <c r="N1793" s="13"/>
      <c r="O1793" s="13"/>
      <c r="P1793" s="14" t="str">
        <f t="shared" si="108"/>
        <v/>
      </c>
      <c r="Q1793" s="15" t="str">
        <f>IF(OR(J1793="",H1793=""),"",IFERROR(IF(ISNUMBER(N1793),N1793,IF(K1793&lt;N(INDEX(Platforms!$G$5:$G$14,MATCH(H1793,Lists!$A$2:$A$11,0))),N(INDEX(Platforms!$H$5:$H$14,MATCH(H1793,Lists!$A$2:$A$11,0))),MAX(N(INDEX(Platforms!$F$5:$F$14,MATCH(H1793,Lists!$A$2:$A$11,0))),N(INDEX(Platforms!$C$5:$C$14,MATCH(H1793,Lists!$A$2:$A$11,0)))*(K1793+IF(INDEX(Platforms!$E$5:$E$14,MATCH(H1793,Lists!$A$2:$A$11,0))="Yes",N(L1793),0))+N(INDEX(Platforms!$D$5:$D$14,MATCH(H1793,Lists!$A$2:$A$11,0)))))),""))</f>
        <v/>
      </c>
      <c r="R1793" s="16" t="str">
        <f t="shared" si="109"/>
        <v/>
      </c>
      <c r="S1793" s="17" t="str">
        <f t="shared" si="110"/>
        <v/>
      </c>
      <c r="T1793" s="18" t="str">
        <f t="shared" ca="1" si="111"/>
        <v/>
      </c>
    </row>
    <row r="1794" spans="1:20" x14ac:dyDescent="0.35">
      <c r="A1794" s="11"/>
      <c r="B1794" s="11"/>
      <c r="C1794" s="11"/>
      <c r="D1794" s="12"/>
      <c r="E1794" s="11"/>
      <c r="F1794" s="13"/>
      <c r="G1794" s="13"/>
      <c r="H1794" s="11"/>
      <c r="I1794" s="12"/>
      <c r="J1794" s="12"/>
      <c r="K1794" s="13"/>
      <c r="L1794" s="13"/>
      <c r="M1794" s="13"/>
      <c r="N1794" s="13"/>
      <c r="O1794" s="13"/>
      <c r="P1794" s="14" t="str">
        <f t="shared" si="108"/>
        <v/>
      </c>
      <c r="Q1794" s="15" t="str">
        <f>IF(OR(J1794="",H1794=""),"",IFERROR(IF(ISNUMBER(N1794),N1794,IF(K1794&lt;N(INDEX(Platforms!$G$5:$G$14,MATCH(H1794,Lists!$A$2:$A$11,0))),N(INDEX(Platforms!$H$5:$H$14,MATCH(H1794,Lists!$A$2:$A$11,0))),MAX(N(INDEX(Platforms!$F$5:$F$14,MATCH(H1794,Lists!$A$2:$A$11,0))),N(INDEX(Platforms!$C$5:$C$14,MATCH(H1794,Lists!$A$2:$A$11,0)))*(K1794+IF(INDEX(Platforms!$E$5:$E$14,MATCH(H1794,Lists!$A$2:$A$11,0))="Yes",N(L1794),0))+N(INDEX(Platforms!$D$5:$D$14,MATCH(H1794,Lists!$A$2:$A$11,0)))))),""))</f>
        <v/>
      </c>
      <c r="R1794" s="16" t="str">
        <f t="shared" si="109"/>
        <v/>
      </c>
      <c r="S1794" s="17" t="str">
        <f t="shared" si="110"/>
        <v/>
      </c>
      <c r="T1794" s="18" t="str">
        <f t="shared" ca="1" si="111"/>
        <v/>
      </c>
    </row>
    <row r="1795" spans="1:20" x14ac:dyDescent="0.35">
      <c r="A1795" s="11"/>
      <c r="B1795" s="11"/>
      <c r="C1795" s="11"/>
      <c r="D1795" s="12"/>
      <c r="E1795" s="11"/>
      <c r="F1795" s="13"/>
      <c r="G1795" s="13"/>
      <c r="H1795" s="11"/>
      <c r="I1795" s="12"/>
      <c r="J1795" s="12"/>
      <c r="K1795" s="13"/>
      <c r="L1795" s="13"/>
      <c r="M1795" s="13"/>
      <c r="N1795" s="13"/>
      <c r="O1795" s="13"/>
      <c r="P1795" s="14" t="str">
        <f t="shared" si="108"/>
        <v/>
      </c>
      <c r="Q1795" s="15" t="str">
        <f>IF(OR(J1795="",H1795=""),"",IFERROR(IF(ISNUMBER(N1795),N1795,IF(K1795&lt;N(INDEX(Platforms!$G$5:$G$14,MATCH(H1795,Lists!$A$2:$A$11,0))),N(INDEX(Platforms!$H$5:$H$14,MATCH(H1795,Lists!$A$2:$A$11,0))),MAX(N(INDEX(Platforms!$F$5:$F$14,MATCH(H1795,Lists!$A$2:$A$11,0))),N(INDEX(Platforms!$C$5:$C$14,MATCH(H1795,Lists!$A$2:$A$11,0)))*(K1795+IF(INDEX(Platforms!$E$5:$E$14,MATCH(H1795,Lists!$A$2:$A$11,0))="Yes",N(L1795),0))+N(INDEX(Platforms!$D$5:$D$14,MATCH(H1795,Lists!$A$2:$A$11,0)))))),""))</f>
        <v/>
      </c>
      <c r="R1795" s="16" t="str">
        <f t="shared" si="109"/>
        <v/>
      </c>
      <c r="S1795" s="17" t="str">
        <f t="shared" si="110"/>
        <v/>
      </c>
      <c r="T1795" s="18" t="str">
        <f t="shared" ca="1" si="111"/>
        <v/>
      </c>
    </row>
    <row r="1796" spans="1:20" x14ac:dyDescent="0.35">
      <c r="A1796" s="11"/>
      <c r="B1796" s="11"/>
      <c r="C1796" s="11"/>
      <c r="D1796" s="12"/>
      <c r="E1796" s="11"/>
      <c r="F1796" s="13"/>
      <c r="G1796" s="13"/>
      <c r="H1796" s="11"/>
      <c r="I1796" s="12"/>
      <c r="J1796" s="12"/>
      <c r="K1796" s="13"/>
      <c r="L1796" s="13"/>
      <c r="M1796" s="13"/>
      <c r="N1796" s="13"/>
      <c r="O1796" s="13"/>
      <c r="P1796" s="14" t="str">
        <f t="shared" si="108"/>
        <v/>
      </c>
      <c r="Q1796" s="15" t="str">
        <f>IF(OR(J1796="",H1796=""),"",IFERROR(IF(ISNUMBER(N1796),N1796,IF(K1796&lt;N(INDEX(Platforms!$G$5:$G$14,MATCH(H1796,Lists!$A$2:$A$11,0))),N(INDEX(Platforms!$H$5:$H$14,MATCH(H1796,Lists!$A$2:$A$11,0))),MAX(N(INDEX(Platforms!$F$5:$F$14,MATCH(H1796,Lists!$A$2:$A$11,0))),N(INDEX(Platforms!$C$5:$C$14,MATCH(H1796,Lists!$A$2:$A$11,0)))*(K1796+IF(INDEX(Platforms!$E$5:$E$14,MATCH(H1796,Lists!$A$2:$A$11,0))="Yes",N(L1796),0))+N(INDEX(Platforms!$D$5:$D$14,MATCH(H1796,Lists!$A$2:$A$11,0)))))),""))</f>
        <v/>
      </c>
      <c r="R1796" s="16" t="str">
        <f t="shared" si="109"/>
        <v/>
      </c>
      <c r="S1796" s="17" t="str">
        <f t="shared" si="110"/>
        <v/>
      </c>
      <c r="T1796" s="18" t="str">
        <f t="shared" ca="1" si="111"/>
        <v/>
      </c>
    </row>
    <row r="1797" spans="1:20" x14ac:dyDescent="0.35">
      <c r="A1797" s="11"/>
      <c r="B1797" s="11"/>
      <c r="C1797" s="11"/>
      <c r="D1797" s="12"/>
      <c r="E1797" s="11"/>
      <c r="F1797" s="13"/>
      <c r="G1797" s="13"/>
      <c r="H1797" s="11"/>
      <c r="I1797" s="12"/>
      <c r="J1797" s="12"/>
      <c r="K1797" s="13"/>
      <c r="L1797" s="13"/>
      <c r="M1797" s="13"/>
      <c r="N1797" s="13"/>
      <c r="O1797" s="13"/>
      <c r="P1797" s="14" t="str">
        <f t="shared" ref="P1797:P1860" si="112">IF(OR(B1797&lt;&gt;"",F1797&lt;&gt;"",H1797&lt;&gt;"",J1797&lt;&gt;"",K1797&lt;&gt;""),IF(J1797&lt;&gt;"","Sold",IF(I1797&lt;&gt;"","Listed","In stock")),"")</f>
        <v/>
      </c>
      <c r="Q1797" s="15" t="str">
        <f>IF(OR(J1797="",H1797=""),"",IFERROR(IF(ISNUMBER(N1797),N1797,IF(K1797&lt;N(INDEX(Platforms!$G$5:$G$14,MATCH(H1797,Lists!$A$2:$A$11,0))),N(INDEX(Platforms!$H$5:$H$14,MATCH(H1797,Lists!$A$2:$A$11,0))),MAX(N(INDEX(Platforms!$F$5:$F$14,MATCH(H1797,Lists!$A$2:$A$11,0))),N(INDEX(Platforms!$C$5:$C$14,MATCH(H1797,Lists!$A$2:$A$11,0)))*(K1797+IF(INDEX(Platforms!$E$5:$E$14,MATCH(H1797,Lists!$A$2:$A$11,0))="Yes",N(L1797),0))+N(INDEX(Platforms!$D$5:$D$14,MATCH(H1797,Lists!$A$2:$A$11,0)))))),""))</f>
        <v/>
      </c>
      <c r="R1797" s="16" t="str">
        <f t="shared" ref="R1797:R1860" si="113">IF(J1797="","",IFERROR(K1797+N(L1797)-N(O1797)-Q1797-N(M1797)-N(F1797)-N(G1797),""))</f>
        <v/>
      </c>
      <c r="S1797" s="17" t="str">
        <f t="shared" ref="S1797:S1860" si="114">IF(OR(R1797="",N(F1797)+N(G1797)=0),"",R1797/(N(F1797)+N(G1797)))</f>
        <v/>
      </c>
      <c r="T1797" s="18" t="str">
        <f t="shared" ref="T1797:T1860" ca="1" si="115">IFERROR(IF(ISNUMBER(D1797),IF(ISNUMBER(J1797),J1797,IF(J1797="",TODAY(),""))-D1797,""),"")</f>
        <v/>
      </c>
    </row>
    <row r="1798" spans="1:20" x14ac:dyDescent="0.35">
      <c r="A1798" s="11"/>
      <c r="B1798" s="11"/>
      <c r="C1798" s="11"/>
      <c r="D1798" s="12"/>
      <c r="E1798" s="11"/>
      <c r="F1798" s="13"/>
      <c r="G1798" s="13"/>
      <c r="H1798" s="11"/>
      <c r="I1798" s="12"/>
      <c r="J1798" s="12"/>
      <c r="K1798" s="13"/>
      <c r="L1798" s="13"/>
      <c r="M1798" s="13"/>
      <c r="N1798" s="13"/>
      <c r="O1798" s="13"/>
      <c r="P1798" s="14" t="str">
        <f t="shared" si="112"/>
        <v/>
      </c>
      <c r="Q1798" s="15" t="str">
        <f>IF(OR(J1798="",H1798=""),"",IFERROR(IF(ISNUMBER(N1798),N1798,IF(K1798&lt;N(INDEX(Platforms!$G$5:$G$14,MATCH(H1798,Lists!$A$2:$A$11,0))),N(INDEX(Platforms!$H$5:$H$14,MATCH(H1798,Lists!$A$2:$A$11,0))),MAX(N(INDEX(Platforms!$F$5:$F$14,MATCH(H1798,Lists!$A$2:$A$11,0))),N(INDEX(Platforms!$C$5:$C$14,MATCH(H1798,Lists!$A$2:$A$11,0)))*(K1798+IF(INDEX(Platforms!$E$5:$E$14,MATCH(H1798,Lists!$A$2:$A$11,0))="Yes",N(L1798),0))+N(INDEX(Platforms!$D$5:$D$14,MATCH(H1798,Lists!$A$2:$A$11,0)))))),""))</f>
        <v/>
      </c>
      <c r="R1798" s="16" t="str">
        <f t="shared" si="113"/>
        <v/>
      </c>
      <c r="S1798" s="17" t="str">
        <f t="shared" si="114"/>
        <v/>
      </c>
      <c r="T1798" s="18" t="str">
        <f t="shared" ca="1" si="115"/>
        <v/>
      </c>
    </row>
    <row r="1799" spans="1:20" x14ac:dyDescent="0.35">
      <c r="A1799" s="11"/>
      <c r="B1799" s="11"/>
      <c r="C1799" s="11"/>
      <c r="D1799" s="12"/>
      <c r="E1799" s="11"/>
      <c r="F1799" s="13"/>
      <c r="G1799" s="13"/>
      <c r="H1799" s="11"/>
      <c r="I1799" s="12"/>
      <c r="J1799" s="12"/>
      <c r="K1799" s="13"/>
      <c r="L1799" s="13"/>
      <c r="M1799" s="13"/>
      <c r="N1799" s="13"/>
      <c r="O1799" s="13"/>
      <c r="P1799" s="14" t="str">
        <f t="shared" si="112"/>
        <v/>
      </c>
      <c r="Q1799" s="15" t="str">
        <f>IF(OR(J1799="",H1799=""),"",IFERROR(IF(ISNUMBER(N1799),N1799,IF(K1799&lt;N(INDEX(Platforms!$G$5:$G$14,MATCH(H1799,Lists!$A$2:$A$11,0))),N(INDEX(Platforms!$H$5:$H$14,MATCH(H1799,Lists!$A$2:$A$11,0))),MAX(N(INDEX(Platforms!$F$5:$F$14,MATCH(H1799,Lists!$A$2:$A$11,0))),N(INDEX(Platforms!$C$5:$C$14,MATCH(H1799,Lists!$A$2:$A$11,0)))*(K1799+IF(INDEX(Platforms!$E$5:$E$14,MATCH(H1799,Lists!$A$2:$A$11,0))="Yes",N(L1799),0))+N(INDEX(Platforms!$D$5:$D$14,MATCH(H1799,Lists!$A$2:$A$11,0)))))),""))</f>
        <v/>
      </c>
      <c r="R1799" s="16" t="str">
        <f t="shared" si="113"/>
        <v/>
      </c>
      <c r="S1799" s="17" t="str">
        <f t="shared" si="114"/>
        <v/>
      </c>
      <c r="T1799" s="18" t="str">
        <f t="shared" ca="1" si="115"/>
        <v/>
      </c>
    </row>
    <row r="1800" spans="1:20" x14ac:dyDescent="0.35">
      <c r="A1800" s="11"/>
      <c r="B1800" s="11"/>
      <c r="C1800" s="11"/>
      <c r="D1800" s="12"/>
      <c r="E1800" s="11"/>
      <c r="F1800" s="13"/>
      <c r="G1800" s="13"/>
      <c r="H1800" s="11"/>
      <c r="I1800" s="12"/>
      <c r="J1800" s="12"/>
      <c r="K1800" s="13"/>
      <c r="L1800" s="13"/>
      <c r="M1800" s="13"/>
      <c r="N1800" s="13"/>
      <c r="O1800" s="13"/>
      <c r="P1800" s="14" t="str">
        <f t="shared" si="112"/>
        <v/>
      </c>
      <c r="Q1800" s="15" t="str">
        <f>IF(OR(J1800="",H1800=""),"",IFERROR(IF(ISNUMBER(N1800),N1800,IF(K1800&lt;N(INDEX(Platforms!$G$5:$G$14,MATCH(H1800,Lists!$A$2:$A$11,0))),N(INDEX(Platforms!$H$5:$H$14,MATCH(H1800,Lists!$A$2:$A$11,0))),MAX(N(INDEX(Platforms!$F$5:$F$14,MATCH(H1800,Lists!$A$2:$A$11,0))),N(INDEX(Platforms!$C$5:$C$14,MATCH(H1800,Lists!$A$2:$A$11,0)))*(K1800+IF(INDEX(Platforms!$E$5:$E$14,MATCH(H1800,Lists!$A$2:$A$11,0))="Yes",N(L1800),0))+N(INDEX(Platforms!$D$5:$D$14,MATCH(H1800,Lists!$A$2:$A$11,0)))))),""))</f>
        <v/>
      </c>
      <c r="R1800" s="16" t="str">
        <f t="shared" si="113"/>
        <v/>
      </c>
      <c r="S1800" s="17" t="str">
        <f t="shared" si="114"/>
        <v/>
      </c>
      <c r="T1800" s="18" t="str">
        <f t="shared" ca="1" si="115"/>
        <v/>
      </c>
    </row>
    <row r="1801" spans="1:20" x14ac:dyDescent="0.35">
      <c r="A1801" s="11"/>
      <c r="B1801" s="11"/>
      <c r="C1801" s="11"/>
      <c r="D1801" s="12"/>
      <c r="E1801" s="11"/>
      <c r="F1801" s="13"/>
      <c r="G1801" s="13"/>
      <c r="H1801" s="11"/>
      <c r="I1801" s="12"/>
      <c r="J1801" s="12"/>
      <c r="K1801" s="13"/>
      <c r="L1801" s="13"/>
      <c r="M1801" s="13"/>
      <c r="N1801" s="13"/>
      <c r="O1801" s="13"/>
      <c r="P1801" s="14" t="str">
        <f t="shared" si="112"/>
        <v/>
      </c>
      <c r="Q1801" s="15" t="str">
        <f>IF(OR(J1801="",H1801=""),"",IFERROR(IF(ISNUMBER(N1801),N1801,IF(K1801&lt;N(INDEX(Platforms!$G$5:$G$14,MATCH(H1801,Lists!$A$2:$A$11,0))),N(INDEX(Platforms!$H$5:$H$14,MATCH(H1801,Lists!$A$2:$A$11,0))),MAX(N(INDEX(Platforms!$F$5:$F$14,MATCH(H1801,Lists!$A$2:$A$11,0))),N(INDEX(Platforms!$C$5:$C$14,MATCH(H1801,Lists!$A$2:$A$11,0)))*(K1801+IF(INDEX(Platforms!$E$5:$E$14,MATCH(H1801,Lists!$A$2:$A$11,0))="Yes",N(L1801),0))+N(INDEX(Platforms!$D$5:$D$14,MATCH(H1801,Lists!$A$2:$A$11,0)))))),""))</f>
        <v/>
      </c>
      <c r="R1801" s="16" t="str">
        <f t="shared" si="113"/>
        <v/>
      </c>
      <c r="S1801" s="17" t="str">
        <f t="shared" si="114"/>
        <v/>
      </c>
      <c r="T1801" s="18" t="str">
        <f t="shared" ca="1" si="115"/>
        <v/>
      </c>
    </row>
    <row r="1802" spans="1:20" x14ac:dyDescent="0.35">
      <c r="A1802" s="11"/>
      <c r="B1802" s="11"/>
      <c r="C1802" s="11"/>
      <c r="D1802" s="12"/>
      <c r="E1802" s="11"/>
      <c r="F1802" s="13"/>
      <c r="G1802" s="13"/>
      <c r="H1802" s="11"/>
      <c r="I1802" s="12"/>
      <c r="J1802" s="12"/>
      <c r="K1802" s="13"/>
      <c r="L1802" s="13"/>
      <c r="M1802" s="13"/>
      <c r="N1802" s="13"/>
      <c r="O1802" s="13"/>
      <c r="P1802" s="14" t="str">
        <f t="shared" si="112"/>
        <v/>
      </c>
      <c r="Q1802" s="15" t="str">
        <f>IF(OR(J1802="",H1802=""),"",IFERROR(IF(ISNUMBER(N1802),N1802,IF(K1802&lt;N(INDEX(Platforms!$G$5:$G$14,MATCH(H1802,Lists!$A$2:$A$11,0))),N(INDEX(Platforms!$H$5:$H$14,MATCH(H1802,Lists!$A$2:$A$11,0))),MAX(N(INDEX(Platforms!$F$5:$F$14,MATCH(H1802,Lists!$A$2:$A$11,0))),N(INDEX(Platforms!$C$5:$C$14,MATCH(H1802,Lists!$A$2:$A$11,0)))*(K1802+IF(INDEX(Platforms!$E$5:$E$14,MATCH(H1802,Lists!$A$2:$A$11,0))="Yes",N(L1802),0))+N(INDEX(Platforms!$D$5:$D$14,MATCH(H1802,Lists!$A$2:$A$11,0)))))),""))</f>
        <v/>
      </c>
      <c r="R1802" s="16" t="str">
        <f t="shared" si="113"/>
        <v/>
      </c>
      <c r="S1802" s="17" t="str">
        <f t="shared" si="114"/>
        <v/>
      </c>
      <c r="T1802" s="18" t="str">
        <f t="shared" ca="1" si="115"/>
        <v/>
      </c>
    </row>
    <row r="1803" spans="1:20" x14ac:dyDescent="0.35">
      <c r="A1803" s="11"/>
      <c r="B1803" s="11"/>
      <c r="C1803" s="11"/>
      <c r="D1803" s="12"/>
      <c r="E1803" s="11"/>
      <c r="F1803" s="13"/>
      <c r="G1803" s="13"/>
      <c r="H1803" s="11"/>
      <c r="I1803" s="12"/>
      <c r="J1803" s="12"/>
      <c r="K1803" s="13"/>
      <c r="L1803" s="13"/>
      <c r="M1803" s="13"/>
      <c r="N1803" s="13"/>
      <c r="O1803" s="13"/>
      <c r="P1803" s="14" t="str">
        <f t="shared" si="112"/>
        <v/>
      </c>
      <c r="Q1803" s="15" t="str">
        <f>IF(OR(J1803="",H1803=""),"",IFERROR(IF(ISNUMBER(N1803),N1803,IF(K1803&lt;N(INDEX(Platforms!$G$5:$G$14,MATCH(H1803,Lists!$A$2:$A$11,0))),N(INDEX(Platforms!$H$5:$H$14,MATCH(H1803,Lists!$A$2:$A$11,0))),MAX(N(INDEX(Platforms!$F$5:$F$14,MATCH(H1803,Lists!$A$2:$A$11,0))),N(INDEX(Platforms!$C$5:$C$14,MATCH(H1803,Lists!$A$2:$A$11,0)))*(K1803+IF(INDEX(Platforms!$E$5:$E$14,MATCH(H1803,Lists!$A$2:$A$11,0))="Yes",N(L1803),0))+N(INDEX(Platforms!$D$5:$D$14,MATCH(H1803,Lists!$A$2:$A$11,0)))))),""))</f>
        <v/>
      </c>
      <c r="R1803" s="16" t="str">
        <f t="shared" si="113"/>
        <v/>
      </c>
      <c r="S1803" s="17" t="str">
        <f t="shared" si="114"/>
        <v/>
      </c>
      <c r="T1803" s="18" t="str">
        <f t="shared" ca="1" si="115"/>
        <v/>
      </c>
    </row>
    <row r="1804" spans="1:20" x14ac:dyDescent="0.35">
      <c r="A1804" s="11"/>
      <c r="B1804" s="11"/>
      <c r="C1804" s="11"/>
      <c r="D1804" s="12"/>
      <c r="E1804" s="11"/>
      <c r="F1804" s="13"/>
      <c r="G1804" s="13"/>
      <c r="H1804" s="11"/>
      <c r="I1804" s="12"/>
      <c r="J1804" s="12"/>
      <c r="K1804" s="13"/>
      <c r="L1804" s="13"/>
      <c r="M1804" s="13"/>
      <c r="N1804" s="13"/>
      <c r="O1804" s="13"/>
      <c r="P1804" s="14" t="str">
        <f t="shared" si="112"/>
        <v/>
      </c>
      <c r="Q1804" s="15" t="str">
        <f>IF(OR(J1804="",H1804=""),"",IFERROR(IF(ISNUMBER(N1804),N1804,IF(K1804&lt;N(INDEX(Platforms!$G$5:$G$14,MATCH(H1804,Lists!$A$2:$A$11,0))),N(INDEX(Platforms!$H$5:$H$14,MATCH(H1804,Lists!$A$2:$A$11,0))),MAX(N(INDEX(Platforms!$F$5:$F$14,MATCH(H1804,Lists!$A$2:$A$11,0))),N(INDEX(Platforms!$C$5:$C$14,MATCH(H1804,Lists!$A$2:$A$11,0)))*(K1804+IF(INDEX(Platforms!$E$5:$E$14,MATCH(H1804,Lists!$A$2:$A$11,0))="Yes",N(L1804),0))+N(INDEX(Platforms!$D$5:$D$14,MATCH(H1804,Lists!$A$2:$A$11,0)))))),""))</f>
        <v/>
      </c>
      <c r="R1804" s="16" t="str">
        <f t="shared" si="113"/>
        <v/>
      </c>
      <c r="S1804" s="17" t="str">
        <f t="shared" si="114"/>
        <v/>
      </c>
      <c r="T1804" s="18" t="str">
        <f t="shared" ca="1" si="115"/>
        <v/>
      </c>
    </row>
    <row r="1805" spans="1:20" x14ac:dyDescent="0.35">
      <c r="A1805" s="11"/>
      <c r="B1805" s="11"/>
      <c r="C1805" s="11"/>
      <c r="D1805" s="12"/>
      <c r="E1805" s="11"/>
      <c r="F1805" s="13"/>
      <c r="G1805" s="13"/>
      <c r="H1805" s="11"/>
      <c r="I1805" s="12"/>
      <c r="J1805" s="12"/>
      <c r="K1805" s="13"/>
      <c r="L1805" s="13"/>
      <c r="M1805" s="13"/>
      <c r="N1805" s="13"/>
      <c r="O1805" s="13"/>
      <c r="P1805" s="14" t="str">
        <f t="shared" si="112"/>
        <v/>
      </c>
      <c r="Q1805" s="15" t="str">
        <f>IF(OR(J1805="",H1805=""),"",IFERROR(IF(ISNUMBER(N1805),N1805,IF(K1805&lt;N(INDEX(Platforms!$G$5:$G$14,MATCH(H1805,Lists!$A$2:$A$11,0))),N(INDEX(Platforms!$H$5:$H$14,MATCH(H1805,Lists!$A$2:$A$11,0))),MAX(N(INDEX(Platforms!$F$5:$F$14,MATCH(H1805,Lists!$A$2:$A$11,0))),N(INDEX(Platforms!$C$5:$C$14,MATCH(H1805,Lists!$A$2:$A$11,0)))*(K1805+IF(INDEX(Platforms!$E$5:$E$14,MATCH(H1805,Lists!$A$2:$A$11,0))="Yes",N(L1805),0))+N(INDEX(Platforms!$D$5:$D$14,MATCH(H1805,Lists!$A$2:$A$11,0)))))),""))</f>
        <v/>
      </c>
      <c r="R1805" s="16" t="str">
        <f t="shared" si="113"/>
        <v/>
      </c>
      <c r="S1805" s="17" t="str">
        <f t="shared" si="114"/>
        <v/>
      </c>
      <c r="T1805" s="18" t="str">
        <f t="shared" ca="1" si="115"/>
        <v/>
      </c>
    </row>
    <row r="1806" spans="1:20" x14ac:dyDescent="0.35">
      <c r="A1806" s="11"/>
      <c r="B1806" s="11"/>
      <c r="C1806" s="11"/>
      <c r="D1806" s="12"/>
      <c r="E1806" s="11"/>
      <c r="F1806" s="13"/>
      <c r="G1806" s="13"/>
      <c r="H1806" s="11"/>
      <c r="I1806" s="12"/>
      <c r="J1806" s="12"/>
      <c r="K1806" s="13"/>
      <c r="L1806" s="13"/>
      <c r="M1806" s="13"/>
      <c r="N1806" s="13"/>
      <c r="O1806" s="13"/>
      <c r="P1806" s="14" t="str">
        <f t="shared" si="112"/>
        <v/>
      </c>
      <c r="Q1806" s="15" t="str">
        <f>IF(OR(J1806="",H1806=""),"",IFERROR(IF(ISNUMBER(N1806),N1806,IF(K1806&lt;N(INDEX(Platforms!$G$5:$G$14,MATCH(H1806,Lists!$A$2:$A$11,0))),N(INDEX(Platforms!$H$5:$H$14,MATCH(H1806,Lists!$A$2:$A$11,0))),MAX(N(INDEX(Platforms!$F$5:$F$14,MATCH(H1806,Lists!$A$2:$A$11,0))),N(INDEX(Platforms!$C$5:$C$14,MATCH(H1806,Lists!$A$2:$A$11,0)))*(K1806+IF(INDEX(Platforms!$E$5:$E$14,MATCH(H1806,Lists!$A$2:$A$11,0))="Yes",N(L1806),0))+N(INDEX(Platforms!$D$5:$D$14,MATCH(H1806,Lists!$A$2:$A$11,0)))))),""))</f>
        <v/>
      </c>
      <c r="R1806" s="16" t="str">
        <f t="shared" si="113"/>
        <v/>
      </c>
      <c r="S1806" s="17" t="str">
        <f t="shared" si="114"/>
        <v/>
      </c>
      <c r="T1806" s="18" t="str">
        <f t="shared" ca="1" si="115"/>
        <v/>
      </c>
    </row>
    <row r="1807" spans="1:20" x14ac:dyDescent="0.35">
      <c r="A1807" s="11"/>
      <c r="B1807" s="11"/>
      <c r="C1807" s="11"/>
      <c r="D1807" s="12"/>
      <c r="E1807" s="11"/>
      <c r="F1807" s="13"/>
      <c r="G1807" s="13"/>
      <c r="H1807" s="11"/>
      <c r="I1807" s="12"/>
      <c r="J1807" s="12"/>
      <c r="K1807" s="13"/>
      <c r="L1807" s="13"/>
      <c r="M1807" s="13"/>
      <c r="N1807" s="13"/>
      <c r="O1807" s="13"/>
      <c r="P1807" s="14" t="str">
        <f t="shared" si="112"/>
        <v/>
      </c>
      <c r="Q1807" s="15" t="str">
        <f>IF(OR(J1807="",H1807=""),"",IFERROR(IF(ISNUMBER(N1807),N1807,IF(K1807&lt;N(INDEX(Platforms!$G$5:$G$14,MATCH(H1807,Lists!$A$2:$A$11,0))),N(INDEX(Platforms!$H$5:$H$14,MATCH(H1807,Lists!$A$2:$A$11,0))),MAX(N(INDEX(Platforms!$F$5:$F$14,MATCH(H1807,Lists!$A$2:$A$11,0))),N(INDEX(Platforms!$C$5:$C$14,MATCH(H1807,Lists!$A$2:$A$11,0)))*(K1807+IF(INDEX(Platforms!$E$5:$E$14,MATCH(H1807,Lists!$A$2:$A$11,0))="Yes",N(L1807),0))+N(INDEX(Platforms!$D$5:$D$14,MATCH(H1807,Lists!$A$2:$A$11,0)))))),""))</f>
        <v/>
      </c>
      <c r="R1807" s="16" t="str">
        <f t="shared" si="113"/>
        <v/>
      </c>
      <c r="S1807" s="17" t="str">
        <f t="shared" si="114"/>
        <v/>
      </c>
      <c r="T1807" s="18" t="str">
        <f t="shared" ca="1" si="115"/>
        <v/>
      </c>
    </row>
    <row r="1808" spans="1:20" x14ac:dyDescent="0.35">
      <c r="A1808" s="11"/>
      <c r="B1808" s="11"/>
      <c r="C1808" s="11"/>
      <c r="D1808" s="12"/>
      <c r="E1808" s="11"/>
      <c r="F1808" s="13"/>
      <c r="G1808" s="13"/>
      <c r="H1808" s="11"/>
      <c r="I1808" s="12"/>
      <c r="J1808" s="12"/>
      <c r="K1808" s="13"/>
      <c r="L1808" s="13"/>
      <c r="M1808" s="13"/>
      <c r="N1808" s="13"/>
      <c r="O1808" s="13"/>
      <c r="P1808" s="14" t="str">
        <f t="shared" si="112"/>
        <v/>
      </c>
      <c r="Q1808" s="15" t="str">
        <f>IF(OR(J1808="",H1808=""),"",IFERROR(IF(ISNUMBER(N1808),N1808,IF(K1808&lt;N(INDEX(Platforms!$G$5:$G$14,MATCH(H1808,Lists!$A$2:$A$11,0))),N(INDEX(Platforms!$H$5:$H$14,MATCH(H1808,Lists!$A$2:$A$11,0))),MAX(N(INDEX(Platforms!$F$5:$F$14,MATCH(H1808,Lists!$A$2:$A$11,0))),N(INDEX(Platforms!$C$5:$C$14,MATCH(H1808,Lists!$A$2:$A$11,0)))*(K1808+IF(INDEX(Platforms!$E$5:$E$14,MATCH(H1808,Lists!$A$2:$A$11,0))="Yes",N(L1808),0))+N(INDEX(Platforms!$D$5:$D$14,MATCH(H1808,Lists!$A$2:$A$11,0)))))),""))</f>
        <v/>
      </c>
      <c r="R1808" s="16" t="str">
        <f t="shared" si="113"/>
        <v/>
      </c>
      <c r="S1808" s="17" t="str">
        <f t="shared" si="114"/>
        <v/>
      </c>
      <c r="T1808" s="18" t="str">
        <f t="shared" ca="1" si="115"/>
        <v/>
      </c>
    </row>
    <row r="1809" spans="1:20" x14ac:dyDescent="0.35">
      <c r="A1809" s="11"/>
      <c r="B1809" s="11"/>
      <c r="C1809" s="11"/>
      <c r="D1809" s="12"/>
      <c r="E1809" s="11"/>
      <c r="F1809" s="13"/>
      <c r="G1809" s="13"/>
      <c r="H1809" s="11"/>
      <c r="I1809" s="12"/>
      <c r="J1809" s="12"/>
      <c r="K1809" s="13"/>
      <c r="L1809" s="13"/>
      <c r="M1809" s="13"/>
      <c r="N1809" s="13"/>
      <c r="O1809" s="13"/>
      <c r="P1809" s="14" t="str">
        <f t="shared" si="112"/>
        <v/>
      </c>
      <c r="Q1809" s="15" t="str">
        <f>IF(OR(J1809="",H1809=""),"",IFERROR(IF(ISNUMBER(N1809),N1809,IF(K1809&lt;N(INDEX(Platforms!$G$5:$G$14,MATCH(H1809,Lists!$A$2:$A$11,0))),N(INDEX(Platforms!$H$5:$H$14,MATCH(H1809,Lists!$A$2:$A$11,0))),MAX(N(INDEX(Platforms!$F$5:$F$14,MATCH(H1809,Lists!$A$2:$A$11,0))),N(INDEX(Platforms!$C$5:$C$14,MATCH(H1809,Lists!$A$2:$A$11,0)))*(K1809+IF(INDEX(Platforms!$E$5:$E$14,MATCH(H1809,Lists!$A$2:$A$11,0))="Yes",N(L1809),0))+N(INDEX(Platforms!$D$5:$D$14,MATCH(H1809,Lists!$A$2:$A$11,0)))))),""))</f>
        <v/>
      </c>
      <c r="R1809" s="16" t="str">
        <f t="shared" si="113"/>
        <v/>
      </c>
      <c r="S1809" s="17" t="str">
        <f t="shared" si="114"/>
        <v/>
      </c>
      <c r="T1809" s="18" t="str">
        <f t="shared" ca="1" si="115"/>
        <v/>
      </c>
    </row>
    <row r="1810" spans="1:20" x14ac:dyDescent="0.35">
      <c r="A1810" s="11"/>
      <c r="B1810" s="11"/>
      <c r="C1810" s="11"/>
      <c r="D1810" s="12"/>
      <c r="E1810" s="11"/>
      <c r="F1810" s="13"/>
      <c r="G1810" s="13"/>
      <c r="H1810" s="11"/>
      <c r="I1810" s="12"/>
      <c r="J1810" s="12"/>
      <c r="K1810" s="13"/>
      <c r="L1810" s="13"/>
      <c r="M1810" s="13"/>
      <c r="N1810" s="13"/>
      <c r="O1810" s="13"/>
      <c r="P1810" s="14" t="str">
        <f t="shared" si="112"/>
        <v/>
      </c>
      <c r="Q1810" s="15" t="str">
        <f>IF(OR(J1810="",H1810=""),"",IFERROR(IF(ISNUMBER(N1810),N1810,IF(K1810&lt;N(INDEX(Platforms!$G$5:$G$14,MATCH(H1810,Lists!$A$2:$A$11,0))),N(INDEX(Platforms!$H$5:$H$14,MATCH(H1810,Lists!$A$2:$A$11,0))),MAX(N(INDEX(Platforms!$F$5:$F$14,MATCH(H1810,Lists!$A$2:$A$11,0))),N(INDEX(Platforms!$C$5:$C$14,MATCH(H1810,Lists!$A$2:$A$11,0)))*(K1810+IF(INDEX(Platforms!$E$5:$E$14,MATCH(H1810,Lists!$A$2:$A$11,0))="Yes",N(L1810),0))+N(INDEX(Platforms!$D$5:$D$14,MATCH(H1810,Lists!$A$2:$A$11,0)))))),""))</f>
        <v/>
      </c>
      <c r="R1810" s="16" t="str">
        <f t="shared" si="113"/>
        <v/>
      </c>
      <c r="S1810" s="17" t="str">
        <f t="shared" si="114"/>
        <v/>
      </c>
      <c r="T1810" s="18" t="str">
        <f t="shared" ca="1" si="115"/>
        <v/>
      </c>
    </row>
    <row r="1811" spans="1:20" x14ac:dyDescent="0.35">
      <c r="A1811" s="11"/>
      <c r="B1811" s="11"/>
      <c r="C1811" s="11"/>
      <c r="D1811" s="12"/>
      <c r="E1811" s="11"/>
      <c r="F1811" s="13"/>
      <c r="G1811" s="13"/>
      <c r="H1811" s="11"/>
      <c r="I1811" s="12"/>
      <c r="J1811" s="12"/>
      <c r="K1811" s="13"/>
      <c r="L1811" s="13"/>
      <c r="M1811" s="13"/>
      <c r="N1811" s="13"/>
      <c r="O1811" s="13"/>
      <c r="P1811" s="14" t="str">
        <f t="shared" si="112"/>
        <v/>
      </c>
      <c r="Q1811" s="15" t="str">
        <f>IF(OR(J1811="",H1811=""),"",IFERROR(IF(ISNUMBER(N1811),N1811,IF(K1811&lt;N(INDEX(Platforms!$G$5:$G$14,MATCH(H1811,Lists!$A$2:$A$11,0))),N(INDEX(Platforms!$H$5:$H$14,MATCH(H1811,Lists!$A$2:$A$11,0))),MAX(N(INDEX(Platforms!$F$5:$F$14,MATCH(H1811,Lists!$A$2:$A$11,0))),N(INDEX(Platforms!$C$5:$C$14,MATCH(H1811,Lists!$A$2:$A$11,0)))*(K1811+IF(INDEX(Platforms!$E$5:$E$14,MATCH(H1811,Lists!$A$2:$A$11,0))="Yes",N(L1811),0))+N(INDEX(Platforms!$D$5:$D$14,MATCH(H1811,Lists!$A$2:$A$11,0)))))),""))</f>
        <v/>
      </c>
      <c r="R1811" s="16" t="str">
        <f t="shared" si="113"/>
        <v/>
      </c>
      <c r="S1811" s="17" t="str">
        <f t="shared" si="114"/>
        <v/>
      </c>
      <c r="T1811" s="18" t="str">
        <f t="shared" ca="1" si="115"/>
        <v/>
      </c>
    </row>
    <row r="1812" spans="1:20" x14ac:dyDescent="0.35">
      <c r="A1812" s="11"/>
      <c r="B1812" s="11"/>
      <c r="C1812" s="11"/>
      <c r="D1812" s="12"/>
      <c r="E1812" s="11"/>
      <c r="F1812" s="13"/>
      <c r="G1812" s="13"/>
      <c r="H1812" s="11"/>
      <c r="I1812" s="12"/>
      <c r="J1812" s="12"/>
      <c r="K1812" s="13"/>
      <c r="L1812" s="13"/>
      <c r="M1812" s="13"/>
      <c r="N1812" s="13"/>
      <c r="O1812" s="13"/>
      <c r="P1812" s="14" t="str">
        <f t="shared" si="112"/>
        <v/>
      </c>
      <c r="Q1812" s="15" t="str">
        <f>IF(OR(J1812="",H1812=""),"",IFERROR(IF(ISNUMBER(N1812),N1812,IF(K1812&lt;N(INDEX(Platforms!$G$5:$G$14,MATCH(H1812,Lists!$A$2:$A$11,0))),N(INDEX(Platforms!$H$5:$H$14,MATCH(H1812,Lists!$A$2:$A$11,0))),MAX(N(INDEX(Platforms!$F$5:$F$14,MATCH(H1812,Lists!$A$2:$A$11,0))),N(INDEX(Platforms!$C$5:$C$14,MATCH(H1812,Lists!$A$2:$A$11,0)))*(K1812+IF(INDEX(Platforms!$E$5:$E$14,MATCH(H1812,Lists!$A$2:$A$11,0))="Yes",N(L1812),0))+N(INDEX(Platforms!$D$5:$D$14,MATCH(H1812,Lists!$A$2:$A$11,0)))))),""))</f>
        <v/>
      </c>
      <c r="R1812" s="16" t="str">
        <f t="shared" si="113"/>
        <v/>
      </c>
      <c r="S1812" s="17" t="str">
        <f t="shared" si="114"/>
        <v/>
      </c>
      <c r="T1812" s="18" t="str">
        <f t="shared" ca="1" si="115"/>
        <v/>
      </c>
    </row>
    <row r="1813" spans="1:20" x14ac:dyDescent="0.35">
      <c r="A1813" s="11"/>
      <c r="B1813" s="11"/>
      <c r="C1813" s="11"/>
      <c r="D1813" s="12"/>
      <c r="E1813" s="11"/>
      <c r="F1813" s="13"/>
      <c r="G1813" s="13"/>
      <c r="H1813" s="11"/>
      <c r="I1813" s="12"/>
      <c r="J1813" s="12"/>
      <c r="K1813" s="13"/>
      <c r="L1813" s="13"/>
      <c r="M1813" s="13"/>
      <c r="N1813" s="13"/>
      <c r="O1813" s="13"/>
      <c r="P1813" s="14" t="str">
        <f t="shared" si="112"/>
        <v/>
      </c>
      <c r="Q1813" s="15" t="str">
        <f>IF(OR(J1813="",H1813=""),"",IFERROR(IF(ISNUMBER(N1813),N1813,IF(K1813&lt;N(INDEX(Platforms!$G$5:$G$14,MATCH(H1813,Lists!$A$2:$A$11,0))),N(INDEX(Platforms!$H$5:$H$14,MATCH(H1813,Lists!$A$2:$A$11,0))),MAX(N(INDEX(Platforms!$F$5:$F$14,MATCH(H1813,Lists!$A$2:$A$11,0))),N(INDEX(Platforms!$C$5:$C$14,MATCH(H1813,Lists!$A$2:$A$11,0)))*(K1813+IF(INDEX(Platforms!$E$5:$E$14,MATCH(H1813,Lists!$A$2:$A$11,0))="Yes",N(L1813),0))+N(INDEX(Platforms!$D$5:$D$14,MATCH(H1813,Lists!$A$2:$A$11,0)))))),""))</f>
        <v/>
      </c>
      <c r="R1813" s="16" t="str">
        <f t="shared" si="113"/>
        <v/>
      </c>
      <c r="S1813" s="17" t="str">
        <f t="shared" si="114"/>
        <v/>
      </c>
      <c r="T1813" s="18" t="str">
        <f t="shared" ca="1" si="115"/>
        <v/>
      </c>
    </row>
    <row r="1814" spans="1:20" x14ac:dyDescent="0.35">
      <c r="A1814" s="11"/>
      <c r="B1814" s="11"/>
      <c r="C1814" s="11"/>
      <c r="D1814" s="12"/>
      <c r="E1814" s="11"/>
      <c r="F1814" s="13"/>
      <c r="G1814" s="13"/>
      <c r="H1814" s="11"/>
      <c r="I1814" s="12"/>
      <c r="J1814" s="12"/>
      <c r="K1814" s="13"/>
      <c r="L1814" s="13"/>
      <c r="M1814" s="13"/>
      <c r="N1814" s="13"/>
      <c r="O1814" s="13"/>
      <c r="P1814" s="14" t="str">
        <f t="shared" si="112"/>
        <v/>
      </c>
      <c r="Q1814" s="15" t="str">
        <f>IF(OR(J1814="",H1814=""),"",IFERROR(IF(ISNUMBER(N1814),N1814,IF(K1814&lt;N(INDEX(Platforms!$G$5:$G$14,MATCH(H1814,Lists!$A$2:$A$11,0))),N(INDEX(Platforms!$H$5:$H$14,MATCH(H1814,Lists!$A$2:$A$11,0))),MAX(N(INDEX(Platforms!$F$5:$F$14,MATCH(H1814,Lists!$A$2:$A$11,0))),N(INDEX(Platforms!$C$5:$C$14,MATCH(H1814,Lists!$A$2:$A$11,0)))*(K1814+IF(INDEX(Platforms!$E$5:$E$14,MATCH(H1814,Lists!$A$2:$A$11,0))="Yes",N(L1814),0))+N(INDEX(Platforms!$D$5:$D$14,MATCH(H1814,Lists!$A$2:$A$11,0)))))),""))</f>
        <v/>
      </c>
      <c r="R1814" s="16" t="str">
        <f t="shared" si="113"/>
        <v/>
      </c>
      <c r="S1814" s="17" t="str">
        <f t="shared" si="114"/>
        <v/>
      </c>
      <c r="T1814" s="18" t="str">
        <f t="shared" ca="1" si="115"/>
        <v/>
      </c>
    </row>
    <row r="1815" spans="1:20" x14ac:dyDescent="0.35">
      <c r="A1815" s="11"/>
      <c r="B1815" s="11"/>
      <c r="C1815" s="11"/>
      <c r="D1815" s="12"/>
      <c r="E1815" s="11"/>
      <c r="F1815" s="13"/>
      <c r="G1815" s="13"/>
      <c r="H1815" s="11"/>
      <c r="I1815" s="12"/>
      <c r="J1815" s="12"/>
      <c r="K1815" s="13"/>
      <c r="L1815" s="13"/>
      <c r="M1815" s="13"/>
      <c r="N1815" s="13"/>
      <c r="O1815" s="13"/>
      <c r="P1815" s="14" t="str">
        <f t="shared" si="112"/>
        <v/>
      </c>
      <c r="Q1815" s="15" t="str">
        <f>IF(OR(J1815="",H1815=""),"",IFERROR(IF(ISNUMBER(N1815),N1815,IF(K1815&lt;N(INDEX(Platforms!$G$5:$G$14,MATCH(H1815,Lists!$A$2:$A$11,0))),N(INDEX(Platforms!$H$5:$H$14,MATCH(H1815,Lists!$A$2:$A$11,0))),MAX(N(INDEX(Platforms!$F$5:$F$14,MATCH(H1815,Lists!$A$2:$A$11,0))),N(INDEX(Platforms!$C$5:$C$14,MATCH(H1815,Lists!$A$2:$A$11,0)))*(K1815+IF(INDEX(Platforms!$E$5:$E$14,MATCH(H1815,Lists!$A$2:$A$11,0))="Yes",N(L1815),0))+N(INDEX(Platforms!$D$5:$D$14,MATCH(H1815,Lists!$A$2:$A$11,0)))))),""))</f>
        <v/>
      </c>
      <c r="R1815" s="16" t="str">
        <f t="shared" si="113"/>
        <v/>
      </c>
      <c r="S1815" s="17" t="str">
        <f t="shared" si="114"/>
        <v/>
      </c>
      <c r="T1815" s="18" t="str">
        <f t="shared" ca="1" si="115"/>
        <v/>
      </c>
    </row>
    <row r="1816" spans="1:20" x14ac:dyDescent="0.35">
      <c r="A1816" s="11"/>
      <c r="B1816" s="11"/>
      <c r="C1816" s="11"/>
      <c r="D1816" s="12"/>
      <c r="E1816" s="11"/>
      <c r="F1816" s="13"/>
      <c r="G1816" s="13"/>
      <c r="H1816" s="11"/>
      <c r="I1816" s="12"/>
      <c r="J1816" s="12"/>
      <c r="K1816" s="13"/>
      <c r="L1816" s="13"/>
      <c r="M1816" s="13"/>
      <c r="N1816" s="13"/>
      <c r="O1816" s="13"/>
      <c r="P1816" s="14" t="str">
        <f t="shared" si="112"/>
        <v/>
      </c>
      <c r="Q1816" s="15" t="str">
        <f>IF(OR(J1816="",H1816=""),"",IFERROR(IF(ISNUMBER(N1816),N1816,IF(K1816&lt;N(INDEX(Platforms!$G$5:$G$14,MATCH(H1816,Lists!$A$2:$A$11,0))),N(INDEX(Platforms!$H$5:$H$14,MATCH(H1816,Lists!$A$2:$A$11,0))),MAX(N(INDEX(Platforms!$F$5:$F$14,MATCH(H1816,Lists!$A$2:$A$11,0))),N(INDEX(Platforms!$C$5:$C$14,MATCH(H1816,Lists!$A$2:$A$11,0)))*(K1816+IF(INDEX(Platforms!$E$5:$E$14,MATCH(H1816,Lists!$A$2:$A$11,0))="Yes",N(L1816),0))+N(INDEX(Platforms!$D$5:$D$14,MATCH(H1816,Lists!$A$2:$A$11,0)))))),""))</f>
        <v/>
      </c>
      <c r="R1816" s="16" t="str">
        <f t="shared" si="113"/>
        <v/>
      </c>
      <c r="S1816" s="17" t="str">
        <f t="shared" si="114"/>
        <v/>
      </c>
      <c r="T1816" s="18" t="str">
        <f t="shared" ca="1" si="115"/>
        <v/>
      </c>
    </row>
    <row r="1817" spans="1:20" x14ac:dyDescent="0.35">
      <c r="A1817" s="11"/>
      <c r="B1817" s="11"/>
      <c r="C1817" s="11"/>
      <c r="D1817" s="12"/>
      <c r="E1817" s="11"/>
      <c r="F1817" s="13"/>
      <c r="G1817" s="13"/>
      <c r="H1817" s="11"/>
      <c r="I1817" s="12"/>
      <c r="J1817" s="12"/>
      <c r="K1817" s="13"/>
      <c r="L1817" s="13"/>
      <c r="M1817" s="13"/>
      <c r="N1817" s="13"/>
      <c r="O1817" s="13"/>
      <c r="P1817" s="14" t="str">
        <f t="shared" si="112"/>
        <v/>
      </c>
      <c r="Q1817" s="15" t="str">
        <f>IF(OR(J1817="",H1817=""),"",IFERROR(IF(ISNUMBER(N1817),N1817,IF(K1817&lt;N(INDEX(Platforms!$G$5:$G$14,MATCH(H1817,Lists!$A$2:$A$11,0))),N(INDEX(Platforms!$H$5:$H$14,MATCH(H1817,Lists!$A$2:$A$11,0))),MAX(N(INDEX(Platforms!$F$5:$F$14,MATCH(H1817,Lists!$A$2:$A$11,0))),N(INDEX(Platforms!$C$5:$C$14,MATCH(H1817,Lists!$A$2:$A$11,0)))*(K1817+IF(INDEX(Platforms!$E$5:$E$14,MATCH(H1817,Lists!$A$2:$A$11,0))="Yes",N(L1817),0))+N(INDEX(Platforms!$D$5:$D$14,MATCH(H1817,Lists!$A$2:$A$11,0)))))),""))</f>
        <v/>
      </c>
      <c r="R1817" s="16" t="str">
        <f t="shared" si="113"/>
        <v/>
      </c>
      <c r="S1817" s="17" t="str">
        <f t="shared" si="114"/>
        <v/>
      </c>
      <c r="T1817" s="18" t="str">
        <f t="shared" ca="1" si="115"/>
        <v/>
      </c>
    </row>
    <row r="1818" spans="1:20" x14ac:dyDescent="0.35">
      <c r="A1818" s="11"/>
      <c r="B1818" s="11"/>
      <c r="C1818" s="11"/>
      <c r="D1818" s="12"/>
      <c r="E1818" s="11"/>
      <c r="F1818" s="13"/>
      <c r="G1818" s="13"/>
      <c r="H1818" s="11"/>
      <c r="I1818" s="12"/>
      <c r="J1818" s="12"/>
      <c r="K1818" s="13"/>
      <c r="L1818" s="13"/>
      <c r="M1818" s="13"/>
      <c r="N1818" s="13"/>
      <c r="O1818" s="13"/>
      <c r="P1818" s="14" t="str">
        <f t="shared" si="112"/>
        <v/>
      </c>
      <c r="Q1818" s="15" t="str">
        <f>IF(OR(J1818="",H1818=""),"",IFERROR(IF(ISNUMBER(N1818),N1818,IF(K1818&lt;N(INDEX(Platforms!$G$5:$G$14,MATCH(H1818,Lists!$A$2:$A$11,0))),N(INDEX(Platforms!$H$5:$H$14,MATCH(H1818,Lists!$A$2:$A$11,0))),MAX(N(INDEX(Platforms!$F$5:$F$14,MATCH(H1818,Lists!$A$2:$A$11,0))),N(INDEX(Platforms!$C$5:$C$14,MATCH(H1818,Lists!$A$2:$A$11,0)))*(K1818+IF(INDEX(Platforms!$E$5:$E$14,MATCH(H1818,Lists!$A$2:$A$11,0))="Yes",N(L1818),0))+N(INDEX(Platforms!$D$5:$D$14,MATCH(H1818,Lists!$A$2:$A$11,0)))))),""))</f>
        <v/>
      </c>
      <c r="R1818" s="16" t="str">
        <f t="shared" si="113"/>
        <v/>
      </c>
      <c r="S1818" s="17" t="str">
        <f t="shared" si="114"/>
        <v/>
      </c>
      <c r="T1818" s="18" t="str">
        <f t="shared" ca="1" si="115"/>
        <v/>
      </c>
    </row>
    <row r="1819" spans="1:20" x14ac:dyDescent="0.35">
      <c r="A1819" s="11"/>
      <c r="B1819" s="11"/>
      <c r="C1819" s="11"/>
      <c r="D1819" s="12"/>
      <c r="E1819" s="11"/>
      <c r="F1819" s="13"/>
      <c r="G1819" s="13"/>
      <c r="H1819" s="11"/>
      <c r="I1819" s="12"/>
      <c r="J1819" s="12"/>
      <c r="K1819" s="13"/>
      <c r="L1819" s="13"/>
      <c r="M1819" s="13"/>
      <c r="N1819" s="13"/>
      <c r="O1819" s="13"/>
      <c r="P1819" s="14" t="str">
        <f t="shared" si="112"/>
        <v/>
      </c>
      <c r="Q1819" s="15" t="str">
        <f>IF(OR(J1819="",H1819=""),"",IFERROR(IF(ISNUMBER(N1819),N1819,IF(K1819&lt;N(INDEX(Platforms!$G$5:$G$14,MATCH(H1819,Lists!$A$2:$A$11,0))),N(INDEX(Platforms!$H$5:$H$14,MATCH(H1819,Lists!$A$2:$A$11,0))),MAX(N(INDEX(Platforms!$F$5:$F$14,MATCH(H1819,Lists!$A$2:$A$11,0))),N(INDEX(Platforms!$C$5:$C$14,MATCH(H1819,Lists!$A$2:$A$11,0)))*(K1819+IF(INDEX(Platforms!$E$5:$E$14,MATCH(H1819,Lists!$A$2:$A$11,0))="Yes",N(L1819),0))+N(INDEX(Platforms!$D$5:$D$14,MATCH(H1819,Lists!$A$2:$A$11,0)))))),""))</f>
        <v/>
      </c>
      <c r="R1819" s="16" t="str">
        <f t="shared" si="113"/>
        <v/>
      </c>
      <c r="S1819" s="17" t="str">
        <f t="shared" si="114"/>
        <v/>
      </c>
      <c r="T1819" s="18" t="str">
        <f t="shared" ca="1" si="115"/>
        <v/>
      </c>
    </row>
    <row r="1820" spans="1:20" x14ac:dyDescent="0.35">
      <c r="A1820" s="11"/>
      <c r="B1820" s="11"/>
      <c r="C1820" s="11"/>
      <c r="D1820" s="12"/>
      <c r="E1820" s="11"/>
      <c r="F1820" s="13"/>
      <c r="G1820" s="13"/>
      <c r="H1820" s="11"/>
      <c r="I1820" s="12"/>
      <c r="J1820" s="12"/>
      <c r="K1820" s="13"/>
      <c r="L1820" s="13"/>
      <c r="M1820" s="13"/>
      <c r="N1820" s="13"/>
      <c r="O1820" s="13"/>
      <c r="P1820" s="14" t="str">
        <f t="shared" si="112"/>
        <v/>
      </c>
      <c r="Q1820" s="15" t="str">
        <f>IF(OR(J1820="",H1820=""),"",IFERROR(IF(ISNUMBER(N1820),N1820,IF(K1820&lt;N(INDEX(Platforms!$G$5:$G$14,MATCH(H1820,Lists!$A$2:$A$11,0))),N(INDEX(Platforms!$H$5:$H$14,MATCH(H1820,Lists!$A$2:$A$11,0))),MAX(N(INDEX(Platforms!$F$5:$F$14,MATCH(H1820,Lists!$A$2:$A$11,0))),N(INDEX(Platforms!$C$5:$C$14,MATCH(H1820,Lists!$A$2:$A$11,0)))*(K1820+IF(INDEX(Platforms!$E$5:$E$14,MATCH(H1820,Lists!$A$2:$A$11,0))="Yes",N(L1820),0))+N(INDEX(Platforms!$D$5:$D$14,MATCH(H1820,Lists!$A$2:$A$11,0)))))),""))</f>
        <v/>
      </c>
      <c r="R1820" s="16" t="str">
        <f t="shared" si="113"/>
        <v/>
      </c>
      <c r="S1820" s="17" t="str">
        <f t="shared" si="114"/>
        <v/>
      </c>
      <c r="T1820" s="18" t="str">
        <f t="shared" ca="1" si="115"/>
        <v/>
      </c>
    </row>
    <row r="1821" spans="1:20" x14ac:dyDescent="0.35">
      <c r="A1821" s="11"/>
      <c r="B1821" s="11"/>
      <c r="C1821" s="11"/>
      <c r="D1821" s="12"/>
      <c r="E1821" s="11"/>
      <c r="F1821" s="13"/>
      <c r="G1821" s="13"/>
      <c r="H1821" s="11"/>
      <c r="I1821" s="12"/>
      <c r="J1821" s="12"/>
      <c r="K1821" s="13"/>
      <c r="L1821" s="13"/>
      <c r="M1821" s="13"/>
      <c r="N1821" s="13"/>
      <c r="O1821" s="13"/>
      <c r="P1821" s="14" t="str">
        <f t="shared" si="112"/>
        <v/>
      </c>
      <c r="Q1821" s="15" t="str">
        <f>IF(OR(J1821="",H1821=""),"",IFERROR(IF(ISNUMBER(N1821),N1821,IF(K1821&lt;N(INDEX(Platforms!$G$5:$G$14,MATCH(H1821,Lists!$A$2:$A$11,0))),N(INDEX(Platforms!$H$5:$H$14,MATCH(H1821,Lists!$A$2:$A$11,0))),MAX(N(INDEX(Platforms!$F$5:$F$14,MATCH(H1821,Lists!$A$2:$A$11,0))),N(INDEX(Platforms!$C$5:$C$14,MATCH(H1821,Lists!$A$2:$A$11,0)))*(K1821+IF(INDEX(Platforms!$E$5:$E$14,MATCH(H1821,Lists!$A$2:$A$11,0))="Yes",N(L1821),0))+N(INDEX(Platforms!$D$5:$D$14,MATCH(H1821,Lists!$A$2:$A$11,0)))))),""))</f>
        <v/>
      </c>
      <c r="R1821" s="16" t="str">
        <f t="shared" si="113"/>
        <v/>
      </c>
      <c r="S1821" s="17" t="str">
        <f t="shared" si="114"/>
        <v/>
      </c>
      <c r="T1821" s="18" t="str">
        <f t="shared" ca="1" si="115"/>
        <v/>
      </c>
    </row>
    <row r="1822" spans="1:20" x14ac:dyDescent="0.35">
      <c r="A1822" s="11"/>
      <c r="B1822" s="11"/>
      <c r="C1822" s="11"/>
      <c r="D1822" s="12"/>
      <c r="E1822" s="11"/>
      <c r="F1822" s="13"/>
      <c r="G1822" s="13"/>
      <c r="H1822" s="11"/>
      <c r="I1822" s="12"/>
      <c r="J1822" s="12"/>
      <c r="K1822" s="13"/>
      <c r="L1822" s="13"/>
      <c r="M1822" s="13"/>
      <c r="N1822" s="13"/>
      <c r="O1822" s="13"/>
      <c r="P1822" s="14" t="str">
        <f t="shared" si="112"/>
        <v/>
      </c>
      <c r="Q1822" s="15" t="str">
        <f>IF(OR(J1822="",H1822=""),"",IFERROR(IF(ISNUMBER(N1822),N1822,IF(K1822&lt;N(INDEX(Platforms!$G$5:$G$14,MATCH(H1822,Lists!$A$2:$A$11,0))),N(INDEX(Platforms!$H$5:$H$14,MATCH(H1822,Lists!$A$2:$A$11,0))),MAX(N(INDEX(Platforms!$F$5:$F$14,MATCH(H1822,Lists!$A$2:$A$11,0))),N(INDEX(Platforms!$C$5:$C$14,MATCH(H1822,Lists!$A$2:$A$11,0)))*(K1822+IF(INDEX(Platforms!$E$5:$E$14,MATCH(H1822,Lists!$A$2:$A$11,0))="Yes",N(L1822),0))+N(INDEX(Platforms!$D$5:$D$14,MATCH(H1822,Lists!$A$2:$A$11,0)))))),""))</f>
        <v/>
      </c>
      <c r="R1822" s="16" t="str">
        <f t="shared" si="113"/>
        <v/>
      </c>
      <c r="S1822" s="17" t="str">
        <f t="shared" si="114"/>
        <v/>
      </c>
      <c r="T1822" s="18" t="str">
        <f t="shared" ca="1" si="115"/>
        <v/>
      </c>
    </row>
    <row r="1823" spans="1:20" x14ac:dyDescent="0.35">
      <c r="A1823" s="11"/>
      <c r="B1823" s="11"/>
      <c r="C1823" s="11"/>
      <c r="D1823" s="12"/>
      <c r="E1823" s="11"/>
      <c r="F1823" s="13"/>
      <c r="G1823" s="13"/>
      <c r="H1823" s="11"/>
      <c r="I1823" s="12"/>
      <c r="J1823" s="12"/>
      <c r="K1823" s="13"/>
      <c r="L1823" s="13"/>
      <c r="M1823" s="13"/>
      <c r="N1823" s="13"/>
      <c r="O1823" s="13"/>
      <c r="P1823" s="14" t="str">
        <f t="shared" si="112"/>
        <v/>
      </c>
      <c r="Q1823" s="15" t="str">
        <f>IF(OR(J1823="",H1823=""),"",IFERROR(IF(ISNUMBER(N1823),N1823,IF(K1823&lt;N(INDEX(Platforms!$G$5:$G$14,MATCH(H1823,Lists!$A$2:$A$11,0))),N(INDEX(Platforms!$H$5:$H$14,MATCH(H1823,Lists!$A$2:$A$11,0))),MAX(N(INDEX(Platforms!$F$5:$F$14,MATCH(H1823,Lists!$A$2:$A$11,0))),N(INDEX(Platforms!$C$5:$C$14,MATCH(H1823,Lists!$A$2:$A$11,0)))*(K1823+IF(INDEX(Platforms!$E$5:$E$14,MATCH(H1823,Lists!$A$2:$A$11,0))="Yes",N(L1823),0))+N(INDEX(Platforms!$D$5:$D$14,MATCH(H1823,Lists!$A$2:$A$11,0)))))),""))</f>
        <v/>
      </c>
      <c r="R1823" s="16" t="str">
        <f t="shared" si="113"/>
        <v/>
      </c>
      <c r="S1823" s="17" t="str">
        <f t="shared" si="114"/>
        <v/>
      </c>
      <c r="T1823" s="18" t="str">
        <f t="shared" ca="1" si="115"/>
        <v/>
      </c>
    </row>
    <row r="1824" spans="1:20" x14ac:dyDescent="0.35">
      <c r="A1824" s="11"/>
      <c r="B1824" s="11"/>
      <c r="C1824" s="11"/>
      <c r="D1824" s="12"/>
      <c r="E1824" s="11"/>
      <c r="F1824" s="13"/>
      <c r="G1824" s="13"/>
      <c r="H1824" s="11"/>
      <c r="I1824" s="12"/>
      <c r="J1824" s="12"/>
      <c r="K1824" s="13"/>
      <c r="L1824" s="13"/>
      <c r="M1824" s="13"/>
      <c r="N1824" s="13"/>
      <c r="O1824" s="13"/>
      <c r="P1824" s="14" t="str">
        <f t="shared" si="112"/>
        <v/>
      </c>
      <c r="Q1824" s="15" t="str">
        <f>IF(OR(J1824="",H1824=""),"",IFERROR(IF(ISNUMBER(N1824),N1824,IF(K1824&lt;N(INDEX(Platforms!$G$5:$G$14,MATCH(H1824,Lists!$A$2:$A$11,0))),N(INDEX(Platforms!$H$5:$H$14,MATCH(H1824,Lists!$A$2:$A$11,0))),MAX(N(INDEX(Platforms!$F$5:$F$14,MATCH(H1824,Lists!$A$2:$A$11,0))),N(INDEX(Platforms!$C$5:$C$14,MATCH(H1824,Lists!$A$2:$A$11,0)))*(K1824+IF(INDEX(Platforms!$E$5:$E$14,MATCH(H1824,Lists!$A$2:$A$11,0))="Yes",N(L1824),0))+N(INDEX(Platforms!$D$5:$D$14,MATCH(H1824,Lists!$A$2:$A$11,0)))))),""))</f>
        <v/>
      </c>
      <c r="R1824" s="16" t="str">
        <f t="shared" si="113"/>
        <v/>
      </c>
      <c r="S1824" s="17" t="str">
        <f t="shared" si="114"/>
        <v/>
      </c>
      <c r="T1824" s="18" t="str">
        <f t="shared" ca="1" si="115"/>
        <v/>
      </c>
    </row>
    <row r="1825" spans="1:20" x14ac:dyDescent="0.35">
      <c r="A1825" s="11"/>
      <c r="B1825" s="11"/>
      <c r="C1825" s="11"/>
      <c r="D1825" s="12"/>
      <c r="E1825" s="11"/>
      <c r="F1825" s="13"/>
      <c r="G1825" s="13"/>
      <c r="H1825" s="11"/>
      <c r="I1825" s="12"/>
      <c r="J1825" s="12"/>
      <c r="K1825" s="13"/>
      <c r="L1825" s="13"/>
      <c r="M1825" s="13"/>
      <c r="N1825" s="13"/>
      <c r="O1825" s="13"/>
      <c r="P1825" s="14" t="str">
        <f t="shared" si="112"/>
        <v/>
      </c>
      <c r="Q1825" s="15" t="str">
        <f>IF(OR(J1825="",H1825=""),"",IFERROR(IF(ISNUMBER(N1825),N1825,IF(K1825&lt;N(INDEX(Platforms!$G$5:$G$14,MATCH(H1825,Lists!$A$2:$A$11,0))),N(INDEX(Platforms!$H$5:$H$14,MATCH(H1825,Lists!$A$2:$A$11,0))),MAX(N(INDEX(Platforms!$F$5:$F$14,MATCH(H1825,Lists!$A$2:$A$11,0))),N(INDEX(Platforms!$C$5:$C$14,MATCH(H1825,Lists!$A$2:$A$11,0)))*(K1825+IF(INDEX(Platforms!$E$5:$E$14,MATCH(H1825,Lists!$A$2:$A$11,0))="Yes",N(L1825),0))+N(INDEX(Platforms!$D$5:$D$14,MATCH(H1825,Lists!$A$2:$A$11,0)))))),""))</f>
        <v/>
      </c>
      <c r="R1825" s="16" t="str">
        <f t="shared" si="113"/>
        <v/>
      </c>
      <c r="S1825" s="17" t="str">
        <f t="shared" si="114"/>
        <v/>
      </c>
      <c r="T1825" s="18" t="str">
        <f t="shared" ca="1" si="115"/>
        <v/>
      </c>
    </row>
    <row r="1826" spans="1:20" x14ac:dyDescent="0.35">
      <c r="A1826" s="11"/>
      <c r="B1826" s="11"/>
      <c r="C1826" s="11"/>
      <c r="D1826" s="12"/>
      <c r="E1826" s="11"/>
      <c r="F1826" s="13"/>
      <c r="G1826" s="13"/>
      <c r="H1826" s="11"/>
      <c r="I1826" s="12"/>
      <c r="J1826" s="12"/>
      <c r="K1826" s="13"/>
      <c r="L1826" s="13"/>
      <c r="M1826" s="13"/>
      <c r="N1826" s="13"/>
      <c r="O1826" s="13"/>
      <c r="P1826" s="14" t="str">
        <f t="shared" si="112"/>
        <v/>
      </c>
      <c r="Q1826" s="15" t="str">
        <f>IF(OR(J1826="",H1826=""),"",IFERROR(IF(ISNUMBER(N1826),N1826,IF(K1826&lt;N(INDEX(Platforms!$G$5:$G$14,MATCH(H1826,Lists!$A$2:$A$11,0))),N(INDEX(Platforms!$H$5:$H$14,MATCH(H1826,Lists!$A$2:$A$11,0))),MAX(N(INDEX(Platforms!$F$5:$F$14,MATCH(H1826,Lists!$A$2:$A$11,0))),N(INDEX(Platforms!$C$5:$C$14,MATCH(H1826,Lists!$A$2:$A$11,0)))*(K1826+IF(INDEX(Platforms!$E$5:$E$14,MATCH(H1826,Lists!$A$2:$A$11,0))="Yes",N(L1826),0))+N(INDEX(Platforms!$D$5:$D$14,MATCH(H1826,Lists!$A$2:$A$11,0)))))),""))</f>
        <v/>
      </c>
      <c r="R1826" s="16" t="str">
        <f t="shared" si="113"/>
        <v/>
      </c>
      <c r="S1826" s="17" t="str">
        <f t="shared" si="114"/>
        <v/>
      </c>
      <c r="T1826" s="18" t="str">
        <f t="shared" ca="1" si="115"/>
        <v/>
      </c>
    </row>
    <row r="1827" spans="1:20" x14ac:dyDescent="0.35">
      <c r="A1827" s="11"/>
      <c r="B1827" s="11"/>
      <c r="C1827" s="11"/>
      <c r="D1827" s="12"/>
      <c r="E1827" s="11"/>
      <c r="F1827" s="13"/>
      <c r="G1827" s="13"/>
      <c r="H1827" s="11"/>
      <c r="I1827" s="12"/>
      <c r="J1827" s="12"/>
      <c r="K1827" s="13"/>
      <c r="L1827" s="13"/>
      <c r="M1827" s="13"/>
      <c r="N1827" s="13"/>
      <c r="O1827" s="13"/>
      <c r="P1827" s="14" t="str">
        <f t="shared" si="112"/>
        <v/>
      </c>
      <c r="Q1827" s="15" t="str">
        <f>IF(OR(J1827="",H1827=""),"",IFERROR(IF(ISNUMBER(N1827),N1827,IF(K1827&lt;N(INDEX(Platforms!$G$5:$G$14,MATCH(H1827,Lists!$A$2:$A$11,0))),N(INDEX(Platforms!$H$5:$H$14,MATCH(H1827,Lists!$A$2:$A$11,0))),MAX(N(INDEX(Platforms!$F$5:$F$14,MATCH(H1827,Lists!$A$2:$A$11,0))),N(INDEX(Platforms!$C$5:$C$14,MATCH(H1827,Lists!$A$2:$A$11,0)))*(K1827+IF(INDEX(Platforms!$E$5:$E$14,MATCH(H1827,Lists!$A$2:$A$11,0))="Yes",N(L1827),0))+N(INDEX(Platforms!$D$5:$D$14,MATCH(H1827,Lists!$A$2:$A$11,0)))))),""))</f>
        <v/>
      </c>
      <c r="R1827" s="16" t="str">
        <f t="shared" si="113"/>
        <v/>
      </c>
      <c r="S1827" s="17" t="str">
        <f t="shared" si="114"/>
        <v/>
      </c>
      <c r="T1827" s="18" t="str">
        <f t="shared" ca="1" si="115"/>
        <v/>
      </c>
    </row>
    <row r="1828" spans="1:20" x14ac:dyDescent="0.35">
      <c r="A1828" s="11"/>
      <c r="B1828" s="11"/>
      <c r="C1828" s="11"/>
      <c r="D1828" s="12"/>
      <c r="E1828" s="11"/>
      <c r="F1828" s="13"/>
      <c r="G1828" s="13"/>
      <c r="H1828" s="11"/>
      <c r="I1828" s="12"/>
      <c r="J1828" s="12"/>
      <c r="K1828" s="13"/>
      <c r="L1828" s="13"/>
      <c r="M1828" s="13"/>
      <c r="N1828" s="13"/>
      <c r="O1828" s="13"/>
      <c r="P1828" s="14" t="str">
        <f t="shared" si="112"/>
        <v/>
      </c>
      <c r="Q1828" s="15" t="str">
        <f>IF(OR(J1828="",H1828=""),"",IFERROR(IF(ISNUMBER(N1828),N1828,IF(K1828&lt;N(INDEX(Platforms!$G$5:$G$14,MATCH(H1828,Lists!$A$2:$A$11,0))),N(INDEX(Platforms!$H$5:$H$14,MATCH(H1828,Lists!$A$2:$A$11,0))),MAX(N(INDEX(Platforms!$F$5:$F$14,MATCH(H1828,Lists!$A$2:$A$11,0))),N(INDEX(Platforms!$C$5:$C$14,MATCH(H1828,Lists!$A$2:$A$11,0)))*(K1828+IF(INDEX(Platforms!$E$5:$E$14,MATCH(H1828,Lists!$A$2:$A$11,0))="Yes",N(L1828),0))+N(INDEX(Platforms!$D$5:$D$14,MATCH(H1828,Lists!$A$2:$A$11,0)))))),""))</f>
        <v/>
      </c>
      <c r="R1828" s="16" t="str">
        <f t="shared" si="113"/>
        <v/>
      </c>
      <c r="S1828" s="17" t="str">
        <f t="shared" si="114"/>
        <v/>
      </c>
      <c r="T1828" s="18" t="str">
        <f t="shared" ca="1" si="115"/>
        <v/>
      </c>
    </row>
    <row r="1829" spans="1:20" x14ac:dyDescent="0.35">
      <c r="A1829" s="11"/>
      <c r="B1829" s="11"/>
      <c r="C1829" s="11"/>
      <c r="D1829" s="12"/>
      <c r="E1829" s="11"/>
      <c r="F1829" s="13"/>
      <c r="G1829" s="13"/>
      <c r="H1829" s="11"/>
      <c r="I1829" s="12"/>
      <c r="J1829" s="12"/>
      <c r="K1829" s="13"/>
      <c r="L1829" s="13"/>
      <c r="M1829" s="13"/>
      <c r="N1829" s="13"/>
      <c r="O1829" s="13"/>
      <c r="P1829" s="14" t="str">
        <f t="shared" si="112"/>
        <v/>
      </c>
      <c r="Q1829" s="15" t="str">
        <f>IF(OR(J1829="",H1829=""),"",IFERROR(IF(ISNUMBER(N1829),N1829,IF(K1829&lt;N(INDEX(Platforms!$G$5:$G$14,MATCH(H1829,Lists!$A$2:$A$11,0))),N(INDEX(Platforms!$H$5:$H$14,MATCH(H1829,Lists!$A$2:$A$11,0))),MAX(N(INDEX(Platforms!$F$5:$F$14,MATCH(H1829,Lists!$A$2:$A$11,0))),N(INDEX(Platforms!$C$5:$C$14,MATCH(H1829,Lists!$A$2:$A$11,0)))*(K1829+IF(INDEX(Platforms!$E$5:$E$14,MATCH(H1829,Lists!$A$2:$A$11,0))="Yes",N(L1829),0))+N(INDEX(Platforms!$D$5:$D$14,MATCH(H1829,Lists!$A$2:$A$11,0)))))),""))</f>
        <v/>
      </c>
      <c r="R1829" s="16" t="str">
        <f t="shared" si="113"/>
        <v/>
      </c>
      <c r="S1829" s="17" t="str">
        <f t="shared" si="114"/>
        <v/>
      </c>
      <c r="T1829" s="18" t="str">
        <f t="shared" ca="1" si="115"/>
        <v/>
      </c>
    </row>
    <row r="1830" spans="1:20" x14ac:dyDescent="0.35">
      <c r="A1830" s="11"/>
      <c r="B1830" s="11"/>
      <c r="C1830" s="11"/>
      <c r="D1830" s="12"/>
      <c r="E1830" s="11"/>
      <c r="F1830" s="13"/>
      <c r="G1830" s="13"/>
      <c r="H1830" s="11"/>
      <c r="I1830" s="12"/>
      <c r="J1830" s="12"/>
      <c r="K1830" s="13"/>
      <c r="L1830" s="13"/>
      <c r="M1830" s="13"/>
      <c r="N1830" s="13"/>
      <c r="O1830" s="13"/>
      <c r="P1830" s="14" t="str">
        <f t="shared" si="112"/>
        <v/>
      </c>
      <c r="Q1830" s="15" t="str">
        <f>IF(OR(J1830="",H1830=""),"",IFERROR(IF(ISNUMBER(N1830),N1830,IF(K1830&lt;N(INDEX(Platforms!$G$5:$G$14,MATCH(H1830,Lists!$A$2:$A$11,0))),N(INDEX(Platforms!$H$5:$H$14,MATCH(H1830,Lists!$A$2:$A$11,0))),MAX(N(INDEX(Platforms!$F$5:$F$14,MATCH(H1830,Lists!$A$2:$A$11,0))),N(INDEX(Platforms!$C$5:$C$14,MATCH(H1830,Lists!$A$2:$A$11,0)))*(K1830+IF(INDEX(Platforms!$E$5:$E$14,MATCH(H1830,Lists!$A$2:$A$11,0))="Yes",N(L1830),0))+N(INDEX(Platforms!$D$5:$D$14,MATCH(H1830,Lists!$A$2:$A$11,0)))))),""))</f>
        <v/>
      </c>
      <c r="R1830" s="16" t="str">
        <f t="shared" si="113"/>
        <v/>
      </c>
      <c r="S1830" s="17" t="str">
        <f t="shared" si="114"/>
        <v/>
      </c>
      <c r="T1830" s="18" t="str">
        <f t="shared" ca="1" si="115"/>
        <v/>
      </c>
    </row>
    <row r="1831" spans="1:20" x14ac:dyDescent="0.35">
      <c r="A1831" s="11"/>
      <c r="B1831" s="11"/>
      <c r="C1831" s="11"/>
      <c r="D1831" s="12"/>
      <c r="E1831" s="11"/>
      <c r="F1831" s="13"/>
      <c r="G1831" s="13"/>
      <c r="H1831" s="11"/>
      <c r="I1831" s="12"/>
      <c r="J1831" s="12"/>
      <c r="K1831" s="13"/>
      <c r="L1831" s="13"/>
      <c r="M1831" s="13"/>
      <c r="N1831" s="13"/>
      <c r="O1831" s="13"/>
      <c r="P1831" s="14" t="str">
        <f t="shared" si="112"/>
        <v/>
      </c>
      <c r="Q1831" s="15" t="str">
        <f>IF(OR(J1831="",H1831=""),"",IFERROR(IF(ISNUMBER(N1831),N1831,IF(K1831&lt;N(INDEX(Platforms!$G$5:$G$14,MATCH(H1831,Lists!$A$2:$A$11,0))),N(INDEX(Platforms!$H$5:$H$14,MATCH(H1831,Lists!$A$2:$A$11,0))),MAX(N(INDEX(Platforms!$F$5:$F$14,MATCH(H1831,Lists!$A$2:$A$11,0))),N(INDEX(Platforms!$C$5:$C$14,MATCH(H1831,Lists!$A$2:$A$11,0)))*(K1831+IF(INDEX(Platforms!$E$5:$E$14,MATCH(H1831,Lists!$A$2:$A$11,0))="Yes",N(L1831),0))+N(INDEX(Platforms!$D$5:$D$14,MATCH(H1831,Lists!$A$2:$A$11,0)))))),""))</f>
        <v/>
      </c>
      <c r="R1831" s="16" t="str">
        <f t="shared" si="113"/>
        <v/>
      </c>
      <c r="S1831" s="17" t="str">
        <f t="shared" si="114"/>
        <v/>
      </c>
      <c r="T1831" s="18" t="str">
        <f t="shared" ca="1" si="115"/>
        <v/>
      </c>
    </row>
    <row r="1832" spans="1:20" x14ac:dyDescent="0.35">
      <c r="A1832" s="11"/>
      <c r="B1832" s="11"/>
      <c r="C1832" s="11"/>
      <c r="D1832" s="12"/>
      <c r="E1832" s="11"/>
      <c r="F1832" s="13"/>
      <c r="G1832" s="13"/>
      <c r="H1832" s="11"/>
      <c r="I1832" s="12"/>
      <c r="J1832" s="12"/>
      <c r="K1832" s="13"/>
      <c r="L1832" s="13"/>
      <c r="M1832" s="13"/>
      <c r="N1832" s="13"/>
      <c r="O1832" s="13"/>
      <c r="P1832" s="14" t="str">
        <f t="shared" si="112"/>
        <v/>
      </c>
      <c r="Q1832" s="15" t="str">
        <f>IF(OR(J1832="",H1832=""),"",IFERROR(IF(ISNUMBER(N1832),N1832,IF(K1832&lt;N(INDEX(Platforms!$G$5:$G$14,MATCH(H1832,Lists!$A$2:$A$11,0))),N(INDEX(Platforms!$H$5:$H$14,MATCH(H1832,Lists!$A$2:$A$11,0))),MAX(N(INDEX(Platforms!$F$5:$F$14,MATCH(H1832,Lists!$A$2:$A$11,0))),N(INDEX(Platforms!$C$5:$C$14,MATCH(H1832,Lists!$A$2:$A$11,0)))*(K1832+IF(INDEX(Platforms!$E$5:$E$14,MATCH(H1832,Lists!$A$2:$A$11,0))="Yes",N(L1832),0))+N(INDEX(Platforms!$D$5:$D$14,MATCH(H1832,Lists!$A$2:$A$11,0)))))),""))</f>
        <v/>
      </c>
      <c r="R1832" s="16" t="str">
        <f t="shared" si="113"/>
        <v/>
      </c>
      <c r="S1832" s="17" t="str">
        <f t="shared" si="114"/>
        <v/>
      </c>
      <c r="T1832" s="18" t="str">
        <f t="shared" ca="1" si="115"/>
        <v/>
      </c>
    </row>
    <row r="1833" spans="1:20" x14ac:dyDescent="0.35">
      <c r="A1833" s="11"/>
      <c r="B1833" s="11"/>
      <c r="C1833" s="11"/>
      <c r="D1833" s="12"/>
      <c r="E1833" s="11"/>
      <c r="F1833" s="13"/>
      <c r="G1833" s="13"/>
      <c r="H1833" s="11"/>
      <c r="I1833" s="12"/>
      <c r="J1833" s="12"/>
      <c r="K1833" s="13"/>
      <c r="L1833" s="13"/>
      <c r="M1833" s="13"/>
      <c r="N1833" s="13"/>
      <c r="O1833" s="13"/>
      <c r="P1833" s="14" t="str">
        <f t="shared" si="112"/>
        <v/>
      </c>
      <c r="Q1833" s="15" t="str">
        <f>IF(OR(J1833="",H1833=""),"",IFERROR(IF(ISNUMBER(N1833),N1833,IF(K1833&lt;N(INDEX(Platforms!$G$5:$G$14,MATCH(H1833,Lists!$A$2:$A$11,0))),N(INDEX(Platforms!$H$5:$H$14,MATCH(H1833,Lists!$A$2:$A$11,0))),MAX(N(INDEX(Platforms!$F$5:$F$14,MATCH(H1833,Lists!$A$2:$A$11,0))),N(INDEX(Platforms!$C$5:$C$14,MATCH(H1833,Lists!$A$2:$A$11,0)))*(K1833+IF(INDEX(Platforms!$E$5:$E$14,MATCH(H1833,Lists!$A$2:$A$11,0))="Yes",N(L1833),0))+N(INDEX(Platforms!$D$5:$D$14,MATCH(H1833,Lists!$A$2:$A$11,0)))))),""))</f>
        <v/>
      </c>
      <c r="R1833" s="16" t="str">
        <f t="shared" si="113"/>
        <v/>
      </c>
      <c r="S1833" s="17" t="str">
        <f t="shared" si="114"/>
        <v/>
      </c>
      <c r="T1833" s="18" t="str">
        <f t="shared" ca="1" si="115"/>
        <v/>
      </c>
    </row>
    <row r="1834" spans="1:20" x14ac:dyDescent="0.35">
      <c r="A1834" s="11"/>
      <c r="B1834" s="11"/>
      <c r="C1834" s="11"/>
      <c r="D1834" s="12"/>
      <c r="E1834" s="11"/>
      <c r="F1834" s="13"/>
      <c r="G1834" s="13"/>
      <c r="H1834" s="11"/>
      <c r="I1834" s="12"/>
      <c r="J1834" s="12"/>
      <c r="K1834" s="13"/>
      <c r="L1834" s="13"/>
      <c r="M1834" s="13"/>
      <c r="N1834" s="13"/>
      <c r="O1834" s="13"/>
      <c r="P1834" s="14" t="str">
        <f t="shared" si="112"/>
        <v/>
      </c>
      <c r="Q1834" s="15" t="str">
        <f>IF(OR(J1834="",H1834=""),"",IFERROR(IF(ISNUMBER(N1834),N1834,IF(K1834&lt;N(INDEX(Platforms!$G$5:$G$14,MATCH(H1834,Lists!$A$2:$A$11,0))),N(INDEX(Platforms!$H$5:$H$14,MATCH(H1834,Lists!$A$2:$A$11,0))),MAX(N(INDEX(Platforms!$F$5:$F$14,MATCH(H1834,Lists!$A$2:$A$11,0))),N(INDEX(Platforms!$C$5:$C$14,MATCH(H1834,Lists!$A$2:$A$11,0)))*(K1834+IF(INDEX(Platforms!$E$5:$E$14,MATCH(H1834,Lists!$A$2:$A$11,0))="Yes",N(L1834),0))+N(INDEX(Platforms!$D$5:$D$14,MATCH(H1834,Lists!$A$2:$A$11,0)))))),""))</f>
        <v/>
      </c>
      <c r="R1834" s="16" t="str">
        <f t="shared" si="113"/>
        <v/>
      </c>
      <c r="S1834" s="17" t="str">
        <f t="shared" si="114"/>
        <v/>
      </c>
      <c r="T1834" s="18" t="str">
        <f t="shared" ca="1" si="115"/>
        <v/>
      </c>
    </row>
    <row r="1835" spans="1:20" x14ac:dyDescent="0.35">
      <c r="A1835" s="11"/>
      <c r="B1835" s="11"/>
      <c r="C1835" s="11"/>
      <c r="D1835" s="12"/>
      <c r="E1835" s="11"/>
      <c r="F1835" s="13"/>
      <c r="G1835" s="13"/>
      <c r="H1835" s="11"/>
      <c r="I1835" s="12"/>
      <c r="J1835" s="12"/>
      <c r="K1835" s="13"/>
      <c r="L1835" s="13"/>
      <c r="M1835" s="13"/>
      <c r="N1835" s="13"/>
      <c r="O1835" s="13"/>
      <c r="P1835" s="14" t="str">
        <f t="shared" si="112"/>
        <v/>
      </c>
      <c r="Q1835" s="15" t="str">
        <f>IF(OR(J1835="",H1835=""),"",IFERROR(IF(ISNUMBER(N1835),N1835,IF(K1835&lt;N(INDEX(Platforms!$G$5:$G$14,MATCH(H1835,Lists!$A$2:$A$11,0))),N(INDEX(Platforms!$H$5:$H$14,MATCH(H1835,Lists!$A$2:$A$11,0))),MAX(N(INDEX(Platforms!$F$5:$F$14,MATCH(H1835,Lists!$A$2:$A$11,0))),N(INDEX(Platforms!$C$5:$C$14,MATCH(H1835,Lists!$A$2:$A$11,0)))*(K1835+IF(INDEX(Platforms!$E$5:$E$14,MATCH(H1835,Lists!$A$2:$A$11,0))="Yes",N(L1835),0))+N(INDEX(Platforms!$D$5:$D$14,MATCH(H1835,Lists!$A$2:$A$11,0)))))),""))</f>
        <v/>
      </c>
      <c r="R1835" s="16" t="str">
        <f t="shared" si="113"/>
        <v/>
      </c>
      <c r="S1835" s="17" t="str">
        <f t="shared" si="114"/>
        <v/>
      </c>
      <c r="T1835" s="18" t="str">
        <f t="shared" ca="1" si="115"/>
        <v/>
      </c>
    </row>
    <row r="1836" spans="1:20" x14ac:dyDescent="0.35">
      <c r="A1836" s="11"/>
      <c r="B1836" s="11"/>
      <c r="C1836" s="11"/>
      <c r="D1836" s="12"/>
      <c r="E1836" s="11"/>
      <c r="F1836" s="13"/>
      <c r="G1836" s="13"/>
      <c r="H1836" s="11"/>
      <c r="I1836" s="12"/>
      <c r="J1836" s="12"/>
      <c r="K1836" s="13"/>
      <c r="L1836" s="13"/>
      <c r="M1836" s="13"/>
      <c r="N1836" s="13"/>
      <c r="O1836" s="13"/>
      <c r="P1836" s="14" t="str">
        <f t="shared" si="112"/>
        <v/>
      </c>
      <c r="Q1836" s="15" t="str">
        <f>IF(OR(J1836="",H1836=""),"",IFERROR(IF(ISNUMBER(N1836),N1836,IF(K1836&lt;N(INDEX(Platforms!$G$5:$G$14,MATCH(H1836,Lists!$A$2:$A$11,0))),N(INDEX(Platforms!$H$5:$H$14,MATCH(H1836,Lists!$A$2:$A$11,0))),MAX(N(INDEX(Platforms!$F$5:$F$14,MATCH(H1836,Lists!$A$2:$A$11,0))),N(INDEX(Platforms!$C$5:$C$14,MATCH(H1836,Lists!$A$2:$A$11,0)))*(K1836+IF(INDEX(Platforms!$E$5:$E$14,MATCH(H1836,Lists!$A$2:$A$11,0))="Yes",N(L1836),0))+N(INDEX(Platforms!$D$5:$D$14,MATCH(H1836,Lists!$A$2:$A$11,0)))))),""))</f>
        <v/>
      </c>
      <c r="R1836" s="16" t="str">
        <f t="shared" si="113"/>
        <v/>
      </c>
      <c r="S1836" s="17" t="str">
        <f t="shared" si="114"/>
        <v/>
      </c>
      <c r="T1836" s="18" t="str">
        <f t="shared" ca="1" si="115"/>
        <v/>
      </c>
    </row>
    <row r="1837" spans="1:20" x14ac:dyDescent="0.35">
      <c r="A1837" s="11"/>
      <c r="B1837" s="11"/>
      <c r="C1837" s="11"/>
      <c r="D1837" s="12"/>
      <c r="E1837" s="11"/>
      <c r="F1837" s="13"/>
      <c r="G1837" s="13"/>
      <c r="H1837" s="11"/>
      <c r="I1837" s="12"/>
      <c r="J1837" s="12"/>
      <c r="K1837" s="13"/>
      <c r="L1837" s="13"/>
      <c r="M1837" s="13"/>
      <c r="N1837" s="13"/>
      <c r="O1837" s="13"/>
      <c r="P1837" s="14" t="str">
        <f t="shared" si="112"/>
        <v/>
      </c>
      <c r="Q1837" s="15" t="str">
        <f>IF(OR(J1837="",H1837=""),"",IFERROR(IF(ISNUMBER(N1837),N1837,IF(K1837&lt;N(INDEX(Platforms!$G$5:$G$14,MATCH(H1837,Lists!$A$2:$A$11,0))),N(INDEX(Platforms!$H$5:$H$14,MATCH(H1837,Lists!$A$2:$A$11,0))),MAX(N(INDEX(Platforms!$F$5:$F$14,MATCH(H1837,Lists!$A$2:$A$11,0))),N(INDEX(Platforms!$C$5:$C$14,MATCH(H1837,Lists!$A$2:$A$11,0)))*(K1837+IF(INDEX(Platforms!$E$5:$E$14,MATCH(H1837,Lists!$A$2:$A$11,0))="Yes",N(L1837),0))+N(INDEX(Platforms!$D$5:$D$14,MATCH(H1837,Lists!$A$2:$A$11,0)))))),""))</f>
        <v/>
      </c>
      <c r="R1837" s="16" t="str">
        <f t="shared" si="113"/>
        <v/>
      </c>
      <c r="S1837" s="17" t="str">
        <f t="shared" si="114"/>
        <v/>
      </c>
      <c r="T1837" s="18" t="str">
        <f t="shared" ca="1" si="115"/>
        <v/>
      </c>
    </row>
    <row r="1838" spans="1:20" x14ac:dyDescent="0.35">
      <c r="A1838" s="11"/>
      <c r="B1838" s="11"/>
      <c r="C1838" s="11"/>
      <c r="D1838" s="12"/>
      <c r="E1838" s="11"/>
      <c r="F1838" s="13"/>
      <c r="G1838" s="13"/>
      <c r="H1838" s="11"/>
      <c r="I1838" s="12"/>
      <c r="J1838" s="12"/>
      <c r="K1838" s="13"/>
      <c r="L1838" s="13"/>
      <c r="M1838" s="13"/>
      <c r="N1838" s="13"/>
      <c r="O1838" s="13"/>
      <c r="P1838" s="14" t="str">
        <f t="shared" si="112"/>
        <v/>
      </c>
      <c r="Q1838" s="15" t="str">
        <f>IF(OR(J1838="",H1838=""),"",IFERROR(IF(ISNUMBER(N1838),N1838,IF(K1838&lt;N(INDEX(Platforms!$G$5:$G$14,MATCH(H1838,Lists!$A$2:$A$11,0))),N(INDEX(Platforms!$H$5:$H$14,MATCH(H1838,Lists!$A$2:$A$11,0))),MAX(N(INDEX(Platforms!$F$5:$F$14,MATCH(H1838,Lists!$A$2:$A$11,0))),N(INDEX(Platforms!$C$5:$C$14,MATCH(H1838,Lists!$A$2:$A$11,0)))*(K1838+IF(INDEX(Platforms!$E$5:$E$14,MATCH(H1838,Lists!$A$2:$A$11,0))="Yes",N(L1838),0))+N(INDEX(Platforms!$D$5:$D$14,MATCH(H1838,Lists!$A$2:$A$11,0)))))),""))</f>
        <v/>
      </c>
      <c r="R1838" s="16" t="str">
        <f t="shared" si="113"/>
        <v/>
      </c>
      <c r="S1838" s="17" t="str">
        <f t="shared" si="114"/>
        <v/>
      </c>
      <c r="T1838" s="18" t="str">
        <f t="shared" ca="1" si="115"/>
        <v/>
      </c>
    </row>
    <row r="1839" spans="1:20" x14ac:dyDescent="0.35">
      <c r="A1839" s="11"/>
      <c r="B1839" s="11"/>
      <c r="C1839" s="11"/>
      <c r="D1839" s="12"/>
      <c r="E1839" s="11"/>
      <c r="F1839" s="13"/>
      <c r="G1839" s="13"/>
      <c r="H1839" s="11"/>
      <c r="I1839" s="12"/>
      <c r="J1839" s="12"/>
      <c r="K1839" s="13"/>
      <c r="L1839" s="13"/>
      <c r="M1839" s="13"/>
      <c r="N1839" s="13"/>
      <c r="O1839" s="13"/>
      <c r="P1839" s="14" t="str">
        <f t="shared" si="112"/>
        <v/>
      </c>
      <c r="Q1839" s="15" t="str">
        <f>IF(OR(J1839="",H1839=""),"",IFERROR(IF(ISNUMBER(N1839),N1839,IF(K1839&lt;N(INDEX(Platforms!$G$5:$G$14,MATCH(H1839,Lists!$A$2:$A$11,0))),N(INDEX(Platforms!$H$5:$H$14,MATCH(H1839,Lists!$A$2:$A$11,0))),MAX(N(INDEX(Platforms!$F$5:$F$14,MATCH(H1839,Lists!$A$2:$A$11,0))),N(INDEX(Platforms!$C$5:$C$14,MATCH(H1839,Lists!$A$2:$A$11,0)))*(K1839+IF(INDEX(Platforms!$E$5:$E$14,MATCH(H1839,Lists!$A$2:$A$11,0))="Yes",N(L1839),0))+N(INDEX(Platforms!$D$5:$D$14,MATCH(H1839,Lists!$A$2:$A$11,0)))))),""))</f>
        <v/>
      </c>
      <c r="R1839" s="16" t="str">
        <f t="shared" si="113"/>
        <v/>
      </c>
      <c r="S1839" s="17" t="str">
        <f t="shared" si="114"/>
        <v/>
      </c>
      <c r="T1839" s="18" t="str">
        <f t="shared" ca="1" si="115"/>
        <v/>
      </c>
    </row>
    <row r="1840" spans="1:20" x14ac:dyDescent="0.35">
      <c r="A1840" s="11"/>
      <c r="B1840" s="11"/>
      <c r="C1840" s="11"/>
      <c r="D1840" s="12"/>
      <c r="E1840" s="11"/>
      <c r="F1840" s="13"/>
      <c r="G1840" s="13"/>
      <c r="H1840" s="11"/>
      <c r="I1840" s="12"/>
      <c r="J1840" s="12"/>
      <c r="K1840" s="13"/>
      <c r="L1840" s="13"/>
      <c r="M1840" s="13"/>
      <c r="N1840" s="13"/>
      <c r="O1840" s="13"/>
      <c r="P1840" s="14" t="str">
        <f t="shared" si="112"/>
        <v/>
      </c>
      <c r="Q1840" s="15" t="str">
        <f>IF(OR(J1840="",H1840=""),"",IFERROR(IF(ISNUMBER(N1840),N1840,IF(K1840&lt;N(INDEX(Platforms!$G$5:$G$14,MATCH(H1840,Lists!$A$2:$A$11,0))),N(INDEX(Platforms!$H$5:$H$14,MATCH(H1840,Lists!$A$2:$A$11,0))),MAX(N(INDEX(Platforms!$F$5:$F$14,MATCH(H1840,Lists!$A$2:$A$11,0))),N(INDEX(Platforms!$C$5:$C$14,MATCH(H1840,Lists!$A$2:$A$11,0)))*(K1840+IF(INDEX(Platforms!$E$5:$E$14,MATCH(H1840,Lists!$A$2:$A$11,0))="Yes",N(L1840),0))+N(INDEX(Platforms!$D$5:$D$14,MATCH(H1840,Lists!$A$2:$A$11,0)))))),""))</f>
        <v/>
      </c>
      <c r="R1840" s="16" t="str">
        <f t="shared" si="113"/>
        <v/>
      </c>
      <c r="S1840" s="17" t="str">
        <f t="shared" si="114"/>
        <v/>
      </c>
      <c r="T1840" s="18" t="str">
        <f t="shared" ca="1" si="115"/>
        <v/>
      </c>
    </row>
    <row r="1841" spans="1:20" x14ac:dyDescent="0.35">
      <c r="A1841" s="11"/>
      <c r="B1841" s="11"/>
      <c r="C1841" s="11"/>
      <c r="D1841" s="12"/>
      <c r="E1841" s="11"/>
      <c r="F1841" s="13"/>
      <c r="G1841" s="13"/>
      <c r="H1841" s="11"/>
      <c r="I1841" s="12"/>
      <c r="J1841" s="12"/>
      <c r="K1841" s="13"/>
      <c r="L1841" s="13"/>
      <c r="M1841" s="13"/>
      <c r="N1841" s="13"/>
      <c r="O1841" s="13"/>
      <c r="P1841" s="14" t="str">
        <f t="shared" si="112"/>
        <v/>
      </c>
      <c r="Q1841" s="15" t="str">
        <f>IF(OR(J1841="",H1841=""),"",IFERROR(IF(ISNUMBER(N1841),N1841,IF(K1841&lt;N(INDEX(Platforms!$G$5:$G$14,MATCH(H1841,Lists!$A$2:$A$11,0))),N(INDEX(Platforms!$H$5:$H$14,MATCH(H1841,Lists!$A$2:$A$11,0))),MAX(N(INDEX(Platforms!$F$5:$F$14,MATCH(H1841,Lists!$A$2:$A$11,0))),N(INDEX(Platforms!$C$5:$C$14,MATCH(H1841,Lists!$A$2:$A$11,0)))*(K1841+IF(INDEX(Platforms!$E$5:$E$14,MATCH(H1841,Lists!$A$2:$A$11,0))="Yes",N(L1841),0))+N(INDEX(Platforms!$D$5:$D$14,MATCH(H1841,Lists!$A$2:$A$11,0)))))),""))</f>
        <v/>
      </c>
      <c r="R1841" s="16" t="str">
        <f t="shared" si="113"/>
        <v/>
      </c>
      <c r="S1841" s="17" t="str">
        <f t="shared" si="114"/>
        <v/>
      </c>
      <c r="T1841" s="18" t="str">
        <f t="shared" ca="1" si="115"/>
        <v/>
      </c>
    </row>
    <row r="1842" spans="1:20" x14ac:dyDescent="0.35">
      <c r="A1842" s="11"/>
      <c r="B1842" s="11"/>
      <c r="C1842" s="11"/>
      <c r="D1842" s="12"/>
      <c r="E1842" s="11"/>
      <c r="F1842" s="13"/>
      <c r="G1842" s="13"/>
      <c r="H1842" s="11"/>
      <c r="I1842" s="12"/>
      <c r="J1842" s="12"/>
      <c r="K1842" s="13"/>
      <c r="L1842" s="13"/>
      <c r="M1842" s="13"/>
      <c r="N1842" s="13"/>
      <c r="O1842" s="13"/>
      <c r="P1842" s="14" t="str">
        <f t="shared" si="112"/>
        <v/>
      </c>
      <c r="Q1842" s="15" t="str">
        <f>IF(OR(J1842="",H1842=""),"",IFERROR(IF(ISNUMBER(N1842),N1842,IF(K1842&lt;N(INDEX(Platforms!$G$5:$G$14,MATCH(H1842,Lists!$A$2:$A$11,0))),N(INDEX(Platforms!$H$5:$H$14,MATCH(H1842,Lists!$A$2:$A$11,0))),MAX(N(INDEX(Platforms!$F$5:$F$14,MATCH(H1842,Lists!$A$2:$A$11,0))),N(INDEX(Platforms!$C$5:$C$14,MATCH(H1842,Lists!$A$2:$A$11,0)))*(K1842+IF(INDEX(Platforms!$E$5:$E$14,MATCH(H1842,Lists!$A$2:$A$11,0))="Yes",N(L1842),0))+N(INDEX(Platforms!$D$5:$D$14,MATCH(H1842,Lists!$A$2:$A$11,0)))))),""))</f>
        <v/>
      </c>
      <c r="R1842" s="16" t="str">
        <f t="shared" si="113"/>
        <v/>
      </c>
      <c r="S1842" s="17" t="str">
        <f t="shared" si="114"/>
        <v/>
      </c>
      <c r="T1842" s="18" t="str">
        <f t="shared" ca="1" si="115"/>
        <v/>
      </c>
    </row>
    <row r="1843" spans="1:20" x14ac:dyDescent="0.35">
      <c r="A1843" s="11"/>
      <c r="B1843" s="11"/>
      <c r="C1843" s="11"/>
      <c r="D1843" s="12"/>
      <c r="E1843" s="11"/>
      <c r="F1843" s="13"/>
      <c r="G1843" s="13"/>
      <c r="H1843" s="11"/>
      <c r="I1843" s="12"/>
      <c r="J1843" s="12"/>
      <c r="K1843" s="13"/>
      <c r="L1843" s="13"/>
      <c r="M1843" s="13"/>
      <c r="N1843" s="13"/>
      <c r="O1843" s="13"/>
      <c r="P1843" s="14" t="str">
        <f t="shared" si="112"/>
        <v/>
      </c>
      <c r="Q1843" s="15" t="str">
        <f>IF(OR(J1843="",H1843=""),"",IFERROR(IF(ISNUMBER(N1843),N1843,IF(K1843&lt;N(INDEX(Platforms!$G$5:$G$14,MATCH(H1843,Lists!$A$2:$A$11,0))),N(INDEX(Platforms!$H$5:$H$14,MATCH(H1843,Lists!$A$2:$A$11,0))),MAX(N(INDEX(Platforms!$F$5:$F$14,MATCH(H1843,Lists!$A$2:$A$11,0))),N(INDEX(Platforms!$C$5:$C$14,MATCH(H1843,Lists!$A$2:$A$11,0)))*(K1843+IF(INDEX(Platforms!$E$5:$E$14,MATCH(H1843,Lists!$A$2:$A$11,0))="Yes",N(L1843),0))+N(INDEX(Platforms!$D$5:$D$14,MATCH(H1843,Lists!$A$2:$A$11,0)))))),""))</f>
        <v/>
      </c>
      <c r="R1843" s="16" t="str">
        <f t="shared" si="113"/>
        <v/>
      </c>
      <c r="S1843" s="17" t="str">
        <f t="shared" si="114"/>
        <v/>
      </c>
      <c r="T1843" s="18" t="str">
        <f t="shared" ca="1" si="115"/>
        <v/>
      </c>
    </row>
    <row r="1844" spans="1:20" x14ac:dyDescent="0.35">
      <c r="A1844" s="11"/>
      <c r="B1844" s="11"/>
      <c r="C1844" s="11"/>
      <c r="D1844" s="12"/>
      <c r="E1844" s="11"/>
      <c r="F1844" s="13"/>
      <c r="G1844" s="13"/>
      <c r="H1844" s="11"/>
      <c r="I1844" s="12"/>
      <c r="J1844" s="12"/>
      <c r="K1844" s="13"/>
      <c r="L1844" s="13"/>
      <c r="M1844" s="13"/>
      <c r="N1844" s="13"/>
      <c r="O1844" s="13"/>
      <c r="P1844" s="14" t="str">
        <f t="shared" si="112"/>
        <v/>
      </c>
      <c r="Q1844" s="15" t="str">
        <f>IF(OR(J1844="",H1844=""),"",IFERROR(IF(ISNUMBER(N1844),N1844,IF(K1844&lt;N(INDEX(Platforms!$G$5:$G$14,MATCH(H1844,Lists!$A$2:$A$11,0))),N(INDEX(Platforms!$H$5:$H$14,MATCH(H1844,Lists!$A$2:$A$11,0))),MAX(N(INDEX(Platforms!$F$5:$F$14,MATCH(H1844,Lists!$A$2:$A$11,0))),N(INDEX(Platforms!$C$5:$C$14,MATCH(H1844,Lists!$A$2:$A$11,0)))*(K1844+IF(INDEX(Platforms!$E$5:$E$14,MATCH(H1844,Lists!$A$2:$A$11,0))="Yes",N(L1844),0))+N(INDEX(Platforms!$D$5:$D$14,MATCH(H1844,Lists!$A$2:$A$11,0)))))),""))</f>
        <v/>
      </c>
      <c r="R1844" s="16" t="str">
        <f t="shared" si="113"/>
        <v/>
      </c>
      <c r="S1844" s="17" t="str">
        <f t="shared" si="114"/>
        <v/>
      </c>
      <c r="T1844" s="18" t="str">
        <f t="shared" ca="1" si="115"/>
        <v/>
      </c>
    </row>
    <row r="1845" spans="1:20" x14ac:dyDescent="0.35">
      <c r="A1845" s="11"/>
      <c r="B1845" s="11"/>
      <c r="C1845" s="11"/>
      <c r="D1845" s="12"/>
      <c r="E1845" s="11"/>
      <c r="F1845" s="13"/>
      <c r="G1845" s="13"/>
      <c r="H1845" s="11"/>
      <c r="I1845" s="12"/>
      <c r="J1845" s="12"/>
      <c r="K1845" s="13"/>
      <c r="L1845" s="13"/>
      <c r="M1845" s="13"/>
      <c r="N1845" s="13"/>
      <c r="O1845" s="13"/>
      <c r="P1845" s="14" t="str">
        <f t="shared" si="112"/>
        <v/>
      </c>
      <c r="Q1845" s="15" t="str">
        <f>IF(OR(J1845="",H1845=""),"",IFERROR(IF(ISNUMBER(N1845),N1845,IF(K1845&lt;N(INDEX(Platforms!$G$5:$G$14,MATCH(H1845,Lists!$A$2:$A$11,0))),N(INDEX(Platforms!$H$5:$H$14,MATCH(H1845,Lists!$A$2:$A$11,0))),MAX(N(INDEX(Platforms!$F$5:$F$14,MATCH(H1845,Lists!$A$2:$A$11,0))),N(INDEX(Platforms!$C$5:$C$14,MATCH(H1845,Lists!$A$2:$A$11,0)))*(K1845+IF(INDEX(Platforms!$E$5:$E$14,MATCH(H1845,Lists!$A$2:$A$11,0))="Yes",N(L1845),0))+N(INDEX(Platforms!$D$5:$D$14,MATCH(H1845,Lists!$A$2:$A$11,0)))))),""))</f>
        <v/>
      </c>
      <c r="R1845" s="16" t="str">
        <f t="shared" si="113"/>
        <v/>
      </c>
      <c r="S1845" s="17" t="str">
        <f t="shared" si="114"/>
        <v/>
      </c>
      <c r="T1845" s="18" t="str">
        <f t="shared" ca="1" si="115"/>
        <v/>
      </c>
    </row>
    <row r="1846" spans="1:20" x14ac:dyDescent="0.35">
      <c r="A1846" s="11"/>
      <c r="B1846" s="11"/>
      <c r="C1846" s="11"/>
      <c r="D1846" s="12"/>
      <c r="E1846" s="11"/>
      <c r="F1846" s="13"/>
      <c r="G1846" s="13"/>
      <c r="H1846" s="11"/>
      <c r="I1846" s="12"/>
      <c r="J1846" s="12"/>
      <c r="K1846" s="13"/>
      <c r="L1846" s="13"/>
      <c r="M1846" s="13"/>
      <c r="N1846" s="13"/>
      <c r="O1846" s="13"/>
      <c r="P1846" s="14" t="str">
        <f t="shared" si="112"/>
        <v/>
      </c>
      <c r="Q1846" s="15" t="str">
        <f>IF(OR(J1846="",H1846=""),"",IFERROR(IF(ISNUMBER(N1846),N1846,IF(K1846&lt;N(INDEX(Platforms!$G$5:$G$14,MATCH(H1846,Lists!$A$2:$A$11,0))),N(INDEX(Platforms!$H$5:$H$14,MATCH(H1846,Lists!$A$2:$A$11,0))),MAX(N(INDEX(Platforms!$F$5:$F$14,MATCH(H1846,Lists!$A$2:$A$11,0))),N(INDEX(Platforms!$C$5:$C$14,MATCH(H1846,Lists!$A$2:$A$11,0)))*(K1846+IF(INDEX(Platforms!$E$5:$E$14,MATCH(H1846,Lists!$A$2:$A$11,0))="Yes",N(L1846),0))+N(INDEX(Platforms!$D$5:$D$14,MATCH(H1846,Lists!$A$2:$A$11,0)))))),""))</f>
        <v/>
      </c>
      <c r="R1846" s="16" t="str">
        <f t="shared" si="113"/>
        <v/>
      </c>
      <c r="S1846" s="17" t="str">
        <f t="shared" si="114"/>
        <v/>
      </c>
      <c r="T1846" s="18" t="str">
        <f t="shared" ca="1" si="115"/>
        <v/>
      </c>
    </row>
    <row r="1847" spans="1:20" x14ac:dyDescent="0.35">
      <c r="A1847" s="11"/>
      <c r="B1847" s="11"/>
      <c r="C1847" s="11"/>
      <c r="D1847" s="12"/>
      <c r="E1847" s="11"/>
      <c r="F1847" s="13"/>
      <c r="G1847" s="13"/>
      <c r="H1847" s="11"/>
      <c r="I1847" s="12"/>
      <c r="J1847" s="12"/>
      <c r="K1847" s="13"/>
      <c r="L1847" s="13"/>
      <c r="M1847" s="13"/>
      <c r="N1847" s="13"/>
      <c r="O1847" s="13"/>
      <c r="P1847" s="14" t="str">
        <f t="shared" si="112"/>
        <v/>
      </c>
      <c r="Q1847" s="15" t="str">
        <f>IF(OR(J1847="",H1847=""),"",IFERROR(IF(ISNUMBER(N1847),N1847,IF(K1847&lt;N(INDEX(Platforms!$G$5:$G$14,MATCH(H1847,Lists!$A$2:$A$11,0))),N(INDEX(Platforms!$H$5:$H$14,MATCH(H1847,Lists!$A$2:$A$11,0))),MAX(N(INDEX(Platforms!$F$5:$F$14,MATCH(H1847,Lists!$A$2:$A$11,0))),N(INDEX(Platforms!$C$5:$C$14,MATCH(H1847,Lists!$A$2:$A$11,0)))*(K1847+IF(INDEX(Platforms!$E$5:$E$14,MATCH(H1847,Lists!$A$2:$A$11,0))="Yes",N(L1847),0))+N(INDEX(Platforms!$D$5:$D$14,MATCH(H1847,Lists!$A$2:$A$11,0)))))),""))</f>
        <v/>
      </c>
      <c r="R1847" s="16" t="str">
        <f t="shared" si="113"/>
        <v/>
      </c>
      <c r="S1847" s="17" t="str">
        <f t="shared" si="114"/>
        <v/>
      </c>
      <c r="T1847" s="18" t="str">
        <f t="shared" ca="1" si="115"/>
        <v/>
      </c>
    </row>
    <row r="1848" spans="1:20" x14ac:dyDescent="0.35">
      <c r="A1848" s="11"/>
      <c r="B1848" s="11"/>
      <c r="C1848" s="11"/>
      <c r="D1848" s="12"/>
      <c r="E1848" s="11"/>
      <c r="F1848" s="13"/>
      <c r="G1848" s="13"/>
      <c r="H1848" s="11"/>
      <c r="I1848" s="12"/>
      <c r="J1848" s="12"/>
      <c r="K1848" s="13"/>
      <c r="L1848" s="13"/>
      <c r="M1848" s="13"/>
      <c r="N1848" s="13"/>
      <c r="O1848" s="13"/>
      <c r="P1848" s="14" t="str">
        <f t="shared" si="112"/>
        <v/>
      </c>
      <c r="Q1848" s="15" t="str">
        <f>IF(OR(J1848="",H1848=""),"",IFERROR(IF(ISNUMBER(N1848),N1848,IF(K1848&lt;N(INDEX(Platforms!$G$5:$G$14,MATCH(H1848,Lists!$A$2:$A$11,0))),N(INDEX(Platforms!$H$5:$H$14,MATCH(H1848,Lists!$A$2:$A$11,0))),MAX(N(INDEX(Platforms!$F$5:$F$14,MATCH(H1848,Lists!$A$2:$A$11,0))),N(INDEX(Platforms!$C$5:$C$14,MATCH(H1848,Lists!$A$2:$A$11,0)))*(K1848+IF(INDEX(Platforms!$E$5:$E$14,MATCH(H1848,Lists!$A$2:$A$11,0))="Yes",N(L1848),0))+N(INDEX(Platforms!$D$5:$D$14,MATCH(H1848,Lists!$A$2:$A$11,0)))))),""))</f>
        <v/>
      </c>
      <c r="R1848" s="16" t="str">
        <f t="shared" si="113"/>
        <v/>
      </c>
      <c r="S1848" s="17" t="str">
        <f t="shared" si="114"/>
        <v/>
      </c>
      <c r="T1848" s="18" t="str">
        <f t="shared" ca="1" si="115"/>
        <v/>
      </c>
    </row>
    <row r="1849" spans="1:20" x14ac:dyDescent="0.35">
      <c r="A1849" s="11"/>
      <c r="B1849" s="11"/>
      <c r="C1849" s="11"/>
      <c r="D1849" s="12"/>
      <c r="E1849" s="11"/>
      <c r="F1849" s="13"/>
      <c r="G1849" s="13"/>
      <c r="H1849" s="11"/>
      <c r="I1849" s="12"/>
      <c r="J1849" s="12"/>
      <c r="K1849" s="13"/>
      <c r="L1849" s="13"/>
      <c r="M1849" s="13"/>
      <c r="N1849" s="13"/>
      <c r="O1849" s="13"/>
      <c r="P1849" s="14" t="str">
        <f t="shared" si="112"/>
        <v/>
      </c>
      <c r="Q1849" s="15" t="str">
        <f>IF(OR(J1849="",H1849=""),"",IFERROR(IF(ISNUMBER(N1849),N1849,IF(K1849&lt;N(INDEX(Platforms!$G$5:$G$14,MATCH(H1849,Lists!$A$2:$A$11,0))),N(INDEX(Platforms!$H$5:$H$14,MATCH(H1849,Lists!$A$2:$A$11,0))),MAX(N(INDEX(Platforms!$F$5:$F$14,MATCH(H1849,Lists!$A$2:$A$11,0))),N(INDEX(Platforms!$C$5:$C$14,MATCH(H1849,Lists!$A$2:$A$11,0)))*(K1849+IF(INDEX(Platforms!$E$5:$E$14,MATCH(H1849,Lists!$A$2:$A$11,0))="Yes",N(L1849),0))+N(INDEX(Platforms!$D$5:$D$14,MATCH(H1849,Lists!$A$2:$A$11,0)))))),""))</f>
        <v/>
      </c>
      <c r="R1849" s="16" t="str">
        <f t="shared" si="113"/>
        <v/>
      </c>
      <c r="S1849" s="17" t="str">
        <f t="shared" si="114"/>
        <v/>
      </c>
      <c r="T1849" s="18" t="str">
        <f t="shared" ca="1" si="115"/>
        <v/>
      </c>
    </row>
    <row r="1850" spans="1:20" x14ac:dyDescent="0.35">
      <c r="A1850" s="11"/>
      <c r="B1850" s="11"/>
      <c r="C1850" s="11"/>
      <c r="D1850" s="12"/>
      <c r="E1850" s="11"/>
      <c r="F1850" s="13"/>
      <c r="G1850" s="13"/>
      <c r="H1850" s="11"/>
      <c r="I1850" s="12"/>
      <c r="J1850" s="12"/>
      <c r="K1850" s="13"/>
      <c r="L1850" s="13"/>
      <c r="M1850" s="13"/>
      <c r="N1850" s="13"/>
      <c r="O1850" s="13"/>
      <c r="P1850" s="14" t="str">
        <f t="shared" si="112"/>
        <v/>
      </c>
      <c r="Q1850" s="15" t="str">
        <f>IF(OR(J1850="",H1850=""),"",IFERROR(IF(ISNUMBER(N1850),N1850,IF(K1850&lt;N(INDEX(Platforms!$G$5:$G$14,MATCH(H1850,Lists!$A$2:$A$11,0))),N(INDEX(Platforms!$H$5:$H$14,MATCH(H1850,Lists!$A$2:$A$11,0))),MAX(N(INDEX(Platforms!$F$5:$F$14,MATCH(H1850,Lists!$A$2:$A$11,0))),N(INDEX(Platforms!$C$5:$C$14,MATCH(H1850,Lists!$A$2:$A$11,0)))*(K1850+IF(INDEX(Platforms!$E$5:$E$14,MATCH(H1850,Lists!$A$2:$A$11,0))="Yes",N(L1850),0))+N(INDEX(Platforms!$D$5:$D$14,MATCH(H1850,Lists!$A$2:$A$11,0)))))),""))</f>
        <v/>
      </c>
      <c r="R1850" s="16" t="str">
        <f t="shared" si="113"/>
        <v/>
      </c>
      <c r="S1850" s="17" t="str">
        <f t="shared" si="114"/>
        <v/>
      </c>
      <c r="T1850" s="18" t="str">
        <f t="shared" ca="1" si="115"/>
        <v/>
      </c>
    </row>
    <row r="1851" spans="1:20" x14ac:dyDescent="0.35">
      <c r="A1851" s="11"/>
      <c r="B1851" s="11"/>
      <c r="C1851" s="11"/>
      <c r="D1851" s="12"/>
      <c r="E1851" s="11"/>
      <c r="F1851" s="13"/>
      <c r="G1851" s="13"/>
      <c r="H1851" s="11"/>
      <c r="I1851" s="12"/>
      <c r="J1851" s="12"/>
      <c r="K1851" s="13"/>
      <c r="L1851" s="13"/>
      <c r="M1851" s="13"/>
      <c r="N1851" s="13"/>
      <c r="O1851" s="13"/>
      <c r="P1851" s="14" t="str">
        <f t="shared" si="112"/>
        <v/>
      </c>
      <c r="Q1851" s="15" t="str">
        <f>IF(OR(J1851="",H1851=""),"",IFERROR(IF(ISNUMBER(N1851),N1851,IF(K1851&lt;N(INDEX(Platforms!$G$5:$G$14,MATCH(H1851,Lists!$A$2:$A$11,0))),N(INDEX(Platforms!$H$5:$H$14,MATCH(H1851,Lists!$A$2:$A$11,0))),MAX(N(INDEX(Platforms!$F$5:$F$14,MATCH(H1851,Lists!$A$2:$A$11,0))),N(INDEX(Platforms!$C$5:$C$14,MATCH(H1851,Lists!$A$2:$A$11,0)))*(K1851+IF(INDEX(Platforms!$E$5:$E$14,MATCH(H1851,Lists!$A$2:$A$11,0))="Yes",N(L1851),0))+N(INDEX(Platforms!$D$5:$D$14,MATCH(H1851,Lists!$A$2:$A$11,0)))))),""))</f>
        <v/>
      </c>
      <c r="R1851" s="16" t="str">
        <f t="shared" si="113"/>
        <v/>
      </c>
      <c r="S1851" s="17" t="str">
        <f t="shared" si="114"/>
        <v/>
      </c>
      <c r="T1851" s="18" t="str">
        <f t="shared" ca="1" si="115"/>
        <v/>
      </c>
    </row>
    <row r="1852" spans="1:20" x14ac:dyDescent="0.35">
      <c r="A1852" s="11"/>
      <c r="B1852" s="11"/>
      <c r="C1852" s="11"/>
      <c r="D1852" s="12"/>
      <c r="E1852" s="11"/>
      <c r="F1852" s="13"/>
      <c r="G1852" s="13"/>
      <c r="H1852" s="11"/>
      <c r="I1852" s="12"/>
      <c r="J1852" s="12"/>
      <c r="K1852" s="13"/>
      <c r="L1852" s="13"/>
      <c r="M1852" s="13"/>
      <c r="N1852" s="13"/>
      <c r="O1852" s="13"/>
      <c r="P1852" s="14" t="str">
        <f t="shared" si="112"/>
        <v/>
      </c>
      <c r="Q1852" s="15" t="str">
        <f>IF(OR(J1852="",H1852=""),"",IFERROR(IF(ISNUMBER(N1852),N1852,IF(K1852&lt;N(INDEX(Platforms!$G$5:$G$14,MATCH(H1852,Lists!$A$2:$A$11,0))),N(INDEX(Platforms!$H$5:$H$14,MATCH(H1852,Lists!$A$2:$A$11,0))),MAX(N(INDEX(Platforms!$F$5:$F$14,MATCH(H1852,Lists!$A$2:$A$11,0))),N(INDEX(Platforms!$C$5:$C$14,MATCH(H1852,Lists!$A$2:$A$11,0)))*(K1852+IF(INDEX(Platforms!$E$5:$E$14,MATCH(H1852,Lists!$A$2:$A$11,0))="Yes",N(L1852),0))+N(INDEX(Platforms!$D$5:$D$14,MATCH(H1852,Lists!$A$2:$A$11,0)))))),""))</f>
        <v/>
      </c>
      <c r="R1852" s="16" t="str">
        <f t="shared" si="113"/>
        <v/>
      </c>
      <c r="S1852" s="17" t="str">
        <f t="shared" si="114"/>
        <v/>
      </c>
      <c r="T1852" s="18" t="str">
        <f t="shared" ca="1" si="115"/>
        <v/>
      </c>
    </row>
    <row r="1853" spans="1:20" x14ac:dyDescent="0.35">
      <c r="A1853" s="11"/>
      <c r="B1853" s="11"/>
      <c r="C1853" s="11"/>
      <c r="D1853" s="12"/>
      <c r="E1853" s="11"/>
      <c r="F1853" s="13"/>
      <c r="G1853" s="13"/>
      <c r="H1853" s="11"/>
      <c r="I1853" s="12"/>
      <c r="J1853" s="12"/>
      <c r="K1853" s="13"/>
      <c r="L1853" s="13"/>
      <c r="M1853" s="13"/>
      <c r="N1853" s="13"/>
      <c r="O1853" s="13"/>
      <c r="P1853" s="14" t="str">
        <f t="shared" si="112"/>
        <v/>
      </c>
      <c r="Q1853" s="15" t="str">
        <f>IF(OR(J1853="",H1853=""),"",IFERROR(IF(ISNUMBER(N1853),N1853,IF(K1853&lt;N(INDEX(Platforms!$G$5:$G$14,MATCH(H1853,Lists!$A$2:$A$11,0))),N(INDEX(Platforms!$H$5:$H$14,MATCH(H1853,Lists!$A$2:$A$11,0))),MAX(N(INDEX(Platforms!$F$5:$F$14,MATCH(H1853,Lists!$A$2:$A$11,0))),N(INDEX(Platforms!$C$5:$C$14,MATCH(H1853,Lists!$A$2:$A$11,0)))*(K1853+IF(INDEX(Platforms!$E$5:$E$14,MATCH(H1853,Lists!$A$2:$A$11,0))="Yes",N(L1853),0))+N(INDEX(Platforms!$D$5:$D$14,MATCH(H1853,Lists!$A$2:$A$11,0)))))),""))</f>
        <v/>
      </c>
      <c r="R1853" s="16" t="str">
        <f t="shared" si="113"/>
        <v/>
      </c>
      <c r="S1853" s="17" t="str">
        <f t="shared" si="114"/>
        <v/>
      </c>
      <c r="T1853" s="18" t="str">
        <f t="shared" ca="1" si="115"/>
        <v/>
      </c>
    </row>
    <row r="1854" spans="1:20" x14ac:dyDescent="0.35">
      <c r="A1854" s="11"/>
      <c r="B1854" s="11"/>
      <c r="C1854" s="11"/>
      <c r="D1854" s="12"/>
      <c r="E1854" s="11"/>
      <c r="F1854" s="13"/>
      <c r="G1854" s="13"/>
      <c r="H1854" s="11"/>
      <c r="I1854" s="12"/>
      <c r="J1854" s="12"/>
      <c r="K1854" s="13"/>
      <c r="L1854" s="13"/>
      <c r="M1854" s="13"/>
      <c r="N1854" s="13"/>
      <c r="O1854" s="13"/>
      <c r="P1854" s="14" t="str">
        <f t="shared" si="112"/>
        <v/>
      </c>
      <c r="Q1854" s="15" t="str">
        <f>IF(OR(J1854="",H1854=""),"",IFERROR(IF(ISNUMBER(N1854),N1854,IF(K1854&lt;N(INDEX(Platforms!$G$5:$G$14,MATCH(H1854,Lists!$A$2:$A$11,0))),N(INDEX(Platforms!$H$5:$H$14,MATCH(H1854,Lists!$A$2:$A$11,0))),MAX(N(INDEX(Platforms!$F$5:$F$14,MATCH(H1854,Lists!$A$2:$A$11,0))),N(INDEX(Platforms!$C$5:$C$14,MATCH(H1854,Lists!$A$2:$A$11,0)))*(K1854+IF(INDEX(Platforms!$E$5:$E$14,MATCH(H1854,Lists!$A$2:$A$11,0))="Yes",N(L1854),0))+N(INDEX(Platforms!$D$5:$D$14,MATCH(H1854,Lists!$A$2:$A$11,0)))))),""))</f>
        <v/>
      </c>
      <c r="R1854" s="16" t="str">
        <f t="shared" si="113"/>
        <v/>
      </c>
      <c r="S1854" s="17" t="str">
        <f t="shared" si="114"/>
        <v/>
      </c>
      <c r="T1854" s="18" t="str">
        <f t="shared" ca="1" si="115"/>
        <v/>
      </c>
    </row>
    <row r="1855" spans="1:20" x14ac:dyDescent="0.35">
      <c r="A1855" s="11"/>
      <c r="B1855" s="11"/>
      <c r="C1855" s="11"/>
      <c r="D1855" s="12"/>
      <c r="E1855" s="11"/>
      <c r="F1855" s="13"/>
      <c r="G1855" s="13"/>
      <c r="H1855" s="11"/>
      <c r="I1855" s="12"/>
      <c r="J1855" s="12"/>
      <c r="K1855" s="13"/>
      <c r="L1855" s="13"/>
      <c r="M1855" s="13"/>
      <c r="N1855" s="13"/>
      <c r="O1855" s="13"/>
      <c r="P1855" s="14" t="str">
        <f t="shared" si="112"/>
        <v/>
      </c>
      <c r="Q1855" s="15" t="str">
        <f>IF(OR(J1855="",H1855=""),"",IFERROR(IF(ISNUMBER(N1855),N1855,IF(K1855&lt;N(INDEX(Platforms!$G$5:$G$14,MATCH(H1855,Lists!$A$2:$A$11,0))),N(INDEX(Platforms!$H$5:$H$14,MATCH(H1855,Lists!$A$2:$A$11,0))),MAX(N(INDEX(Platforms!$F$5:$F$14,MATCH(H1855,Lists!$A$2:$A$11,0))),N(INDEX(Platforms!$C$5:$C$14,MATCH(H1855,Lists!$A$2:$A$11,0)))*(K1855+IF(INDEX(Platforms!$E$5:$E$14,MATCH(H1855,Lists!$A$2:$A$11,0))="Yes",N(L1855),0))+N(INDEX(Platforms!$D$5:$D$14,MATCH(H1855,Lists!$A$2:$A$11,0)))))),""))</f>
        <v/>
      </c>
      <c r="R1855" s="16" t="str">
        <f t="shared" si="113"/>
        <v/>
      </c>
      <c r="S1855" s="17" t="str">
        <f t="shared" si="114"/>
        <v/>
      </c>
      <c r="T1855" s="18" t="str">
        <f t="shared" ca="1" si="115"/>
        <v/>
      </c>
    </row>
    <row r="1856" spans="1:20" x14ac:dyDescent="0.35">
      <c r="A1856" s="11"/>
      <c r="B1856" s="11"/>
      <c r="C1856" s="11"/>
      <c r="D1856" s="12"/>
      <c r="E1856" s="11"/>
      <c r="F1856" s="13"/>
      <c r="G1856" s="13"/>
      <c r="H1856" s="11"/>
      <c r="I1856" s="12"/>
      <c r="J1856" s="12"/>
      <c r="K1856" s="13"/>
      <c r="L1856" s="13"/>
      <c r="M1856" s="13"/>
      <c r="N1856" s="13"/>
      <c r="O1856" s="13"/>
      <c r="P1856" s="14" t="str">
        <f t="shared" si="112"/>
        <v/>
      </c>
      <c r="Q1856" s="15" t="str">
        <f>IF(OR(J1856="",H1856=""),"",IFERROR(IF(ISNUMBER(N1856),N1856,IF(K1856&lt;N(INDEX(Platforms!$G$5:$G$14,MATCH(H1856,Lists!$A$2:$A$11,0))),N(INDEX(Platforms!$H$5:$H$14,MATCH(H1856,Lists!$A$2:$A$11,0))),MAX(N(INDEX(Platforms!$F$5:$F$14,MATCH(H1856,Lists!$A$2:$A$11,0))),N(INDEX(Platforms!$C$5:$C$14,MATCH(H1856,Lists!$A$2:$A$11,0)))*(K1856+IF(INDEX(Platforms!$E$5:$E$14,MATCH(H1856,Lists!$A$2:$A$11,0))="Yes",N(L1856),0))+N(INDEX(Platforms!$D$5:$D$14,MATCH(H1856,Lists!$A$2:$A$11,0)))))),""))</f>
        <v/>
      </c>
      <c r="R1856" s="16" t="str">
        <f t="shared" si="113"/>
        <v/>
      </c>
      <c r="S1856" s="17" t="str">
        <f t="shared" si="114"/>
        <v/>
      </c>
      <c r="T1856" s="18" t="str">
        <f t="shared" ca="1" si="115"/>
        <v/>
      </c>
    </row>
    <row r="1857" spans="1:20" x14ac:dyDescent="0.35">
      <c r="A1857" s="11"/>
      <c r="B1857" s="11"/>
      <c r="C1857" s="11"/>
      <c r="D1857" s="12"/>
      <c r="E1857" s="11"/>
      <c r="F1857" s="13"/>
      <c r="G1857" s="13"/>
      <c r="H1857" s="11"/>
      <c r="I1857" s="12"/>
      <c r="J1857" s="12"/>
      <c r="K1857" s="13"/>
      <c r="L1857" s="13"/>
      <c r="M1857" s="13"/>
      <c r="N1857" s="13"/>
      <c r="O1857" s="13"/>
      <c r="P1857" s="14" t="str">
        <f t="shared" si="112"/>
        <v/>
      </c>
      <c r="Q1857" s="15" t="str">
        <f>IF(OR(J1857="",H1857=""),"",IFERROR(IF(ISNUMBER(N1857),N1857,IF(K1857&lt;N(INDEX(Platforms!$G$5:$G$14,MATCH(H1857,Lists!$A$2:$A$11,0))),N(INDEX(Platforms!$H$5:$H$14,MATCH(H1857,Lists!$A$2:$A$11,0))),MAX(N(INDEX(Platforms!$F$5:$F$14,MATCH(H1857,Lists!$A$2:$A$11,0))),N(INDEX(Platforms!$C$5:$C$14,MATCH(H1857,Lists!$A$2:$A$11,0)))*(K1857+IF(INDEX(Platforms!$E$5:$E$14,MATCH(H1857,Lists!$A$2:$A$11,0))="Yes",N(L1857),0))+N(INDEX(Platforms!$D$5:$D$14,MATCH(H1857,Lists!$A$2:$A$11,0)))))),""))</f>
        <v/>
      </c>
      <c r="R1857" s="16" t="str">
        <f t="shared" si="113"/>
        <v/>
      </c>
      <c r="S1857" s="17" t="str">
        <f t="shared" si="114"/>
        <v/>
      </c>
      <c r="T1857" s="18" t="str">
        <f t="shared" ca="1" si="115"/>
        <v/>
      </c>
    </row>
    <row r="1858" spans="1:20" x14ac:dyDescent="0.35">
      <c r="A1858" s="11"/>
      <c r="B1858" s="11"/>
      <c r="C1858" s="11"/>
      <c r="D1858" s="12"/>
      <c r="E1858" s="11"/>
      <c r="F1858" s="13"/>
      <c r="G1858" s="13"/>
      <c r="H1858" s="11"/>
      <c r="I1858" s="12"/>
      <c r="J1858" s="12"/>
      <c r="K1858" s="13"/>
      <c r="L1858" s="13"/>
      <c r="M1858" s="13"/>
      <c r="N1858" s="13"/>
      <c r="O1858" s="13"/>
      <c r="P1858" s="14" t="str">
        <f t="shared" si="112"/>
        <v/>
      </c>
      <c r="Q1858" s="15" t="str">
        <f>IF(OR(J1858="",H1858=""),"",IFERROR(IF(ISNUMBER(N1858),N1858,IF(K1858&lt;N(INDEX(Platforms!$G$5:$G$14,MATCH(H1858,Lists!$A$2:$A$11,0))),N(INDEX(Platforms!$H$5:$H$14,MATCH(H1858,Lists!$A$2:$A$11,0))),MAX(N(INDEX(Platforms!$F$5:$F$14,MATCH(H1858,Lists!$A$2:$A$11,0))),N(INDEX(Platforms!$C$5:$C$14,MATCH(H1858,Lists!$A$2:$A$11,0)))*(K1858+IF(INDEX(Platforms!$E$5:$E$14,MATCH(H1858,Lists!$A$2:$A$11,0))="Yes",N(L1858),0))+N(INDEX(Platforms!$D$5:$D$14,MATCH(H1858,Lists!$A$2:$A$11,0)))))),""))</f>
        <v/>
      </c>
      <c r="R1858" s="16" t="str">
        <f t="shared" si="113"/>
        <v/>
      </c>
      <c r="S1858" s="17" t="str">
        <f t="shared" si="114"/>
        <v/>
      </c>
      <c r="T1858" s="18" t="str">
        <f t="shared" ca="1" si="115"/>
        <v/>
      </c>
    </row>
    <row r="1859" spans="1:20" x14ac:dyDescent="0.35">
      <c r="A1859" s="11"/>
      <c r="B1859" s="11"/>
      <c r="C1859" s="11"/>
      <c r="D1859" s="12"/>
      <c r="E1859" s="11"/>
      <c r="F1859" s="13"/>
      <c r="G1859" s="13"/>
      <c r="H1859" s="11"/>
      <c r="I1859" s="12"/>
      <c r="J1859" s="12"/>
      <c r="K1859" s="13"/>
      <c r="L1859" s="13"/>
      <c r="M1859" s="13"/>
      <c r="N1859" s="13"/>
      <c r="O1859" s="13"/>
      <c r="P1859" s="14" t="str">
        <f t="shared" si="112"/>
        <v/>
      </c>
      <c r="Q1859" s="15" t="str">
        <f>IF(OR(J1859="",H1859=""),"",IFERROR(IF(ISNUMBER(N1859),N1859,IF(K1859&lt;N(INDEX(Platforms!$G$5:$G$14,MATCH(H1859,Lists!$A$2:$A$11,0))),N(INDEX(Platforms!$H$5:$H$14,MATCH(H1859,Lists!$A$2:$A$11,0))),MAX(N(INDEX(Platforms!$F$5:$F$14,MATCH(H1859,Lists!$A$2:$A$11,0))),N(INDEX(Platforms!$C$5:$C$14,MATCH(H1859,Lists!$A$2:$A$11,0)))*(K1859+IF(INDEX(Platforms!$E$5:$E$14,MATCH(H1859,Lists!$A$2:$A$11,0))="Yes",N(L1859),0))+N(INDEX(Platforms!$D$5:$D$14,MATCH(H1859,Lists!$A$2:$A$11,0)))))),""))</f>
        <v/>
      </c>
      <c r="R1859" s="16" t="str">
        <f t="shared" si="113"/>
        <v/>
      </c>
      <c r="S1859" s="17" t="str">
        <f t="shared" si="114"/>
        <v/>
      </c>
      <c r="T1859" s="18" t="str">
        <f t="shared" ca="1" si="115"/>
        <v/>
      </c>
    </row>
    <row r="1860" spans="1:20" x14ac:dyDescent="0.35">
      <c r="A1860" s="11"/>
      <c r="B1860" s="11"/>
      <c r="C1860" s="11"/>
      <c r="D1860" s="12"/>
      <c r="E1860" s="11"/>
      <c r="F1860" s="13"/>
      <c r="G1860" s="13"/>
      <c r="H1860" s="11"/>
      <c r="I1860" s="12"/>
      <c r="J1860" s="12"/>
      <c r="K1860" s="13"/>
      <c r="L1860" s="13"/>
      <c r="M1860" s="13"/>
      <c r="N1860" s="13"/>
      <c r="O1860" s="13"/>
      <c r="P1860" s="14" t="str">
        <f t="shared" si="112"/>
        <v/>
      </c>
      <c r="Q1860" s="15" t="str">
        <f>IF(OR(J1860="",H1860=""),"",IFERROR(IF(ISNUMBER(N1860),N1860,IF(K1860&lt;N(INDEX(Platforms!$G$5:$G$14,MATCH(H1860,Lists!$A$2:$A$11,0))),N(INDEX(Platforms!$H$5:$H$14,MATCH(H1860,Lists!$A$2:$A$11,0))),MAX(N(INDEX(Platforms!$F$5:$F$14,MATCH(H1860,Lists!$A$2:$A$11,0))),N(INDEX(Platforms!$C$5:$C$14,MATCH(H1860,Lists!$A$2:$A$11,0)))*(K1860+IF(INDEX(Platforms!$E$5:$E$14,MATCH(H1860,Lists!$A$2:$A$11,0))="Yes",N(L1860),0))+N(INDEX(Platforms!$D$5:$D$14,MATCH(H1860,Lists!$A$2:$A$11,0)))))),""))</f>
        <v/>
      </c>
      <c r="R1860" s="16" t="str">
        <f t="shared" si="113"/>
        <v/>
      </c>
      <c r="S1860" s="17" t="str">
        <f t="shared" si="114"/>
        <v/>
      </c>
      <c r="T1860" s="18" t="str">
        <f t="shared" ca="1" si="115"/>
        <v/>
      </c>
    </row>
    <row r="1861" spans="1:20" x14ac:dyDescent="0.35">
      <c r="A1861" s="11"/>
      <c r="B1861" s="11"/>
      <c r="C1861" s="11"/>
      <c r="D1861" s="12"/>
      <c r="E1861" s="11"/>
      <c r="F1861" s="13"/>
      <c r="G1861" s="13"/>
      <c r="H1861" s="11"/>
      <c r="I1861" s="12"/>
      <c r="J1861" s="12"/>
      <c r="K1861" s="13"/>
      <c r="L1861" s="13"/>
      <c r="M1861" s="13"/>
      <c r="N1861" s="13"/>
      <c r="O1861" s="13"/>
      <c r="P1861" s="14" t="str">
        <f t="shared" ref="P1861:P1924" si="116">IF(OR(B1861&lt;&gt;"",F1861&lt;&gt;"",H1861&lt;&gt;"",J1861&lt;&gt;"",K1861&lt;&gt;""),IF(J1861&lt;&gt;"","Sold",IF(I1861&lt;&gt;"","Listed","In stock")),"")</f>
        <v/>
      </c>
      <c r="Q1861" s="15" t="str">
        <f>IF(OR(J1861="",H1861=""),"",IFERROR(IF(ISNUMBER(N1861),N1861,IF(K1861&lt;N(INDEX(Platforms!$G$5:$G$14,MATCH(H1861,Lists!$A$2:$A$11,0))),N(INDEX(Platforms!$H$5:$H$14,MATCH(H1861,Lists!$A$2:$A$11,0))),MAX(N(INDEX(Platforms!$F$5:$F$14,MATCH(H1861,Lists!$A$2:$A$11,0))),N(INDEX(Platforms!$C$5:$C$14,MATCH(H1861,Lists!$A$2:$A$11,0)))*(K1861+IF(INDEX(Platforms!$E$5:$E$14,MATCH(H1861,Lists!$A$2:$A$11,0))="Yes",N(L1861),0))+N(INDEX(Platforms!$D$5:$D$14,MATCH(H1861,Lists!$A$2:$A$11,0)))))),""))</f>
        <v/>
      </c>
      <c r="R1861" s="16" t="str">
        <f t="shared" ref="R1861:R1924" si="117">IF(J1861="","",IFERROR(K1861+N(L1861)-N(O1861)-Q1861-N(M1861)-N(F1861)-N(G1861),""))</f>
        <v/>
      </c>
      <c r="S1861" s="17" t="str">
        <f t="shared" ref="S1861:S1924" si="118">IF(OR(R1861="",N(F1861)+N(G1861)=0),"",R1861/(N(F1861)+N(G1861)))</f>
        <v/>
      </c>
      <c r="T1861" s="18" t="str">
        <f t="shared" ref="T1861:T1924" ca="1" si="119">IFERROR(IF(ISNUMBER(D1861),IF(ISNUMBER(J1861),J1861,IF(J1861="",TODAY(),""))-D1861,""),"")</f>
        <v/>
      </c>
    </row>
    <row r="1862" spans="1:20" x14ac:dyDescent="0.35">
      <c r="A1862" s="11"/>
      <c r="B1862" s="11"/>
      <c r="C1862" s="11"/>
      <c r="D1862" s="12"/>
      <c r="E1862" s="11"/>
      <c r="F1862" s="13"/>
      <c r="G1862" s="13"/>
      <c r="H1862" s="11"/>
      <c r="I1862" s="12"/>
      <c r="J1862" s="12"/>
      <c r="K1862" s="13"/>
      <c r="L1862" s="13"/>
      <c r="M1862" s="13"/>
      <c r="N1862" s="13"/>
      <c r="O1862" s="13"/>
      <c r="P1862" s="14" t="str">
        <f t="shared" si="116"/>
        <v/>
      </c>
      <c r="Q1862" s="15" t="str">
        <f>IF(OR(J1862="",H1862=""),"",IFERROR(IF(ISNUMBER(N1862),N1862,IF(K1862&lt;N(INDEX(Platforms!$G$5:$G$14,MATCH(H1862,Lists!$A$2:$A$11,0))),N(INDEX(Platforms!$H$5:$H$14,MATCH(H1862,Lists!$A$2:$A$11,0))),MAX(N(INDEX(Platforms!$F$5:$F$14,MATCH(H1862,Lists!$A$2:$A$11,0))),N(INDEX(Platforms!$C$5:$C$14,MATCH(H1862,Lists!$A$2:$A$11,0)))*(K1862+IF(INDEX(Platforms!$E$5:$E$14,MATCH(H1862,Lists!$A$2:$A$11,0))="Yes",N(L1862),0))+N(INDEX(Platforms!$D$5:$D$14,MATCH(H1862,Lists!$A$2:$A$11,0)))))),""))</f>
        <v/>
      </c>
      <c r="R1862" s="16" t="str">
        <f t="shared" si="117"/>
        <v/>
      </c>
      <c r="S1862" s="17" t="str">
        <f t="shared" si="118"/>
        <v/>
      </c>
      <c r="T1862" s="18" t="str">
        <f t="shared" ca="1" si="119"/>
        <v/>
      </c>
    </row>
    <row r="1863" spans="1:20" x14ac:dyDescent="0.35">
      <c r="A1863" s="11"/>
      <c r="B1863" s="11"/>
      <c r="C1863" s="11"/>
      <c r="D1863" s="12"/>
      <c r="E1863" s="11"/>
      <c r="F1863" s="13"/>
      <c r="G1863" s="13"/>
      <c r="H1863" s="11"/>
      <c r="I1863" s="12"/>
      <c r="J1863" s="12"/>
      <c r="K1863" s="13"/>
      <c r="L1863" s="13"/>
      <c r="M1863" s="13"/>
      <c r="N1863" s="13"/>
      <c r="O1863" s="13"/>
      <c r="P1863" s="14" t="str">
        <f t="shared" si="116"/>
        <v/>
      </c>
      <c r="Q1863" s="15" t="str">
        <f>IF(OR(J1863="",H1863=""),"",IFERROR(IF(ISNUMBER(N1863),N1863,IF(K1863&lt;N(INDEX(Platforms!$G$5:$G$14,MATCH(H1863,Lists!$A$2:$A$11,0))),N(INDEX(Platforms!$H$5:$H$14,MATCH(H1863,Lists!$A$2:$A$11,0))),MAX(N(INDEX(Platforms!$F$5:$F$14,MATCH(H1863,Lists!$A$2:$A$11,0))),N(INDEX(Platforms!$C$5:$C$14,MATCH(H1863,Lists!$A$2:$A$11,0)))*(K1863+IF(INDEX(Platforms!$E$5:$E$14,MATCH(H1863,Lists!$A$2:$A$11,0))="Yes",N(L1863),0))+N(INDEX(Platforms!$D$5:$D$14,MATCH(H1863,Lists!$A$2:$A$11,0)))))),""))</f>
        <v/>
      </c>
      <c r="R1863" s="16" t="str">
        <f t="shared" si="117"/>
        <v/>
      </c>
      <c r="S1863" s="17" t="str">
        <f t="shared" si="118"/>
        <v/>
      </c>
      <c r="T1863" s="18" t="str">
        <f t="shared" ca="1" si="119"/>
        <v/>
      </c>
    </row>
    <row r="1864" spans="1:20" x14ac:dyDescent="0.35">
      <c r="A1864" s="11"/>
      <c r="B1864" s="11"/>
      <c r="C1864" s="11"/>
      <c r="D1864" s="12"/>
      <c r="E1864" s="11"/>
      <c r="F1864" s="13"/>
      <c r="G1864" s="13"/>
      <c r="H1864" s="11"/>
      <c r="I1864" s="12"/>
      <c r="J1864" s="12"/>
      <c r="K1864" s="13"/>
      <c r="L1864" s="13"/>
      <c r="M1864" s="13"/>
      <c r="N1864" s="13"/>
      <c r="O1864" s="13"/>
      <c r="P1864" s="14" t="str">
        <f t="shared" si="116"/>
        <v/>
      </c>
      <c r="Q1864" s="15" t="str">
        <f>IF(OR(J1864="",H1864=""),"",IFERROR(IF(ISNUMBER(N1864),N1864,IF(K1864&lt;N(INDEX(Platforms!$G$5:$G$14,MATCH(H1864,Lists!$A$2:$A$11,0))),N(INDEX(Platforms!$H$5:$H$14,MATCH(H1864,Lists!$A$2:$A$11,0))),MAX(N(INDEX(Platforms!$F$5:$F$14,MATCH(H1864,Lists!$A$2:$A$11,0))),N(INDEX(Platforms!$C$5:$C$14,MATCH(H1864,Lists!$A$2:$A$11,0)))*(K1864+IF(INDEX(Platforms!$E$5:$E$14,MATCH(H1864,Lists!$A$2:$A$11,0))="Yes",N(L1864),0))+N(INDEX(Platforms!$D$5:$D$14,MATCH(H1864,Lists!$A$2:$A$11,0)))))),""))</f>
        <v/>
      </c>
      <c r="R1864" s="16" t="str">
        <f t="shared" si="117"/>
        <v/>
      </c>
      <c r="S1864" s="17" t="str">
        <f t="shared" si="118"/>
        <v/>
      </c>
      <c r="T1864" s="18" t="str">
        <f t="shared" ca="1" si="119"/>
        <v/>
      </c>
    </row>
    <row r="1865" spans="1:20" x14ac:dyDescent="0.35">
      <c r="A1865" s="11"/>
      <c r="B1865" s="11"/>
      <c r="C1865" s="11"/>
      <c r="D1865" s="12"/>
      <c r="E1865" s="11"/>
      <c r="F1865" s="13"/>
      <c r="G1865" s="13"/>
      <c r="H1865" s="11"/>
      <c r="I1865" s="12"/>
      <c r="J1865" s="12"/>
      <c r="K1865" s="13"/>
      <c r="L1865" s="13"/>
      <c r="M1865" s="13"/>
      <c r="N1865" s="13"/>
      <c r="O1865" s="13"/>
      <c r="P1865" s="14" t="str">
        <f t="shared" si="116"/>
        <v/>
      </c>
      <c r="Q1865" s="15" t="str">
        <f>IF(OR(J1865="",H1865=""),"",IFERROR(IF(ISNUMBER(N1865),N1865,IF(K1865&lt;N(INDEX(Platforms!$G$5:$G$14,MATCH(H1865,Lists!$A$2:$A$11,0))),N(INDEX(Platforms!$H$5:$H$14,MATCH(H1865,Lists!$A$2:$A$11,0))),MAX(N(INDEX(Platforms!$F$5:$F$14,MATCH(H1865,Lists!$A$2:$A$11,0))),N(INDEX(Platforms!$C$5:$C$14,MATCH(H1865,Lists!$A$2:$A$11,0)))*(K1865+IF(INDEX(Platforms!$E$5:$E$14,MATCH(H1865,Lists!$A$2:$A$11,0))="Yes",N(L1865),0))+N(INDEX(Platforms!$D$5:$D$14,MATCH(H1865,Lists!$A$2:$A$11,0)))))),""))</f>
        <v/>
      </c>
      <c r="R1865" s="16" t="str">
        <f t="shared" si="117"/>
        <v/>
      </c>
      <c r="S1865" s="17" t="str">
        <f t="shared" si="118"/>
        <v/>
      </c>
      <c r="T1865" s="18" t="str">
        <f t="shared" ca="1" si="119"/>
        <v/>
      </c>
    </row>
    <row r="1866" spans="1:20" x14ac:dyDescent="0.35">
      <c r="A1866" s="11"/>
      <c r="B1866" s="11"/>
      <c r="C1866" s="11"/>
      <c r="D1866" s="12"/>
      <c r="E1866" s="11"/>
      <c r="F1866" s="13"/>
      <c r="G1866" s="13"/>
      <c r="H1866" s="11"/>
      <c r="I1866" s="12"/>
      <c r="J1866" s="12"/>
      <c r="K1866" s="13"/>
      <c r="L1866" s="13"/>
      <c r="M1866" s="13"/>
      <c r="N1866" s="13"/>
      <c r="O1866" s="13"/>
      <c r="P1866" s="14" t="str">
        <f t="shared" si="116"/>
        <v/>
      </c>
      <c r="Q1866" s="15" t="str">
        <f>IF(OR(J1866="",H1866=""),"",IFERROR(IF(ISNUMBER(N1866),N1866,IF(K1866&lt;N(INDEX(Platforms!$G$5:$G$14,MATCH(H1866,Lists!$A$2:$A$11,0))),N(INDEX(Platforms!$H$5:$H$14,MATCH(H1866,Lists!$A$2:$A$11,0))),MAX(N(INDEX(Platforms!$F$5:$F$14,MATCH(H1866,Lists!$A$2:$A$11,0))),N(INDEX(Platforms!$C$5:$C$14,MATCH(H1866,Lists!$A$2:$A$11,0)))*(K1866+IF(INDEX(Platforms!$E$5:$E$14,MATCH(H1866,Lists!$A$2:$A$11,0))="Yes",N(L1866),0))+N(INDEX(Platforms!$D$5:$D$14,MATCH(H1866,Lists!$A$2:$A$11,0)))))),""))</f>
        <v/>
      </c>
      <c r="R1866" s="16" t="str">
        <f t="shared" si="117"/>
        <v/>
      </c>
      <c r="S1866" s="17" t="str">
        <f t="shared" si="118"/>
        <v/>
      </c>
      <c r="T1866" s="18" t="str">
        <f t="shared" ca="1" si="119"/>
        <v/>
      </c>
    </row>
    <row r="1867" spans="1:20" x14ac:dyDescent="0.35">
      <c r="A1867" s="11"/>
      <c r="B1867" s="11"/>
      <c r="C1867" s="11"/>
      <c r="D1867" s="12"/>
      <c r="E1867" s="11"/>
      <c r="F1867" s="13"/>
      <c r="G1867" s="13"/>
      <c r="H1867" s="11"/>
      <c r="I1867" s="12"/>
      <c r="J1867" s="12"/>
      <c r="K1867" s="13"/>
      <c r="L1867" s="13"/>
      <c r="M1867" s="13"/>
      <c r="N1867" s="13"/>
      <c r="O1867" s="13"/>
      <c r="P1867" s="14" t="str">
        <f t="shared" si="116"/>
        <v/>
      </c>
      <c r="Q1867" s="15" t="str">
        <f>IF(OR(J1867="",H1867=""),"",IFERROR(IF(ISNUMBER(N1867),N1867,IF(K1867&lt;N(INDEX(Platforms!$G$5:$G$14,MATCH(H1867,Lists!$A$2:$A$11,0))),N(INDEX(Platforms!$H$5:$H$14,MATCH(H1867,Lists!$A$2:$A$11,0))),MAX(N(INDEX(Platforms!$F$5:$F$14,MATCH(H1867,Lists!$A$2:$A$11,0))),N(INDEX(Platforms!$C$5:$C$14,MATCH(H1867,Lists!$A$2:$A$11,0)))*(K1867+IF(INDEX(Platforms!$E$5:$E$14,MATCH(H1867,Lists!$A$2:$A$11,0))="Yes",N(L1867),0))+N(INDEX(Platforms!$D$5:$D$14,MATCH(H1867,Lists!$A$2:$A$11,0)))))),""))</f>
        <v/>
      </c>
      <c r="R1867" s="16" t="str">
        <f t="shared" si="117"/>
        <v/>
      </c>
      <c r="S1867" s="17" t="str">
        <f t="shared" si="118"/>
        <v/>
      </c>
      <c r="T1867" s="18" t="str">
        <f t="shared" ca="1" si="119"/>
        <v/>
      </c>
    </row>
    <row r="1868" spans="1:20" x14ac:dyDescent="0.35">
      <c r="A1868" s="11"/>
      <c r="B1868" s="11"/>
      <c r="C1868" s="11"/>
      <c r="D1868" s="12"/>
      <c r="E1868" s="11"/>
      <c r="F1868" s="13"/>
      <c r="G1868" s="13"/>
      <c r="H1868" s="11"/>
      <c r="I1868" s="12"/>
      <c r="J1868" s="12"/>
      <c r="K1868" s="13"/>
      <c r="L1868" s="13"/>
      <c r="M1868" s="13"/>
      <c r="N1868" s="13"/>
      <c r="O1868" s="13"/>
      <c r="P1868" s="14" t="str">
        <f t="shared" si="116"/>
        <v/>
      </c>
      <c r="Q1868" s="15" t="str">
        <f>IF(OR(J1868="",H1868=""),"",IFERROR(IF(ISNUMBER(N1868),N1868,IF(K1868&lt;N(INDEX(Platforms!$G$5:$G$14,MATCH(H1868,Lists!$A$2:$A$11,0))),N(INDEX(Platforms!$H$5:$H$14,MATCH(H1868,Lists!$A$2:$A$11,0))),MAX(N(INDEX(Platforms!$F$5:$F$14,MATCH(H1868,Lists!$A$2:$A$11,0))),N(INDEX(Platforms!$C$5:$C$14,MATCH(H1868,Lists!$A$2:$A$11,0)))*(K1868+IF(INDEX(Platforms!$E$5:$E$14,MATCH(H1868,Lists!$A$2:$A$11,0))="Yes",N(L1868),0))+N(INDEX(Platforms!$D$5:$D$14,MATCH(H1868,Lists!$A$2:$A$11,0)))))),""))</f>
        <v/>
      </c>
      <c r="R1868" s="16" t="str">
        <f t="shared" si="117"/>
        <v/>
      </c>
      <c r="S1868" s="17" t="str">
        <f t="shared" si="118"/>
        <v/>
      </c>
      <c r="T1868" s="18" t="str">
        <f t="shared" ca="1" si="119"/>
        <v/>
      </c>
    </row>
    <row r="1869" spans="1:20" x14ac:dyDescent="0.35">
      <c r="A1869" s="11"/>
      <c r="B1869" s="11"/>
      <c r="C1869" s="11"/>
      <c r="D1869" s="12"/>
      <c r="E1869" s="11"/>
      <c r="F1869" s="13"/>
      <c r="G1869" s="13"/>
      <c r="H1869" s="11"/>
      <c r="I1869" s="12"/>
      <c r="J1869" s="12"/>
      <c r="K1869" s="13"/>
      <c r="L1869" s="13"/>
      <c r="M1869" s="13"/>
      <c r="N1869" s="13"/>
      <c r="O1869" s="13"/>
      <c r="P1869" s="14" t="str">
        <f t="shared" si="116"/>
        <v/>
      </c>
      <c r="Q1869" s="15" t="str">
        <f>IF(OR(J1869="",H1869=""),"",IFERROR(IF(ISNUMBER(N1869),N1869,IF(K1869&lt;N(INDEX(Platforms!$G$5:$G$14,MATCH(H1869,Lists!$A$2:$A$11,0))),N(INDEX(Platforms!$H$5:$H$14,MATCH(H1869,Lists!$A$2:$A$11,0))),MAX(N(INDEX(Platforms!$F$5:$F$14,MATCH(H1869,Lists!$A$2:$A$11,0))),N(INDEX(Platforms!$C$5:$C$14,MATCH(H1869,Lists!$A$2:$A$11,0)))*(K1869+IF(INDEX(Platforms!$E$5:$E$14,MATCH(H1869,Lists!$A$2:$A$11,0))="Yes",N(L1869),0))+N(INDEX(Platforms!$D$5:$D$14,MATCH(H1869,Lists!$A$2:$A$11,0)))))),""))</f>
        <v/>
      </c>
      <c r="R1869" s="16" t="str">
        <f t="shared" si="117"/>
        <v/>
      </c>
      <c r="S1869" s="17" t="str">
        <f t="shared" si="118"/>
        <v/>
      </c>
      <c r="T1869" s="18" t="str">
        <f t="shared" ca="1" si="119"/>
        <v/>
      </c>
    </row>
    <row r="1870" spans="1:20" x14ac:dyDescent="0.35">
      <c r="A1870" s="11"/>
      <c r="B1870" s="11"/>
      <c r="C1870" s="11"/>
      <c r="D1870" s="12"/>
      <c r="E1870" s="11"/>
      <c r="F1870" s="13"/>
      <c r="G1870" s="13"/>
      <c r="H1870" s="11"/>
      <c r="I1870" s="12"/>
      <c r="J1870" s="12"/>
      <c r="K1870" s="13"/>
      <c r="L1870" s="13"/>
      <c r="M1870" s="13"/>
      <c r="N1870" s="13"/>
      <c r="O1870" s="13"/>
      <c r="P1870" s="14" t="str">
        <f t="shared" si="116"/>
        <v/>
      </c>
      <c r="Q1870" s="15" t="str">
        <f>IF(OR(J1870="",H1870=""),"",IFERROR(IF(ISNUMBER(N1870),N1870,IF(K1870&lt;N(INDEX(Platforms!$G$5:$G$14,MATCH(H1870,Lists!$A$2:$A$11,0))),N(INDEX(Platforms!$H$5:$H$14,MATCH(H1870,Lists!$A$2:$A$11,0))),MAX(N(INDEX(Platforms!$F$5:$F$14,MATCH(H1870,Lists!$A$2:$A$11,0))),N(INDEX(Platforms!$C$5:$C$14,MATCH(H1870,Lists!$A$2:$A$11,0)))*(K1870+IF(INDEX(Platforms!$E$5:$E$14,MATCH(H1870,Lists!$A$2:$A$11,0))="Yes",N(L1870),0))+N(INDEX(Platforms!$D$5:$D$14,MATCH(H1870,Lists!$A$2:$A$11,0)))))),""))</f>
        <v/>
      </c>
      <c r="R1870" s="16" t="str">
        <f t="shared" si="117"/>
        <v/>
      </c>
      <c r="S1870" s="17" t="str">
        <f t="shared" si="118"/>
        <v/>
      </c>
      <c r="T1870" s="18" t="str">
        <f t="shared" ca="1" si="119"/>
        <v/>
      </c>
    </row>
    <row r="1871" spans="1:20" x14ac:dyDescent="0.35">
      <c r="A1871" s="11"/>
      <c r="B1871" s="11"/>
      <c r="C1871" s="11"/>
      <c r="D1871" s="12"/>
      <c r="E1871" s="11"/>
      <c r="F1871" s="13"/>
      <c r="G1871" s="13"/>
      <c r="H1871" s="11"/>
      <c r="I1871" s="12"/>
      <c r="J1871" s="12"/>
      <c r="K1871" s="13"/>
      <c r="L1871" s="13"/>
      <c r="M1871" s="13"/>
      <c r="N1871" s="13"/>
      <c r="O1871" s="13"/>
      <c r="P1871" s="14" t="str">
        <f t="shared" si="116"/>
        <v/>
      </c>
      <c r="Q1871" s="15" t="str">
        <f>IF(OR(J1871="",H1871=""),"",IFERROR(IF(ISNUMBER(N1871),N1871,IF(K1871&lt;N(INDEX(Platforms!$G$5:$G$14,MATCH(H1871,Lists!$A$2:$A$11,0))),N(INDEX(Platforms!$H$5:$H$14,MATCH(H1871,Lists!$A$2:$A$11,0))),MAX(N(INDEX(Platforms!$F$5:$F$14,MATCH(H1871,Lists!$A$2:$A$11,0))),N(INDEX(Platforms!$C$5:$C$14,MATCH(H1871,Lists!$A$2:$A$11,0)))*(K1871+IF(INDEX(Platforms!$E$5:$E$14,MATCH(H1871,Lists!$A$2:$A$11,0))="Yes",N(L1871),0))+N(INDEX(Platforms!$D$5:$D$14,MATCH(H1871,Lists!$A$2:$A$11,0)))))),""))</f>
        <v/>
      </c>
      <c r="R1871" s="16" t="str">
        <f t="shared" si="117"/>
        <v/>
      </c>
      <c r="S1871" s="17" t="str">
        <f t="shared" si="118"/>
        <v/>
      </c>
      <c r="T1871" s="18" t="str">
        <f t="shared" ca="1" si="119"/>
        <v/>
      </c>
    </row>
    <row r="1872" spans="1:20" x14ac:dyDescent="0.35">
      <c r="A1872" s="11"/>
      <c r="B1872" s="11"/>
      <c r="C1872" s="11"/>
      <c r="D1872" s="12"/>
      <c r="E1872" s="11"/>
      <c r="F1872" s="13"/>
      <c r="G1872" s="13"/>
      <c r="H1872" s="11"/>
      <c r="I1872" s="12"/>
      <c r="J1872" s="12"/>
      <c r="K1872" s="13"/>
      <c r="L1872" s="13"/>
      <c r="M1872" s="13"/>
      <c r="N1872" s="13"/>
      <c r="O1872" s="13"/>
      <c r="P1872" s="14" t="str">
        <f t="shared" si="116"/>
        <v/>
      </c>
      <c r="Q1872" s="15" t="str">
        <f>IF(OR(J1872="",H1872=""),"",IFERROR(IF(ISNUMBER(N1872),N1872,IF(K1872&lt;N(INDEX(Platforms!$G$5:$G$14,MATCH(H1872,Lists!$A$2:$A$11,0))),N(INDEX(Platforms!$H$5:$H$14,MATCH(H1872,Lists!$A$2:$A$11,0))),MAX(N(INDEX(Platforms!$F$5:$F$14,MATCH(H1872,Lists!$A$2:$A$11,0))),N(INDEX(Platforms!$C$5:$C$14,MATCH(H1872,Lists!$A$2:$A$11,0)))*(K1872+IF(INDEX(Platforms!$E$5:$E$14,MATCH(H1872,Lists!$A$2:$A$11,0))="Yes",N(L1872),0))+N(INDEX(Platforms!$D$5:$D$14,MATCH(H1872,Lists!$A$2:$A$11,0)))))),""))</f>
        <v/>
      </c>
      <c r="R1872" s="16" t="str">
        <f t="shared" si="117"/>
        <v/>
      </c>
      <c r="S1872" s="17" t="str">
        <f t="shared" si="118"/>
        <v/>
      </c>
      <c r="T1872" s="18" t="str">
        <f t="shared" ca="1" si="119"/>
        <v/>
      </c>
    </row>
    <row r="1873" spans="1:20" x14ac:dyDescent="0.35">
      <c r="A1873" s="11"/>
      <c r="B1873" s="11"/>
      <c r="C1873" s="11"/>
      <c r="D1873" s="12"/>
      <c r="E1873" s="11"/>
      <c r="F1873" s="13"/>
      <c r="G1873" s="13"/>
      <c r="H1873" s="11"/>
      <c r="I1873" s="12"/>
      <c r="J1873" s="12"/>
      <c r="K1873" s="13"/>
      <c r="L1873" s="13"/>
      <c r="M1873" s="13"/>
      <c r="N1873" s="13"/>
      <c r="O1873" s="13"/>
      <c r="P1873" s="14" t="str">
        <f t="shared" si="116"/>
        <v/>
      </c>
      <c r="Q1873" s="15" t="str">
        <f>IF(OR(J1873="",H1873=""),"",IFERROR(IF(ISNUMBER(N1873),N1873,IF(K1873&lt;N(INDEX(Platforms!$G$5:$G$14,MATCH(H1873,Lists!$A$2:$A$11,0))),N(INDEX(Platforms!$H$5:$H$14,MATCH(H1873,Lists!$A$2:$A$11,0))),MAX(N(INDEX(Platforms!$F$5:$F$14,MATCH(H1873,Lists!$A$2:$A$11,0))),N(INDEX(Platforms!$C$5:$C$14,MATCH(H1873,Lists!$A$2:$A$11,0)))*(K1873+IF(INDEX(Platforms!$E$5:$E$14,MATCH(H1873,Lists!$A$2:$A$11,0))="Yes",N(L1873),0))+N(INDEX(Platforms!$D$5:$D$14,MATCH(H1873,Lists!$A$2:$A$11,0)))))),""))</f>
        <v/>
      </c>
      <c r="R1873" s="16" t="str">
        <f t="shared" si="117"/>
        <v/>
      </c>
      <c r="S1873" s="17" t="str">
        <f t="shared" si="118"/>
        <v/>
      </c>
      <c r="T1873" s="18" t="str">
        <f t="shared" ca="1" si="119"/>
        <v/>
      </c>
    </row>
    <row r="1874" spans="1:20" x14ac:dyDescent="0.35">
      <c r="A1874" s="11"/>
      <c r="B1874" s="11"/>
      <c r="C1874" s="11"/>
      <c r="D1874" s="12"/>
      <c r="E1874" s="11"/>
      <c r="F1874" s="13"/>
      <c r="G1874" s="13"/>
      <c r="H1874" s="11"/>
      <c r="I1874" s="12"/>
      <c r="J1874" s="12"/>
      <c r="K1874" s="13"/>
      <c r="L1874" s="13"/>
      <c r="M1874" s="13"/>
      <c r="N1874" s="13"/>
      <c r="O1874" s="13"/>
      <c r="P1874" s="14" t="str">
        <f t="shared" si="116"/>
        <v/>
      </c>
      <c r="Q1874" s="15" t="str">
        <f>IF(OR(J1874="",H1874=""),"",IFERROR(IF(ISNUMBER(N1874),N1874,IF(K1874&lt;N(INDEX(Platforms!$G$5:$G$14,MATCH(H1874,Lists!$A$2:$A$11,0))),N(INDEX(Platforms!$H$5:$H$14,MATCH(H1874,Lists!$A$2:$A$11,0))),MAX(N(INDEX(Platforms!$F$5:$F$14,MATCH(H1874,Lists!$A$2:$A$11,0))),N(INDEX(Platforms!$C$5:$C$14,MATCH(H1874,Lists!$A$2:$A$11,0)))*(K1874+IF(INDEX(Platforms!$E$5:$E$14,MATCH(H1874,Lists!$A$2:$A$11,0))="Yes",N(L1874),0))+N(INDEX(Platforms!$D$5:$D$14,MATCH(H1874,Lists!$A$2:$A$11,0)))))),""))</f>
        <v/>
      </c>
      <c r="R1874" s="16" t="str">
        <f t="shared" si="117"/>
        <v/>
      </c>
      <c r="S1874" s="17" t="str">
        <f t="shared" si="118"/>
        <v/>
      </c>
      <c r="T1874" s="18" t="str">
        <f t="shared" ca="1" si="119"/>
        <v/>
      </c>
    </row>
    <row r="1875" spans="1:20" x14ac:dyDescent="0.35">
      <c r="A1875" s="11"/>
      <c r="B1875" s="11"/>
      <c r="C1875" s="11"/>
      <c r="D1875" s="12"/>
      <c r="E1875" s="11"/>
      <c r="F1875" s="13"/>
      <c r="G1875" s="13"/>
      <c r="H1875" s="11"/>
      <c r="I1875" s="12"/>
      <c r="J1875" s="12"/>
      <c r="K1875" s="13"/>
      <c r="L1875" s="13"/>
      <c r="M1875" s="13"/>
      <c r="N1875" s="13"/>
      <c r="O1875" s="13"/>
      <c r="P1875" s="14" t="str">
        <f t="shared" si="116"/>
        <v/>
      </c>
      <c r="Q1875" s="15" t="str">
        <f>IF(OR(J1875="",H1875=""),"",IFERROR(IF(ISNUMBER(N1875),N1875,IF(K1875&lt;N(INDEX(Platforms!$G$5:$G$14,MATCH(H1875,Lists!$A$2:$A$11,0))),N(INDEX(Platforms!$H$5:$H$14,MATCH(H1875,Lists!$A$2:$A$11,0))),MAX(N(INDEX(Platforms!$F$5:$F$14,MATCH(H1875,Lists!$A$2:$A$11,0))),N(INDEX(Platforms!$C$5:$C$14,MATCH(H1875,Lists!$A$2:$A$11,0)))*(K1875+IF(INDEX(Platforms!$E$5:$E$14,MATCH(H1875,Lists!$A$2:$A$11,0))="Yes",N(L1875),0))+N(INDEX(Platforms!$D$5:$D$14,MATCH(H1875,Lists!$A$2:$A$11,0)))))),""))</f>
        <v/>
      </c>
      <c r="R1875" s="16" t="str">
        <f t="shared" si="117"/>
        <v/>
      </c>
      <c r="S1875" s="17" t="str">
        <f t="shared" si="118"/>
        <v/>
      </c>
      <c r="T1875" s="18" t="str">
        <f t="shared" ca="1" si="119"/>
        <v/>
      </c>
    </row>
    <row r="1876" spans="1:20" x14ac:dyDescent="0.35">
      <c r="A1876" s="11"/>
      <c r="B1876" s="11"/>
      <c r="C1876" s="11"/>
      <c r="D1876" s="12"/>
      <c r="E1876" s="11"/>
      <c r="F1876" s="13"/>
      <c r="G1876" s="13"/>
      <c r="H1876" s="11"/>
      <c r="I1876" s="12"/>
      <c r="J1876" s="12"/>
      <c r="K1876" s="13"/>
      <c r="L1876" s="13"/>
      <c r="M1876" s="13"/>
      <c r="N1876" s="13"/>
      <c r="O1876" s="13"/>
      <c r="P1876" s="14" t="str">
        <f t="shared" si="116"/>
        <v/>
      </c>
      <c r="Q1876" s="15" t="str">
        <f>IF(OR(J1876="",H1876=""),"",IFERROR(IF(ISNUMBER(N1876),N1876,IF(K1876&lt;N(INDEX(Platforms!$G$5:$G$14,MATCH(H1876,Lists!$A$2:$A$11,0))),N(INDEX(Platforms!$H$5:$H$14,MATCH(H1876,Lists!$A$2:$A$11,0))),MAX(N(INDEX(Platforms!$F$5:$F$14,MATCH(H1876,Lists!$A$2:$A$11,0))),N(INDEX(Platforms!$C$5:$C$14,MATCH(H1876,Lists!$A$2:$A$11,0)))*(K1876+IF(INDEX(Platforms!$E$5:$E$14,MATCH(H1876,Lists!$A$2:$A$11,0))="Yes",N(L1876),0))+N(INDEX(Platforms!$D$5:$D$14,MATCH(H1876,Lists!$A$2:$A$11,0)))))),""))</f>
        <v/>
      </c>
      <c r="R1876" s="16" t="str">
        <f t="shared" si="117"/>
        <v/>
      </c>
      <c r="S1876" s="17" t="str">
        <f t="shared" si="118"/>
        <v/>
      </c>
      <c r="T1876" s="18" t="str">
        <f t="shared" ca="1" si="119"/>
        <v/>
      </c>
    </row>
    <row r="1877" spans="1:20" x14ac:dyDescent="0.35">
      <c r="A1877" s="11"/>
      <c r="B1877" s="11"/>
      <c r="C1877" s="11"/>
      <c r="D1877" s="12"/>
      <c r="E1877" s="11"/>
      <c r="F1877" s="13"/>
      <c r="G1877" s="13"/>
      <c r="H1877" s="11"/>
      <c r="I1877" s="12"/>
      <c r="J1877" s="12"/>
      <c r="K1877" s="13"/>
      <c r="L1877" s="13"/>
      <c r="M1877" s="13"/>
      <c r="N1877" s="13"/>
      <c r="O1877" s="13"/>
      <c r="P1877" s="14" t="str">
        <f t="shared" si="116"/>
        <v/>
      </c>
      <c r="Q1877" s="15" t="str">
        <f>IF(OR(J1877="",H1877=""),"",IFERROR(IF(ISNUMBER(N1877),N1877,IF(K1877&lt;N(INDEX(Platforms!$G$5:$G$14,MATCH(H1877,Lists!$A$2:$A$11,0))),N(INDEX(Platforms!$H$5:$H$14,MATCH(H1877,Lists!$A$2:$A$11,0))),MAX(N(INDEX(Platforms!$F$5:$F$14,MATCH(H1877,Lists!$A$2:$A$11,0))),N(INDEX(Platforms!$C$5:$C$14,MATCH(H1877,Lists!$A$2:$A$11,0)))*(K1877+IF(INDEX(Platforms!$E$5:$E$14,MATCH(H1877,Lists!$A$2:$A$11,0))="Yes",N(L1877),0))+N(INDEX(Platforms!$D$5:$D$14,MATCH(H1877,Lists!$A$2:$A$11,0)))))),""))</f>
        <v/>
      </c>
      <c r="R1877" s="16" t="str">
        <f t="shared" si="117"/>
        <v/>
      </c>
      <c r="S1877" s="17" t="str">
        <f t="shared" si="118"/>
        <v/>
      </c>
      <c r="T1877" s="18" t="str">
        <f t="shared" ca="1" si="119"/>
        <v/>
      </c>
    </row>
    <row r="1878" spans="1:20" x14ac:dyDescent="0.35">
      <c r="A1878" s="11"/>
      <c r="B1878" s="11"/>
      <c r="C1878" s="11"/>
      <c r="D1878" s="12"/>
      <c r="E1878" s="11"/>
      <c r="F1878" s="13"/>
      <c r="G1878" s="13"/>
      <c r="H1878" s="11"/>
      <c r="I1878" s="12"/>
      <c r="J1878" s="12"/>
      <c r="K1878" s="13"/>
      <c r="L1878" s="13"/>
      <c r="M1878" s="13"/>
      <c r="N1878" s="13"/>
      <c r="O1878" s="13"/>
      <c r="P1878" s="14" t="str">
        <f t="shared" si="116"/>
        <v/>
      </c>
      <c r="Q1878" s="15" t="str">
        <f>IF(OR(J1878="",H1878=""),"",IFERROR(IF(ISNUMBER(N1878),N1878,IF(K1878&lt;N(INDEX(Platforms!$G$5:$G$14,MATCH(H1878,Lists!$A$2:$A$11,0))),N(INDEX(Platforms!$H$5:$H$14,MATCH(H1878,Lists!$A$2:$A$11,0))),MAX(N(INDEX(Platforms!$F$5:$F$14,MATCH(H1878,Lists!$A$2:$A$11,0))),N(INDEX(Platforms!$C$5:$C$14,MATCH(H1878,Lists!$A$2:$A$11,0)))*(K1878+IF(INDEX(Platforms!$E$5:$E$14,MATCH(H1878,Lists!$A$2:$A$11,0))="Yes",N(L1878),0))+N(INDEX(Platforms!$D$5:$D$14,MATCH(H1878,Lists!$A$2:$A$11,0)))))),""))</f>
        <v/>
      </c>
      <c r="R1878" s="16" t="str">
        <f t="shared" si="117"/>
        <v/>
      </c>
      <c r="S1878" s="17" t="str">
        <f t="shared" si="118"/>
        <v/>
      </c>
      <c r="T1878" s="18" t="str">
        <f t="shared" ca="1" si="119"/>
        <v/>
      </c>
    </row>
    <row r="1879" spans="1:20" x14ac:dyDescent="0.35">
      <c r="A1879" s="11"/>
      <c r="B1879" s="11"/>
      <c r="C1879" s="11"/>
      <c r="D1879" s="12"/>
      <c r="E1879" s="11"/>
      <c r="F1879" s="13"/>
      <c r="G1879" s="13"/>
      <c r="H1879" s="11"/>
      <c r="I1879" s="12"/>
      <c r="J1879" s="12"/>
      <c r="K1879" s="13"/>
      <c r="L1879" s="13"/>
      <c r="M1879" s="13"/>
      <c r="N1879" s="13"/>
      <c r="O1879" s="13"/>
      <c r="P1879" s="14" t="str">
        <f t="shared" si="116"/>
        <v/>
      </c>
      <c r="Q1879" s="15" t="str">
        <f>IF(OR(J1879="",H1879=""),"",IFERROR(IF(ISNUMBER(N1879),N1879,IF(K1879&lt;N(INDEX(Platforms!$G$5:$G$14,MATCH(H1879,Lists!$A$2:$A$11,0))),N(INDEX(Platforms!$H$5:$H$14,MATCH(H1879,Lists!$A$2:$A$11,0))),MAX(N(INDEX(Platforms!$F$5:$F$14,MATCH(H1879,Lists!$A$2:$A$11,0))),N(INDEX(Platforms!$C$5:$C$14,MATCH(H1879,Lists!$A$2:$A$11,0)))*(K1879+IF(INDEX(Platforms!$E$5:$E$14,MATCH(H1879,Lists!$A$2:$A$11,0))="Yes",N(L1879),0))+N(INDEX(Platforms!$D$5:$D$14,MATCH(H1879,Lists!$A$2:$A$11,0)))))),""))</f>
        <v/>
      </c>
      <c r="R1879" s="16" t="str">
        <f t="shared" si="117"/>
        <v/>
      </c>
      <c r="S1879" s="17" t="str">
        <f t="shared" si="118"/>
        <v/>
      </c>
      <c r="T1879" s="18" t="str">
        <f t="shared" ca="1" si="119"/>
        <v/>
      </c>
    </row>
    <row r="1880" spans="1:20" x14ac:dyDescent="0.35">
      <c r="A1880" s="11"/>
      <c r="B1880" s="11"/>
      <c r="C1880" s="11"/>
      <c r="D1880" s="12"/>
      <c r="E1880" s="11"/>
      <c r="F1880" s="13"/>
      <c r="G1880" s="13"/>
      <c r="H1880" s="11"/>
      <c r="I1880" s="12"/>
      <c r="J1880" s="12"/>
      <c r="K1880" s="13"/>
      <c r="L1880" s="13"/>
      <c r="M1880" s="13"/>
      <c r="N1880" s="13"/>
      <c r="O1880" s="13"/>
      <c r="P1880" s="14" t="str">
        <f t="shared" si="116"/>
        <v/>
      </c>
      <c r="Q1880" s="15" t="str">
        <f>IF(OR(J1880="",H1880=""),"",IFERROR(IF(ISNUMBER(N1880),N1880,IF(K1880&lt;N(INDEX(Platforms!$G$5:$G$14,MATCH(H1880,Lists!$A$2:$A$11,0))),N(INDEX(Platforms!$H$5:$H$14,MATCH(H1880,Lists!$A$2:$A$11,0))),MAX(N(INDEX(Platforms!$F$5:$F$14,MATCH(H1880,Lists!$A$2:$A$11,0))),N(INDEX(Platforms!$C$5:$C$14,MATCH(H1880,Lists!$A$2:$A$11,0)))*(K1880+IF(INDEX(Platforms!$E$5:$E$14,MATCH(H1880,Lists!$A$2:$A$11,0))="Yes",N(L1880),0))+N(INDEX(Platforms!$D$5:$D$14,MATCH(H1880,Lists!$A$2:$A$11,0)))))),""))</f>
        <v/>
      </c>
      <c r="R1880" s="16" t="str">
        <f t="shared" si="117"/>
        <v/>
      </c>
      <c r="S1880" s="17" t="str">
        <f t="shared" si="118"/>
        <v/>
      </c>
      <c r="T1880" s="18" t="str">
        <f t="shared" ca="1" si="119"/>
        <v/>
      </c>
    </row>
    <row r="1881" spans="1:20" x14ac:dyDescent="0.35">
      <c r="A1881" s="11"/>
      <c r="B1881" s="11"/>
      <c r="C1881" s="11"/>
      <c r="D1881" s="12"/>
      <c r="E1881" s="11"/>
      <c r="F1881" s="13"/>
      <c r="G1881" s="13"/>
      <c r="H1881" s="11"/>
      <c r="I1881" s="12"/>
      <c r="J1881" s="12"/>
      <c r="K1881" s="13"/>
      <c r="L1881" s="13"/>
      <c r="M1881" s="13"/>
      <c r="N1881" s="13"/>
      <c r="O1881" s="13"/>
      <c r="P1881" s="14" t="str">
        <f t="shared" si="116"/>
        <v/>
      </c>
      <c r="Q1881" s="15" t="str">
        <f>IF(OR(J1881="",H1881=""),"",IFERROR(IF(ISNUMBER(N1881),N1881,IF(K1881&lt;N(INDEX(Platforms!$G$5:$G$14,MATCH(H1881,Lists!$A$2:$A$11,0))),N(INDEX(Platforms!$H$5:$H$14,MATCH(H1881,Lists!$A$2:$A$11,0))),MAX(N(INDEX(Platforms!$F$5:$F$14,MATCH(H1881,Lists!$A$2:$A$11,0))),N(INDEX(Platforms!$C$5:$C$14,MATCH(H1881,Lists!$A$2:$A$11,0)))*(K1881+IF(INDEX(Platforms!$E$5:$E$14,MATCH(H1881,Lists!$A$2:$A$11,0))="Yes",N(L1881),0))+N(INDEX(Platforms!$D$5:$D$14,MATCH(H1881,Lists!$A$2:$A$11,0)))))),""))</f>
        <v/>
      </c>
      <c r="R1881" s="16" t="str">
        <f t="shared" si="117"/>
        <v/>
      </c>
      <c r="S1881" s="17" t="str">
        <f t="shared" si="118"/>
        <v/>
      </c>
      <c r="T1881" s="18" t="str">
        <f t="shared" ca="1" si="119"/>
        <v/>
      </c>
    </row>
    <row r="1882" spans="1:20" x14ac:dyDescent="0.35">
      <c r="A1882" s="11"/>
      <c r="B1882" s="11"/>
      <c r="C1882" s="11"/>
      <c r="D1882" s="12"/>
      <c r="E1882" s="11"/>
      <c r="F1882" s="13"/>
      <c r="G1882" s="13"/>
      <c r="H1882" s="11"/>
      <c r="I1882" s="12"/>
      <c r="J1882" s="12"/>
      <c r="K1882" s="13"/>
      <c r="L1882" s="13"/>
      <c r="M1882" s="13"/>
      <c r="N1882" s="13"/>
      <c r="O1882" s="13"/>
      <c r="P1882" s="14" t="str">
        <f t="shared" si="116"/>
        <v/>
      </c>
      <c r="Q1882" s="15" t="str">
        <f>IF(OR(J1882="",H1882=""),"",IFERROR(IF(ISNUMBER(N1882),N1882,IF(K1882&lt;N(INDEX(Platforms!$G$5:$G$14,MATCH(H1882,Lists!$A$2:$A$11,0))),N(INDEX(Platforms!$H$5:$H$14,MATCH(H1882,Lists!$A$2:$A$11,0))),MAX(N(INDEX(Platforms!$F$5:$F$14,MATCH(H1882,Lists!$A$2:$A$11,0))),N(INDEX(Platforms!$C$5:$C$14,MATCH(H1882,Lists!$A$2:$A$11,0)))*(K1882+IF(INDEX(Platforms!$E$5:$E$14,MATCH(H1882,Lists!$A$2:$A$11,0))="Yes",N(L1882),0))+N(INDEX(Platforms!$D$5:$D$14,MATCH(H1882,Lists!$A$2:$A$11,0)))))),""))</f>
        <v/>
      </c>
      <c r="R1882" s="16" t="str">
        <f t="shared" si="117"/>
        <v/>
      </c>
      <c r="S1882" s="17" t="str">
        <f t="shared" si="118"/>
        <v/>
      </c>
      <c r="T1882" s="18" t="str">
        <f t="shared" ca="1" si="119"/>
        <v/>
      </c>
    </row>
    <row r="1883" spans="1:20" x14ac:dyDescent="0.35">
      <c r="A1883" s="11"/>
      <c r="B1883" s="11"/>
      <c r="C1883" s="11"/>
      <c r="D1883" s="12"/>
      <c r="E1883" s="11"/>
      <c r="F1883" s="13"/>
      <c r="G1883" s="13"/>
      <c r="H1883" s="11"/>
      <c r="I1883" s="12"/>
      <c r="J1883" s="12"/>
      <c r="K1883" s="13"/>
      <c r="L1883" s="13"/>
      <c r="M1883" s="13"/>
      <c r="N1883" s="13"/>
      <c r="O1883" s="13"/>
      <c r="P1883" s="14" t="str">
        <f t="shared" si="116"/>
        <v/>
      </c>
      <c r="Q1883" s="15" t="str">
        <f>IF(OR(J1883="",H1883=""),"",IFERROR(IF(ISNUMBER(N1883),N1883,IF(K1883&lt;N(INDEX(Platforms!$G$5:$G$14,MATCH(H1883,Lists!$A$2:$A$11,0))),N(INDEX(Platforms!$H$5:$H$14,MATCH(H1883,Lists!$A$2:$A$11,0))),MAX(N(INDEX(Platforms!$F$5:$F$14,MATCH(H1883,Lists!$A$2:$A$11,0))),N(INDEX(Platforms!$C$5:$C$14,MATCH(H1883,Lists!$A$2:$A$11,0)))*(K1883+IF(INDEX(Platforms!$E$5:$E$14,MATCH(H1883,Lists!$A$2:$A$11,0))="Yes",N(L1883),0))+N(INDEX(Platforms!$D$5:$D$14,MATCH(H1883,Lists!$A$2:$A$11,0)))))),""))</f>
        <v/>
      </c>
      <c r="R1883" s="16" t="str">
        <f t="shared" si="117"/>
        <v/>
      </c>
      <c r="S1883" s="17" t="str">
        <f t="shared" si="118"/>
        <v/>
      </c>
      <c r="T1883" s="18" t="str">
        <f t="shared" ca="1" si="119"/>
        <v/>
      </c>
    </row>
    <row r="1884" spans="1:20" x14ac:dyDescent="0.35">
      <c r="A1884" s="11"/>
      <c r="B1884" s="11"/>
      <c r="C1884" s="11"/>
      <c r="D1884" s="12"/>
      <c r="E1884" s="11"/>
      <c r="F1884" s="13"/>
      <c r="G1884" s="13"/>
      <c r="H1884" s="11"/>
      <c r="I1884" s="12"/>
      <c r="J1884" s="12"/>
      <c r="K1884" s="13"/>
      <c r="L1884" s="13"/>
      <c r="M1884" s="13"/>
      <c r="N1884" s="13"/>
      <c r="O1884" s="13"/>
      <c r="P1884" s="14" t="str">
        <f t="shared" si="116"/>
        <v/>
      </c>
      <c r="Q1884" s="15" t="str">
        <f>IF(OR(J1884="",H1884=""),"",IFERROR(IF(ISNUMBER(N1884),N1884,IF(K1884&lt;N(INDEX(Platforms!$G$5:$G$14,MATCH(H1884,Lists!$A$2:$A$11,0))),N(INDEX(Platforms!$H$5:$H$14,MATCH(H1884,Lists!$A$2:$A$11,0))),MAX(N(INDEX(Platforms!$F$5:$F$14,MATCH(H1884,Lists!$A$2:$A$11,0))),N(INDEX(Platforms!$C$5:$C$14,MATCH(H1884,Lists!$A$2:$A$11,0)))*(K1884+IF(INDEX(Platforms!$E$5:$E$14,MATCH(H1884,Lists!$A$2:$A$11,0))="Yes",N(L1884),0))+N(INDEX(Platforms!$D$5:$D$14,MATCH(H1884,Lists!$A$2:$A$11,0)))))),""))</f>
        <v/>
      </c>
      <c r="R1884" s="16" t="str">
        <f t="shared" si="117"/>
        <v/>
      </c>
      <c r="S1884" s="17" t="str">
        <f t="shared" si="118"/>
        <v/>
      </c>
      <c r="T1884" s="18" t="str">
        <f t="shared" ca="1" si="119"/>
        <v/>
      </c>
    </row>
    <row r="1885" spans="1:20" x14ac:dyDescent="0.35">
      <c r="A1885" s="11"/>
      <c r="B1885" s="11"/>
      <c r="C1885" s="11"/>
      <c r="D1885" s="12"/>
      <c r="E1885" s="11"/>
      <c r="F1885" s="13"/>
      <c r="G1885" s="13"/>
      <c r="H1885" s="11"/>
      <c r="I1885" s="12"/>
      <c r="J1885" s="12"/>
      <c r="K1885" s="13"/>
      <c r="L1885" s="13"/>
      <c r="M1885" s="13"/>
      <c r="N1885" s="13"/>
      <c r="O1885" s="13"/>
      <c r="P1885" s="14" t="str">
        <f t="shared" si="116"/>
        <v/>
      </c>
      <c r="Q1885" s="15" t="str">
        <f>IF(OR(J1885="",H1885=""),"",IFERROR(IF(ISNUMBER(N1885),N1885,IF(K1885&lt;N(INDEX(Platforms!$G$5:$G$14,MATCH(H1885,Lists!$A$2:$A$11,0))),N(INDEX(Platforms!$H$5:$H$14,MATCH(H1885,Lists!$A$2:$A$11,0))),MAX(N(INDEX(Platforms!$F$5:$F$14,MATCH(H1885,Lists!$A$2:$A$11,0))),N(INDEX(Platforms!$C$5:$C$14,MATCH(H1885,Lists!$A$2:$A$11,0)))*(K1885+IF(INDEX(Platforms!$E$5:$E$14,MATCH(H1885,Lists!$A$2:$A$11,0))="Yes",N(L1885),0))+N(INDEX(Platforms!$D$5:$D$14,MATCH(H1885,Lists!$A$2:$A$11,0)))))),""))</f>
        <v/>
      </c>
      <c r="R1885" s="16" t="str">
        <f t="shared" si="117"/>
        <v/>
      </c>
      <c r="S1885" s="17" t="str">
        <f t="shared" si="118"/>
        <v/>
      </c>
      <c r="T1885" s="18" t="str">
        <f t="shared" ca="1" si="119"/>
        <v/>
      </c>
    </row>
    <row r="1886" spans="1:20" x14ac:dyDescent="0.35">
      <c r="A1886" s="11"/>
      <c r="B1886" s="11"/>
      <c r="C1886" s="11"/>
      <c r="D1886" s="12"/>
      <c r="E1886" s="11"/>
      <c r="F1886" s="13"/>
      <c r="G1886" s="13"/>
      <c r="H1886" s="11"/>
      <c r="I1886" s="12"/>
      <c r="J1886" s="12"/>
      <c r="K1886" s="13"/>
      <c r="L1886" s="13"/>
      <c r="M1886" s="13"/>
      <c r="N1886" s="13"/>
      <c r="O1886" s="13"/>
      <c r="P1886" s="14" t="str">
        <f t="shared" si="116"/>
        <v/>
      </c>
      <c r="Q1886" s="15" t="str">
        <f>IF(OR(J1886="",H1886=""),"",IFERROR(IF(ISNUMBER(N1886),N1886,IF(K1886&lt;N(INDEX(Platforms!$G$5:$G$14,MATCH(H1886,Lists!$A$2:$A$11,0))),N(INDEX(Platforms!$H$5:$H$14,MATCH(H1886,Lists!$A$2:$A$11,0))),MAX(N(INDEX(Platforms!$F$5:$F$14,MATCH(H1886,Lists!$A$2:$A$11,0))),N(INDEX(Platforms!$C$5:$C$14,MATCH(H1886,Lists!$A$2:$A$11,0)))*(K1886+IF(INDEX(Platforms!$E$5:$E$14,MATCH(H1886,Lists!$A$2:$A$11,0))="Yes",N(L1886),0))+N(INDEX(Platforms!$D$5:$D$14,MATCH(H1886,Lists!$A$2:$A$11,0)))))),""))</f>
        <v/>
      </c>
      <c r="R1886" s="16" t="str">
        <f t="shared" si="117"/>
        <v/>
      </c>
      <c r="S1886" s="17" t="str">
        <f t="shared" si="118"/>
        <v/>
      </c>
      <c r="T1886" s="18" t="str">
        <f t="shared" ca="1" si="119"/>
        <v/>
      </c>
    </row>
    <row r="1887" spans="1:20" x14ac:dyDescent="0.35">
      <c r="A1887" s="11"/>
      <c r="B1887" s="11"/>
      <c r="C1887" s="11"/>
      <c r="D1887" s="12"/>
      <c r="E1887" s="11"/>
      <c r="F1887" s="13"/>
      <c r="G1887" s="13"/>
      <c r="H1887" s="11"/>
      <c r="I1887" s="12"/>
      <c r="J1887" s="12"/>
      <c r="K1887" s="13"/>
      <c r="L1887" s="13"/>
      <c r="M1887" s="13"/>
      <c r="N1887" s="13"/>
      <c r="O1887" s="13"/>
      <c r="P1887" s="14" t="str">
        <f t="shared" si="116"/>
        <v/>
      </c>
      <c r="Q1887" s="15" t="str">
        <f>IF(OR(J1887="",H1887=""),"",IFERROR(IF(ISNUMBER(N1887),N1887,IF(K1887&lt;N(INDEX(Platforms!$G$5:$G$14,MATCH(H1887,Lists!$A$2:$A$11,0))),N(INDEX(Platforms!$H$5:$H$14,MATCH(H1887,Lists!$A$2:$A$11,0))),MAX(N(INDEX(Platforms!$F$5:$F$14,MATCH(H1887,Lists!$A$2:$A$11,0))),N(INDEX(Platforms!$C$5:$C$14,MATCH(H1887,Lists!$A$2:$A$11,0)))*(K1887+IF(INDEX(Platforms!$E$5:$E$14,MATCH(H1887,Lists!$A$2:$A$11,0))="Yes",N(L1887),0))+N(INDEX(Platforms!$D$5:$D$14,MATCH(H1887,Lists!$A$2:$A$11,0)))))),""))</f>
        <v/>
      </c>
      <c r="R1887" s="16" t="str">
        <f t="shared" si="117"/>
        <v/>
      </c>
      <c r="S1887" s="17" t="str">
        <f t="shared" si="118"/>
        <v/>
      </c>
      <c r="T1887" s="18" t="str">
        <f t="shared" ca="1" si="119"/>
        <v/>
      </c>
    </row>
    <row r="1888" spans="1:20" x14ac:dyDescent="0.35">
      <c r="A1888" s="11"/>
      <c r="B1888" s="11"/>
      <c r="C1888" s="11"/>
      <c r="D1888" s="12"/>
      <c r="E1888" s="11"/>
      <c r="F1888" s="13"/>
      <c r="G1888" s="13"/>
      <c r="H1888" s="11"/>
      <c r="I1888" s="12"/>
      <c r="J1888" s="12"/>
      <c r="K1888" s="13"/>
      <c r="L1888" s="13"/>
      <c r="M1888" s="13"/>
      <c r="N1888" s="13"/>
      <c r="O1888" s="13"/>
      <c r="P1888" s="14" t="str">
        <f t="shared" si="116"/>
        <v/>
      </c>
      <c r="Q1888" s="15" t="str">
        <f>IF(OR(J1888="",H1888=""),"",IFERROR(IF(ISNUMBER(N1888),N1888,IF(K1888&lt;N(INDEX(Platforms!$G$5:$G$14,MATCH(H1888,Lists!$A$2:$A$11,0))),N(INDEX(Platforms!$H$5:$H$14,MATCH(H1888,Lists!$A$2:$A$11,0))),MAX(N(INDEX(Platforms!$F$5:$F$14,MATCH(H1888,Lists!$A$2:$A$11,0))),N(INDEX(Platforms!$C$5:$C$14,MATCH(H1888,Lists!$A$2:$A$11,0)))*(K1888+IF(INDEX(Platforms!$E$5:$E$14,MATCH(H1888,Lists!$A$2:$A$11,0))="Yes",N(L1888),0))+N(INDEX(Platforms!$D$5:$D$14,MATCH(H1888,Lists!$A$2:$A$11,0)))))),""))</f>
        <v/>
      </c>
      <c r="R1888" s="16" t="str">
        <f t="shared" si="117"/>
        <v/>
      </c>
      <c r="S1888" s="17" t="str">
        <f t="shared" si="118"/>
        <v/>
      </c>
      <c r="T1888" s="18" t="str">
        <f t="shared" ca="1" si="119"/>
        <v/>
      </c>
    </row>
    <row r="1889" spans="1:20" x14ac:dyDescent="0.35">
      <c r="A1889" s="11"/>
      <c r="B1889" s="11"/>
      <c r="C1889" s="11"/>
      <c r="D1889" s="12"/>
      <c r="E1889" s="11"/>
      <c r="F1889" s="13"/>
      <c r="G1889" s="13"/>
      <c r="H1889" s="11"/>
      <c r="I1889" s="12"/>
      <c r="J1889" s="12"/>
      <c r="K1889" s="13"/>
      <c r="L1889" s="13"/>
      <c r="M1889" s="13"/>
      <c r="N1889" s="13"/>
      <c r="O1889" s="13"/>
      <c r="P1889" s="14" t="str">
        <f t="shared" si="116"/>
        <v/>
      </c>
      <c r="Q1889" s="15" t="str">
        <f>IF(OR(J1889="",H1889=""),"",IFERROR(IF(ISNUMBER(N1889),N1889,IF(K1889&lt;N(INDEX(Platforms!$G$5:$G$14,MATCH(H1889,Lists!$A$2:$A$11,0))),N(INDEX(Platforms!$H$5:$H$14,MATCH(H1889,Lists!$A$2:$A$11,0))),MAX(N(INDEX(Platforms!$F$5:$F$14,MATCH(H1889,Lists!$A$2:$A$11,0))),N(INDEX(Platforms!$C$5:$C$14,MATCH(H1889,Lists!$A$2:$A$11,0)))*(K1889+IF(INDEX(Platforms!$E$5:$E$14,MATCH(H1889,Lists!$A$2:$A$11,0))="Yes",N(L1889),0))+N(INDEX(Platforms!$D$5:$D$14,MATCH(H1889,Lists!$A$2:$A$11,0)))))),""))</f>
        <v/>
      </c>
      <c r="R1889" s="16" t="str">
        <f t="shared" si="117"/>
        <v/>
      </c>
      <c r="S1889" s="17" t="str">
        <f t="shared" si="118"/>
        <v/>
      </c>
      <c r="T1889" s="18" t="str">
        <f t="shared" ca="1" si="119"/>
        <v/>
      </c>
    </row>
    <row r="1890" spans="1:20" x14ac:dyDescent="0.35">
      <c r="A1890" s="11"/>
      <c r="B1890" s="11"/>
      <c r="C1890" s="11"/>
      <c r="D1890" s="12"/>
      <c r="E1890" s="11"/>
      <c r="F1890" s="13"/>
      <c r="G1890" s="13"/>
      <c r="H1890" s="11"/>
      <c r="I1890" s="12"/>
      <c r="J1890" s="12"/>
      <c r="K1890" s="13"/>
      <c r="L1890" s="13"/>
      <c r="M1890" s="13"/>
      <c r="N1890" s="13"/>
      <c r="O1890" s="13"/>
      <c r="P1890" s="14" t="str">
        <f t="shared" si="116"/>
        <v/>
      </c>
      <c r="Q1890" s="15" t="str">
        <f>IF(OR(J1890="",H1890=""),"",IFERROR(IF(ISNUMBER(N1890),N1890,IF(K1890&lt;N(INDEX(Platforms!$G$5:$G$14,MATCH(H1890,Lists!$A$2:$A$11,0))),N(INDEX(Platforms!$H$5:$H$14,MATCH(H1890,Lists!$A$2:$A$11,0))),MAX(N(INDEX(Platforms!$F$5:$F$14,MATCH(H1890,Lists!$A$2:$A$11,0))),N(INDEX(Platforms!$C$5:$C$14,MATCH(H1890,Lists!$A$2:$A$11,0)))*(K1890+IF(INDEX(Platforms!$E$5:$E$14,MATCH(H1890,Lists!$A$2:$A$11,0))="Yes",N(L1890),0))+N(INDEX(Platforms!$D$5:$D$14,MATCH(H1890,Lists!$A$2:$A$11,0)))))),""))</f>
        <v/>
      </c>
      <c r="R1890" s="16" t="str">
        <f t="shared" si="117"/>
        <v/>
      </c>
      <c r="S1890" s="17" t="str">
        <f t="shared" si="118"/>
        <v/>
      </c>
      <c r="T1890" s="18" t="str">
        <f t="shared" ca="1" si="119"/>
        <v/>
      </c>
    </row>
    <row r="1891" spans="1:20" x14ac:dyDescent="0.35">
      <c r="A1891" s="11"/>
      <c r="B1891" s="11"/>
      <c r="C1891" s="11"/>
      <c r="D1891" s="12"/>
      <c r="E1891" s="11"/>
      <c r="F1891" s="13"/>
      <c r="G1891" s="13"/>
      <c r="H1891" s="11"/>
      <c r="I1891" s="12"/>
      <c r="J1891" s="12"/>
      <c r="K1891" s="13"/>
      <c r="L1891" s="13"/>
      <c r="M1891" s="13"/>
      <c r="N1891" s="13"/>
      <c r="O1891" s="13"/>
      <c r="P1891" s="14" t="str">
        <f t="shared" si="116"/>
        <v/>
      </c>
      <c r="Q1891" s="15" t="str">
        <f>IF(OR(J1891="",H1891=""),"",IFERROR(IF(ISNUMBER(N1891),N1891,IF(K1891&lt;N(INDEX(Platforms!$G$5:$G$14,MATCH(H1891,Lists!$A$2:$A$11,0))),N(INDEX(Platforms!$H$5:$H$14,MATCH(H1891,Lists!$A$2:$A$11,0))),MAX(N(INDEX(Platforms!$F$5:$F$14,MATCH(H1891,Lists!$A$2:$A$11,0))),N(INDEX(Platforms!$C$5:$C$14,MATCH(H1891,Lists!$A$2:$A$11,0)))*(K1891+IF(INDEX(Platforms!$E$5:$E$14,MATCH(H1891,Lists!$A$2:$A$11,0))="Yes",N(L1891),0))+N(INDEX(Platforms!$D$5:$D$14,MATCH(H1891,Lists!$A$2:$A$11,0)))))),""))</f>
        <v/>
      </c>
      <c r="R1891" s="16" t="str">
        <f t="shared" si="117"/>
        <v/>
      </c>
      <c r="S1891" s="17" t="str">
        <f t="shared" si="118"/>
        <v/>
      </c>
      <c r="T1891" s="18" t="str">
        <f t="shared" ca="1" si="119"/>
        <v/>
      </c>
    </row>
    <row r="1892" spans="1:20" x14ac:dyDescent="0.35">
      <c r="A1892" s="11"/>
      <c r="B1892" s="11"/>
      <c r="C1892" s="11"/>
      <c r="D1892" s="12"/>
      <c r="E1892" s="11"/>
      <c r="F1892" s="13"/>
      <c r="G1892" s="13"/>
      <c r="H1892" s="11"/>
      <c r="I1892" s="12"/>
      <c r="J1892" s="12"/>
      <c r="K1892" s="13"/>
      <c r="L1892" s="13"/>
      <c r="M1892" s="13"/>
      <c r="N1892" s="13"/>
      <c r="O1892" s="13"/>
      <c r="P1892" s="14" t="str">
        <f t="shared" si="116"/>
        <v/>
      </c>
      <c r="Q1892" s="15" t="str">
        <f>IF(OR(J1892="",H1892=""),"",IFERROR(IF(ISNUMBER(N1892),N1892,IF(K1892&lt;N(INDEX(Platforms!$G$5:$G$14,MATCH(H1892,Lists!$A$2:$A$11,0))),N(INDEX(Platforms!$H$5:$H$14,MATCH(H1892,Lists!$A$2:$A$11,0))),MAX(N(INDEX(Platforms!$F$5:$F$14,MATCH(H1892,Lists!$A$2:$A$11,0))),N(INDEX(Platforms!$C$5:$C$14,MATCH(H1892,Lists!$A$2:$A$11,0)))*(K1892+IF(INDEX(Platforms!$E$5:$E$14,MATCH(H1892,Lists!$A$2:$A$11,0))="Yes",N(L1892),0))+N(INDEX(Platforms!$D$5:$D$14,MATCH(H1892,Lists!$A$2:$A$11,0)))))),""))</f>
        <v/>
      </c>
      <c r="R1892" s="16" t="str">
        <f t="shared" si="117"/>
        <v/>
      </c>
      <c r="S1892" s="17" t="str">
        <f t="shared" si="118"/>
        <v/>
      </c>
      <c r="T1892" s="18" t="str">
        <f t="shared" ca="1" si="119"/>
        <v/>
      </c>
    </row>
    <row r="1893" spans="1:20" x14ac:dyDescent="0.35">
      <c r="A1893" s="11"/>
      <c r="B1893" s="11"/>
      <c r="C1893" s="11"/>
      <c r="D1893" s="12"/>
      <c r="E1893" s="11"/>
      <c r="F1893" s="13"/>
      <c r="G1893" s="13"/>
      <c r="H1893" s="11"/>
      <c r="I1893" s="12"/>
      <c r="J1893" s="12"/>
      <c r="K1893" s="13"/>
      <c r="L1893" s="13"/>
      <c r="M1893" s="13"/>
      <c r="N1893" s="13"/>
      <c r="O1893" s="13"/>
      <c r="P1893" s="14" t="str">
        <f t="shared" si="116"/>
        <v/>
      </c>
      <c r="Q1893" s="15" t="str">
        <f>IF(OR(J1893="",H1893=""),"",IFERROR(IF(ISNUMBER(N1893),N1893,IF(K1893&lt;N(INDEX(Platforms!$G$5:$G$14,MATCH(H1893,Lists!$A$2:$A$11,0))),N(INDEX(Platforms!$H$5:$H$14,MATCH(H1893,Lists!$A$2:$A$11,0))),MAX(N(INDEX(Platforms!$F$5:$F$14,MATCH(H1893,Lists!$A$2:$A$11,0))),N(INDEX(Platforms!$C$5:$C$14,MATCH(H1893,Lists!$A$2:$A$11,0)))*(K1893+IF(INDEX(Platforms!$E$5:$E$14,MATCH(H1893,Lists!$A$2:$A$11,0))="Yes",N(L1893),0))+N(INDEX(Platforms!$D$5:$D$14,MATCH(H1893,Lists!$A$2:$A$11,0)))))),""))</f>
        <v/>
      </c>
      <c r="R1893" s="16" t="str">
        <f t="shared" si="117"/>
        <v/>
      </c>
      <c r="S1893" s="17" t="str">
        <f t="shared" si="118"/>
        <v/>
      </c>
      <c r="T1893" s="18" t="str">
        <f t="shared" ca="1" si="119"/>
        <v/>
      </c>
    </row>
    <row r="1894" spans="1:20" x14ac:dyDescent="0.35">
      <c r="A1894" s="11"/>
      <c r="B1894" s="11"/>
      <c r="C1894" s="11"/>
      <c r="D1894" s="12"/>
      <c r="E1894" s="11"/>
      <c r="F1894" s="13"/>
      <c r="G1894" s="13"/>
      <c r="H1894" s="11"/>
      <c r="I1894" s="12"/>
      <c r="J1894" s="12"/>
      <c r="K1894" s="13"/>
      <c r="L1894" s="13"/>
      <c r="M1894" s="13"/>
      <c r="N1894" s="13"/>
      <c r="O1894" s="13"/>
      <c r="P1894" s="14" t="str">
        <f t="shared" si="116"/>
        <v/>
      </c>
      <c r="Q1894" s="15" t="str">
        <f>IF(OR(J1894="",H1894=""),"",IFERROR(IF(ISNUMBER(N1894),N1894,IF(K1894&lt;N(INDEX(Platforms!$G$5:$G$14,MATCH(H1894,Lists!$A$2:$A$11,0))),N(INDEX(Platforms!$H$5:$H$14,MATCH(H1894,Lists!$A$2:$A$11,0))),MAX(N(INDEX(Platforms!$F$5:$F$14,MATCH(H1894,Lists!$A$2:$A$11,0))),N(INDEX(Platforms!$C$5:$C$14,MATCH(H1894,Lists!$A$2:$A$11,0)))*(K1894+IF(INDEX(Platforms!$E$5:$E$14,MATCH(H1894,Lists!$A$2:$A$11,0))="Yes",N(L1894),0))+N(INDEX(Platforms!$D$5:$D$14,MATCH(H1894,Lists!$A$2:$A$11,0)))))),""))</f>
        <v/>
      </c>
      <c r="R1894" s="16" t="str">
        <f t="shared" si="117"/>
        <v/>
      </c>
      <c r="S1894" s="17" t="str">
        <f t="shared" si="118"/>
        <v/>
      </c>
      <c r="T1894" s="18" t="str">
        <f t="shared" ca="1" si="119"/>
        <v/>
      </c>
    </row>
    <row r="1895" spans="1:20" x14ac:dyDescent="0.35">
      <c r="A1895" s="11"/>
      <c r="B1895" s="11"/>
      <c r="C1895" s="11"/>
      <c r="D1895" s="12"/>
      <c r="E1895" s="11"/>
      <c r="F1895" s="13"/>
      <c r="G1895" s="13"/>
      <c r="H1895" s="11"/>
      <c r="I1895" s="12"/>
      <c r="J1895" s="12"/>
      <c r="K1895" s="13"/>
      <c r="L1895" s="13"/>
      <c r="M1895" s="13"/>
      <c r="N1895" s="13"/>
      <c r="O1895" s="13"/>
      <c r="P1895" s="14" t="str">
        <f t="shared" si="116"/>
        <v/>
      </c>
      <c r="Q1895" s="15" t="str">
        <f>IF(OR(J1895="",H1895=""),"",IFERROR(IF(ISNUMBER(N1895),N1895,IF(K1895&lt;N(INDEX(Platforms!$G$5:$G$14,MATCH(H1895,Lists!$A$2:$A$11,0))),N(INDEX(Platforms!$H$5:$H$14,MATCH(H1895,Lists!$A$2:$A$11,0))),MAX(N(INDEX(Platforms!$F$5:$F$14,MATCH(H1895,Lists!$A$2:$A$11,0))),N(INDEX(Platforms!$C$5:$C$14,MATCH(H1895,Lists!$A$2:$A$11,0)))*(K1895+IF(INDEX(Platforms!$E$5:$E$14,MATCH(H1895,Lists!$A$2:$A$11,0))="Yes",N(L1895),0))+N(INDEX(Platforms!$D$5:$D$14,MATCH(H1895,Lists!$A$2:$A$11,0)))))),""))</f>
        <v/>
      </c>
      <c r="R1895" s="16" t="str">
        <f t="shared" si="117"/>
        <v/>
      </c>
      <c r="S1895" s="17" t="str">
        <f t="shared" si="118"/>
        <v/>
      </c>
      <c r="T1895" s="18" t="str">
        <f t="shared" ca="1" si="119"/>
        <v/>
      </c>
    </row>
    <row r="1896" spans="1:20" x14ac:dyDescent="0.35">
      <c r="A1896" s="11"/>
      <c r="B1896" s="11"/>
      <c r="C1896" s="11"/>
      <c r="D1896" s="12"/>
      <c r="E1896" s="11"/>
      <c r="F1896" s="13"/>
      <c r="G1896" s="13"/>
      <c r="H1896" s="11"/>
      <c r="I1896" s="12"/>
      <c r="J1896" s="12"/>
      <c r="K1896" s="13"/>
      <c r="L1896" s="13"/>
      <c r="M1896" s="13"/>
      <c r="N1896" s="13"/>
      <c r="O1896" s="13"/>
      <c r="P1896" s="14" t="str">
        <f t="shared" si="116"/>
        <v/>
      </c>
      <c r="Q1896" s="15" t="str">
        <f>IF(OR(J1896="",H1896=""),"",IFERROR(IF(ISNUMBER(N1896),N1896,IF(K1896&lt;N(INDEX(Platforms!$G$5:$G$14,MATCH(H1896,Lists!$A$2:$A$11,0))),N(INDEX(Platforms!$H$5:$H$14,MATCH(H1896,Lists!$A$2:$A$11,0))),MAX(N(INDEX(Platforms!$F$5:$F$14,MATCH(H1896,Lists!$A$2:$A$11,0))),N(INDEX(Platforms!$C$5:$C$14,MATCH(H1896,Lists!$A$2:$A$11,0)))*(K1896+IF(INDEX(Platforms!$E$5:$E$14,MATCH(H1896,Lists!$A$2:$A$11,0))="Yes",N(L1896),0))+N(INDEX(Platforms!$D$5:$D$14,MATCH(H1896,Lists!$A$2:$A$11,0)))))),""))</f>
        <v/>
      </c>
      <c r="R1896" s="16" t="str">
        <f t="shared" si="117"/>
        <v/>
      </c>
      <c r="S1896" s="17" t="str">
        <f t="shared" si="118"/>
        <v/>
      </c>
      <c r="T1896" s="18" t="str">
        <f t="shared" ca="1" si="119"/>
        <v/>
      </c>
    </row>
    <row r="1897" spans="1:20" x14ac:dyDescent="0.35">
      <c r="A1897" s="11"/>
      <c r="B1897" s="11"/>
      <c r="C1897" s="11"/>
      <c r="D1897" s="12"/>
      <c r="E1897" s="11"/>
      <c r="F1897" s="13"/>
      <c r="G1897" s="13"/>
      <c r="H1897" s="11"/>
      <c r="I1897" s="12"/>
      <c r="J1897" s="12"/>
      <c r="K1897" s="13"/>
      <c r="L1897" s="13"/>
      <c r="M1897" s="13"/>
      <c r="N1897" s="13"/>
      <c r="O1897" s="13"/>
      <c r="P1897" s="14" t="str">
        <f t="shared" si="116"/>
        <v/>
      </c>
      <c r="Q1897" s="15" t="str">
        <f>IF(OR(J1897="",H1897=""),"",IFERROR(IF(ISNUMBER(N1897),N1897,IF(K1897&lt;N(INDEX(Platforms!$G$5:$G$14,MATCH(H1897,Lists!$A$2:$A$11,0))),N(INDEX(Platforms!$H$5:$H$14,MATCH(H1897,Lists!$A$2:$A$11,0))),MAX(N(INDEX(Platforms!$F$5:$F$14,MATCH(H1897,Lists!$A$2:$A$11,0))),N(INDEX(Platforms!$C$5:$C$14,MATCH(H1897,Lists!$A$2:$A$11,0)))*(K1897+IF(INDEX(Platforms!$E$5:$E$14,MATCH(H1897,Lists!$A$2:$A$11,0))="Yes",N(L1897),0))+N(INDEX(Platforms!$D$5:$D$14,MATCH(H1897,Lists!$A$2:$A$11,0)))))),""))</f>
        <v/>
      </c>
      <c r="R1897" s="16" t="str">
        <f t="shared" si="117"/>
        <v/>
      </c>
      <c r="S1897" s="17" t="str">
        <f t="shared" si="118"/>
        <v/>
      </c>
      <c r="T1897" s="18" t="str">
        <f t="shared" ca="1" si="119"/>
        <v/>
      </c>
    </row>
    <row r="1898" spans="1:20" x14ac:dyDescent="0.35">
      <c r="A1898" s="11"/>
      <c r="B1898" s="11"/>
      <c r="C1898" s="11"/>
      <c r="D1898" s="12"/>
      <c r="E1898" s="11"/>
      <c r="F1898" s="13"/>
      <c r="G1898" s="13"/>
      <c r="H1898" s="11"/>
      <c r="I1898" s="12"/>
      <c r="J1898" s="12"/>
      <c r="K1898" s="13"/>
      <c r="L1898" s="13"/>
      <c r="M1898" s="13"/>
      <c r="N1898" s="13"/>
      <c r="O1898" s="13"/>
      <c r="P1898" s="14" t="str">
        <f t="shared" si="116"/>
        <v/>
      </c>
      <c r="Q1898" s="15" t="str">
        <f>IF(OR(J1898="",H1898=""),"",IFERROR(IF(ISNUMBER(N1898),N1898,IF(K1898&lt;N(INDEX(Platforms!$G$5:$G$14,MATCH(H1898,Lists!$A$2:$A$11,0))),N(INDEX(Platforms!$H$5:$H$14,MATCH(H1898,Lists!$A$2:$A$11,0))),MAX(N(INDEX(Platforms!$F$5:$F$14,MATCH(H1898,Lists!$A$2:$A$11,0))),N(INDEX(Platforms!$C$5:$C$14,MATCH(H1898,Lists!$A$2:$A$11,0)))*(K1898+IF(INDEX(Platforms!$E$5:$E$14,MATCH(H1898,Lists!$A$2:$A$11,0))="Yes",N(L1898),0))+N(INDEX(Platforms!$D$5:$D$14,MATCH(H1898,Lists!$A$2:$A$11,0)))))),""))</f>
        <v/>
      </c>
      <c r="R1898" s="16" t="str">
        <f t="shared" si="117"/>
        <v/>
      </c>
      <c r="S1898" s="17" t="str">
        <f t="shared" si="118"/>
        <v/>
      </c>
      <c r="T1898" s="18" t="str">
        <f t="shared" ca="1" si="119"/>
        <v/>
      </c>
    </row>
    <row r="1899" spans="1:20" x14ac:dyDescent="0.35">
      <c r="A1899" s="11"/>
      <c r="B1899" s="11"/>
      <c r="C1899" s="11"/>
      <c r="D1899" s="12"/>
      <c r="E1899" s="11"/>
      <c r="F1899" s="13"/>
      <c r="G1899" s="13"/>
      <c r="H1899" s="11"/>
      <c r="I1899" s="12"/>
      <c r="J1899" s="12"/>
      <c r="K1899" s="13"/>
      <c r="L1899" s="13"/>
      <c r="M1899" s="13"/>
      <c r="N1899" s="13"/>
      <c r="O1899" s="13"/>
      <c r="P1899" s="14" t="str">
        <f t="shared" si="116"/>
        <v/>
      </c>
      <c r="Q1899" s="15" t="str">
        <f>IF(OR(J1899="",H1899=""),"",IFERROR(IF(ISNUMBER(N1899),N1899,IF(K1899&lt;N(INDEX(Platforms!$G$5:$G$14,MATCH(H1899,Lists!$A$2:$A$11,0))),N(INDEX(Platforms!$H$5:$H$14,MATCH(H1899,Lists!$A$2:$A$11,0))),MAX(N(INDEX(Platforms!$F$5:$F$14,MATCH(H1899,Lists!$A$2:$A$11,0))),N(INDEX(Platforms!$C$5:$C$14,MATCH(H1899,Lists!$A$2:$A$11,0)))*(K1899+IF(INDEX(Platforms!$E$5:$E$14,MATCH(H1899,Lists!$A$2:$A$11,0))="Yes",N(L1899),0))+N(INDEX(Platforms!$D$5:$D$14,MATCH(H1899,Lists!$A$2:$A$11,0)))))),""))</f>
        <v/>
      </c>
      <c r="R1899" s="16" t="str">
        <f t="shared" si="117"/>
        <v/>
      </c>
      <c r="S1899" s="17" t="str">
        <f t="shared" si="118"/>
        <v/>
      </c>
      <c r="T1899" s="18" t="str">
        <f t="shared" ca="1" si="119"/>
        <v/>
      </c>
    </row>
    <row r="1900" spans="1:20" x14ac:dyDescent="0.35">
      <c r="A1900" s="11"/>
      <c r="B1900" s="11"/>
      <c r="C1900" s="11"/>
      <c r="D1900" s="12"/>
      <c r="E1900" s="11"/>
      <c r="F1900" s="13"/>
      <c r="G1900" s="13"/>
      <c r="H1900" s="11"/>
      <c r="I1900" s="12"/>
      <c r="J1900" s="12"/>
      <c r="K1900" s="13"/>
      <c r="L1900" s="13"/>
      <c r="M1900" s="13"/>
      <c r="N1900" s="13"/>
      <c r="O1900" s="13"/>
      <c r="P1900" s="14" t="str">
        <f t="shared" si="116"/>
        <v/>
      </c>
      <c r="Q1900" s="15" t="str">
        <f>IF(OR(J1900="",H1900=""),"",IFERROR(IF(ISNUMBER(N1900),N1900,IF(K1900&lt;N(INDEX(Platforms!$G$5:$G$14,MATCH(H1900,Lists!$A$2:$A$11,0))),N(INDEX(Platforms!$H$5:$H$14,MATCH(H1900,Lists!$A$2:$A$11,0))),MAX(N(INDEX(Platforms!$F$5:$F$14,MATCH(H1900,Lists!$A$2:$A$11,0))),N(INDEX(Platforms!$C$5:$C$14,MATCH(H1900,Lists!$A$2:$A$11,0)))*(K1900+IF(INDEX(Platforms!$E$5:$E$14,MATCH(H1900,Lists!$A$2:$A$11,0))="Yes",N(L1900),0))+N(INDEX(Platforms!$D$5:$D$14,MATCH(H1900,Lists!$A$2:$A$11,0)))))),""))</f>
        <v/>
      </c>
      <c r="R1900" s="16" t="str">
        <f t="shared" si="117"/>
        <v/>
      </c>
      <c r="S1900" s="17" t="str">
        <f t="shared" si="118"/>
        <v/>
      </c>
      <c r="T1900" s="18" t="str">
        <f t="shared" ca="1" si="119"/>
        <v/>
      </c>
    </row>
    <row r="1901" spans="1:20" x14ac:dyDescent="0.35">
      <c r="A1901" s="11"/>
      <c r="B1901" s="11"/>
      <c r="C1901" s="11"/>
      <c r="D1901" s="12"/>
      <c r="E1901" s="11"/>
      <c r="F1901" s="13"/>
      <c r="G1901" s="13"/>
      <c r="H1901" s="11"/>
      <c r="I1901" s="12"/>
      <c r="J1901" s="12"/>
      <c r="K1901" s="13"/>
      <c r="L1901" s="13"/>
      <c r="M1901" s="13"/>
      <c r="N1901" s="13"/>
      <c r="O1901" s="13"/>
      <c r="P1901" s="14" t="str">
        <f t="shared" si="116"/>
        <v/>
      </c>
      <c r="Q1901" s="15" t="str">
        <f>IF(OR(J1901="",H1901=""),"",IFERROR(IF(ISNUMBER(N1901),N1901,IF(K1901&lt;N(INDEX(Platforms!$G$5:$G$14,MATCH(H1901,Lists!$A$2:$A$11,0))),N(INDEX(Platforms!$H$5:$H$14,MATCH(H1901,Lists!$A$2:$A$11,0))),MAX(N(INDEX(Platforms!$F$5:$F$14,MATCH(H1901,Lists!$A$2:$A$11,0))),N(INDEX(Platforms!$C$5:$C$14,MATCH(H1901,Lists!$A$2:$A$11,0)))*(K1901+IF(INDEX(Platforms!$E$5:$E$14,MATCH(H1901,Lists!$A$2:$A$11,0))="Yes",N(L1901),0))+N(INDEX(Platforms!$D$5:$D$14,MATCH(H1901,Lists!$A$2:$A$11,0)))))),""))</f>
        <v/>
      </c>
      <c r="R1901" s="16" t="str">
        <f t="shared" si="117"/>
        <v/>
      </c>
      <c r="S1901" s="17" t="str">
        <f t="shared" si="118"/>
        <v/>
      </c>
      <c r="T1901" s="18" t="str">
        <f t="shared" ca="1" si="119"/>
        <v/>
      </c>
    </row>
    <row r="1902" spans="1:20" x14ac:dyDescent="0.35">
      <c r="A1902" s="11"/>
      <c r="B1902" s="11"/>
      <c r="C1902" s="11"/>
      <c r="D1902" s="12"/>
      <c r="E1902" s="11"/>
      <c r="F1902" s="13"/>
      <c r="G1902" s="13"/>
      <c r="H1902" s="11"/>
      <c r="I1902" s="12"/>
      <c r="J1902" s="12"/>
      <c r="K1902" s="13"/>
      <c r="L1902" s="13"/>
      <c r="M1902" s="13"/>
      <c r="N1902" s="13"/>
      <c r="O1902" s="13"/>
      <c r="P1902" s="14" t="str">
        <f t="shared" si="116"/>
        <v/>
      </c>
      <c r="Q1902" s="15" t="str">
        <f>IF(OR(J1902="",H1902=""),"",IFERROR(IF(ISNUMBER(N1902),N1902,IF(K1902&lt;N(INDEX(Platforms!$G$5:$G$14,MATCH(H1902,Lists!$A$2:$A$11,0))),N(INDEX(Platforms!$H$5:$H$14,MATCH(H1902,Lists!$A$2:$A$11,0))),MAX(N(INDEX(Platforms!$F$5:$F$14,MATCH(H1902,Lists!$A$2:$A$11,0))),N(INDEX(Platforms!$C$5:$C$14,MATCH(H1902,Lists!$A$2:$A$11,0)))*(K1902+IF(INDEX(Platforms!$E$5:$E$14,MATCH(H1902,Lists!$A$2:$A$11,0))="Yes",N(L1902),0))+N(INDEX(Platforms!$D$5:$D$14,MATCH(H1902,Lists!$A$2:$A$11,0)))))),""))</f>
        <v/>
      </c>
      <c r="R1902" s="16" t="str">
        <f t="shared" si="117"/>
        <v/>
      </c>
      <c r="S1902" s="17" t="str">
        <f t="shared" si="118"/>
        <v/>
      </c>
      <c r="T1902" s="18" t="str">
        <f t="shared" ca="1" si="119"/>
        <v/>
      </c>
    </row>
    <row r="1903" spans="1:20" x14ac:dyDescent="0.35">
      <c r="A1903" s="11"/>
      <c r="B1903" s="11"/>
      <c r="C1903" s="11"/>
      <c r="D1903" s="12"/>
      <c r="E1903" s="11"/>
      <c r="F1903" s="13"/>
      <c r="G1903" s="13"/>
      <c r="H1903" s="11"/>
      <c r="I1903" s="12"/>
      <c r="J1903" s="12"/>
      <c r="K1903" s="13"/>
      <c r="L1903" s="13"/>
      <c r="M1903" s="13"/>
      <c r="N1903" s="13"/>
      <c r="O1903" s="13"/>
      <c r="P1903" s="14" t="str">
        <f t="shared" si="116"/>
        <v/>
      </c>
      <c r="Q1903" s="15" t="str">
        <f>IF(OR(J1903="",H1903=""),"",IFERROR(IF(ISNUMBER(N1903),N1903,IF(K1903&lt;N(INDEX(Platforms!$G$5:$G$14,MATCH(H1903,Lists!$A$2:$A$11,0))),N(INDEX(Platforms!$H$5:$H$14,MATCH(H1903,Lists!$A$2:$A$11,0))),MAX(N(INDEX(Platforms!$F$5:$F$14,MATCH(H1903,Lists!$A$2:$A$11,0))),N(INDEX(Platforms!$C$5:$C$14,MATCH(H1903,Lists!$A$2:$A$11,0)))*(K1903+IF(INDEX(Platforms!$E$5:$E$14,MATCH(H1903,Lists!$A$2:$A$11,0))="Yes",N(L1903),0))+N(INDEX(Platforms!$D$5:$D$14,MATCH(H1903,Lists!$A$2:$A$11,0)))))),""))</f>
        <v/>
      </c>
      <c r="R1903" s="16" t="str">
        <f t="shared" si="117"/>
        <v/>
      </c>
      <c r="S1903" s="17" t="str">
        <f t="shared" si="118"/>
        <v/>
      </c>
      <c r="T1903" s="18" t="str">
        <f t="shared" ca="1" si="119"/>
        <v/>
      </c>
    </row>
    <row r="1904" spans="1:20" x14ac:dyDescent="0.35">
      <c r="A1904" s="11"/>
      <c r="B1904" s="11"/>
      <c r="C1904" s="11"/>
      <c r="D1904" s="12"/>
      <c r="E1904" s="11"/>
      <c r="F1904" s="13"/>
      <c r="G1904" s="13"/>
      <c r="H1904" s="11"/>
      <c r="I1904" s="12"/>
      <c r="J1904" s="12"/>
      <c r="K1904" s="13"/>
      <c r="L1904" s="13"/>
      <c r="M1904" s="13"/>
      <c r="N1904" s="13"/>
      <c r="O1904" s="13"/>
      <c r="P1904" s="14" t="str">
        <f t="shared" si="116"/>
        <v/>
      </c>
      <c r="Q1904" s="15" t="str">
        <f>IF(OR(J1904="",H1904=""),"",IFERROR(IF(ISNUMBER(N1904),N1904,IF(K1904&lt;N(INDEX(Platforms!$G$5:$G$14,MATCH(H1904,Lists!$A$2:$A$11,0))),N(INDEX(Platforms!$H$5:$H$14,MATCH(H1904,Lists!$A$2:$A$11,0))),MAX(N(INDEX(Platforms!$F$5:$F$14,MATCH(H1904,Lists!$A$2:$A$11,0))),N(INDEX(Platforms!$C$5:$C$14,MATCH(H1904,Lists!$A$2:$A$11,0)))*(K1904+IF(INDEX(Platforms!$E$5:$E$14,MATCH(H1904,Lists!$A$2:$A$11,0))="Yes",N(L1904),0))+N(INDEX(Platforms!$D$5:$D$14,MATCH(H1904,Lists!$A$2:$A$11,0)))))),""))</f>
        <v/>
      </c>
      <c r="R1904" s="16" t="str">
        <f t="shared" si="117"/>
        <v/>
      </c>
      <c r="S1904" s="17" t="str">
        <f t="shared" si="118"/>
        <v/>
      </c>
      <c r="T1904" s="18" t="str">
        <f t="shared" ca="1" si="119"/>
        <v/>
      </c>
    </row>
    <row r="1905" spans="1:20" x14ac:dyDescent="0.35">
      <c r="A1905" s="11"/>
      <c r="B1905" s="11"/>
      <c r="C1905" s="11"/>
      <c r="D1905" s="12"/>
      <c r="E1905" s="11"/>
      <c r="F1905" s="13"/>
      <c r="G1905" s="13"/>
      <c r="H1905" s="11"/>
      <c r="I1905" s="12"/>
      <c r="J1905" s="12"/>
      <c r="K1905" s="13"/>
      <c r="L1905" s="13"/>
      <c r="M1905" s="13"/>
      <c r="N1905" s="13"/>
      <c r="O1905" s="13"/>
      <c r="P1905" s="14" t="str">
        <f t="shared" si="116"/>
        <v/>
      </c>
      <c r="Q1905" s="15" t="str">
        <f>IF(OR(J1905="",H1905=""),"",IFERROR(IF(ISNUMBER(N1905),N1905,IF(K1905&lt;N(INDEX(Platforms!$G$5:$G$14,MATCH(H1905,Lists!$A$2:$A$11,0))),N(INDEX(Platforms!$H$5:$H$14,MATCH(H1905,Lists!$A$2:$A$11,0))),MAX(N(INDEX(Platforms!$F$5:$F$14,MATCH(H1905,Lists!$A$2:$A$11,0))),N(INDEX(Platforms!$C$5:$C$14,MATCH(H1905,Lists!$A$2:$A$11,0)))*(K1905+IF(INDEX(Platforms!$E$5:$E$14,MATCH(H1905,Lists!$A$2:$A$11,0))="Yes",N(L1905),0))+N(INDEX(Platforms!$D$5:$D$14,MATCH(H1905,Lists!$A$2:$A$11,0)))))),""))</f>
        <v/>
      </c>
      <c r="R1905" s="16" t="str">
        <f t="shared" si="117"/>
        <v/>
      </c>
      <c r="S1905" s="17" t="str">
        <f t="shared" si="118"/>
        <v/>
      </c>
      <c r="T1905" s="18" t="str">
        <f t="shared" ca="1" si="119"/>
        <v/>
      </c>
    </row>
    <row r="1906" spans="1:20" x14ac:dyDescent="0.35">
      <c r="A1906" s="11"/>
      <c r="B1906" s="11"/>
      <c r="C1906" s="11"/>
      <c r="D1906" s="12"/>
      <c r="E1906" s="11"/>
      <c r="F1906" s="13"/>
      <c r="G1906" s="13"/>
      <c r="H1906" s="11"/>
      <c r="I1906" s="12"/>
      <c r="J1906" s="12"/>
      <c r="K1906" s="13"/>
      <c r="L1906" s="13"/>
      <c r="M1906" s="13"/>
      <c r="N1906" s="13"/>
      <c r="O1906" s="13"/>
      <c r="P1906" s="14" t="str">
        <f t="shared" si="116"/>
        <v/>
      </c>
      <c r="Q1906" s="15" t="str">
        <f>IF(OR(J1906="",H1906=""),"",IFERROR(IF(ISNUMBER(N1906),N1906,IF(K1906&lt;N(INDEX(Platforms!$G$5:$G$14,MATCH(H1906,Lists!$A$2:$A$11,0))),N(INDEX(Platforms!$H$5:$H$14,MATCH(H1906,Lists!$A$2:$A$11,0))),MAX(N(INDEX(Platforms!$F$5:$F$14,MATCH(H1906,Lists!$A$2:$A$11,0))),N(INDEX(Platforms!$C$5:$C$14,MATCH(H1906,Lists!$A$2:$A$11,0)))*(K1906+IF(INDEX(Platforms!$E$5:$E$14,MATCH(H1906,Lists!$A$2:$A$11,0))="Yes",N(L1906),0))+N(INDEX(Platforms!$D$5:$D$14,MATCH(H1906,Lists!$A$2:$A$11,0)))))),""))</f>
        <v/>
      </c>
      <c r="R1906" s="16" t="str">
        <f t="shared" si="117"/>
        <v/>
      </c>
      <c r="S1906" s="17" t="str">
        <f t="shared" si="118"/>
        <v/>
      </c>
      <c r="T1906" s="18" t="str">
        <f t="shared" ca="1" si="119"/>
        <v/>
      </c>
    </row>
    <row r="1907" spans="1:20" x14ac:dyDescent="0.35">
      <c r="A1907" s="11"/>
      <c r="B1907" s="11"/>
      <c r="C1907" s="11"/>
      <c r="D1907" s="12"/>
      <c r="E1907" s="11"/>
      <c r="F1907" s="13"/>
      <c r="G1907" s="13"/>
      <c r="H1907" s="11"/>
      <c r="I1907" s="12"/>
      <c r="J1907" s="12"/>
      <c r="K1907" s="13"/>
      <c r="L1907" s="13"/>
      <c r="M1907" s="13"/>
      <c r="N1907" s="13"/>
      <c r="O1907" s="13"/>
      <c r="P1907" s="14" t="str">
        <f t="shared" si="116"/>
        <v/>
      </c>
      <c r="Q1907" s="15" t="str">
        <f>IF(OR(J1907="",H1907=""),"",IFERROR(IF(ISNUMBER(N1907),N1907,IF(K1907&lt;N(INDEX(Platforms!$G$5:$G$14,MATCH(H1907,Lists!$A$2:$A$11,0))),N(INDEX(Platforms!$H$5:$H$14,MATCH(H1907,Lists!$A$2:$A$11,0))),MAX(N(INDEX(Platforms!$F$5:$F$14,MATCH(H1907,Lists!$A$2:$A$11,0))),N(INDEX(Platforms!$C$5:$C$14,MATCH(H1907,Lists!$A$2:$A$11,0)))*(K1907+IF(INDEX(Platforms!$E$5:$E$14,MATCH(H1907,Lists!$A$2:$A$11,0))="Yes",N(L1907),0))+N(INDEX(Platforms!$D$5:$D$14,MATCH(H1907,Lists!$A$2:$A$11,0)))))),""))</f>
        <v/>
      </c>
      <c r="R1907" s="16" t="str">
        <f t="shared" si="117"/>
        <v/>
      </c>
      <c r="S1907" s="17" t="str">
        <f t="shared" si="118"/>
        <v/>
      </c>
      <c r="T1907" s="18" t="str">
        <f t="shared" ca="1" si="119"/>
        <v/>
      </c>
    </row>
    <row r="1908" spans="1:20" x14ac:dyDescent="0.35">
      <c r="A1908" s="11"/>
      <c r="B1908" s="11"/>
      <c r="C1908" s="11"/>
      <c r="D1908" s="12"/>
      <c r="E1908" s="11"/>
      <c r="F1908" s="13"/>
      <c r="G1908" s="13"/>
      <c r="H1908" s="11"/>
      <c r="I1908" s="12"/>
      <c r="J1908" s="12"/>
      <c r="K1908" s="13"/>
      <c r="L1908" s="13"/>
      <c r="M1908" s="13"/>
      <c r="N1908" s="13"/>
      <c r="O1908" s="13"/>
      <c r="P1908" s="14" t="str">
        <f t="shared" si="116"/>
        <v/>
      </c>
      <c r="Q1908" s="15" t="str">
        <f>IF(OR(J1908="",H1908=""),"",IFERROR(IF(ISNUMBER(N1908),N1908,IF(K1908&lt;N(INDEX(Platforms!$G$5:$G$14,MATCH(H1908,Lists!$A$2:$A$11,0))),N(INDEX(Platforms!$H$5:$H$14,MATCH(H1908,Lists!$A$2:$A$11,0))),MAX(N(INDEX(Platforms!$F$5:$F$14,MATCH(H1908,Lists!$A$2:$A$11,0))),N(INDEX(Platforms!$C$5:$C$14,MATCH(H1908,Lists!$A$2:$A$11,0)))*(K1908+IF(INDEX(Platforms!$E$5:$E$14,MATCH(H1908,Lists!$A$2:$A$11,0))="Yes",N(L1908),0))+N(INDEX(Platforms!$D$5:$D$14,MATCH(H1908,Lists!$A$2:$A$11,0)))))),""))</f>
        <v/>
      </c>
      <c r="R1908" s="16" t="str">
        <f t="shared" si="117"/>
        <v/>
      </c>
      <c r="S1908" s="17" t="str">
        <f t="shared" si="118"/>
        <v/>
      </c>
      <c r="T1908" s="18" t="str">
        <f t="shared" ca="1" si="119"/>
        <v/>
      </c>
    </row>
    <row r="1909" spans="1:20" x14ac:dyDescent="0.35">
      <c r="A1909" s="11"/>
      <c r="B1909" s="11"/>
      <c r="C1909" s="11"/>
      <c r="D1909" s="12"/>
      <c r="E1909" s="11"/>
      <c r="F1909" s="13"/>
      <c r="G1909" s="13"/>
      <c r="H1909" s="11"/>
      <c r="I1909" s="12"/>
      <c r="J1909" s="12"/>
      <c r="K1909" s="13"/>
      <c r="L1909" s="13"/>
      <c r="M1909" s="13"/>
      <c r="N1909" s="13"/>
      <c r="O1909" s="13"/>
      <c r="P1909" s="14" t="str">
        <f t="shared" si="116"/>
        <v/>
      </c>
      <c r="Q1909" s="15" t="str">
        <f>IF(OR(J1909="",H1909=""),"",IFERROR(IF(ISNUMBER(N1909),N1909,IF(K1909&lt;N(INDEX(Platforms!$G$5:$G$14,MATCH(H1909,Lists!$A$2:$A$11,0))),N(INDEX(Platforms!$H$5:$H$14,MATCH(H1909,Lists!$A$2:$A$11,0))),MAX(N(INDEX(Platforms!$F$5:$F$14,MATCH(H1909,Lists!$A$2:$A$11,0))),N(INDEX(Platforms!$C$5:$C$14,MATCH(H1909,Lists!$A$2:$A$11,0)))*(K1909+IF(INDEX(Platforms!$E$5:$E$14,MATCH(H1909,Lists!$A$2:$A$11,0))="Yes",N(L1909),0))+N(INDEX(Platforms!$D$5:$D$14,MATCH(H1909,Lists!$A$2:$A$11,0)))))),""))</f>
        <v/>
      </c>
      <c r="R1909" s="16" t="str">
        <f t="shared" si="117"/>
        <v/>
      </c>
      <c r="S1909" s="17" t="str">
        <f t="shared" si="118"/>
        <v/>
      </c>
      <c r="T1909" s="18" t="str">
        <f t="shared" ca="1" si="119"/>
        <v/>
      </c>
    </row>
    <row r="1910" spans="1:20" x14ac:dyDescent="0.35">
      <c r="A1910" s="11"/>
      <c r="B1910" s="11"/>
      <c r="C1910" s="11"/>
      <c r="D1910" s="12"/>
      <c r="E1910" s="11"/>
      <c r="F1910" s="13"/>
      <c r="G1910" s="13"/>
      <c r="H1910" s="11"/>
      <c r="I1910" s="12"/>
      <c r="J1910" s="12"/>
      <c r="K1910" s="13"/>
      <c r="L1910" s="13"/>
      <c r="M1910" s="13"/>
      <c r="N1910" s="13"/>
      <c r="O1910" s="13"/>
      <c r="P1910" s="14" t="str">
        <f t="shared" si="116"/>
        <v/>
      </c>
      <c r="Q1910" s="15" t="str">
        <f>IF(OR(J1910="",H1910=""),"",IFERROR(IF(ISNUMBER(N1910),N1910,IF(K1910&lt;N(INDEX(Platforms!$G$5:$G$14,MATCH(H1910,Lists!$A$2:$A$11,0))),N(INDEX(Platforms!$H$5:$H$14,MATCH(H1910,Lists!$A$2:$A$11,0))),MAX(N(INDEX(Platforms!$F$5:$F$14,MATCH(H1910,Lists!$A$2:$A$11,0))),N(INDEX(Platforms!$C$5:$C$14,MATCH(H1910,Lists!$A$2:$A$11,0)))*(K1910+IF(INDEX(Platforms!$E$5:$E$14,MATCH(H1910,Lists!$A$2:$A$11,0))="Yes",N(L1910),0))+N(INDEX(Platforms!$D$5:$D$14,MATCH(H1910,Lists!$A$2:$A$11,0)))))),""))</f>
        <v/>
      </c>
      <c r="R1910" s="16" t="str">
        <f t="shared" si="117"/>
        <v/>
      </c>
      <c r="S1910" s="17" t="str">
        <f t="shared" si="118"/>
        <v/>
      </c>
      <c r="T1910" s="18" t="str">
        <f t="shared" ca="1" si="119"/>
        <v/>
      </c>
    </row>
    <row r="1911" spans="1:20" x14ac:dyDescent="0.35">
      <c r="A1911" s="11"/>
      <c r="B1911" s="11"/>
      <c r="C1911" s="11"/>
      <c r="D1911" s="12"/>
      <c r="E1911" s="11"/>
      <c r="F1911" s="13"/>
      <c r="G1911" s="13"/>
      <c r="H1911" s="11"/>
      <c r="I1911" s="12"/>
      <c r="J1911" s="12"/>
      <c r="K1911" s="13"/>
      <c r="L1911" s="13"/>
      <c r="M1911" s="13"/>
      <c r="N1911" s="13"/>
      <c r="O1911" s="13"/>
      <c r="P1911" s="14" t="str">
        <f t="shared" si="116"/>
        <v/>
      </c>
      <c r="Q1911" s="15" t="str">
        <f>IF(OR(J1911="",H1911=""),"",IFERROR(IF(ISNUMBER(N1911),N1911,IF(K1911&lt;N(INDEX(Platforms!$G$5:$G$14,MATCH(H1911,Lists!$A$2:$A$11,0))),N(INDEX(Platforms!$H$5:$H$14,MATCH(H1911,Lists!$A$2:$A$11,0))),MAX(N(INDEX(Platforms!$F$5:$F$14,MATCH(H1911,Lists!$A$2:$A$11,0))),N(INDEX(Platforms!$C$5:$C$14,MATCH(H1911,Lists!$A$2:$A$11,0)))*(K1911+IF(INDEX(Platforms!$E$5:$E$14,MATCH(H1911,Lists!$A$2:$A$11,0))="Yes",N(L1911),0))+N(INDEX(Platforms!$D$5:$D$14,MATCH(H1911,Lists!$A$2:$A$11,0)))))),""))</f>
        <v/>
      </c>
      <c r="R1911" s="16" t="str">
        <f t="shared" si="117"/>
        <v/>
      </c>
      <c r="S1911" s="17" t="str">
        <f t="shared" si="118"/>
        <v/>
      </c>
      <c r="T1911" s="18" t="str">
        <f t="shared" ca="1" si="119"/>
        <v/>
      </c>
    </row>
    <row r="1912" spans="1:20" x14ac:dyDescent="0.35">
      <c r="A1912" s="11"/>
      <c r="B1912" s="11"/>
      <c r="C1912" s="11"/>
      <c r="D1912" s="12"/>
      <c r="E1912" s="11"/>
      <c r="F1912" s="13"/>
      <c r="G1912" s="13"/>
      <c r="H1912" s="11"/>
      <c r="I1912" s="12"/>
      <c r="J1912" s="12"/>
      <c r="K1912" s="13"/>
      <c r="L1912" s="13"/>
      <c r="M1912" s="13"/>
      <c r="N1912" s="13"/>
      <c r="O1912" s="13"/>
      <c r="P1912" s="14" t="str">
        <f t="shared" si="116"/>
        <v/>
      </c>
      <c r="Q1912" s="15" t="str">
        <f>IF(OR(J1912="",H1912=""),"",IFERROR(IF(ISNUMBER(N1912),N1912,IF(K1912&lt;N(INDEX(Platforms!$G$5:$G$14,MATCH(H1912,Lists!$A$2:$A$11,0))),N(INDEX(Platforms!$H$5:$H$14,MATCH(H1912,Lists!$A$2:$A$11,0))),MAX(N(INDEX(Platforms!$F$5:$F$14,MATCH(H1912,Lists!$A$2:$A$11,0))),N(INDEX(Platforms!$C$5:$C$14,MATCH(H1912,Lists!$A$2:$A$11,0)))*(K1912+IF(INDEX(Platforms!$E$5:$E$14,MATCH(H1912,Lists!$A$2:$A$11,0))="Yes",N(L1912),0))+N(INDEX(Platforms!$D$5:$D$14,MATCH(H1912,Lists!$A$2:$A$11,0)))))),""))</f>
        <v/>
      </c>
      <c r="R1912" s="16" t="str">
        <f t="shared" si="117"/>
        <v/>
      </c>
      <c r="S1912" s="17" t="str">
        <f t="shared" si="118"/>
        <v/>
      </c>
      <c r="T1912" s="18" t="str">
        <f t="shared" ca="1" si="119"/>
        <v/>
      </c>
    </row>
    <row r="1913" spans="1:20" x14ac:dyDescent="0.35">
      <c r="A1913" s="11"/>
      <c r="B1913" s="11"/>
      <c r="C1913" s="11"/>
      <c r="D1913" s="12"/>
      <c r="E1913" s="11"/>
      <c r="F1913" s="13"/>
      <c r="G1913" s="13"/>
      <c r="H1913" s="11"/>
      <c r="I1913" s="12"/>
      <c r="J1913" s="12"/>
      <c r="K1913" s="13"/>
      <c r="L1913" s="13"/>
      <c r="M1913" s="13"/>
      <c r="N1913" s="13"/>
      <c r="O1913" s="13"/>
      <c r="P1913" s="14" t="str">
        <f t="shared" si="116"/>
        <v/>
      </c>
      <c r="Q1913" s="15" t="str">
        <f>IF(OR(J1913="",H1913=""),"",IFERROR(IF(ISNUMBER(N1913),N1913,IF(K1913&lt;N(INDEX(Platforms!$G$5:$G$14,MATCH(H1913,Lists!$A$2:$A$11,0))),N(INDEX(Platforms!$H$5:$H$14,MATCH(H1913,Lists!$A$2:$A$11,0))),MAX(N(INDEX(Platforms!$F$5:$F$14,MATCH(H1913,Lists!$A$2:$A$11,0))),N(INDEX(Platforms!$C$5:$C$14,MATCH(H1913,Lists!$A$2:$A$11,0)))*(K1913+IF(INDEX(Platforms!$E$5:$E$14,MATCH(H1913,Lists!$A$2:$A$11,0))="Yes",N(L1913),0))+N(INDEX(Platforms!$D$5:$D$14,MATCH(H1913,Lists!$A$2:$A$11,0)))))),""))</f>
        <v/>
      </c>
      <c r="R1913" s="16" t="str">
        <f t="shared" si="117"/>
        <v/>
      </c>
      <c r="S1913" s="17" t="str">
        <f t="shared" si="118"/>
        <v/>
      </c>
      <c r="T1913" s="18" t="str">
        <f t="shared" ca="1" si="119"/>
        <v/>
      </c>
    </row>
    <row r="1914" spans="1:20" x14ac:dyDescent="0.35">
      <c r="A1914" s="11"/>
      <c r="B1914" s="11"/>
      <c r="C1914" s="11"/>
      <c r="D1914" s="12"/>
      <c r="E1914" s="11"/>
      <c r="F1914" s="13"/>
      <c r="G1914" s="13"/>
      <c r="H1914" s="11"/>
      <c r="I1914" s="12"/>
      <c r="J1914" s="12"/>
      <c r="K1914" s="13"/>
      <c r="L1914" s="13"/>
      <c r="M1914" s="13"/>
      <c r="N1914" s="13"/>
      <c r="O1914" s="13"/>
      <c r="P1914" s="14" t="str">
        <f t="shared" si="116"/>
        <v/>
      </c>
      <c r="Q1914" s="15" t="str">
        <f>IF(OR(J1914="",H1914=""),"",IFERROR(IF(ISNUMBER(N1914),N1914,IF(K1914&lt;N(INDEX(Platforms!$G$5:$G$14,MATCH(H1914,Lists!$A$2:$A$11,0))),N(INDEX(Platforms!$H$5:$H$14,MATCH(H1914,Lists!$A$2:$A$11,0))),MAX(N(INDEX(Platforms!$F$5:$F$14,MATCH(H1914,Lists!$A$2:$A$11,0))),N(INDEX(Platforms!$C$5:$C$14,MATCH(H1914,Lists!$A$2:$A$11,0)))*(K1914+IF(INDEX(Platforms!$E$5:$E$14,MATCH(H1914,Lists!$A$2:$A$11,0))="Yes",N(L1914),0))+N(INDEX(Platforms!$D$5:$D$14,MATCH(H1914,Lists!$A$2:$A$11,0)))))),""))</f>
        <v/>
      </c>
      <c r="R1914" s="16" t="str">
        <f t="shared" si="117"/>
        <v/>
      </c>
      <c r="S1914" s="17" t="str">
        <f t="shared" si="118"/>
        <v/>
      </c>
      <c r="T1914" s="18" t="str">
        <f t="shared" ca="1" si="119"/>
        <v/>
      </c>
    </row>
    <row r="1915" spans="1:20" x14ac:dyDescent="0.35">
      <c r="A1915" s="11"/>
      <c r="B1915" s="11"/>
      <c r="C1915" s="11"/>
      <c r="D1915" s="12"/>
      <c r="E1915" s="11"/>
      <c r="F1915" s="13"/>
      <c r="G1915" s="13"/>
      <c r="H1915" s="11"/>
      <c r="I1915" s="12"/>
      <c r="J1915" s="12"/>
      <c r="K1915" s="13"/>
      <c r="L1915" s="13"/>
      <c r="M1915" s="13"/>
      <c r="N1915" s="13"/>
      <c r="O1915" s="13"/>
      <c r="P1915" s="14" t="str">
        <f t="shared" si="116"/>
        <v/>
      </c>
      <c r="Q1915" s="15" t="str">
        <f>IF(OR(J1915="",H1915=""),"",IFERROR(IF(ISNUMBER(N1915),N1915,IF(K1915&lt;N(INDEX(Platforms!$G$5:$G$14,MATCH(H1915,Lists!$A$2:$A$11,0))),N(INDEX(Platforms!$H$5:$H$14,MATCH(H1915,Lists!$A$2:$A$11,0))),MAX(N(INDEX(Platforms!$F$5:$F$14,MATCH(H1915,Lists!$A$2:$A$11,0))),N(INDEX(Platforms!$C$5:$C$14,MATCH(H1915,Lists!$A$2:$A$11,0)))*(K1915+IF(INDEX(Platforms!$E$5:$E$14,MATCH(H1915,Lists!$A$2:$A$11,0))="Yes",N(L1915),0))+N(INDEX(Platforms!$D$5:$D$14,MATCH(H1915,Lists!$A$2:$A$11,0)))))),""))</f>
        <v/>
      </c>
      <c r="R1915" s="16" t="str">
        <f t="shared" si="117"/>
        <v/>
      </c>
      <c r="S1915" s="17" t="str">
        <f t="shared" si="118"/>
        <v/>
      </c>
      <c r="T1915" s="18" t="str">
        <f t="shared" ca="1" si="119"/>
        <v/>
      </c>
    </row>
    <row r="1916" spans="1:20" x14ac:dyDescent="0.35">
      <c r="A1916" s="11"/>
      <c r="B1916" s="11"/>
      <c r="C1916" s="11"/>
      <c r="D1916" s="12"/>
      <c r="E1916" s="11"/>
      <c r="F1916" s="13"/>
      <c r="G1916" s="13"/>
      <c r="H1916" s="11"/>
      <c r="I1916" s="12"/>
      <c r="J1916" s="12"/>
      <c r="K1916" s="13"/>
      <c r="L1916" s="13"/>
      <c r="M1916" s="13"/>
      <c r="N1916" s="13"/>
      <c r="O1916" s="13"/>
      <c r="P1916" s="14" t="str">
        <f t="shared" si="116"/>
        <v/>
      </c>
      <c r="Q1916" s="15" t="str">
        <f>IF(OR(J1916="",H1916=""),"",IFERROR(IF(ISNUMBER(N1916),N1916,IF(K1916&lt;N(INDEX(Platforms!$G$5:$G$14,MATCH(H1916,Lists!$A$2:$A$11,0))),N(INDEX(Platforms!$H$5:$H$14,MATCH(H1916,Lists!$A$2:$A$11,0))),MAX(N(INDEX(Platforms!$F$5:$F$14,MATCH(H1916,Lists!$A$2:$A$11,0))),N(INDEX(Platforms!$C$5:$C$14,MATCH(H1916,Lists!$A$2:$A$11,0)))*(K1916+IF(INDEX(Platforms!$E$5:$E$14,MATCH(H1916,Lists!$A$2:$A$11,0))="Yes",N(L1916),0))+N(INDEX(Platforms!$D$5:$D$14,MATCH(H1916,Lists!$A$2:$A$11,0)))))),""))</f>
        <v/>
      </c>
      <c r="R1916" s="16" t="str">
        <f t="shared" si="117"/>
        <v/>
      </c>
      <c r="S1916" s="17" t="str">
        <f t="shared" si="118"/>
        <v/>
      </c>
      <c r="T1916" s="18" t="str">
        <f t="shared" ca="1" si="119"/>
        <v/>
      </c>
    </row>
    <row r="1917" spans="1:20" x14ac:dyDescent="0.35">
      <c r="A1917" s="11"/>
      <c r="B1917" s="11"/>
      <c r="C1917" s="11"/>
      <c r="D1917" s="12"/>
      <c r="E1917" s="11"/>
      <c r="F1917" s="13"/>
      <c r="G1917" s="13"/>
      <c r="H1917" s="11"/>
      <c r="I1917" s="12"/>
      <c r="J1917" s="12"/>
      <c r="K1917" s="13"/>
      <c r="L1917" s="13"/>
      <c r="M1917" s="13"/>
      <c r="N1917" s="13"/>
      <c r="O1917" s="13"/>
      <c r="P1917" s="14" t="str">
        <f t="shared" si="116"/>
        <v/>
      </c>
      <c r="Q1917" s="15" t="str">
        <f>IF(OR(J1917="",H1917=""),"",IFERROR(IF(ISNUMBER(N1917),N1917,IF(K1917&lt;N(INDEX(Platforms!$G$5:$G$14,MATCH(H1917,Lists!$A$2:$A$11,0))),N(INDEX(Platforms!$H$5:$H$14,MATCH(H1917,Lists!$A$2:$A$11,0))),MAX(N(INDEX(Platforms!$F$5:$F$14,MATCH(H1917,Lists!$A$2:$A$11,0))),N(INDEX(Platforms!$C$5:$C$14,MATCH(H1917,Lists!$A$2:$A$11,0)))*(K1917+IF(INDEX(Platforms!$E$5:$E$14,MATCH(H1917,Lists!$A$2:$A$11,0))="Yes",N(L1917),0))+N(INDEX(Platforms!$D$5:$D$14,MATCH(H1917,Lists!$A$2:$A$11,0)))))),""))</f>
        <v/>
      </c>
      <c r="R1917" s="16" t="str">
        <f t="shared" si="117"/>
        <v/>
      </c>
      <c r="S1917" s="17" t="str">
        <f t="shared" si="118"/>
        <v/>
      </c>
      <c r="T1917" s="18" t="str">
        <f t="shared" ca="1" si="119"/>
        <v/>
      </c>
    </row>
    <row r="1918" spans="1:20" x14ac:dyDescent="0.35">
      <c r="A1918" s="11"/>
      <c r="B1918" s="11"/>
      <c r="C1918" s="11"/>
      <c r="D1918" s="12"/>
      <c r="E1918" s="11"/>
      <c r="F1918" s="13"/>
      <c r="G1918" s="13"/>
      <c r="H1918" s="11"/>
      <c r="I1918" s="12"/>
      <c r="J1918" s="12"/>
      <c r="K1918" s="13"/>
      <c r="L1918" s="13"/>
      <c r="M1918" s="13"/>
      <c r="N1918" s="13"/>
      <c r="O1918" s="13"/>
      <c r="P1918" s="14" t="str">
        <f t="shared" si="116"/>
        <v/>
      </c>
      <c r="Q1918" s="15" t="str">
        <f>IF(OR(J1918="",H1918=""),"",IFERROR(IF(ISNUMBER(N1918),N1918,IF(K1918&lt;N(INDEX(Platforms!$G$5:$G$14,MATCH(H1918,Lists!$A$2:$A$11,0))),N(INDEX(Platforms!$H$5:$H$14,MATCH(H1918,Lists!$A$2:$A$11,0))),MAX(N(INDEX(Platforms!$F$5:$F$14,MATCH(H1918,Lists!$A$2:$A$11,0))),N(INDEX(Platforms!$C$5:$C$14,MATCH(H1918,Lists!$A$2:$A$11,0)))*(K1918+IF(INDEX(Platforms!$E$5:$E$14,MATCH(H1918,Lists!$A$2:$A$11,0))="Yes",N(L1918),0))+N(INDEX(Platforms!$D$5:$D$14,MATCH(H1918,Lists!$A$2:$A$11,0)))))),""))</f>
        <v/>
      </c>
      <c r="R1918" s="16" t="str">
        <f t="shared" si="117"/>
        <v/>
      </c>
      <c r="S1918" s="17" t="str">
        <f t="shared" si="118"/>
        <v/>
      </c>
      <c r="T1918" s="18" t="str">
        <f t="shared" ca="1" si="119"/>
        <v/>
      </c>
    </row>
    <row r="1919" spans="1:20" x14ac:dyDescent="0.35">
      <c r="A1919" s="11"/>
      <c r="B1919" s="11"/>
      <c r="C1919" s="11"/>
      <c r="D1919" s="12"/>
      <c r="E1919" s="11"/>
      <c r="F1919" s="13"/>
      <c r="G1919" s="13"/>
      <c r="H1919" s="11"/>
      <c r="I1919" s="12"/>
      <c r="J1919" s="12"/>
      <c r="K1919" s="13"/>
      <c r="L1919" s="13"/>
      <c r="M1919" s="13"/>
      <c r="N1919" s="13"/>
      <c r="O1919" s="13"/>
      <c r="P1919" s="14" t="str">
        <f t="shared" si="116"/>
        <v/>
      </c>
      <c r="Q1919" s="15" t="str">
        <f>IF(OR(J1919="",H1919=""),"",IFERROR(IF(ISNUMBER(N1919),N1919,IF(K1919&lt;N(INDEX(Platforms!$G$5:$G$14,MATCH(H1919,Lists!$A$2:$A$11,0))),N(INDEX(Platforms!$H$5:$H$14,MATCH(H1919,Lists!$A$2:$A$11,0))),MAX(N(INDEX(Platforms!$F$5:$F$14,MATCH(H1919,Lists!$A$2:$A$11,0))),N(INDEX(Platforms!$C$5:$C$14,MATCH(H1919,Lists!$A$2:$A$11,0)))*(K1919+IF(INDEX(Platforms!$E$5:$E$14,MATCH(H1919,Lists!$A$2:$A$11,0))="Yes",N(L1919),0))+N(INDEX(Platforms!$D$5:$D$14,MATCH(H1919,Lists!$A$2:$A$11,0)))))),""))</f>
        <v/>
      </c>
      <c r="R1919" s="16" t="str">
        <f t="shared" si="117"/>
        <v/>
      </c>
      <c r="S1919" s="17" t="str">
        <f t="shared" si="118"/>
        <v/>
      </c>
      <c r="T1919" s="18" t="str">
        <f t="shared" ca="1" si="119"/>
        <v/>
      </c>
    </row>
    <row r="1920" spans="1:20" x14ac:dyDescent="0.35">
      <c r="A1920" s="11"/>
      <c r="B1920" s="11"/>
      <c r="C1920" s="11"/>
      <c r="D1920" s="12"/>
      <c r="E1920" s="11"/>
      <c r="F1920" s="13"/>
      <c r="G1920" s="13"/>
      <c r="H1920" s="11"/>
      <c r="I1920" s="12"/>
      <c r="J1920" s="12"/>
      <c r="K1920" s="13"/>
      <c r="L1920" s="13"/>
      <c r="M1920" s="13"/>
      <c r="N1920" s="13"/>
      <c r="O1920" s="13"/>
      <c r="P1920" s="14" t="str">
        <f t="shared" si="116"/>
        <v/>
      </c>
      <c r="Q1920" s="15" t="str">
        <f>IF(OR(J1920="",H1920=""),"",IFERROR(IF(ISNUMBER(N1920),N1920,IF(K1920&lt;N(INDEX(Platforms!$G$5:$G$14,MATCH(H1920,Lists!$A$2:$A$11,0))),N(INDEX(Platforms!$H$5:$H$14,MATCH(H1920,Lists!$A$2:$A$11,0))),MAX(N(INDEX(Platforms!$F$5:$F$14,MATCH(H1920,Lists!$A$2:$A$11,0))),N(INDEX(Platforms!$C$5:$C$14,MATCH(H1920,Lists!$A$2:$A$11,0)))*(K1920+IF(INDEX(Platforms!$E$5:$E$14,MATCH(H1920,Lists!$A$2:$A$11,0))="Yes",N(L1920),0))+N(INDEX(Platforms!$D$5:$D$14,MATCH(H1920,Lists!$A$2:$A$11,0)))))),""))</f>
        <v/>
      </c>
      <c r="R1920" s="16" t="str">
        <f t="shared" si="117"/>
        <v/>
      </c>
      <c r="S1920" s="17" t="str">
        <f t="shared" si="118"/>
        <v/>
      </c>
      <c r="T1920" s="18" t="str">
        <f t="shared" ca="1" si="119"/>
        <v/>
      </c>
    </row>
    <row r="1921" spans="1:20" x14ac:dyDescent="0.35">
      <c r="A1921" s="11"/>
      <c r="B1921" s="11"/>
      <c r="C1921" s="11"/>
      <c r="D1921" s="12"/>
      <c r="E1921" s="11"/>
      <c r="F1921" s="13"/>
      <c r="G1921" s="13"/>
      <c r="H1921" s="11"/>
      <c r="I1921" s="12"/>
      <c r="J1921" s="12"/>
      <c r="K1921" s="13"/>
      <c r="L1921" s="13"/>
      <c r="M1921" s="13"/>
      <c r="N1921" s="13"/>
      <c r="O1921" s="13"/>
      <c r="P1921" s="14" t="str">
        <f t="shared" si="116"/>
        <v/>
      </c>
      <c r="Q1921" s="15" t="str">
        <f>IF(OR(J1921="",H1921=""),"",IFERROR(IF(ISNUMBER(N1921),N1921,IF(K1921&lt;N(INDEX(Platforms!$G$5:$G$14,MATCH(H1921,Lists!$A$2:$A$11,0))),N(INDEX(Platforms!$H$5:$H$14,MATCH(H1921,Lists!$A$2:$A$11,0))),MAX(N(INDEX(Platforms!$F$5:$F$14,MATCH(H1921,Lists!$A$2:$A$11,0))),N(INDEX(Platforms!$C$5:$C$14,MATCH(H1921,Lists!$A$2:$A$11,0)))*(K1921+IF(INDEX(Platforms!$E$5:$E$14,MATCH(H1921,Lists!$A$2:$A$11,0))="Yes",N(L1921),0))+N(INDEX(Platforms!$D$5:$D$14,MATCH(H1921,Lists!$A$2:$A$11,0)))))),""))</f>
        <v/>
      </c>
      <c r="R1921" s="16" t="str">
        <f t="shared" si="117"/>
        <v/>
      </c>
      <c r="S1921" s="17" t="str">
        <f t="shared" si="118"/>
        <v/>
      </c>
      <c r="T1921" s="18" t="str">
        <f t="shared" ca="1" si="119"/>
        <v/>
      </c>
    </row>
    <row r="1922" spans="1:20" x14ac:dyDescent="0.35">
      <c r="A1922" s="11"/>
      <c r="B1922" s="11"/>
      <c r="C1922" s="11"/>
      <c r="D1922" s="12"/>
      <c r="E1922" s="11"/>
      <c r="F1922" s="13"/>
      <c r="G1922" s="13"/>
      <c r="H1922" s="11"/>
      <c r="I1922" s="12"/>
      <c r="J1922" s="12"/>
      <c r="K1922" s="13"/>
      <c r="L1922" s="13"/>
      <c r="M1922" s="13"/>
      <c r="N1922" s="13"/>
      <c r="O1922" s="13"/>
      <c r="P1922" s="14" t="str">
        <f t="shared" si="116"/>
        <v/>
      </c>
      <c r="Q1922" s="15" t="str">
        <f>IF(OR(J1922="",H1922=""),"",IFERROR(IF(ISNUMBER(N1922),N1922,IF(K1922&lt;N(INDEX(Platforms!$G$5:$G$14,MATCH(H1922,Lists!$A$2:$A$11,0))),N(INDEX(Platforms!$H$5:$H$14,MATCH(H1922,Lists!$A$2:$A$11,0))),MAX(N(INDEX(Platforms!$F$5:$F$14,MATCH(H1922,Lists!$A$2:$A$11,0))),N(INDEX(Platforms!$C$5:$C$14,MATCH(H1922,Lists!$A$2:$A$11,0)))*(K1922+IF(INDEX(Platforms!$E$5:$E$14,MATCH(H1922,Lists!$A$2:$A$11,0))="Yes",N(L1922),0))+N(INDEX(Platforms!$D$5:$D$14,MATCH(H1922,Lists!$A$2:$A$11,0)))))),""))</f>
        <v/>
      </c>
      <c r="R1922" s="16" t="str">
        <f t="shared" si="117"/>
        <v/>
      </c>
      <c r="S1922" s="17" t="str">
        <f t="shared" si="118"/>
        <v/>
      </c>
      <c r="T1922" s="18" t="str">
        <f t="shared" ca="1" si="119"/>
        <v/>
      </c>
    </row>
    <row r="1923" spans="1:20" x14ac:dyDescent="0.35">
      <c r="A1923" s="11"/>
      <c r="B1923" s="11"/>
      <c r="C1923" s="11"/>
      <c r="D1923" s="12"/>
      <c r="E1923" s="11"/>
      <c r="F1923" s="13"/>
      <c r="G1923" s="13"/>
      <c r="H1923" s="11"/>
      <c r="I1923" s="12"/>
      <c r="J1923" s="12"/>
      <c r="K1923" s="13"/>
      <c r="L1923" s="13"/>
      <c r="M1923" s="13"/>
      <c r="N1923" s="13"/>
      <c r="O1923" s="13"/>
      <c r="P1923" s="14" t="str">
        <f t="shared" si="116"/>
        <v/>
      </c>
      <c r="Q1923" s="15" t="str">
        <f>IF(OR(J1923="",H1923=""),"",IFERROR(IF(ISNUMBER(N1923),N1923,IF(K1923&lt;N(INDEX(Platforms!$G$5:$G$14,MATCH(H1923,Lists!$A$2:$A$11,0))),N(INDEX(Platforms!$H$5:$H$14,MATCH(H1923,Lists!$A$2:$A$11,0))),MAX(N(INDEX(Platforms!$F$5:$F$14,MATCH(H1923,Lists!$A$2:$A$11,0))),N(INDEX(Platforms!$C$5:$C$14,MATCH(H1923,Lists!$A$2:$A$11,0)))*(K1923+IF(INDEX(Platforms!$E$5:$E$14,MATCH(H1923,Lists!$A$2:$A$11,0))="Yes",N(L1923),0))+N(INDEX(Platforms!$D$5:$D$14,MATCH(H1923,Lists!$A$2:$A$11,0)))))),""))</f>
        <v/>
      </c>
      <c r="R1923" s="16" t="str">
        <f t="shared" si="117"/>
        <v/>
      </c>
      <c r="S1923" s="17" t="str">
        <f t="shared" si="118"/>
        <v/>
      </c>
      <c r="T1923" s="18" t="str">
        <f t="shared" ca="1" si="119"/>
        <v/>
      </c>
    </row>
    <row r="1924" spans="1:20" x14ac:dyDescent="0.35">
      <c r="A1924" s="11"/>
      <c r="B1924" s="11"/>
      <c r="C1924" s="11"/>
      <c r="D1924" s="12"/>
      <c r="E1924" s="11"/>
      <c r="F1924" s="13"/>
      <c r="G1924" s="13"/>
      <c r="H1924" s="11"/>
      <c r="I1924" s="12"/>
      <c r="J1924" s="12"/>
      <c r="K1924" s="13"/>
      <c r="L1924" s="13"/>
      <c r="M1924" s="13"/>
      <c r="N1924" s="13"/>
      <c r="O1924" s="13"/>
      <c r="P1924" s="14" t="str">
        <f t="shared" si="116"/>
        <v/>
      </c>
      <c r="Q1924" s="15" t="str">
        <f>IF(OR(J1924="",H1924=""),"",IFERROR(IF(ISNUMBER(N1924),N1924,IF(K1924&lt;N(INDEX(Platforms!$G$5:$G$14,MATCH(H1924,Lists!$A$2:$A$11,0))),N(INDEX(Platforms!$H$5:$H$14,MATCH(H1924,Lists!$A$2:$A$11,0))),MAX(N(INDEX(Platforms!$F$5:$F$14,MATCH(H1924,Lists!$A$2:$A$11,0))),N(INDEX(Platforms!$C$5:$C$14,MATCH(H1924,Lists!$A$2:$A$11,0)))*(K1924+IF(INDEX(Platforms!$E$5:$E$14,MATCH(H1924,Lists!$A$2:$A$11,0))="Yes",N(L1924),0))+N(INDEX(Platforms!$D$5:$D$14,MATCH(H1924,Lists!$A$2:$A$11,0)))))),""))</f>
        <v/>
      </c>
      <c r="R1924" s="16" t="str">
        <f t="shared" si="117"/>
        <v/>
      </c>
      <c r="S1924" s="17" t="str">
        <f t="shared" si="118"/>
        <v/>
      </c>
      <c r="T1924" s="18" t="str">
        <f t="shared" ca="1" si="119"/>
        <v/>
      </c>
    </row>
    <row r="1925" spans="1:20" x14ac:dyDescent="0.35">
      <c r="A1925" s="11"/>
      <c r="B1925" s="11"/>
      <c r="C1925" s="11"/>
      <c r="D1925" s="12"/>
      <c r="E1925" s="11"/>
      <c r="F1925" s="13"/>
      <c r="G1925" s="13"/>
      <c r="H1925" s="11"/>
      <c r="I1925" s="12"/>
      <c r="J1925" s="12"/>
      <c r="K1925" s="13"/>
      <c r="L1925" s="13"/>
      <c r="M1925" s="13"/>
      <c r="N1925" s="13"/>
      <c r="O1925" s="13"/>
      <c r="P1925" s="14" t="str">
        <f t="shared" ref="P1925:P1988" si="120">IF(OR(B1925&lt;&gt;"",F1925&lt;&gt;"",H1925&lt;&gt;"",J1925&lt;&gt;"",K1925&lt;&gt;""),IF(J1925&lt;&gt;"","Sold",IF(I1925&lt;&gt;"","Listed","In stock")),"")</f>
        <v/>
      </c>
      <c r="Q1925" s="15" t="str">
        <f>IF(OR(J1925="",H1925=""),"",IFERROR(IF(ISNUMBER(N1925),N1925,IF(K1925&lt;N(INDEX(Platforms!$G$5:$G$14,MATCH(H1925,Lists!$A$2:$A$11,0))),N(INDEX(Platforms!$H$5:$H$14,MATCH(H1925,Lists!$A$2:$A$11,0))),MAX(N(INDEX(Platforms!$F$5:$F$14,MATCH(H1925,Lists!$A$2:$A$11,0))),N(INDEX(Platforms!$C$5:$C$14,MATCH(H1925,Lists!$A$2:$A$11,0)))*(K1925+IF(INDEX(Platforms!$E$5:$E$14,MATCH(H1925,Lists!$A$2:$A$11,0))="Yes",N(L1925),0))+N(INDEX(Platforms!$D$5:$D$14,MATCH(H1925,Lists!$A$2:$A$11,0)))))),""))</f>
        <v/>
      </c>
      <c r="R1925" s="16" t="str">
        <f t="shared" ref="R1925:R1988" si="121">IF(J1925="","",IFERROR(K1925+N(L1925)-N(O1925)-Q1925-N(M1925)-N(F1925)-N(G1925),""))</f>
        <v/>
      </c>
      <c r="S1925" s="17" t="str">
        <f t="shared" ref="S1925:S1988" si="122">IF(OR(R1925="",N(F1925)+N(G1925)=0),"",R1925/(N(F1925)+N(G1925)))</f>
        <v/>
      </c>
      <c r="T1925" s="18" t="str">
        <f t="shared" ref="T1925:T1988" ca="1" si="123">IFERROR(IF(ISNUMBER(D1925),IF(ISNUMBER(J1925),J1925,IF(J1925="",TODAY(),""))-D1925,""),"")</f>
        <v/>
      </c>
    </row>
    <row r="1926" spans="1:20" x14ac:dyDescent="0.35">
      <c r="A1926" s="11"/>
      <c r="B1926" s="11"/>
      <c r="C1926" s="11"/>
      <c r="D1926" s="12"/>
      <c r="E1926" s="11"/>
      <c r="F1926" s="13"/>
      <c r="G1926" s="13"/>
      <c r="H1926" s="11"/>
      <c r="I1926" s="12"/>
      <c r="J1926" s="12"/>
      <c r="K1926" s="13"/>
      <c r="L1926" s="13"/>
      <c r="M1926" s="13"/>
      <c r="N1926" s="13"/>
      <c r="O1926" s="13"/>
      <c r="P1926" s="14" t="str">
        <f t="shared" si="120"/>
        <v/>
      </c>
      <c r="Q1926" s="15" t="str">
        <f>IF(OR(J1926="",H1926=""),"",IFERROR(IF(ISNUMBER(N1926),N1926,IF(K1926&lt;N(INDEX(Platforms!$G$5:$G$14,MATCH(H1926,Lists!$A$2:$A$11,0))),N(INDEX(Platforms!$H$5:$H$14,MATCH(H1926,Lists!$A$2:$A$11,0))),MAX(N(INDEX(Platforms!$F$5:$F$14,MATCH(H1926,Lists!$A$2:$A$11,0))),N(INDEX(Platforms!$C$5:$C$14,MATCH(H1926,Lists!$A$2:$A$11,0)))*(K1926+IF(INDEX(Platforms!$E$5:$E$14,MATCH(H1926,Lists!$A$2:$A$11,0))="Yes",N(L1926),0))+N(INDEX(Platforms!$D$5:$D$14,MATCH(H1926,Lists!$A$2:$A$11,0)))))),""))</f>
        <v/>
      </c>
      <c r="R1926" s="16" t="str">
        <f t="shared" si="121"/>
        <v/>
      </c>
      <c r="S1926" s="17" t="str">
        <f t="shared" si="122"/>
        <v/>
      </c>
      <c r="T1926" s="18" t="str">
        <f t="shared" ca="1" si="123"/>
        <v/>
      </c>
    </row>
    <row r="1927" spans="1:20" x14ac:dyDescent="0.35">
      <c r="A1927" s="11"/>
      <c r="B1927" s="11"/>
      <c r="C1927" s="11"/>
      <c r="D1927" s="12"/>
      <c r="E1927" s="11"/>
      <c r="F1927" s="13"/>
      <c r="G1927" s="13"/>
      <c r="H1927" s="11"/>
      <c r="I1927" s="12"/>
      <c r="J1927" s="12"/>
      <c r="K1927" s="13"/>
      <c r="L1927" s="13"/>
      <c r="M1927" s="13"/>
      <c r="N1927" s="13"/>
      <c r="O1927" s="13"/>
      <c r="P1927" s="14" t="str">
        <f t="shared" si="120"/>
        <v/>
      </c>
      <c r="Q1927" s="15" t="str">
        <f>IF(OR(J1927="",H1927=""),"",IFERROR(IF(ISNUMBER(N1927),N1927,IF(K1927&lt;N(INDEX(Platforms!$G$5:$G$14,MATCH(H1927,Lists!$A$2:$A$11,0))),N(INDEX(Platforms!$H$5:$H$14,MATCH(H1927,Lists!$A$2:$A$11,0))),MAX(N(INDEX(Platforms!$F$5:$F$14,MATCH(H1927,Lists!$A$2:$A$11,0))),N(INDEX(Platforms!$C$5:$C$14,MATCH(H1927,Lists!$A$2:$A$11,0)))*(K1927+IF(INDEX(Platforms!$E$5:$E$14,MATCH(H1927,Lists!$A$2:$A$11,0))="Yes",N(L1927),0))+N(INDEX(Platforms!$D$5:$D$14,MATCH(H1927,Lists!$A$2:$A$11,0)))))),""))</f>
        <v/>
      </c>
      <c r="R1927" s="16" t="str">
        <f t="shared" si="121"/>
        <v/>
      </c>
      <c r="S1927" s="17" t="str">
        <f t="shared" si="122"/>
        <v/>
      </c>
      <c r="T1927" s="18" t="str">
        <f t="shared" ca="1" si="123"/>
        <v/>
      </c>
    </row>
    <row r="1928" spans="1:20" x14ac:dyDescent="0.35">
      <c r="A1928" s="11"/>
      <c r="B1928" s="11"/>
      <c r="C1928" s="11"/>
      <c r="D1928" s="12"/>
      <c r="E1928" s="11"/>
      <c r="F1928" s="13"/>
      <c r="G1928" s="13"/>
      <c r="H1928" s="11"/>
      <c r="I1928" s="12"/>
      <c r="J1928" s="12"/>
      <c r="K1928" s="13"/>
      <c r="L1928" s="13"/>
      <c r="M1928" s="13"/>
      <c r="N1928" s="13"/>
      <c r="O1928" s="13"/>
      <c r="P1928" s="14" t="str">
        <f t="shared" si="120"/>
        <v/>
      </c>
      <c r="Q1928" s="15" t="str">
        <f>IF(OR(J1928="",H1928=""),"",IFERROR(IF(ISNUMBER(N1928),N1928,IF(K1928&lt;N(INDEX(Platforms!$G$5:$G$14,MATCH(H1928,Lists!$A$2:$A$11,0))),N(INDEX(Platforms!$H$5:$H$14,MATCH(H1928,Lists!$A$2:$A$11,0))),MAX(N(INDEX(Platforms!$F$5:$F$14,MATCH(H1928,Lists!$A$2:$A$11,0))),N(INDEX(Platforms!$C$5:$C$14,MATCH(H1928,Lists!$A$2:$A$11,0)))*(K1928+IF(INDEX(Platforms!$E$5:$E$14,MATCH(H1928,Lists!$A$2:$A$11,0))="Yes",N(L1928),0))+N(INDEX(Platforms!$D$5:$D$14,MATCH(H1928,Lists!$A$2:$A$11,0)))))),""))</f>
        <v/>
      </c>
      <c r="R1928" s="16" t="str">
        <f t="shared" si="121"/>
        <v/>
      </c>
      <c r="S1928" s="17" t="str">
        <f t="shared" si="122"/>
        <v/>
      </c>
      <c r="T1928" s="18" t="str">
        <f t="shared" ca="1" si="123"/>
        <v/>
      </c>
    </row>
    <row r="1929" spans="1:20" x14ac:dyDescent="0.35">
      <c r="A1929" s="11"/>
      <c r="B1929" s="11"/>
      <c r="C1929" s="11"/>
      <c r="D1929" s="12"/>
      <c r="E1929" s="11"/>
      <c r="F1929" s="13"/>
      <c r="G1929" s="13"/>
      <c r="H1929" s="11"/>
      <c r="I1929" s="12"/>
      <c r="J1929" s="12"/>
      <c r="K1929" s="13"/>
      <c r="L1929" s="13"/>
      <c r="M1929" s="13"/>
      <c r="N1929" s="13"/>
      <c r="O1929" s="13"/>
      <c r="P1929" s="14" t="str">
        <f t="shared" si="120"/>
        <v/>
      </c>
      <c r="Q1929" s="15" t="str">
        <f>IF(OR(J1929="",H1929=""),"",IFERROR(IF(ISNUMBER(N1929),N1929,IF(K1929&lt;N(INDEX(Platforms!$G$5:$G$14,MATCH(H1929,Lists!$A$2:$A$11,0))),N(INDEX(Platforms!$H$5:$H$14,MATCH(H1929,Lists!$A$2:$A$11,0))),MAX(N(INDEX(Platforms!$F$5:$F$14,MATCH(H1929,Lists!$A$2:$A$11,0))),N(INDEX(Platforms!$C$5:$C$14,MATCH(H1929,Lists!$A$2:$A$11,0)))*(K1929+IF(INDEX(Platforms!$E$5:$E$14,MATCH(H1929,Lists!$A$2:$A$11,0))="Yes",N(L1929),0))+N(INDEX(Platforms!$D$5:$D$14,MATCH(H1929,Lists!$A$2:$A$11,0)))))),""))</f>
        <v/>
      </c>
      <c r="R1929" s="16" t="str">
        <f t="shared" si="121"/>
        <v/>
      </c>
      <c r="S1929" s="17" t="str">
        <f t="shared" si="122"/>
        <v/>
      </c>
      <c r="T1929" s="18" t="str">
        <f t="shared" ca="1" si="123"/>
        <v/>
      </c>
    </row>
    <row r="1930" spans="1:20" x14ac:dyDescent="0.35">
      <c r="A1930" s="11"/>
      <c r="B1930" s="11"/>
      <c r="C1930" s="11"/>
      <c r="D1930" s="12"/>
      <c r="E1930" s="11"/>
      <c r="F1930" s="13"/>
      <c r="G1930" s="13"/>
      <c r="H1930" s="11"/>
      <c r="I1930" s="12"/>
      <c r="J1930" s="12"/>
      <c r="K1930" s="13"/>
      <c r="L1930" s="13"/>
      <c r="M1930" s="13"/>
      <c r="N1930" s="13"/>
      <c r="O1930" s="13"/>
      <c r="P1930" s="14" t="str">
        <f t="shared" si="120"/>
        <v/>
      </c>
      <c r="Q1930" s="15" t="str">
        <f>IF(OR(J1930="",H1930=""),"",IFERROR(IF(ISNUMBER(N1930),N1930,IF(K1930&lt;N(INDEX(Platforms!$G$5:$G$14,MATCH(H1930,Lists!$A$2:$A$11,0))),N(INDEX(Platforms!$H$5:$H$14,MATCH(H1930,Lists!$A$2:$A$11,0))),MAX(N(INDEX(Platforms!$F$5:$F$14,MATCH(H1930,Lists!$A$2:$A$11,0))),N(INDEX(Platforms!$C$5:$C$14,MATCH(H1930,Lists!$A$2:$A$11,0)))*(K1930+IF(INDEX(Platforms!$E$5:$E$14,MATCH(H1930,Lists!$A$2:$A$11,0))="Yes",N(L1930),0))+N(INDEX(Platforms!$D$5:$D$14,MATCH(H1930,Lists!$A$2:$A$11,0)))))),""))</f>
        <v/>
      </c>
      <c r="R1930" s="16" t="str">
        <f t="shared" si="121"/>
        <v/>
      </c>
      <c r="S1930" s="17" t="str">
        <f t="shared" si="122"/>
        <v/>
      </c>
      <c r="T1930" s="18" t="str">
        <f t="shared" ca="1" si="123"/>
        <v/>
      </c>
    </row>
    <row r="1931" spans="1:20" x14ac:dyDescent="0.35">
      <c r="A1931" s="11"/>
      <c r="B1931" s="11"/>
      <c r="C1931" s="11"/>
      <c r="D1931" s="12"/>
      <c r="E1931" s="11"/>
      <c r="F1931" s="13"/>
      <c r="G1931" s="13"/>
      <c r="H1931" s="11"/>
      <c r="I1931" s="12"/>
      <c r="J1931" s="12"/>
      <c r="K1931" s="13"/>
      <c r="L1931" s="13"/>
      <c r="M1931" s="13"/>
      <c r="N1931" s="13"/>
      <c r="O1931" s="13"/>
      <c r="P1931" s="14" t="str">
        <f t="shared" si="120"/>
        <v/>
      </c>
      <c r="Q1931" s="15" t="str">
        <f>IF(OR(J1931="",H1931=""),"",IFERROR(IF(ISNUMBER(N1931),N1931,IF(K1931&lt;N(INDEX(Platforms!$G$5:$G$14,MATCH(H1931,Lists!$A$2:$A$11,0))),N(INDEX(Platforms!$H$5:$H$14,MATCH(H1931,Lists!$A$2:$A$11,0))),MAX(N(INDEX(Platforms!$F$5:$F$14,MATCH(H1931,Lists!$A$2:$A$11,0))),N(INDEX(Platforms!$C$5:$C$14,MATCH(H1931,Lists!$A$2:$A$11,0)))*(K1931+IF(INDEX(Platforms!$E$5:$E$14,MATCH(H1931,Lists!$A$2:$A$11,0))="Yes",N(L1931),0))+N(INDEX(Platforms!$D$5:$D$14,MATCH(H1931,Lists!$A$2:$A$11,0)))))),""))</f>
        <v/>
      </c>
      <c r="R1931" s="16" t="str">
        <f t="shared" si="121"/>
        <v/>
      </c>
      <c r="S1931" s="17" t="str">
        <f t="shared" si="122"/>
        <v/>
      </c>
      <c r="T1931" s="18" t="str">
        <f t="shared" ca="1" si="123"/>
        <v/>
      </c>
    </row>
    <row r="1932" spans="1:20" x14ac:dyDescent="0.35">
      <c r="A1932" s="11"/>
      <c r="B1932" s="11"/>
      <c r="C1932" s="11"/>
      <c r="D1932" s="12"/>
      <c r="E1932" s="11"/>
      <c r="F1932" s="13"/>
      <c r="G1932" s="13"/>
      <c r="H1932" s="11"/>
      <c r="I1932" s="12"/>
      <c r="J1932" s="12"/>
      <c r="K1932" s="13"/>
      <c r="L1932" s="13"/>
      <c r="M1932" s="13"/>
      <c r="N1932" s="13"/>
      <c r="O1932" s="13"/>
      <c r="P1932" s="14" t="str">
        <f t="shared" si="120"/>
        <v/>
      </c>
      <c r="Q1932" s="15" t="str">
        <f>IF(OR(J1932="",H1932=""),"",IFERROR(IF(ISNUMBER(N1932),N1932,IF(K1932&lt;N(INDEX(Platforms!$G$5:$G$14,MATCH(H1932,Lists!$A$2:$A$11,0))),N(INDEX(Platforms!$H$5:$H$14,MATCH(H1932,Lists!$A$2:$A$11,0))),MAX(N(INDEX(Platforms!$F$5:$F$14,MATCH(H1932,Lists!$A$2:$A$11,0))),N(INDEX(Platforms!$C$5:$C$14,MATCH(H1932,Lists!$A$2:$A$11,0)))*(K1932+IF(INDEX(Platforms!$E$5:$E$14,MATCH(H1932,Lists!$A$2:$A$11,0))="Yes",N(L1932),0))+N(INDEX(Platforms!$D$5:$D$14,MATCH(H1932,Lists!$A$2:$A$11,0)))))),""))</f>
        <v/>
      </c>
      <c r="R1932" s="16" t="str">
        <f t="shared" si="121"/>
        <v/>
      </c>
      <c r="S1932" s="17" t="str">
        <f t="shared" si="122"/>
        <v/>
      </c>
      <c r="T1932" s="18" t="str">
        <f t="shared" ca="1" si="123"/>
        <v/>
      </c>
    </row>
    <row r="1933" spans="1:20" x14ac:dyDescent="0.35">
      <c r="A1933" s="11"/>
      <c r="B1933" s="11"/>
      <c r="C1933" s="11"/>
      <c r="D1933" s="12"/>
      <c r="E1933" s="11"/>
      <c r="F1933" s="13"/>
      <c r="G1933" s="13"/>
      <c r="H1933" s="11"/>
      <c r="I1933" s="12"/>
      <c r="J1933" s="12"/>
      <c r="K1933" s="13"/>
      <c r="L1933" s="13"/>
      <c r="M1933" s="13"/>
      <c r="N1933" s="13"/>
      <c r="O1933" s="13"/>
      <c r="P1933" s="14" t="str">
        <f t="shared" si="120"/>
        <v/>
      </c>
      <c r="Q1933" s="15" t="str">
        <f>IF(OR(J1933="",H1933=""),"",IFERROR(IF(ISNUMBER(N1933),N1933,IF(K1933&lt;N(INDEX(Platforms!$G$5:$G$14,MATCH(H1933,Lists!$A$2:$A$11,0))),N(INDEX(Platforms!$H$5:$H$14,MATCH(H1933,Lists!$A$2:$A$11,0))),MAX(N(INDEX(Platforms!$F$5:$F$14,MATCH(H1933,Lists!$A$2:$A$11,0))),N(INDEX(Platforms!$C$5:$C$14,MATCH(H1933,Lists!$A$2:$A$11,0)))*(K1933+IF(INDEX(Platforms!$E$5:$E$14,MATCH(H1933,Lists!$A$2:$A$11,0))="Yes",N(L1933),0))+N(INDEX(Platforms!$D$5:$D$14,MATCH(H1933,Lists!$A$2:$A$11,0)))))),""))</f>
        <v/>
      </c>
      <c r="R1933" s="16" t="str">
        <f t="shared" si="121"/>
        <v/>
      </c>
      <c r="S1933" s="17" t="str">
        <f t="shared" si="122"/>
        <v/>
      </c>
      <c r="T1933" s="18" t="str">
        <f t="shared" ca="1" si="123"/>
        <v/>
      </c>
    </row>
    <row r="1934" spans="1:20" x14ac:dyDescent="0.35">
      <c r="A1934" s="11"/>
      <c r="B1934" s="11"/>
      <c r="C1934" s="11"/>
      <c r="D1934" s="12"/>
      <c r="E1934" s="11"/>
      <c r="F1934" s="13"/>
      <c r="G1934" s="13"/>
      <c r="H1934" s="11"/>
      <c r="I1934" s="12"/>
      <c r="J1934" s="12"/>
      <c r="K1934" s="13"/>
      <c r="L1934" s="13"/>
      <c r="M1934" s="13"/>
      <c r="N1934" s="13"/>
      <c r="O1934" s="13"/>
      <c r="P1934" s="14" t="str">
        <f t="shared" si="120"/>
        <v/>
      </c>
      <c r="Q1934" s="15" t="str">
        <f>IF(OR(J1934="",H1934=""),"",IFERROR(IF(ISNUMBER(N1934),N1934,IF(K1934&lt;N(INDEX(Platforms!$G$5:$G$14,MATCH(H1934,Lists!$A$2:$A$11,0))),N(INDEX(Platforms!$H$5:$H$14,MATCH(H1934,Lists!$A$2:$A$11,0))),MAX(N(INDEX(Platforms!$F$5:$F$14,MATCH(H1934,Lists!$A$2:$A$11,0))),N(INDEX(Platforms!$C$5:$C$14,MATCH(H1934,Lists!$A$2:$A$11,0)))*(K1934+IF(INDEX(Platforms!$E$5:$E$14,MATCH(H1934,Lists!$A$2:$A$11,0))="Yes",N(L1934),0))+N(INDEX(Platforms!$D$5:$D$14,MATCH(H1934,Lists!$A$2:$A$11,0)))))),""))</f>
        <v/>
      </c>
      <c r="R1934" s="16" t="str">
        <f t="shared" si="121"/>
        <v/>
      </c>
      <c r="S1934" s="17" t="str">
        <f t="shared" si="122"/>
        <v/>
      </c>
      <c r="T1934" s="18" t="str">
        <f t="shared" ca="1" si="123"/>
        <v/>
      </c>
    </row>
    <row r="1935" spans="1:20" x14ac:dyDescent="0.35">
      <c r="A1935" s="11"/>
      <c r="B1935" s="11"/>
      <c r="C1935" s="11"/>
      <c r="D1935" s="12"/>
      <c r="E1935" s="11"/>
      <c r="F1935" s="13"/>
      <c r="G1935" s="13"/>
      <c r="H1935" s="11"/>
      <c r="I1935" s="12"/>
      <c r="J1935" s="12"/>
      <c r="K1935" s="13"/>
      <c r="L1935" s="13"/>
      <c r="M1935" s="13"/>
      <c r="N1935" s="13"/>
      <c r="O1935" s="13"/>
      <c r="P1935" s="14" t="str">
        <f t="shared" si="120"/>
        <v/>
      </c>
      <c r="Q1935" s="15" t="str">
        <f>IF(OR(J1935="",H1935=""),"",IFERROR(IF(ISNUMBER(N1935),N1935,IF(K1935&lt;N(INDEX(Platforms!$G$5:$G$14,MATCH(H1935,Lists!$A$2:$A$11,0))),N(INDEX(Platforms!$H$5:$H$14,MATCH(H1935,Lists!$A$2:$A$11,0))),MAX(N(INDEX(Platforms!$F$5:$F$14,MATCH(H1935,Lists!$A$2:$A$11,0))),N(INDEX(Platforms!$C$5:$C$14,MATCH(H1935,Lists!$A$2:$A$11,0)))*(K1935+IF(INDEX(Platforms!$E$5:$E$14,MATCH(H1935,Lists!$A$2:$A$11,0))="Yes",N(L1935),0))+N(INDEX(Platforms!$D$5:$D$14,MATCH(H1935,Lists!$A$2:$A$11,0)))))),""))</f>
        <v/>
      </c>
      <c r="R1935" s="16" t="str">
        <f t="shared" si="121"/>
        <v/>
      </c>
      <c r="S1935" s="17" t="str">
        <f t="shared" si="122"/>
        <v/>
      </c>
      <c r="T1935" s="18" t="str">
        <f t="shared" ca="1" si="123"/>
        <v/>
      </c>
    </row>
    <row r="1936" spans="1:20" x14ac:dyDescent="0.35">
      <c r="A1936" s="11"/>
      <c r="B1936" s="11"/>
      <c r="C1936" s="11"/>
      <c r="D1936" s="12"/>
      <c r="E1936" s="11"/>
      <c r="F1936" s="13"/>
      <c r="G1936" s="13"/>
      <c r="H1936" s="11"/>
      <c r="I1936" s="12"/>
      <c r="J1936" s="12"/>
      <c r="K1936" s="13"/>
      <c r="L1936" s="13"/>
      <c r="M1936" s="13"/>
      <c r="N1936" s="13"/>
      <c r="O1936" s="13"/>
      <c r="P1936" s="14" t="str">
        <f t="shared" si="120"/>
        <v/>
      </c>
      <c r="Q1936" s="15" t="str">
        <f>IF(OR(J1936="",H1936=""),"",IFERROR(IF(ISNUMBER(N1936),N1936,IF(K1936&lt;N(INDEX(Platforms!$G$5:$G$14,MATCH(H1936,Lists!$A$2:$A$11,0))),N(INDEX(Platforms!$H$5:$H$14,MATCH(H1936,Lists!$A$2:$A$11,0))),MAX(N(INDEX(Platforms!$F$5:$F$14,MATCH(H1936,Lists!$A$2:$A$11,0))),N(INDEX(Platforms!$C$5:$C$14,MATCH(H1936,Lists!$A$2:$A$11,0)))*(K1936+IF(INDEX(Platforms!$E$5:$E$14,MATCH(H1936,Lists!$A$2:$A$11,0))="Yes",N(L1936),0))+N(INDEX(Platforms!$D$5:$D$14,MATCH(H1936,Lists!$A$2:$A$11,0)))))),""))</f>
        <v/>
      </c>
      <c r="R1936" s="16" t="str">
        <f t="shared" si="121"/>
        <v/>
      </c>
      <c r="S1936" s="17" t="str">
        <f t="shared" si="122"/>
        <v/>
      </c>
      <c r="T1936" s="18" t="str">
        <f t="shared" ca="1" si="123"/>
        <v/>
      </c>
    </row>
    <row r="1937" spans="1:20" x14ac:dyDescent="0.35">
      <c r="A1937" s="11"/>
      <c r="B1937" s="11"/>
      <c r="C1937" s="11"/>
      <c r="D1937" s="12"/>
      <c r="E1937" s="11"/>
      <c r="F1937" s="13"/>
      <c r="G1937" s="13"/>
      <c r="H1937" s="11"/>
      <c r="I1937" s="12"/>
      <c r="J1937" s="12"/>
      <c r="K1937" s="13"/>
      <c r="L1937" s="13"/>
      <c r="M1937" s="13"/>
      <c r="N1937" s="13"/>
      <c r="O1937" s="13"/>
      <c r="P1937" s="14" t="str">
        <f t="shared" si="120"/>
        <v/>
      </c>
      <c r="Q1937" s="15" t="str">
        <f>IF(OR(J1937="",H1937=""),"",IFERROR(IF(ISNUMBER(N1937),N1937,IF(K1937&lt;N(INDEX(Platforms!$G$5:$G$14,MATCH(H1937,Lists!$A$2:$A$11,0))),N(INDEX(Platforms!$H$5:$H$14,MATCH(H1937,Lists!$A$2:$A$11,0))),MAX(N(INDEX(Platforms!$F$5:$F$14,MATCH(H1937,Lists!$A$2:$A$11,0))),N(INDEX(Platforms!$C$5:$C$14,MATCH(H1937,Lists!$A$2:$A$11,0)))*(K1937+IF(INDEX(Platforms!$E$5:$E$14,MATCH(H1937,Lists!$A$2:$A$11,0))="Yes",N(L1937),0))+N(INDEX(Platforms!$D$5:$D$14,MATCH(H1937,Lists!$A$2:$A$11,0)))))),""))</f>
        <v/>
      </c>
      <c r="R1937" s="16" t="str">
        <f t="shared" si="121"/>
        <v/>
      </c>
      <c r="S1937" s="17" t="str">
        <f t="shared" si="122"/>
        <v/>
      </c>
      <c r="T1937" s="18" t="str">
        <f t="shared" ca="1" si="123"/>
        <v/>
      </c>
    </row>
    <row r="1938" spans="1:20" x14ac:dyDescent="0.35">
      <c r="A1938" s="11"/>
      <c r="B1938" s="11"/>
      <c r="C1938" s="11"/>
      <c r="D1938" s="12"/>
      <c r="E1938" s="11"/>
      <c r="F1938" s="13"/>
      <c r="G1938" s="13"/>
      <c r="H1938" s="11"/>
      <c r="I1938" s="12"/>
      <c r="J1938" s="12"/>
      <c r="K1938" s="13"/>
      <c r="L1938" s="13"/>
      <c r="M1938" s="13"/>
      <c r="N1938" s="13"/>
      <c r="O1938" s="13"/>
      <c r="P1938" s="14" t="str">
        <f t="shared" si="120"/>
        <v/>
      </c>
      <c r="Q1938" s="15" t="str">
        <f>IF(OR(J1938="",H1938=""),"",IFERROR(IF(ISNUMBER(N1938),N1938,IF(K1938&lt;N(INDEX(Platforms!$G$5:$G$14,MATCH(H1938,Lists!$A$2:$A$11,0))),N(INDEX(Platforms!$H$5:$H$14,MATCH(H1938,Lists!$A$2:$A$11,0))),MAX(N(INDEX(Platforms!$F$5:$F$14,MATCH(H1938,Lists!$A$2:$A$11,0))),N(INDEX(Platforms!$C$5:$C$14,MATCH(H1938,Lists!$A$2:$A$11,0)))*(K1938+IF(INDEX(Platforms!$E$5:$E$14,MATCH(H1938,Lists!$A$2:$A$11,0))="Yes",N(L1938),0))+N(INDEX(Platforms!$D$5:$D$14,MATCH(H1938,Lists!$A$2:$A$11,0)))))),""))</f>
        <v/>
      </c>
      <c r="R1938" s="16" t="str">
        <f t="shared" si="121"/>
        <v/>
      </c>
      <c r="S1938" s="17" t="str">
        <f t="shared" si="122"/>
        <v/>
      </c>
      <c r="T1938" s="18" t="str">
        <f t="shared" ca="1" si="123"/>
        <v/>
      </c>
    </row>
    <row r="1939" spans="1:20" x14ac:dyDescent="0.35">
      <c r="A1939" s="11"/>
      <c r="B1939" s="11"/>
      <c r="C1939" s="11"/>
      <c r="D1939" s="12"/>
      <c r="E1939" s="11"/>
      <c r="F1939" s="13"/>
      <c r="G1939" s="13"/>
      <c r="H1939" s="11"/>
      <c r="I1939" s="12"/>
      <c r="J1939" s="12"/>
      <c r="K1939" s="13"/>
      <c r="L1939" s="13"/>
      <c r="M1939" s="13"/>
      <c r="N1939" s="13"/>
      <c r="O1939" s="13"/>
      <c r="P1939" s="14" t="str">
        <f t="shared" si="120"/>
        <v/>
      </c>
      <c r="Q1939" s="15" t="str">
        <f>IF(OR(J1939="",H1939=""),"",IFERROR(IF(ISNUMBER(N1939),N1939,IF(K1939&lt;N(INDEX(Platforms!$G$5:$G$14,MATCH(H1939,Lists!$A$2:$A$11,0))),N(INDEX(Platforms!$H$5:$H$14,MATCH(H1939,Lists!$A$2:$A$11,0))),MAX(N(INDEX(Platforms!$F$5:$F$14,MATCH(H1939,Lists!$A$2:$A$11,0))),N(INDEX(Platforms!$C$5:$C$14,MATCH(H1939,Lists!$A$2:$A$11,0)))*(K1939+IF(INDEX(Platforms!$E$5:$E$14,MATCH(H1939,Lists!$A$2:$A$11,0))="Yes",N(L1939),0))+N(INDEX(Platforms!$D$5:$D$14,MATCH(H1939,Lists!$A$2:$A$11,0)))))),""))</f>
        <v/>
      </c>
      <c r="R1939" s="16" t="str">
        <f t="shared" si="121"/>
        <v/>
      </c>
      <c r="S1939" s="17" t="str">
        <f t="shared" si="122"/>
        <v/>
      </c>
      <c r="T1939" s="18" t="str">
        <f t="shared" ca="1" si="123"/>
        <v/>
      </c>
    </row>
    <row r="1940" spans="1:20" x14ac:dyDescent="0.35">
      <c r="A1940" s="11"/>
      <c r="B1940" s="11"/>
      <c r="C1940" s="11"/>
      <c r="D1940" s="12"/>
      <c r="E1940" s="11"/>
      <c r="F1940" s="13"/>
      <c r="G1940" s="13"/>
      <c r="H1940" s="11"/>
      <c r="I1940" s="12"/>
      <c r="J1940" s="12"/>
      <c r="K1940" s="13"/>
      <c r="L1940" s="13"/>
      <c r="M1940" s="13"/>
      <c r="N1940" s="13"/>
      <c r="O1940" s="13"/>
      <c r="P1940" s="14" t="str">
        <f t="shared" si="120"/>
        <v/>
      </c>
      <c r="Q1940" s="15" t="str">
        <f>IF(OR(J1940="",H1940=""),"",IFERROR(IF(ISNUMBER(N1940),N1940,IF(K1940&lt;N(INDEX(Platforms!$G$5:$G$14,MATCH(H1940,Lists!$A$2:$A$11,0))),N(INDEX(Platforms!$H$5:$H$14,MATCH(H1940,Lists!$A$2:$A$11,0))),MAX(N(INDEX(Platforms!$F$5:$F$14,MATCH(H1940,Lists!$A$2:$A$11,0))),N(INDEX(Platforms!$C$5:$C$14,MATCH(H1940,Lists!$A$2:$A$11,0)))*(K1940+IF(INDEX(Platforms!$E$5:$E$14,MATCH(H1940,Lists!$A$2:$A$11,0))="Yes",N(L1940),0))+N(INDEX(Platforms!$D$5:$D$14,MATCH(H1940,Lists!$A$2:$A$11,0)))))),""))</f>
        <v/>
      </c>
      <c r="R1940" s="16" t="str">
        <f t="shared" si="121"/>
        <v/>
      </c>
      <c r="S1940" s="17" t="str">
        <f t="shared" si="122"/>
        <v/>
      </c>
      <c r="T1940" s="18" t="str">
        <f t="shared" ca="1" si="123"/>
        <v/>
      </c>
    </row>
    <row r="1941" spans="1:20" x14ac:dyDescent="0.35">
      <c r="A1941" s="11"/>
      <c r="B1941" s="11"/>
      <c r="C1941" s="11"/>
      <c r="D1941" s="12"/>
      <c r="E1941" s="11"/>
      <c r="F1941" s="13"/>
      <c r="G1941" s="13"/>
      <c r="H1941" s="11"/>
      <c r="I1941" s="12"/>
      <c r="J1941" s="12"/>
      <c r="K1941" s="13"/>
      <c r="L1941" s="13"/>
      <c r="M1941" s="13"/>
      <c r="N1941" s="13"/>
      <c r="O1941" s="13"/>
      <c r="P1941" s="14" t="str">
        <f t="shared" si="120"/>
        <v/>
      </c>
      <c r="Q1941" s="15" t="str">
        <f>IF(OR(J1941="",H1941=""),"",IFERROR(IF(ISNUMBER(N1941),N1941,IF(K1941&lt;N(INDEX(Platforms!$G$5:$G$14,MATCH(H1941,Lists!$A$2:$A$11,0))),N(INDEX(Platforms!$H$5:$H$14,MATCH(H1941,Lists!$A$2:$A$11,0))),MAX(N(INDEX(Platforms!$F$5:$F$14,MATCH(H1941,Lists!$A$2:$A$11,0))),N(INDEX(Platforms!$C$5:$C$14,MATCH(H1941,Lists!$A$2:$A$11,0)))*(K1941+IF(INDEX(Platforms!$E$5:$E$14,MATCH(H1941,Lists!$A$2:$A$11,0))="Yes",N(L1941),0))+N(INDEX(Platforms!$D$5:$D$14,MATCH(H1941,Lists!$A$2:$A$11,0)))))),""))</f>
        <v/>
      </c>
      <c r="R1941" s="16" t="str">
        <f t="shared" si="121"/>
        <v/>
      </c>
      <c r="S1941" s="17" t="str">
        <f t="shared" si="122"/>
        <v/>
      </c>
      <c r="T1941" s="18" t="str">
        <f t="shared" ca="1" si="123"/>
        <v/>
      </c>
    </row>
    <row r="1942" spans="1:20" x14ac:dyDescent="0.35">
      <c r="A1942" s="11"/>
      <c r="B1942" s="11"/>
      <c r="C1942" s="11"/>
      <c r="D1942" s="12"/>
      <c r="E1942" s="11"/>
      <c r="F1942" s="13"/>
      <c r="G1942" s="13"/>
      <c r="H1942" s="11"/>
      <c r="I1942" s="12"/>
      <c r="J1942" s="12"/>
      <c r="K1942" s="13"/>
      <c r="L1942" s="13"/>
      <c r="M1942" s="13"/>
      <c r="N1942" s="13"/>
      <c r="O1942" s="13"/>
      <c r="P1942" s="14" t="str">
        <f t="shared" si="120"/>
        <v/>
      </c>
      <c r="Q1942" s="15" t="str">
        <f>IF(OR(J1942="",H1942=""),"",IFERROR(IF(ISNUMBER(N1942),N1942,IF(K1942&lt;N(INDEX(Platforms!$G$5:$G$14,MATCH(H1942,Lists!$A$2:$A$11,0))),N(INDEX(Platforms!$H$5:$H$14,MATCH(H1942,Lists!$A$2:$A$11,0))),MAX(N(INDEX(Platforms!$F$5:$F$14,MATCH(H1942,Lists!$A$2:$A$11,0))),N(INDEX(Platforms!$C$5:$C$14,MATCH(H1942,Lists!$A$2:$A$11,0)))*(K1942+IF(INDEX(Platforms!$E$5:$E$14,MATCH(H1942,Lists!$A$2:$A$11,0))="Yes",N(L1942),0))+N(INDEX(Platforms!$D$5:$D$14,MATCH(H1942,Lists!$A$2:$A$11,0)))))),""))</f>
        <v/>
      </c>
      <c r="R1942" s="16" t="str">
        <f t="shared" si="121"/>
        <v/>
      </c>
      <c r="S1942" s="17" t="str">
        <f t="shared" si="122"/>
        <v/>
      </c>
      <c r="T1942" s="18" t="str">
        <f t="shared" ca="1" si="123"/>
        <v/>
      </c>
    </row>
    <row r="1943" spans="1:20" x14ac:dyDescent="0.35">
      <c r="A1943" s="11"/>
      <c r="B1943" s="11"/>
      <c r="C1943" s="11"/>
      <c r="D1943" s="12"/>
      <c r="E1943" s="11"/>
      <c r="F1943" s="13"/>
      <c r="G1943" s="13"/>
      <c r="H1943" s="11"/>
      <c r="I1943" s="12"/>
      <c r="J1943" s="12"/>
      <c r="K1943" s="13"/>
      <c r="L1943" s="13"/>
      <c r="M1943" s="13"/>
      <c r="N1943" s="13"/>
      <c r="O1943" s="13"/>
      <c r="P1943" s="14" t="str">
        <f t="shared" si="120"/>
        <v/>
      </c>
      <c r="Q1943" s="15" t="str">
        <f>IF(OR(J1943="",H1943=""),"",IFERROR(IF(ISNUMBER(N1943),N1943,IF(K1943&lt;N(INDEX(Platforms!$G$5:$G$14,MATCH(H1943,Lists!$A$2:$A$11,0))),N(INDEX(Platforms!$H$5:$H$14,MATCH(H1943,Lists!$A$2:$A$11,0))),MAX(N(INDEX(Platforms!$F$5:$F$14,MATCH(H1943,Lists!$A$2:$A$11,0))),N(INDEX(Platforms!$C$5:$C$14,MATCH(H1943,Lists!$A$2:$A$11,0)))*(K1943+IF(INDEX(Platforms!$E$5:$E$14,MATCH(H1943,Lists!$A$2:$A$11,0))="Yes",N(L1943),0))+N(INDEX(Platforms!$D$5:$D$14,MATCH(H1943,Lists!$A$2:$A$11,0)))))),""))</f>
        <v/>
      </c>
      <c r="R1943" s="16" t="str">
        <f t="shared" si="121"/>
        <v/>
      </c>
      <c r="S1943" s="17" t="str">
        <f t="shared" si="122"/>
        <v/>
      </c>
      <c r="T1943" s="18" t="str">
        <f t="shared" ca="1" si="123"/>
        <v/>
      </c>
    </row>
    <row r="1944" spans="1:20" x14ac:dyDescent="0.35">
      <c r="A1944" s="11"/>
      <c r="B1944" s="11"/>
      <c r="C1944" s="11"/>
      <c r="D1944" s="12"/>
      <c r="E1944" s="11"/>
      <c r="F1944" s="13"/>
      <c r="G1944" s="13"/>
      <c r="H1944" s="11"/>
      <c r="I1944" s="12"/>
      <c r="J1944" s="12"/>
      <c r="K1944" s="13"/>
      <c r="L1944" s="13"/>
      <c r="M1944" s="13"/>
      <c r="N1944" s="13"/>
      <c r="O1944" s="13"/>
      <c r="P1944" s="14" t="str">
        <f t="shared" si="120"/>
        <v/>
      </c>
      <c r="Q1944" s="15" t="str">
        <f>IF(OR(J1944="",H1944=""),"",IFERROR(IF(ISNUMBER(N1944),N1944,IF(K1944&lt;N(INDEX(Platforms!$G$5:$G$14,MATCH(H1944,Lists!$A$2:$A$11,0))),N(INDEX(Platforms!$H$5:$H$14,MATCH(H1944,Lists!$A$2:$A$11,0))),MAX(N(INDEX(Platforms!$F$5:$F$14,MATCH(H1944,Lists!$A$2:$A$11,0))),N(INDEX(Platforms!$C$5:$C$14,MATCH(H1944,Lists!$A$2:$A$11,0)))*(K1944+IF(INDEX(Platforms!$E$5:$E$14,MATCH(H1944,Lists!$A$2:$A$11,0))="Yes",N(L1944),0))+N(INDEX(Platforms!$D$5:$D$14,MATCH(H1944,Lists!$A$2:$A$11,0)))))),""))</f>
        <v/>
      </c>
      <c r="R1944" s="16" t="str">
        <f t="shared" si="121"/>
        <v/>
      </c>
      <c r="S1944" s="17" t="str">
        <f t="shared" si="122"/>
        <v/>
      </c>
      <c r="T1944" s="18" t="str">
        <f t="shared" ca="1" si="123"/>
        <v/>
      </c>
    </row>
    <row r="1945" spans="1:20" x14ac:dyDescent="0.35">
      <c r="A1945" s="11"/>
      <c r="B1945" s="11"/>
      <c r="C1945" s="11"/>
      <c r="D1945" s="12"/>
      <c r="E1945" s="11"/>
      <c r="F1945" s="13"/>
      <c r="G1945" s="13"/>
      <c r="H1945" s="11"/>
      <c r="I1945" s="12"/>
      <c r="J1945" s="12"/>
      <c r="K1945" s="13"/>
      <c r="L1945" s="13"/>
      <c r="M1945" s="13"/>
      <c r="N1945" s="13"/>
      <c r="O1945" s="13"/>
      <c r="P1945" s="14" t="str">
        <f t="shared" si="120"/>
        <v/>
      </c>
      <c r="Q1945" s="15" t="str">
        <f>IF(OR(J1945="",H1945=""),"",IFERROR(IF(ISNUMBER(N1945),N1945,IF(K1945&lt;N(INDEX(Platforms!$G$5:$G$14,MATCH(H1945,Lists!$A$2:$A$11,0))),N(INDEX(Platforms!$H$5:$H$14,MATCH(H1945,Lists!$A$2:$A$11,0))),MAX(N(INDEX(Platforms!$F$5:$F$14,MATCH(H1945,Lists!$A$2:$A$11,0))),N(INDEX(Platforms!$C$5:$C$14,MATCH(H1945,Lists!$A$2:$A$11,0)))*(K1945+IF(INDEX(Platforms!$E$5:$E$14,MATCH(H1945,Lists!$A$2:$A$11,0))="Yes",N(L1945),0))+N(INDEX(Platforms!$D$5:$D$14,MATCH(H1945,Lists!$A$2:$A$11,0)))))),""))</f>
        <v/>
      </c>
      <c r="R1945" s="16" t="str">
        <f t="shared" si="121"/>
        <v/>
      </c>
      <c r="S1945" s="17" t="str">
        <f t="shared" si="122"/>
        <v/>
      </c>
      <c r="T1945" s="18" t="str">
        <f t="shared" ca="1" si="123"/>
        <v/>
      </c>
    </row>
    <row r="1946" spans="1:20" x14ac:dyDescent="0.35">
      <c r="A1946" s="11"/>
      <c r="B1946" s="11"/>
      <c r="C1946" s="11"/>
      <c r="D1946" s="12"/>
      <c r="E1946" s="11"/>
      <c r="F1946" s="13"/>
      <c r="G1946" s="13"/>
      <c r="H1946" s="11"/>
      <c r="I1946" s="12"/>
      <c r="J1946" s="12"/>
      <c r="K1946" s="13"/>
      <c r="L1946" s="13"/>
      <c r="M1946" s="13"/>
      <c r="N1946" s="13"/>
      <c r="O1946" s="13"/>
      <c r="P1946" s="14" t="str">
        <f t="shared" si="120"/>
        <v/>
      </c>
      <c r="Q1946" s="15" t="str">
        <f>IF(OR(J1946="",H1946=""),"",IFERROR(IF(ISNUMBER(N1946),N1946,IF(K1946&lt;N(INDEX(Platforms!$G$5:$G$14,MATCH(H1946,Lists!$A$2:$A$11,0))),N(INDEX(Platforms!$H$5:$H$14,MATCH(H1946,Lists!$A$2:$A$11,0))),MAX(N(INDEX(Platforms!$F$5:$F$14,MATCH(H1946,Lists!$A$2:$A$11,0))),N(INDEX(Platforms!$C$5:$C$14,MATCH(H1946,Lists!$A$2:$A$11,0)))*(K1946+IF(INDEX(Platforms!$E$5:$E$14,MATCH(H1946,Lists!$A$2:$A$11,0))="Yes",N(L1946),0))+N(INDEX(Platforms!$D$5:$D$14,MATCH(H1946,Lists!$A$2:$A$11,0)))))),""))</f>
        <v/>
      </c>
      <c r="R1946" s="16" t="str">
        <f t="shared" si="121"/>
        <v/>
      </c>
      <c r="S1946" s="17" t="str">
        <f t="shared" si="122"/>
        <v/>
      </c>
      <c r="T1946" s="18" t="str">
        <f t="shared" ca="1" si="123"/>
        <v/>
      </c>
    </row>
    <row r="1947" spans="1:20" x14ac:dyDescent="0.35">
      <c r="A1947" s="11"/>
      <c r="B1947" s="11"/>
      <c r="C1947" s="11"/>
      <c r="D1947" s="12"/>
      <c r="E1947" s="11"/>
      <c r="F1947" s="13"/>
      <c r="G1947" s="13"/>
      <c r="H1947" s="11"/>
      <c r="I1947" s="12"/>
      <c r="J1947" s="12"/>
      <c r="K1947" s="13"/>
      <c r="L1947" s="13"/>
      <c r="M1947" s="13"/>
      <c r="N1947" s="13"/>
      <c r="O1947" s="13"/>
      <c r="P1947" s="14" t="str">
        <f t="shared" si="120"/>
        <v/>
      </c>
      <c r="Q1947" s="15" t="str">
        <f>IF(OR(J1947="",H1947=""),"",IFERROR(IF(ISNUMBER(N1947),N1947,IF(K1947&lt;N(INDEX(Platforms!$G$5:$G$14,MATCH(H1947,Lists!$A$2:$A$11,0))),N(INDEX(Platforms!$H$5:$H$14,MATCH(H1947,Lists!$A$2:$A$11,0))),MAX(N(INDEX(Platforms!$F$5:$F$14,MATCH(H1947,Lists!$A$2:$A$11,0))),N(INDEX(Platforms!$C$5:$C$14,MATCH(H1947,Lists!$A$2:$A$11,0)))*(K1947+IF(INDEX(Platforms!$E$5:$E$14,MATCH(H1947,Lists!$A$2:$A$11,0))="Yes",N(L1947),0))+N(INDEX(Platforms!$D$5:$D$14,MATCH(H1947,Lists!$A$2:$A$11,0)))))),""))</f>
        <v/>
      </c>
      <c r="R1947" s="16" t="str">
        <f t="shared" si="121"/>
        <v/>
      </c>
      <c r="S1947" s="17" t="str">
        <f t="shared" si="122"/>
        <v/>
      </c>
      <c r="T1947" s="18" t="str">
        <f t="shared" ca="1" si="123"/>
        <v/>
      </c>
    </row>
    <row r="1948" spans="1:20" x14ac:dyDescent="0.35">
      <c r="A1948" s="11"/>
      <c r="B1948" s="11"/>
      <c r="C1948" s="11"/>
      <c r="D1948" s="12"/>
      <c r="E1948" s="11"/>
      <c r="F1948" s="13"/>
      <c r="G1948" s="13"/>
      <c r="H1948" s="11"/>
      <c r="I1948" s="12"/>
      <c r="J1948" s="12"/>
      <c r="K1948" s="13"/>
      <c r="L1948" s="13"/>
      <c r="M1948" s="13"/>
      <c r="N1948" s="13"/>
      <c r="O1948" s="13"/>
      <c r="P1948" s="14" t="str">
        <f t="shared" si="120"/>
        <v/>
      </c>
      <c r="Q1948" s="15" t="str">
        <f>IF(OR(J1948="",H1948=""),"",IFERROR(IF(ISNUMBER(N1948),N1948,IF(K1948&lt;N(INDEX(Platforms!$G$5:$G$14,MATCH(H1948,Lists!$A$2:$A$11,0))),N(INDEX(Platforms!$H$5:$H$14,MATCH(H1948,Lists!$A$2:$A$11,0))),MAX(N(INDEX(Platforms!$F$5:$F$14,MATCH(H1948,Lists!$A$2:$A$11,0))),N(INDEX(Platforms!$C$5:$C$14,MATCH(H1948,Lists!$A$2:$A$11,0)))*(K1948+IF(INDEX(Platforms!$E$5:$E$14,MATCH(H1948,Lists!$A$2:$A$11,0))="Yes",N(L1948),0))+N(INDEX(Platforms!$D$5:$D$14,MATCH(H1948,Lists!$A$2:$A$11,0)))))),""))</f>
        <v/>
      </c>
      <c r="R1948" s="16" t="str">
        <f t="shared" si="121"/>
        <v/>
      </c>
      <c r="S1948" s="17" t="str">
        <f t="shared" si="122"/>
        <v/>
      </c>
      <c r="T1948" s="18" t="str">
        <f t="shared" ca="1" si="123"/>
        <v/>
      </c>
    </row>
    <row r="1949" spans="1:20" x14ac:dyDescent="0.35">
      <c r="A1949" s="11"/>
      <c r="B1949" s="11"/>
      <c r="C1949" s="11"/>
      <c r="D1949" s="12"/>
      <c r="E1949" s="11"/>
      <c r="F1949" s="13"/>
      <c r="G1949" s="13"/>
      <c r="H1949" s="11"/>
      <c r="I1949" s="12"/>
      <c r="J1949" s="12"/>
      <c r="K1949" s="13"/>
      <c r="L1949" s="13"/>
      <c r="M1949" s="13"/>
      <c r="N1949" s="13"/>
      <c r="O1949" s="13"/>
      <c r="P1949" s="14" t="str">
        <f t="shared" si="120"/>
        <v/>
      </c>
      <c r="Q1949" s="15" t="str">
        <f>IF(OR(J1949="",H1949=""),"",IFERROR(IF(ISNUMBER(N1949),N1949,IF(K1949&lt;N(INDEX(Platforms!$G$5:$G$14,MATCH(H1949,Lists!$A$2:$A$11,0))),N(INDEX(Platforms!$H$5:$H$14,MATCH(H1949,Lists!$A$2:$A$11,0))),MAX(N(INDEX(Platforms!$F$5:$F$14,MATCH(H1949,Lists!$A$2:$A$11,0))),N(INDEX(Platforms!$C$5:$C$14,MATCH(H1949,Lists!$A$2:$A$11,0)))*(K1949+IF(INDEX(Platforms!$E$5:$E$14,MATCH(H1949,Lists!$A$2:$A$11,0))="Yes",N(L1949),0))+N(INDEX(Platforms!$D$5:$D$14,MATCH(H1949,Lists!$A$2:$A$11,0)))))),""))</f>
        <v/>
      </c>
      <c r="R1949" s="16" t="str">
        <f t="shared" si="121"/>
        <v/>
      </c>
      <c r="S1949" s="17" t="str">
        <f t="shared" si="122"/>
        <v/>
      </c>
      <c r="T1949" s="18" t="str">
        <f t="shared" ca="1" si="123"/>
        <v/>
      </c>
    </row>
    <row r="1950" spans="1:20" x14ac:dyDescent="0.35">
      <c r="A1950" s="11"/>
      <c r="B1950" s="11"/>
      <c r="C1950" s="11"/>
      <c r="D1950" s="12"/>
      <c r="E1950" s="11"/>
      <c r="F1950" s="13"/>
      <c r="G1950" s="13"/>
      <c r="H1950" s="11"/>
      <c r="I1950" s="12"/>
      <c r="J1950" s="12"/>
      <c r="K1950" s="13"/>
      <c r="L1950" s="13"/>
      <c r="M1950" s="13"/>
      <c r="N1950" s="13"/>
      <c r="O1950" s="13"/>
      <c r="P1950" s="14" t="str">
        <f t="shared" si="120"/>
        <v/>
      </c>
      <c r="Q1950" s="15" t="str">
        <f>IF(OR(J1950="",H1950=""),"",IFERROR(IF(ISNUMBER(N1950),N1950,IF(K1950&lt;N(INDEX(Platforms!$G$5:$G$14,MATCH(H1950,Lists!$A$2:$A$11,0))),N(INDEX(Platforms!$H$5:$H$14,MATCH(H1950,Lists!$A$2:$A$11,0))),MAX(N(INDEX(Platforms!$F$5:$F$14,MATCH(H1950,Lists!$A$2:$A$11,0))),N(INDEX(Platforms!$C$5:$C$14,MATCH(H1950,Lists!$A$2:$A$11,0)))*(K1950+IF(INDEX(Platforms!$E$5:$E$14,MATCH(H1950,Lists!$A$2:$A$11,0))="Yes",N(L1950),0))+N(INDEX(Platforms!$D$5:$D$14,MATCH(H1950,Lists!$A$2:$A$11,0)))))),""))</f>
        <v/>
      </c>
      <c r="R1950" s="16" t="str">
        <f t="shared" si="121"/>
        <v/>
      </c>
      <c r="S1950" s="17" t="str">
        <f t="shared" si="122"/>
        <v/>
      </c>
      <c r="T1950" s="18" t="str">
        <f t="shared" ca="1" si="123"/>
        <v/>
      </c>
    </row>
    <row r="1951" spans="1:20" x14ac:dyDescent="0.35">
      <c r="A1951" s="11"/>
      <c r="B1951" s="11"/>
      <c r="C1951" s="11"/>
      <c r="D1951" s="12"/>
      <c r="E1951" s="11"/>
      <c r="F1951" s="13"/>
      <c r="G1951" s="13"/>
      <c r="H1951" s="11"/>
      <c r="I1951" s="12"/>
      <c r="J1951" s="12"/>
      <c r="K1951" s="13"/>
      <c r="L1951" s="13"/>
      <c r="M1951" s="13"/>
      <c r="N1951" s="13"/>
      <c r="O1951" s="13"/>
      <c r="P1951" s="14" t="str">
        <f t="shared" si="120"/>
        <v/>
      </c>
      <c r="Q1951" s="15" t="str">
        <f>IF(OR(J1951="",H1951=""),"",IFERROR(IF(ISNUMBER(N1951),N1951,IF(K1951&lt;N(INDEX(Platforms!$G$5:$G$14,MATCH(H1951,Lists!$A$2:$A$11,0))),N(INDEX(Platforms!$H$5:$H$14,MATCH(H1951,Lists!$A$2:$A$11,0))),MAX(N(INDEX(Platforms!$F$5:$F$14,MATCH(H1951,Lists!$A$2:$A$11,0))),N(INDEX(Platforms!$C$5:$C$14,MATCH(H1951,Lists!$A$2:$A$11,0)))*(K1951+IF(INDEX(Platforms!$E$5:$E$14,MATCH(H1951,Lists!$A$2:$A$11,0))="Yes",N(L1951),0))+N(INDEX(Platforms!$D$5:$D$14,MATCH(H1951,Lists!$A$2:$A$11,0)))))),""))</f>
        <v/>
      </c>
      <c r="R1951" s="16" t="str">
        <f t="shared" si="121"/>
        <v/>
      </c>
      <c r="S1951" s="17" t="str">
        <f t="shared" si="122"/>
        <v/>
      </c>
      <c r="T1951" s="18" t="str">
        <f t="shared" ca="1" si="123"/>
        <v/>
      </c>
    </row>
    <row r="1952" spans="1:20" x14ac:dyDescent="0.35">
      <c r="A1952" s="11"/>
      <c r="B1952" s="11"/>
      <c r="C1952" s="11"/>
      <c r="D1952" s="12"/>
      <c r="E1952" s="11"/>
      <c r="F1952" s="13"/>
      <c r="G1952" s="13"/>
      <c r="H1952" s="11"/>
      <c r="I1952" s="12"/>
      <c r="J1952" s="12"/>
      <c r="K1952" s="13"/>
      <c r="L1952" s="13"/>
      <c r="M1952" s="13"/>
      <c r="N1952" s="13"/>
      <c r="O1952" s="13"/>
      <c r="P1952" s="14" t="str">
        <f t="shared" si="120"/>
        <v/>
      </c>
      <c r="Q1952" s="15" t="str">
        <f>IF(OR(J1952="",H1952=""),"",IFERROR(IF(ISNUMBER(N1952),N1952,IF(K1952&lt;N(INDEX(Platforms!$G$5:$G$14,MATCH(H1952,Lists!$A$2:$A$11,0))),N(INDEX(Platforms!$H$5:$H$14,MATCH(H1952,Lists!$A$2:$A$11,0))),MAX(N(INDEX(Platforms!$F$5:$F$14,MATCH(H1952,Lists!$A$2:$A$11,0))),N(INDEX(Platforms!$C$5:$C$14,MATCH(H1952,Lists!$A$2:$A$11,0)))*(K1952+IF(INDEX(Platforms!$E$5:$E$14,MATCH(H1952,Lists!$A$2:$A$11,0))="Yes",N(L1952),0))+N(INDEX(Platforms!$D$5:$D$14,MATCH(H1952,Lists!$A$2:$A$11,0)))))),""))</f>
        <v/>
      </c>
      <c r="R1952" s="16" t="str">
        <f t="shared" si="121"/>
        <v/>
      </c>
      <c r="S1952" s="17" t="str">
        <f t="shared" si="122"/>
        <v/>
      </c>
      <c r="T1952" s="18" t="str">
        <f t="shared" ca="1" si="123"/>
        <v/>
      </c>
    </row>
    <row r="1953" spans="1:20" x14ac:dyDescent="0.35">
      <c r="A1953" s="11"/>
      <c r="B1953" s="11"/>
      <c r="C1953" s="11"/>
      <c r="D1953" s="12"/>
      <c r="E1953" s="11"/>
      <c r="F1953" s="13"/>
      <c r="G1953" s="13"/>
      <c r="H1953" s="11"/>
      <c r="I1953" s="12"/>
      <c r="J1953" s="12"/>
      <c r="K1953" s="13"/>
      <c r="L1953" s="13"/>
      <c r="M1953" s="13"/>
      <c r="N1953" s="13"/>
      <c r="O1953" s="13"/>
      <c r="P1953" s="14" t="str">
        <f t="shared" si="120"/>
        <v/>
      </c>
      <c r="Q1953" s="15" t="str">
        <f>IF(OR(J1953="",H1953=""),"",IFERROR(IF(ISNUMBER(N1953),N1953,IF(K1953&lt;N(INDEX(Platforms!$G$5:$G$14,MATCH(H1953,Lists!$A$2:$A$11,0))),N(INDEX(Platforms!$H$5:$H$14,MATCH(H1953,Lists!$A$2:$A$11,0))),MAX(N(INDEX(Platforms!$F$5:$F$14,MATCH(H1953,Lists!$A$2:$A$11,0))),N(INDEX(Platforms!$C$5:$C$14,MATCH(H1953,Lists!$A$2:$A$11,0)))*(K1953+IF(INDEX(Platforms!$E$5:$E$14,MATCH(H1953,Lists!$A$2:$A$11,0))="Yes",N(L1953),0))+N(INDEX(Platforms!$D$5:$D$14,MATCH(H1953,Lists!$A$2:$A$11,0)))))),""))</f>
        <v/>
      </c>
      <c r="R1953" s="16" t="str">
        <f t="shared" si="121"/>
        <v/>
      </c>
      <c r="S1953" s="17" t="str">
        <f t="shared" si="122"/>
        <v/>
      </c>
      <c r="T1953" s="18" t="str">
        <f t="shared" ca="1" si="123"/>
        <v/>
      </c>
    </row>
    <row r="1954" spans="1:20" x14ac:dyDescent="0.35">
      <c r="A1954" s="11"/>
      <c r="B1954" s="11"/>
      <c r="C1954" s="11"/>
      <c r="D1954" s="12"/>
      <c r="E1954" s="11"/>
      <c r="F1954" s="13"/>
      <c r="G1954" s="13"/>
      <c r="H1954" s="11"/>
      <c r="I1954" s="12"/>
      <c r="J1954" s="12"/>
      <c r="K1954" s="13"/>
      <c r="L1954" s="13"/>
      <c r="M1954" s="13"/>
      <c r="N1954" s="13"/>
      <c r="O1954" s="13"/>
      <c r="P1954" s="14" t="str">
        <f t="shared" si="120"/>
        <v/>
      </c>
      <c r="Q1954" s="15" t="str">
        <f>IF(OR(J1954="",H1954=""),"",IFERROR(IF(ISNUMBER(N1954),N1954,IF(K1954&lt;N(INDEX(Platforms!$G$5:$G$14,MATCH(H1954,Lists!$A$2:$A$11,0))),N(INDEX(Platforms!$H$5:$H$14,MATCH(H1954,Lists!$A$2:$A$11,0))),MAX(N(INDEX(Platforms!$F$5:$F$14,MATCH(H1954,Lists!$A$2:$A$11,0))),N(INDEX(Platforms!$C$5:$C$14,MATCH(H1954,Lists!$A$2:$A$11,0)))*(K1954+IF(INDEX(Platforms!$E$5:$E$14,MATCH(H1954,Lists!$A$2:$A$11,0))="Yes",N(L1954),0))+N(INDEX(Platforms!$D$5:$D$14,MATCH(H1954,Lists!$A$2:$A$11,0)))))),""))</f>
        <v/>
      </c>
      <c r="R1954" s="16" t="str">
        <f t="shared" si="121"/>
        <v/>
      </c>
      <c r="S1954" s="17" t="str">
        <f t="shared" si="122"/>
        <v/>
      </c>
      <c r="T1954" s="18" t="str">
        <f t="shared" ca="1" si="123"/>
        <v/>
      </c>
    </row>
    <row r="1955" spans="1:20" x14ac:dyDescent="0.35">
      <c r="A1955" s="11"/>
      <c r="B1955" s="11"/>
      <c r="C1955" s="11"/>
      <c r="D1955" s="12"/>
      <c r="E1955" s="11"/>
      <c r="F1955" s="13"/>
      <c r="G1955" s="13"/>
      <c r="H1955" s="11"/>
      <c r="I1955" s="12"/>
      <c r="J1955" s="12"/>
      <c r="K1955" s="13"/>
      <c r="L1955" s="13"/>
      <c r="M1955" s="13"/>
      <c r="N1955" s="13"/>
      <c r="O1955" s="13"/>
      <c r="P1955" s="14" t="str">
        <f t="shared" si="120"/>
        <v/>
      </c>
      <c r="Q1955" s="15" t="str">
        <f>IF(OR(J1955="",H1955=""),"",IFERROR(IF(ISNUMBER(N1955),N1955,IF(K1955&lt;N(INDEX(Platforms!$G$5:$G$14,MATCH(H1955,Lists!$A$2:$A$11,0))),N(INDEX(Platforms!$H$5:$H$14,MATCH(H1955,Lists!$A$2:$A$11,0))),MAX(N(INDEX(Platforms!$F$5:$F$14,MATCH(H1955,Lists!$A$2:$A$11,0))),N(INDEX(Platforms!$C$5:$C$14,MATCH(H1955,Lists!$A$2:$A$11,0)))*(K1955+IF(INDEX(Platforms!$E$5:$E$14,MATCH(H1955,Lists!$A$2:$A$11,0))="Yes",N(L1955),0))+N(INDEX(Platforms!$D$5:$D$14,MATCH(H1955,Lists!$A$2:$A$11,0)))))),""))</f>
        <v/>
      </c>
      <c r="R1955" s="16" t="str">
        <f t="shared" si="121"/>
        <v/>
      </c>
      <c r="S1955" s="17" t="str">
        <f t="shared" si="122"/>
        <v/>
      </c>
      <c r="T1955" s="18" t="str">
        <f t="shared" ca="1" si="123"/>
        <v/>
      </c>
    </row>
    <row r="1956" spans="1:20" x14ac:dyDescent="0.35">
      <c r="A1956" s="11"/>
      <c r="B1956" s="11"/>
      <c r="C1956" s="11"/>
      <c r="D1956" s="12"/>
      <c r="E1956" s="11"/>
      <c r="F1956" s="13"/>
      <c r="G1956" s="13"/>
      <c r="H1956" s="11"/>
      <c r="I1956" s="12"/>
      <c r="J1956" s="12"/>
      <c r="K1956" s="13"/>
      <c r="L1956" s="13"/>
      <c r="M1956" s="13"/>
      <c r="N1956" s="13"/>
      <c r="O1956" s="13"/>
      <c r="P1956" s="14" t="str">
        <f t="shared" si="120"/>
        <v/>
      </c>
      <c r="Q1956" s="15" t="str">
        <f>IF(OR(J1956="",H1956=""),"",IFERROR(IF(ISNUMBER(N1956),N1956,IF(K1956&lt;N(INDEX(Platforms!$G$5:$G$14,MATCH(H1956,Lists!$A$2:$A$11,0))),N(INDEX(Platforms!$H$5:$H$14,MATCH(H1956,Lists!$A$2:$A$11,0))),MAX(N(INDEX(Platforms!$F$5:$F$14,MATCH(H1956,Lists!$A$2:$A$11,0))),N(INDEX(Platforms!$C$5:$C$14,MATCH(H1956,Lists!$A$2:$A$11,0)))*(K1956+IF(INDEX(Platforms!$E$5:$E$14,MATCH(H1956,Lists!$A$2:$A$11,0))="Yes",N(L1956),0))+N(INDEX(Platforms!$D$5:$D$14,MATCH(H1956,Lists!$A$2:$A$11,0)))))),""))</f>
        <v/>
      </c>
      <c r="R1956" s="16" t="str">
        <f t="shared" si="121"/>
        <v/>
      </c>
      <c r="S1956" s="17" t="str">
        <f t="shared" si="122"/>
        <v/>
      </c>
      <c r="T1956" s="18" t="str">
        <f t="shared" ca="1" si="123"/>
        <v/>
      </c>
    </row>
    <row r="1957" spans="1:20" x14ac:dyDescent="0.35">
      <c r="A1957" s="11"/>
      <c r="B1957" s="11"/>
      <c r="C1957" s="11"/>
      <c r="D1957" s="12"/>
      <c r="E1957" s="11"/>
      <c r="F1957" s="13"/>
      <c r="G1957" s="13"/>
      <c r="H1957" s="11"/>
      <c r="I1957" s="12"/>
      <c r="J1957" s="12"/>
      <c r="K1957" s="13"/>
      <c r="L1957" s="13"/>
      <c r="M1957" s="13"/>
      <c r="N1957" s="13"/>
      <c r="O1957" s="13"/>
      <c r="P1957" s="14" t="str">
        <f t="shared" si="120"/>
        <v/>
      </c>
      <c r="Q1957" s="15" t="str">
        <f>IF(OR(J1957="",H1957=""),"",IFERROR(IF(ISNUMBER(N1957),N1957,IF(K1957&lt;N(INDEX(Platforms!$G$5:$G$14,MATCH(H1957,Lists!$A$2:$A$11,0))),N(INDEX(Platforms!$H$5:$H$14,MATCH(H1957,Lists!$A$2:$A$11,0))),MAX(N(INDEX(Platforms!$F$5:$F$14,MATCH(H1957,Lists!$A$2:$A$11,0))),N(INDEX(Platforms!$C$5:$C$14,MATCH(H1957,Lists!$A$2:$A$11,0)))*(K1957+IF(INDEX(Platforms!$E$5:$E$14,MATCH(H1957,Lists!$A$2:$A$11,0))="Yes",N(L1957),0))+N(INDEX(Platforms!$D$5:$D$14,MATCH(H1957,Lists!$A$2:$A$11,0)))))),""))</f>
        <v/>
      </c>
      <c r="R1957" s="16" t="str">
        <f t="shared" si="121"/>
        <v/>
      </c>
      <c r="S1957" s="17" t="str">
        <f t="shared" si="122"/>
        <v/>
      </c>
      <c r="T1957" s="18" t="str">
        <f t="shared" ca="1" si="123"/>
        <v/>
      </c>
    </row>
    <row r="1958" spans="1:20" x14ac:dyDescent="0.35">
      <c r="A1958" s="11"/>
      <c r="B1958" s="11"/>
      <c r="C1958" s="11"/>
      <c r="D1958" s="12"/>
      <c r="E1958" s="11"/>
      <c r="F1958" s="13"/>
      <c r="G1958" s="13"/>
      <c r="H1958" s="11"/>
      <c r="I1958" s="12"/>
      <c r="J1958" s="12"/>
      <c r="K1958" s="13"/>
      <c r="L1958" s="13"/>
      <c r="M1958" s="13"/>
      <c r="N1958" s="13"/>
      <c r="O1958" s="13"/>
      <c r="P1958" s="14" t="str">
        <f t="shared" si="120"/>
        <v/>
      </c>
      <c r="Q1958" s="15" t="str">
        <f>IF(OR(J1958="",H1958=""),"",IFERROR(IF(ISNUMBER(N1958),N1958,IF(K1958&lt;N(INDEX(Platforms!$G$5:$G$14,MATCH(H1958,Lists!$A$2:$A$11,0))),N(INDEX(Platforms!$H$5:$H$14,MATCH(H1958,Lists!$A$2:$A$11,0))),MAX(N(INDEX(Platforms!$F$5:$F$14,MATCH(H1958,Lists!$A$2:$A$11,0))),N(INDEX(Platforms!$C$5:$C$14,MATCH(H1958,Lists!$A$2:$A$11,0)))*(K1958+IF(INDEX(Platforms!$E$5:$E$14,MATCH(H1958,Lists!$A$2:$A$11,0))="Yes",N(L1958),0))+N(INDEX(Platforms!$D$5:$D$14,MATCH(H1958,Lists!$A$2:$A$11,0)))))),""))</f>
        <v/>
      </c>
      <c r="R1958" s="16" t="str">
        <f t="shared" si="121"/>
        <v/>
      </c>
      <c r="S1958" s="17" t="str">
        <f t="shared" si="122"/>
        <v/>
      </c>
      <c r="T1958" s="18" t="str">
        <f t="shared" ca="1" si="123"/>
        <v/>
      </c>
    </row>
    <row r="1959" spans="1:20" x14ac:dyDescent="0.35">
      <c r="A1959" s="11"/>
      <c r="B1959" s="11"/>
      <c r="C1959" s="11"/>
      <c r="D1959" s="12"/>
      <c r="E1959" s="11"/>
      <c r="F1959" s="13"/>
      <c r="G1959" s="13"/>
      <c r="H1959" s="11"/>
      <c r="I1959" s="12"/>
      <c r="J1959" s="12"/>
      <c r="K1959" s="13"/>
      <c r="L1959" s="13"/>
      <c r="M1959" s="13"/>
      <c r="N1959" s="13"/>
      <c r="O1959" s="13"/>
      <c r="P1959" s="14" t="str">
        <f t="shared" si="120"/>
        <v/>
      </c>
      <c r="Q1959" s="15" t="str">
        <f>IF(OR(J1959="",H1959=""),"",IFERROR(IF(ISNUMBER(N1959),N1959,IF(K1959&lt;N(INDEX(Platforms!$G$5:$G$14,MATCH(H1959,Lists!$A$2:$A$11,0))),N(INDEX(Platforms!$H$5:$H$14,MATCH(H1959,Lists!$A$2:$A$11,0))),MAX(N(INDEX(Platforms!$F$5:$F$14,MATCH(H1959,Lists!$A$2:$A$11,0))),N(INDEX(Platforms!$C$5:$C$14,MATCH(H1959,Lists!$A$2:$A$11,0)))*(K1959+IF(INDEX(Platforms!$E$5:$E$14,MATCH(H1959,Lists!$A$2:$A$11,0))="Yes",N(L1959),0))+N(INDEX(Platforms!$D$5:$D$14,MATCH(H1959,Lists!$A$2:$A$11,0)))))),""))</f>
        <v/>
      </c>
      <c r="R1959" s="16" t="str">
        <f t="shared" si="121"/>
        <v/>
      </c>
      <c r="S1959" s="17" t="str">
        <f t="shared" si="122"/>
        <v/>
      </c>
      <c r="T1959" s="18" t="str">
        <f t="shared" ca="1" si="123"/>
        <v/>
      </c>
    </row>
    <row r="1960" spans="1:20" x14ac:dyDescent="0.35">
      <c r="A1960" s="11"/>
      <c r="B1960" s="11"/>
      <c r="C1960" s="11"/>
      <c r="D1960" s="12"/>
      <c r="E1960" s="11"/>
      <c r="F1960" s="13"/>
      <c r="G1960" s="13"/>
      <c r="H1960" s="11"/>
      <c r="I1960" s="12"/>
      <c r="J1960" s="12"/>
      <c r="K1960" s="13"/>
      <c r="L1960" s="13"/>
      <c r="M1960" s="13"/>
      <c r="N1960" s="13"/>
      <c r="O1960" s="13"/>
      <c r="P1960" s="14" t="str">
        <f t="shared" si="120"/>
        <v/>
      </c>
      <c r="Q1960" s="15" t="str">
        <f>IF(OR(J1960="",H1960=""),"",IFERROR(IF(ISNUMBER(N1960),N1960,IF(K1960&lt;N(INDEX(Platforms!$G$5:$G$14,MATCH(H1960,Lists!$A$2:$A$11,0))),N(INDEX(Platforms!$H$5:$H$14,MATCH(H1960,Lists!$A$2:$A$11,0))),MAX(N(INDEX(Platforms!$F$5:$F$14,MATCH(H1960,Lists!$A$2:$A$11,0))),N(INDEX(Platforms!$C$5:$C$14,MATCH(H1960,Lists!$A$2:$A$11,0)))*(K1960+IF(INDEX(Platforms!$E$5:$E$14,MATCH(H1960,Lists!$A$2:$A$11,0))="Yes",N(L1960),0))+N(INDEX(Platforms!$D$5:$D$14,MATCH(H1960,Lists!$A$2:$A$11,0)))))),""))</f>
        <v/>
      </c>
      <c r="R1960" s="16" t="str">
        <f t="shared" si="121"/>
        <v/>
      </c>
      <c r="S1960" s="17" t="str">
        <f t="shared" si="122"/>
        <v/>
      </c>
      <c r="T1960" s="18" t="str">
        <f t="shared" ca="1" si="123"/>
        <v/>
      </c>
    </row>
    <row r="1961" spans="1:20" x14ac:dyDescent="0.35">
      <c r="A1961" s="11"/>
      <c r="B1961" s="11"/>
      <c r="C1961" s="11"/>
      <c r="D1961" s="12"/>
      <c r="E1961" s="11"/>
      <c r="F1961" s="13"/>
      <c r="G1961" s="13"/>
      <c r="H1961" s="11"/>
      <c r="I1961" s="12"/>
      <c r="J1961" s="12"/>
      <c r="K1961" s="13"/>
      <c r="L1961" s="13"/>
      <c r="M1961" s="13"/>
      <c r="N1961" s="13"/>
      <c r="O1961" s="13"/>
      <c r="P1961" s="14" t="str">
        <f t="shared" si="120"/>
        <v/>
      </c>
      <c r="Q1961" s="15" t="str">
        <f>IF(OR(J1961="",H1961=""),"",IFERROR(IF(ISNUMBER(N1961),N1961,IF(K1961&lt;N(INDEX(Platforms!$G$5:$G$14,MATCH(H1961,Lists!$A$2:$A$11,0))),N(INDEX(Platforms!$H$5:$H$14,MATCH(H1961,Lists!$A$2:$A$11,0))),MAX(N(INDEX(Platforms!$F$5:$F$14,MATCH(H1961,Lists!$A$2:$A$11,0))),N(INDEX(Platforms!$C$5:$C$14,MATCH(H1961,Lists!$A$2:$A$11,0)))*(K1961+IF(INDEX(Platforms!$E$5:$E$14,MATCH(H1961,Lists!$A$2:$A$11,0))="Yes",N(L1961),0))+N(INDEX(Platforms!$D$5:$D$14,MATCH(H1961,Lists!$A$2:$A$11,0)))))),""))</f>
        <v/>
      </c>
      <c r="R1961" s="16" t="str">
        <f t="shared" si="121"/>
        <v/>
      </c>
      <c r="S1961" s="17" t="str">
        <f t="shared" si="122"/>
        <v/>
      </c>
      <c r="T1961" s="18" t="str">
        <f t="shared" ca="1" si="123"/>
        <v/>
      </c>
    </row>
    <row r="1962" spans="1:20" x14ac:dyDescent="0.35">
      <c r="A1962" s="11"/>
      <c r="B1962" s="11"/>
      <c r="C1962" s="11"/>
      <c r="D1962" s="12"/>
      <c r="E1962" s="11"/>
      <c r="F1962" s="13"/>
      <c r="G1962" s="13"/>
      <c r="H1962" s="11"/>
      <c r="I1962" s="12"/>
      <c r="J1962" s="12"/>
      <c r="K1962" s="13"/>
      <c r="L1962" s="13"/>
      <c r="M1962" s="13"/>
      <c r="N1962" s="13"/>
      <c r="O1962" s="13"/>
      <c r="P1962" s="14" t="str">
        <f t="shared" si="120"/>
        <v/>
      </c>
      <c r="Q1962" s="15" t="str">
        <f>IF(OR(J1962="",H1962=""),"",IFERROR(IF(ISNUMBER(N1962),N1962,IF(K1962&lt;N(INDEX(Platforms!$G$5:$G$14,MATCH(H1962,Lists!$A$2:$A$11,0))),N(INDEX(Platforms!$H$5:$H$14,MATCH(H1962,Lists!$A$2:$A$11,0))),MAX(N(INDEX(Platforms!$F$5:$F$14,MATCH(H1962,Lists!$A$2:$A$11,0))),N(INDEX(Platforms!$C$5:$C$14,MATCH(H1962,Lists!$A$2:$A$11,0)))*(K1962+IF(INDEX(Platforms!$E$5:$E$14,MATCH(H1962,Lists!$A$2:$A$11,0))="Yes",N(L1962),0))+N(INDEX(Platforms!$D$5:$D$14,MATCH(H1962,Lists!$A$2:$A$11,0)))))),""))</f>
        <v/>
      </c>
      <c r="R1962" s="16" t="str">
        <f t="shared" si="121"/>
        <v/>
      </c>
      <c r="S1962" s="17" t="str">
        <f t="shared" si="122"/>
        <v/>
      </c>
      <c r="T1962" s="18" t="str">
        <f t="shared" ca="1" si="123"/>
        <v/>
      </c>
    </row>
    <row r="1963" spans="1:20" x14ac:dyDescent="0.35">
      <c r="A1963" s="11"/>
      <c r="B1963" s="11"/>
      <c r="C1963" s="11"/>
      <c r="D1963" s="12"/>
      <c r="E1963" s="11"/>
      <c r="F1963" s="13"/>
      <c r="G1963" s="13"/>
      <c r="H1963" s="11"/>
      <c r="I1963" s="12"/>
      <c r="J1963" s="12"/>
      <c r="K1963" s="13"/>
      <c r="L1963" s="13"/>
      <c r="M1963" s="13"/>
      <c r="N1963" s="13"/>
      <c r="O1963" s="13"/>
      <c r="P1963" s="14" t="str">
        <f t="shared" si="120"/>
        <v/>
      </c>
      <c r="Q1963" s="15" t="str">
        <f>IF(OR(J1963="",H1963=""),"",IFERROR(IF(ISNUMBER(N1963),N1963,IF(K1963&lt;N(INDEX(Platforms!$G$5:$G$14,MATCH(H1963,Lists!$A$2:$A$11,0))),N(INDEX(Platforms!$H$5:$H$14,MATCH(H1963,Lists!$A$2:$A$11,0))),MAX(N(INDEX(Platforms!$F$5:$F$14,MATCH(H1963,Lists!$A$2:$A$11,0))),N(INDEX(Platforms!$C$5:$C$14,MATCH(H1963,Lists!$A$2:$A$11,0)))*(K1963+IF(INDEX(Platforms!$E$5:$E$14,MATCH(H1963,Lists!$A$2:$A$11,0))="Yes",N(L1963),0))+N(INDEX(Platforms!$D$5:$D$14,MATCH(H1963,Lists!$A$2:$A$11,0)))))),""))</f>
        <v/>
      </c>
      <c r="R1963" s="16" t="str">
        <f t="shared" si="121"/>
        <v/>
      </c>
      <c r="S1963" s="17" t="str">
        <f t="shared" si="122"/>
        <v/>
      </c>
      <c r="T1963" s="18" t="str">
        <f t="shared" ca="1" si="123"/>
        <v/>
      </c>
    </row>
    <row r="1964" spans="1:20" x14ac:dyDescent="0.35">
      <c r="A1964" s="11"/>
      <c r="B1964" s="11"/>
      <c r="C1964" s="11"/>
      <c r="D1964" s="12"/>
      <c r="E1964" s="11"/>
      <c r="F1964" s="13"/>
      <c r="G1964" s="13"/>
      <c r="H1964" s="11"/>
      <c r="I1964" s="12"/>
      <c r="J1964" s="12"/>
      <c r="K1964" s="13"/>
      <c r="L1964" s="13"/>
      <c r="M1964" s="13"/>
      <c r="N1964" s="13"/>
      <c r="O1964" s="13"/>
      <c r="P1964" s="14" t="str">
        <f t="shared" si="120"/>
        <v/>
      </c>
      <c r="Q1964" s="15" t="str">
        <f>IF(OR(J1964="",H1964=""),"",IFERROR(IF(ISNUMBER(N1964),N1964,IF(K1964&lt;N(INDEX(Platforms!$G$5:$G$14,MATCH(H1964,Lists!$A$2:$A$11,0))),N(INDEX(Platforms!$H$5:$H$14,MATCH(H1964,Lists!$A$2:$A$11,0))),MAX(N(INDEX(Platforms!$F$5:$F$14,MATCH(H1964,Lists!$A$2:$A$11,0))),N(INDEX(Platforms!$C$5:$C$14,MATCH(H1964,Lists!$A$2:$A$11,0)))*(K1964+IF(INDEX(Platforms!$E$5:$E$14,MATCH(H1964,Lists!$A$2:$A$11,0))="Yes",N(L1964),0))+N(INDEX(Platforms!$D$5:$D$14,MATCH(H1964,Lists!$A$2:$A$11,0)))))),""))</f>
        <v/>
      </c>
      <c r="R1964" s="16" t="str">
        <f t="shared" si="121"/>
        <v/>
      </c>
      <c r="S1964" s="17" t="str">
        <f t="shared" si="122"/>
        <v/>
      </c>
      <c r="T1964" s="18" t="str">
        <f t="shared" ca="1" si="123"/>
        <v/>
      </c>
    </row>
    <row r="1965" spans="1:20" x14ac:dyDescent="0.35">
      <c r="A1965" s="11"/>
      <c r="B1965" s="11"/>
      <c r="C1965" s="11"/>
      <c r="D1965" s="12"/>
      <c r="E1965" s="11"/>
      <c r="F1965" s="13"/>
      <c r="G1965" s="13"/>
      <c r="H1965" s="11"/>
      <c r="I1965" s="12"/>
      <c r="J1965" s="12"/>
      <c r="K1965" s="13"/>
      <c r="L1965" s="13"/>
      <c r="M1965" s="13"/>
      <c r="N1965" s="13"/>
      <c r="O1965" s="13"/>
      <c r="P1965" s="14" t="str">
        <f t="shared" si="120"/>
        <v/>
      </c>
      <c r="Q1965" s="15" t="str">
        <f>IF(OR(J1965="",H1965=""),"",IFERROR(IF(ISNUMBER(N1965),N1965,IF(K1965&lt;N(INDEX(Platforms!$G$5:$G$14,MATCH(H1965,Lists!$A$2:$A$11,0))),N(INDEX(Platforms!$H$5:$H$14,MATCH(H1965,Lists!$A$2:$A$11,0))),MAX(N(INDEX(Platforms!$F$5:$F$14,MATCH(H1965,Lists!$A$2:$A$11,0))),N(INDEX(Platforms!$C$5:$C$14,MATCH(H1965,Lists!$A$2:$A$11,0)))*(K1965+IF(INDEX(Platforms!$E$5:$E$14,MATCH(H1965,Lists!$A$2:$A$11,0))="Yes",N(L1965),0))+N(INDEX(Platforms!$D$5:$D$14,MATCH(H1965,Lists!$A$2:$A$11,0)))))),""))</f>
        <v/>
      </c>
      <c r="R1965" s="16" t="str">
        <f t="shared" si="121"/>
        <v/>
      </c>
      <c r="S1965" s="17" t="str">
        <f t="shared" si="122"/>
        <v/>
      </c>
      <c r="T1965" s="18" t="str">
        <f t="shared" ca="1" si="123"/>
        <v/>
      </c>
    </row>
    <row r="1966" spans="1:20" x14ac:dyDescent="0.35">
      <c r="A1966" s="11"/>
      <c r="B1966" s="11"/>
      <c r="C1966" s="11"/>
      <c r="D1966" s="12"/>
      <c r="E1966" s="11"/>
      <c r="F1966" s="13"/>
      <c r="G1966" s="13"/>
      <c r="H1966" s="11"/>
      <c r="I1966" s="12"/>
      <c r="J1966" s="12"/>
      <c r="K1966" s="13"/>
      <c r="L1966" s="13"/>
      <c r="M1966" s="13"/>
      <c r="N1966" s="13"/>
      <c r="O1966" s="13"/>
      <c r="P1966" s="14" t="str">
        <f t="shared" si="120"/>
        <v/>
      </c>
      <c r="Q1966" s="15" t="str">
        <f>IF(OR(J1966="",H1966=""),"",IFERROR(IF(ISNUMBER(N1966),N1966,IF(K1966&lt;N(INDEX(Platforms!$G$5:$G$14,MATCH(H1966,Lists!$A$2:$A$11,0))),N(INDEX(Platforms!$H$5:$H$14,MATCH(H1966,Lists!$A$2:$A$11,0))),MAX(N(INDEX(Platforms!$F$5:$F$14,MATCH(H1966,Lists!$A$2:$A$11,0))),N(INDEX(Platforms!$C$5:$C$14,MATCH(H1966,Lists!$A$2:$A$11,0)))*(K1966+IF(INDEX(Platforms!$E$5:$E$14,MATCH(H1966,Lists!$A$2:$A$11,0))="Yes",N(L1966),0))+N(INDEX(Platforms!$D$5:$D$14,MATCH(H1966,Lists!$A$2:$A$11,0)))))),""))</f>
        <v/>
      </c>
      <c r="R1966" s="16" t="str">
        <f t="shared" si="121"/>
        <v/>
      </c>
      <c r="S1966" s="17" t="str">
        <f t="shared" si="122"/>
        <v/>
      </c>
      <c r="T1966" s="18" t="str">
        <f t="shared" ca="1" si="123"/>
        <v/>
      </c>
    </row>
    <row r="1967" spans="1:20" x14ac:dyDescent="0.35">
      <c r="A1967" s="11"/>
      <c r="B1967" s="11"/>
      <c r="C1967" s="11"/>
      <c r="D1967" s="12"/>
      <c r="E1967" s="11"/>
      <c r="F1967" s="13"/>
      <c r="G1967" s="13"/>
      <c r="H1967" s="11"/>
      <c r="I1967" s="12"/>
      <c r="J1967" s="12"/>
      <c r="K1967" s="13"/>
      <c r="L1967" s="13"/>
      <c r="M1967" s="13"/>
      <c r="N1967" s="13"/>
      <c r="O1967" s="13"/>
      <c r="P1967" s="14" t="str">
        <f t="shared" si="120"/>
        <v/>
      </c>
      <c r="Q1967" s="15" t="str">
        <f>IF(OR(J1967="",H1967=""),"",IFERROR(IF(ISNUMBER(N1967),N1967,IF(K1967&lt;N(INDEX(Platforms!$G$5:$G$14,MATCH(H1967,Lists!$A$2:$A$11,0))),N(INDEX(Platforms!$H$5:$H$14,MATCH(H1967,Lists!$A$2:$A$11,0))),MAX(N(INDEX(Platforms!$F$5:$F$14,MATCH(H1967,Lists!$A$2:$A$11,0))),N(INDEX(Platforms!$C$5:$C$14,MATCH(H1967,Lists!$A$2:$A$11,0)))*(K1967+IF(INDEX(Platforms!$E$5:$E$14,MATCH(H1967,Lists!$A$2:$A$11,0))="Yes",N(L1967),0))+N(INDEX(Platforms!$D$5:$D$14,MATCH(H1967,Lists!$A$2:$A$11,0)))))),""))</f>
        <v/>
      </c>
      <c r="R1967" s="16" t="str">
        <f t="shared" si="121"/>
        <v/>
      </c>
      <c r="S1967" s="17" t="str">
        <f t="shared" si="122"/>
        <v/>
      </c>
      <c r="T1967" s="18" t="str">
        <f t="shared" ca="1" si="123"/>
        <v/>
      </c>
    </row>
    <row r="1968" spans="1:20" x14ac:dyDescent="0.35">
      <c r="A1968" s="11"/>
      <c r="B1968" s="11"/>
      <c r="C1968" s="11"/>
      <c r="D1968" s="12"/>
      <c r="E1968" s="11"/>
      <c r="F1968" s="13"/>
      <c r="G1968" s="13"/>
      <c r="H1968" s="11"/>
      <c r="I1968" s="12"/>
      <c r="J1968" s="12"/>
      <c r="K1968" s="13"/>
      <c r="L1968" s="13"/>
      <c r="M1968" s="13"/>
      <c r="N1968" s="13"/>
      <c r="O1968" s="13"/>
      <c r="P1968" s="14" t="str">
        <f t="shared" si="120"/>
        <v/>
      </c>
      <c r="Q1968" s="15" t="str">
        <f>IF(OR(J1968="",H1968=""),"",IFERROR(IF(ISNUMBER(N1968),N1968,IF(K1968&lt;N(INDEX(Platforms!$G$5:$G$14,MATCH(H1968,Lists!$A$2:$A$11,0))),N(INDEX(Platforms!$H$5:$H$14,MATCH(H1968,Lists!$A$2:$A$11,0))),MAX(N(INDEX(Platforms!$F$5:$F$14,MATCH(H1968,Lists!$A$2:$A$11,0))),N(INDEX(Platforms!$C$5:$C$14,MATCH(H1968,Lists!$A$2:$A$11,0)))*(K1968+IF(INDEX(Platforms!$E$5:$E$14,MATCH(H1968,Lists!$A$2:$A$11,0))="Yes",N(L1968),0))+N(INDEX(Platforms!$D$5:$D$14,MATCH(H1968,Lists!$A$2:$A$11,0)))))),""))</f>
        <v/>
      </c>
      <c r="R1968" s="16" t="str">
        <f t="shared" si="121"/>
        <v/>
      </c>
      <c r="S1968" s="17" t="str">
        <f t="shared" si="122"/>
        <v/>
      </c>
      <c r="T1968" s="18" t="str">
        <f t="shared" ca="1" si="123"/>
        <v/>
      </c>
    </row>
    <row r="1969" spans="1:20" x14ac:dyDescent="0.35">
      <c r="A1969" s="11"/>
      <c r="B1969" s="11"/>
      <c r="C1969" s="11"/>
      <c r="D1969" s="12"/>
      <c r="E1969" s="11"/>
      <c r="F1969" s="13"/>
      <c r="G1969" s="13"/>
      <c r="H1969" s="11"/>
      <c r="I1969" s="12"/>
      <c r="J1969" s="12"/>
      <c r="K1969" s="13"/>
      <c r="L1969" s="13"/>
      <c r="M1969" s="13"/>
      <c r="N1969" s="13"/>
      <c r="O1969" s="13"/>
      <c r="P1969" s="14" t="str">
        <f t="shared" si="120"/>
        <v/>
      </c>
      <c r="Q1969" s="15" t="str">
        <f>IF(OR(J1969="",H1969=""),"",IFERROR(IF(ISNUMBER(N1969),N1969,IF(K1969&lt;N(INDEX(Platforms!$G$5:$G$14,MATCH(H1969,Lists!$A$2:$A$11,0))),N(INDEX(Platforms!$H$5:$H$14,MATCH(H1969,Lists!$A$2:$A$11,0))),MAX(N(INDEX(Platforms!$F$5:$F$14,MATCH(H1969,Lists!$A$2:$A$11,0))),N(INDEX(Platforms!$C$5:$C$14,MATCH(H1969,Lists!$A$2:$A$11,0)))*(K1969+IF(INDEX(Platforms!$E$5:$E$14,MATCH(H1969,Lists!$A$2:$A$11,0))="Yes",N(L1969),0))+N(INDEX(Platforms!$D$5:$D$14,MATCH(H1969,Lists!$A$2:$A$11,0)))))),""))</f>
        <v/>
      </c>
      <c r="R1969" s="16" t="str">
        <f t="shared" si="121"/>
        <v/>
      </c>
      <c r="S1969" s="17" t="str">
        <f t="shared" si="122"/>
        <v/>
      </c>
      <c r="T1969" s="18" t="str">
        <f t="shared" ca="1" si="123"/>
        <v/>
      </c>
    </row>
    <row r="1970" spans="1:20" x14ac:dyDescent="0.35">
      <c r="A1970" s="11"/>
      <c r="B1970" s="11"/>
      <c r="C1970" s="11"/>
      <c r="D1970" s="12"/>
      <c r="E1970" s="11"/>
      <c r="F1970" s="13"/>
      <c r="G1970" s="13"/>
      <c r="H1970" s="11"/>
      <c r="I1970" s="12"/>
      <c r="J1970" s="12"/>
      <c r="K1970" s="13"/>
      <c r="L1970" s="13"/>
      <c r="M1970" s="13"/>
      <c r="N1970" s="13"/>
      <c r="O1970" s="13"/>
      <c r="P1970" s="14" t="str">
        <f t="shared" si="120"/>
        <v/>
      </c>
      <c r="Q1970" s="15" t="str">
        <f>IF(OR(J1970="",H1970=""),"",IFERROR(IF(ISNUMBER(N1970),N1970,IF(K1970&lt;N(INDEX(Platforms!$G$5:$G$14,MATCH(H1970,Lists!$A$2:$A$11,0))),N(INDEX(Platforms!$H$5:$H$14,MATCH(H1970,Lists!$A$2:$A$11,0))),MAX(N(INDEX(Platforms!$F$5:$F$14,MATCH(H1970,Lists!$A$2:$A$11,0))),N(INDEX(Platforms!$C$5:$C$14,MATCH(H1970,Lists!$A$2:$A$11,0)))*(K1970+IF(INDEX(Platforms!$E$5:$E$14,MATCH(H1970,Lists!$A$2:$A$11,0))="Yes",N(L1970),0))+N(INDEX(Platforms!$D$5:$D$14,MATCH(H1970,Lists!$A$2:$A$11,0)))))),""))</f>
        <v/>
      </c>
      <c r="R1970" s="16" t="str">
        <f t="shared" si="121"/>
        <v/>
      </c>
      <c r="S1970" s="17" t="str">
        <f t="shared" si="122"/>
        <v/>
      </c>
      <c r="T1970" s="18" t="str">
        <f t="shared" ca="1" si="123"/>
        <v/>
      </c>
    </row>
    <row r="1971" spans="1:20" x14ac:dyDescent="0.35">
      <c r="A1971" s="11"/>
      <c r="B1971" s="11"/>
      <c r="C1971" s="11"/>
      <c r="D1971" s="12"/>
      <c r="E1971" s="11"/>
      <c r="F1971" s="13"/>
      <c r="G1971" s="13"/>
      <c r="H1971" s="11"/>
      <c r="I1971" s="12"/>
      <c r="J1971" s="12"/>
      <c r="K1971" s="13"/>
      <c r="L1971" s="13"/>
      <c r="M1971" s="13"/>
      <c r="N1971" s="13"/>
      <c r="O1971" s="13"/>
      <c r="P1971" s="14" t="str">
        <f t="shared" si="120"/>
        <v/>
      </c>
      <c r="Q1971" s="15" t="str">
        <f>IF(OR(J1971="",H1971=""),"",IFERROR(IF(ISNUMBER(N1971),N1971,IF(K1971&lt;N(INDEX(Platforms!$G$5:$G$14,MATCH(H1971,Lists!$A$2:$A$11,0))),N(INDEX(Platforms!$H$5:$H$14,MATCH(H1971,Lists!$A$2:$A$11,0))),MAX(N(INDEX(Platforms!$F$5:$F$14,MATCH(H1971,Lists!$A$2:$A$11,0))),N(INDEX(Platforms!$C$5:$C$14,MATCH(H1971,Lists!$A$2:$A$11,0)))*(K1971+IF(INDEX(Platforms!$E$5:$E$14,MATCH(H1971,Lists!$A$2:$A$11,0))="Yes",N(L1971),0))+N(INDEX(Platforms!$D$5:$D$14,MATCH(H1971,Lists!$A$2:$A$11,0)))))),""))</f>
        <v/>
      </c>
      <c r="R1971" s="16" t="str">
        <f t="shared" si="121"/>
        <v/>
      </c>
      <c r="S1971" s="17" t="str">
        <f t="shared" si="122"/>
        <v/>
      </c>
      <c r="T1971" s="18" t="str">
        <f t="shared" ca="1" si="123"/>
        <v/>
      </c>
    </row>
    <row r="1972" spans="1:20" x14ac:dyDescent="0.35">
      <c r="A1972" s="11"/>
      <c r="B1972" s="11"/>
      <c r="C1972" s="11"/>
      <c r="D1972" s="12"/>
      <c r="E1972" s="11"/>
      <c r="F1972" s="13"/>
      <c r="G1972" s="13"/>
      <c r="H1972" s="11"/>
      <c r="I1972" s="12"/>
      <c r="J1972" s="12"/>
      <c r="K1972" s="13"/>
      <c r="L1972" s="13"/>
      <c r="M1972" s="13"/>
      <c r="N1972" s="13"/>
      <c r="O1972" s="13"/>
      <c r="P1972" s="14" t="str">
        <f t="shared" si="120"/>
        <v/>
      </c>
      <c r="Q1972" s="15" t="str">
        <f>IF(OR(J1972="",H1972=""),"",IFERROR(IF(ISNUMBER(N1972),N1972,IF(K1972&lt;N(INDEX(Platforms!$G$5:$G$14,MATCH(H1972,Lists!$A$2:$A$11,0))),N(INDEX(Platforms!$H$5:$H$14,MATCH(H1972,Lists!$A$2:$A$11,0))),MAX(N(INDEX(Platforms!$F$5:$F$14,MATCH(H1972,Lists!$A$2:$A$11,0))),N(INDEX(Platforms!$C$5:$C$14,MATCH(H1972,Lists!$A$2:$A$11,0)))*(K1972+IF(INDEX(Platforms!$E$5:$E$14,MATCH(H1972,Lists!$A$2:$A$11,0))="Yes",N(L1972),0))+N(INDEX(Platforms!$D$5:$D$14,MATCH(H1972,Lists!$A$2:$A$11,0)))))),""))</f>
        <v/>
      </c>
      <c r="R1972" s="16" t="str">
        <f t="shared" si="121"/>
        <v/>
      </c>
      <c r="S1972" s="17" t="str">
        <f t="shared" si="122"/>
        <v/>
      </c>
      <c r="T1972" s="18" t="str">
        <f t="shared" ca="1" si="123"/>
        <v/>
      </c>
    </row>
    <row r="1973" spans="1:20" x14ac:dyDescent="0.35">
      <c r="A1973" s="11"/>
      <c r="B1973" s="11"/>
      <c r="C1973" s="11"/>
      <c r="D1973" s="12"/>
      <c r="E1973" s="11"/>
      <c r="F1973" s="13"/>
      <c r="G1973" s="13"/>
      <c r="H1973" s="11"/>
      <c r="I1973" s="12"/>
      <c r="J1973" s="12"/>
      <c r="K1973" s="13"/>
      <c r="L1973" s="13"/>
      <c r="M1973" s="13"/>
      <c r="N1973" s="13"/>
      <c r="O1973" s="13"/>
      <c r="P1973" s="14" t="str">
        <f t="shared" si="120"/>
        <v/>
      </c>
      <c r="Q1973" s="15" t="str">
        <f>IF(OR(J1973="",H1973=""),"",IFERROR(IF(ISNUMBER(N1973),N1973,IF(K1973&lt;N(INDEX(Platforms!$G$5:$G$14,MATCH(H1973,Lists!$A$2:$A$11,0))),N(INDEX(Platforms!$H$5:$H$14,MATCH(H1973,Lists!$A$2:$A$11,0))),MAX(N(INDEX(Platforms!$F$5:$F$14,MATCH(H1973,Lists!$A$2:$A$11,0))),N(INDEX(Platforms!$C$5:$C$14,MATCH(H1973,Lists!$A$2:$A$11,0)))*(K1973+IF(INDEX(Platforms!$E$5:$E$14,MATCH(H1973,Lists!$A$2:$A$11,0))="Yes",N(L1973),0))+N(INDEX(Platforms!$D$5:$D$14,MATCH(H1973,Lists!$A$2:$A$11,0)))))),""))</f>
        <v/>
      </c>
      <c r="R1973" s="16" t="str">
        <f t="shared" si="121"/>
        <v/>
      </c>
      <c r="S1973" s="17" t="str">
        <f t="shared" si="122"/>
        <v/>
      </c>
      <c r="T1973" s="18" t="str">
        <f t="shared" ca="1" si="123"/>
        <v/>
      </c>
    </row>
    <row r="1974" spans="1:20" x14ac:dyDescent="0.35">
      <c r="A1974" s="11"/>
      <c r="B1974" s="11"/>
      <c r="C1974" s="11"/>
      <c r="D1974" s="12"/>
      <c r="E1974" s="11"/>
      <c r="F1974" s="13"/>
      <c r="G1974" s="13"/>
      <c r="H1974" s="11"/>
      <c r="I1974" s="12"/>
      <c r="J1974" s="12"/>
      <c r="K1974" s="13"/>
      <c r="L1974" s="13"/>
      <c r="M1974" s="13"/>
      <c r="N1974" s="13"/>
      <c r="O1974" s="13"/>
      <c r="P1974" s="14" t="str">
        <f t="shared" si="120"/>
        <v/>
      </c>
      <c r="Q1974" s="15" t="str">
        <f>IF(OR(J1974="",H1974=""),"",IFERROR(IF(ISNUMBER(N1974),N1974,IF(K1974&lt;N(INDEX(Platforms!$G$5:$G$14,MATCH(H1974,Lists!$A$2:$A$11,0))),N(INDEX(Platforms!$H$5:$H$14,MATCH(H1974,Lists!$A$2:$A$11,0))),MAX(N(INDEX(Platforms!$F$5:$F$14,MATCH(H1974,Lists!$A$2:$A$11,0))),N(INDEX(Platforms!$C$5:$C$14,MATCH(H1974,Lists!$A$2:$A$11,0)))*(K1974+IF(INDEX(Platforms!$E$5:$E$14,MATCH(H1974,Lists!$A$2:$A$11,0))="Yes",N(L1974),0))+N(INDEX(Platforms!$D$5:$D$14,MATCH(H1974,Lists!$A$2:$A$11,0)))))),""))</f>
        <v/>
      </c>
      <c r="R1974" s="16" t="str">
        <f t="shared" si="121"/>
        <v/>
      </c>
      <c r="S1974" s="17" t="str">
        <f t="shared" si="122"/>
        <v/>
      </c>
      <c r="T1974" s="18" t="str">
        <f t="shared" ca="1" si="123"/>
        <v/>
      </c>
    </row>
    <row r="1975" spans="1:20" x14ac:dyDescent="0.35">
      <c r="A1975" s="11"/>
      <c r="B1975" s="11"/>
      <c r="C1975" s="11"/>
      <c r="D1975" s="12"/>
      <c r="E1975" s="11"/>
      <c r="F1975" s="13"/>
      <c r="G1975" s="13"/>
      <c r="H1975" s="11"/>
      <c r="I1975" s="12"/>
      <c r="J1975" s="12"/>
      <c r="K1975" s="13"/>
      <c r="L1975" s="13"/>
      <c r="M1975" s="13"/>
      <c r="N1975" s="13"/>
      <c r="O1975" s="13"/>
      <c r="P1975" s="14" t="str">
        <f t="shared" si="120"/>
        <v/>
      </c>
      <c r="Q1975" s="15" t="str">
        <f>IF(OR(J1975="",H1975=""),"",IFERROR(IF(ISNUMBER(N1975),N1975,IF(K1975&lt;N(INDEX(Platforms!$G$5:$G$14,MATCH(H1975,Lists!$A$2:$A$11,0))),N(INDEX(Platforms!$H$5:$H$14,MATCH(H1975,Lists!$A$2:$A$11,0))),MAX(N(INDEX(Platforms!$F$5:$F$14,MATCH(H1975,Lists!$A$2:$A$11,0))),N(INDEX(Platforms!$C$5:$C$14,MATCH(H1975,Lists!$A$2:$A$11,0)))*(K1975+IF(INDEX(Platforms!$E$5:$E$14,MATCH(H1975,Lists!$A$2:$A$11,0))="Yes",N(L1975),0))+N(INDEX(Platforms!$D$5:$D$14,MATCH(H1975,Lists!$A$2:$A$11,0)))))),""))</f>
        <v/>
      </c>
      <c r="R1975" s="16" t="str">
        <f t="shared" si="121"/>
        <v/>
      </c>
      <c r="S1975" s="17" t="str">
        <f t="shared" si="122"/>
        <v/>
      </c>
      <c r="T1975" s="18" t="str">
        <f t="shared" ca="1" si="123"/>
        <v/>
      </c>
    </row>
    <row r="1976" spans="1:20" x14ac:dyDescent="0.35">
      <c r="A1976" s="11"/>
      <c r="B1976" s="11"/>
      <c r="C1976" s="11"/>
      <c r="D1976" s="12"/>
      <c r="E1976" s="11"/>
      <c r="F1976" s="13"/>
      <c r="G1976" s="13"/>
      <c r="H1976" s="11"/>
      <c r="I1976" s="12"/>
      <c r="J1976" s="12"/>
      <c r="K1976" s="13"/>
      <c r="L1976" s="13"/>
      <c r="M1976" s="13"/>
      <c r="N1976" s="13"/>
      <c r="O1976" s="13"/>
      <c r="P1976" s="14" t="str">
        <f t="shared" si="120"/>
        <v/>
      </c>
      <c r="Q1976" s="15" t="str">
        <f>IF(OR(J1976="",H1976=""),"",IFERROR(IF(ISNUMBER(N1976),N1976,IF(K1976&lt;N(INDEX(Platforms!$G$5:$G$14,MATCH(H1976,Lists!$A$2:$A$11,0))),N(INDEX(Platforms!$H$5:$H$14,MATCH(H1976,Lists!$A$2:$A$11,0))),MAX(N(INDEX(Platforms!$F$5:$F$14,MATCH(H1976,Lists!$A$2:$A$11,0))),N(INDEX(Platforms!$C$5:$C$14,MATCH(H1976,Lists!$A$2:$A$11,0)))*(K1976+IF(INDEX(Platforms!$E$5:$E$14,MATCH(H1976,Lists!$A$2:$A$11,0))="Yes",N(L1976),0))+N(INDEX(Platforms!$D$5:$D$14,MATCH(H1976,Lists!$A$2:$A$11,0)))))),""))</f>
        <v/>
      </c>
      <c r="R1976" s="16" t="str">
        <f t="shared" si="121"/>
        <v/>
      </c>
      <c r="S1976" s="17" t="str">
        <f t="shared" si="122"/>
        <v/>
      </c>
      <c r="T1976" s="18" t="str">
        <f t="shared" ca="1" si="123"/>
        <v/>
      </c>
    </row>
    <row r="1977" spans="1:20" x14ac:dyDescent="0.35">
      <c r="A1977" s="11"/>
      <c r="B1977" s="11"/>
      <c r="C1977" s="11"/>
      <c r="D1977" s="12"/>
      <c r="E1977" s="11"/>
      <c r="F1977" s="13"/>
      <c r="G1977" s="13"/>
      <c r="H1977" s="11"/>
      <c r="I1977" s="12"/>
      <c r="J1977" s="12"/>
      <c r="K1977" s="13"/>
      <c r="L1977" s="13"/>
      <c r="M1977" s="13"/>
      <c r="N1977" s="13"/>
      <c r="O1977" s="13"/>
      <c r="P1977" s="14" t="str">
        <f t="shared" si="120"/>
        <v/>
      </c>
      <c r="Q1977" s="15" t="str">
        <f>IF(OR(J1977="",H1977=""),"",IFERROR(IF(ISNUMBER(N1977),N1977,IF(K1977&lt;N(INDEX(Platforms!$G$5:$G$14,MATCH(H1977,Lists!$A$2:$A$11,0))),N(INDEX(Platforms!$H$5:$H$14,MATCH(H1977,Lists!$A$2:$A$11,0))),MAX(N(INDEX(Platforms!$F$5:$F$14,MATCH(H1977,Lists!$A$2:$A$11,0))),N(INDEX(Platforms!$C$5:$C$14,MATCH(H1977,Lists!$A$2:$A$11,0)))*(K1977+IF(INDEX(Platforms!$E$5:$E$14,MATCH(H1977,Lists!$A$2:$A$11,0))="Yes",N(L1977),0))+N(INDEX(Platforms!$D$5:$D$14,MATCH(H1977,Lists!$A$2:$A$11,0)))))),""))</f>
        <v/>
      </c>
      <c r="R1977" s="16" t="str">
        <f t="shared" si="121"/>
        <v/>
      </c>
      <c r="S1977" s="17" t="str">
        <f t="shared" si="122"/>
        <v/>
      </c>
      <c r="T1977" s="18" t="str">
        <f t="shared" ca="1" si="123"/>
        <v/>
      </c>
    </row>
    <row r="1978" spans="1:20" x14ac:dyDescent="0.35">
      <c r="A1978" s="11"/>
      <c r="B1978" s="11"/>
      <c r="C1978" s="11"/>
      <c r="D1978" s="12"/>
      <c r="E1978" s="11"/>
      <c r="F1978" s="13"/>
      <c r="G1978" s="13"/>
      <c r="H1978" s="11"/>
      <c r="I1978" s="12"/>
      <c r="J1978" s="12"/>
      <c r="K1978" s="13"/>
      <c r="L1978" s="13"/>
      <c r="M1978" s="13"/>
      <c r="N1978" s="13"/>
      <c r="O1978" s="13"/>
      <c r="P1978" s="14" t="str">
        <f t="shared" si="120"/>
        <v/>
      </c>
      <c r="Q1978" s="15" t="str">
        <f>IF(OR(J1978="",H1978=""),"",IFERROR(IF(ISNUMBER(N1978),N1978,IF(K1978&lt;N(INDEX(Platforms!$G$5:$G$14,MATCH(H1978,Lists!$A$2:$A$11,0))),N(INDEX(Platforms!$H$5:$H$14,MATCH(H1978,Lists!$A$2:$A$11,0))),MAX(N(INDEX(Platforms!$F$5:$F$14,MATCH(H1978,Lists!$A$2:$A$11,0))),N(INDEX(Platforms!$C$5:$C$14,MATCH(H1978,Lists!$A$2:$A$11,0)))*(K1978+IF(INDEX(Platforms!$E$5:$E$14,MATCH(H1978,Lists!$A$2:$A$11,0))="Yes",N(L1978),0))+N(INDEX(Platforms!$D$5:$D$14,MATCH(H1978,Lists!$A$2:$A$11,0)))))),""))</f>
        <v/>
      </c>
      <c r="R1978" s="16" t="str">
        <f t="shared" si="121"/>
        <v/>
      </c>
      <c r="S1978" s="17" t="str">
        <f t="shared" si="122"/>
        <v/>
      </c>
      <c r="T1978" s="18" t="str">
        <f t="shared" ca="1" si="123"/>
        <v/>
      </c>
    </row>
    <row r="1979" spans="1:20" x14ac:dyDescent="0.35">
      <c r="A1979" s="11"/>
      <c r="B1979" s="11"/>
      <c r="C1979" s="11"/>
      <c r="D1979" s="12"/>
      <c r="E1979" s="11"/>
      <c r="F1979" s="13"/>
      <c r="G1979" s="13"/>
      <c r="H1979" s="11"/>
      <c r="I1979" s="12"/>
      <c r="J1979" s="12"/>
      <c r="K1979" s="13"/>
      <c r="L1979" s="13"/>
      <c r="M1979" s="13"/>
      <c r="N1979" s="13"/>
      <c r="O1979" s="13"/>
      <c r="P1979" s="14" t="str">
        <f t="shared" si="120"/>
        <v/>
      </c>
      <c r="Q1979" s="15" t="str">
        <f>IF(OR(J1979="",H1979=""),"",IFERROR(IF(ISNUMBER(N1979),N1979,IF(K1979&lt;N(INDEX(Platforms!$G$5:$G$14,MATCH(H1979,Lists!$A$2:$A$11,0))),N(INDEX(Platforms!$H$5:$H$14,MATCH(H1979,Lists!$A$2:$A$11,0))),MAX(N(INDEX(Platforms!$F$5:$F$14,MATCH(H1979,Lists!$A$2:$A$11,0))),N(INDEX(Platforms!$C$5:$C$14,MATCH(H1979,Lists!$A$2:$A$11,0)))*(K1979+IF(INDEX(Platforms!$E$5:$E$14,MATCH(H1979,Lists!$A$2:$A$11,0))="Yes",N(L1979),0))+N(INDEX(Platforms!$D$5:$D$14,MATCH(H1979,Lists!$A$2:$A$11,0)))))),""))</f>
        <v/>
      </c>
      <c r="R1979" s="16" t="str">
        <f t="shared" si="121"/>
        <v/>
      </c>
      <c r="S1979" s="17" t="str">
        <f t="shared" si="122"/>
        <v/>
      </c>
      <c r="T1979" s="18" t="str">
        <f t="shared" ca="1" si="123"/>
        <v/>
      </c>
    </row>
    <row r="1980" spans="1:20" x14ac:dyDescent="0.35">
      <c r="A1980" s="11"/>
      <c r="B1980" s="11"/>
      <c r="C1980" s="11"/>
      <c r="D1980" s="12"/>
      <c r="E1980" s="11"/>
      <c r="F1980" s="13"/>
      <c r="G1980" s="13"/>
      <c r="H1980" s="11"/>
      <c r="I1980" s="12"/>
      <c r="J1980" s="12"/>
      <c r="K1980" s="13"/>
      <c r="L1980" s="13"/>
      <c r="M1980" s="13"/>
      <c r="N1980" s="13"/>
      <c r="O1980" s="13"/>
      <c r="P1980" s="14" t="str">
        <f t="shared" si="120"/>
        <v/>
      </c>
      <c r="Q1980" s="15" t="str">
        <f>IF(OR(J1980="",H1980=""),"",IFERROR(IF(ISNUMBER(N1980),N1980,IF(K1980&lt;N(INDEX(Platforms!$G$5:$G$14,MATCH(H1980,Lists!$A$2:$A$11,0))),N(INDEX(Platforms!$H$5:$H$14,MATCH(H1980,Lists!$A$2:$A$11,0))),MAX(N(INDEX(Platforms!$F$5:$F$14,MATCH(H1980,Lists!$A$2:$A$11,0))),N(INDEX(Platforms!$C$5:$C$14,MATCH(H1980,Lists!$A$2:$A$11,0)))*(K1980+IF(INDEX(Platforms!$E$5:$E$14,MATCH(H1980,Lists!$A$2:$A$11,0))="Yes",N(L1980),0))+N(INDEX(Platforms!$D$5:$D$14,MATCH(H1980,Lists!$A$2:$A$11,0)))))),""))</f>
        <v/>
      </c>
      <c r="R1980" s="16" t="str">
        <f t="shared" si="121"/>
        <v/>
      </c>
      <c r="S1980" s="17" t="str">
        <f t="shared" si="122"/>
        <v/>
      </c>
      <c r="T1980" s="18" t="str">
        <f t="shared" ca="1" si="123"/>
        <v/>
      </c>
    </row>
    <row r="1981" spans="1:20" x14ac:dyDescent="0.35">
      <c r="A1981" s="11"/>
      <c r="B1981" s="11"/>
      <c r="C1981" s="11"/>
      <c r="D1981" s="12"/>
      <c r="E1981" s="11"/>
      <c r="F1981" s="13"/>
      <c r="G1981" s="13"/>
      <c r="H1981" s="11"/>
      <c r="I1981" s="12"/>
      <c r="J1981" s="12"/>
      <c r="K1981" s="13"/>
      <c r="L1981" s="13"/>
      <c r="M1981" s="13"/>
      <c r="N1981" s="13"/>
      <c r="O1981" s="13"/>
      <c r="P1981" s="14" t="str">
        <f t="shared" si="120"/>
        <v/>
      </c>
      <c r="Q1981" s="15" t="str">
        <f>IF(OR(J1981="",H1981=""),"",IFERROR(IF(ISNUMBER(N1981),N1981,IF(K1981&lt;N(INDEX(Platforms!$G$5:$G$14,MATCH(H1981,Lists!$A$2:$A$11,0))),N(INDEX(Platforms!$H$5:$H$14,MATCH(H1981,Lists!$A$2:$A$11,0))),MAX(N(INDEX(Platforms!$F$5:$F$14,MATCH(H1981,Lists!$A$2:$A$11,0))),N(INDEX(Platforms!$C$5:$C$14,MATCH(H1981,Lists!$A$2:$A$11,0)))*(K1981+IF(INDEX(Platforms!$E$5:$E$14,MATCH(H1981,Lists!$A$2:$A$11,0))="Yes",N(L1981),0))+N(INDEX(Platforms!$D$5:$D$14,MATCH(H1981,Lists!$A$2:$A$11,0)))))),""))</f>
        <v/>
      </c>
      <c r="R1981" s="16" t="str">
        <f t="shared" si="121"/>
        <v/>
      </c>
      <c r="S1981" s="17" t="str">
        <f t="shared" si="122"/>
        <v/>
      </c>
      <c r="T1981" s="18" t="str">
        <f t="shared" ca="1" si="123"/>
        <v/>
      </c>
    </row>
    <row r="1982" spans="1:20" x14ac:dyDescent="0.35">
      <c r="A1982" s="11"/>
      <c r="B1982" s="11"/>
      <c r="C1982" s="11"/>
      <c r="D1982" s="12"/>
      <c r="E1982" s="11"/>
      <c r="F1982" s="13"/>
      <c r="G1982" s="13"/>
      <c r="H1982" s="11"/>
      <c r="I1982" s="12"/>
      <c r="J1982" s="12"/>
      <c r="K1982" s="13"/>
      <c r="L1982" s="13"/>
      <c r="M1982" s="13"/>
      <c r="N1982" s="13"/>
      <c r="O1982" s="13"/>
      <c r="P1982" s="14" t="str">
        <f t="shared" si="120"/>
        <v/>
      </c>
      <c r="Q1982" s="15" t="str">
        <f>IF(OR(J1982="",H1982=""),"",IFERROR(IF(ISNUMBER(N1982),N1982,IF(K1982&lt;N(INDEX(Platforms!$G$5:$G$14,MATCH(H1982,Lists!$A$2:$A$11,0))),N(INDEX(Platforms!$H$5:$H$14,MATCH(H1982,Lists!$A$2:$A$11,0))),MAX(N(INDEX(Platforms!$F$5:$F$14,MATCH(H1982,Lists!$A$2:$A$11,0))),N(INDEX(Platforms!$C$5:$C$14,MATCH(H1982,Lists!$A$2:$A$11,0)))*(K1982+IF(INDEX(Platforms!$E$5:$E$14,MATCH(H1982,Lists!$A$2:$A$11,0))="Yes",N(L1982),0))+N(INDEX(Platforms!$D$5:$D$14,MATCH(H1982,Lists!$A$2:$A$11,0)))))),""))</f>
        <v/>
      </c>
      <c r="R1982" s="16" t="str">
        <f t="shared" si="121"/>
        <v/>
      </c>
      <c r="S1982" s="17" t="str">
        <f t="shared" si="122"/>
        <v/>
      </c>
      <c r="T1982" s="18" t="str">
        <f t="shared" ca="1" si="123"/>
        <v/>
      </c>
    </row>
    <row r="1983" spans="1:20" x14ac:dyDescent="0.35">
      <c r="A1983" s="11"/>
      <c r="B1983" s="11"/>
      <c r="C1983" s="11"/>
      <c r="D1983" s="12"/>
      <c r="E1983" s="11"/>
      <c r="F1983" s="13"/>
      <c r="G1983" s="13"/>
      <c r="H1983" s="11"/>
      <c r="I1983" s="12"/>
      <c r="J1983" s="12"/>
      <c r="K1983" s="13"/>
      <c r="L1983" s="13"/>
      <c r="M1983" s="13"/>
      <c r="N1983" s="13"/>
      <c r="O1983" s="13"/>
      <c r="P1983" s="14" t="str">
        <f t="shared" si="120"/>
        <v/>
      </c>
      <c r="Q1983" s="15" t="str">
        <f>IF(OR(J1983="",H1983=""),"",IFERROR(IF(ISNUMBER(N1983),N1983,IF(K1983&lt;N(INDEX(Platforms!$G$5:$G$14,MATCH(H1983,Lists!$A$2:$A$11,0))),N(INDEX(Platforms!$H$5:$H$14,MATCH(H1983,Lists!$A$2:$A$11,0))),MAX(N(INDEX(Platforms!$F$5:$F$14,MATCH(H1983,Lists!$A$2:$A$11,0))),N(INDEX(Platforms!$C$5:$C$14,MATCH(H1983,Lists!$A$2:$A$11,0)))*(K1983+IF(INDEX(Platforms!$E$5:$E$14,MATCH(H1983,Lists!$A$2:$A$11,0))="Yes",N(L1983),0))+N(INDEX(Platforms!$D$5:$D$14,MATCH(H1983,Lists!$A$2:$A$11,0)))))),""))</f>
        <v/>
      </c>
      <c r="R1983" s="16" t="str">
        <f t="shared" si="121"/>
        <v/>
      </c>
      <c r="S1983" s="17" t="str">
        <f t="shared" si="122"/>
        <v/>
      </c>
      <c r="T1983" s="18" t="str">
        <f t="shared" ca="1" si="123"/>
        <v/>
      </c>
    </row>
    <row r="1984" spans="1:20" x14ac:dyDescent="0.35">
      <c r="A1984" s="11"/>
      <c r="B1984" s="11"/>
      <c r="C1984" s="11"/>
      <c r="D1984" s="12"/>
      <c r="E1984" s="11"/>
      <c r="F1984" s="13"/>
      <c r="G1984" s="13"/>
      <c r="H1984" s="11"/>
      <c r="I1984" s="12"/>
      <c r="J1984" s="12"/>
      <c r="K1984" s="13"/>
      <c r="L1984" s="13"/>
      <c r="M1984" s="13"/>
      <c r="N1984" s="13"/>
      <c r="O1984" s="13"/>
      <c r="P1984" s="14" t="str">
        <f t="shared" si="120"/>
        <v/>
      </c>
      <c r="Q1984" s="15" t="str">
        <f>IF(OR(J1984="",H1984=""),"",IFERROR(IF(ISNUMBER(N1984),N1984,IF(K1984&lt;N(INDEX(Platforms!$G$5:$G$14,MATCH(H1984,Lists!$A$2:$A$11,0))),N(INDEX(Platforms!$H$5:$H$14,MATCH(H1984,Lists!$A$2:$A$11,0))),MAX(N(INDEX(Platforms!$F$5:$F$14,MATCH(H1984,Lists!$A$2:$A$11,0))),N(INDEX(Platforms!$C$5:$C$14,MATCH(H1984,Lists!$A$2:$A$11,0)))*(K1984+IF(INDEX(Platforms!$E$5:$E$14,MATCH(H1984,Lists!$A$2:$A$11,0))="Yes",N(L1984),0))+N(INDEX(Platforms!$D$5:$D$14,MATCH(H1984,Lists!$A$2:$A$11,0)))))),""))</f>
        <v/>
      </c>
      <c r="R1984" s="16" t="str">
        <f t="shared" si="121"/>
        <v/>
      </c>
      <c r="S1984" s="17" t="str">
        <f t="shared" si="122"/>
        <v/>
      </c>
      <c r="T1984" s="18" t="str">
        <f t="shared" ca="1" si="123"/>
        <v/>
      </c>
    </row>
    <row r="1985" spans="1:20" x14ac:dyDescent="0.35">
      <c r="A1985" s="11"/>
      <c r="B1985" s="11"/>
      <c r="C1985" s="11"/>
      <c r="D1985" s="12"/>
      <c r="E1985" s="11"/>
      <c r="F1985" s="13"/>
      <c r="G1985" s="13"/>
      <c r="H1985" s="11"/>
      <c r="I1985" s="12"/>
      <c r="J1985" s="12"/>
      <c r="K1985" s="13"/>
      <c r="L1985" s="13"/>
      <c r="M1985" s="13"/>
      <c r="N1985" s="13"/>
      <c r="O1985" s="13"/>
      <c r="P1985" s="14" t="str">
        <f t="shared" si="120"/>
        <v/>
      </c>
      <c r="Q1985" s="15" t="str">
        <f>IF(OR(J1985="",H1985=""),"",IFERROR(IF(ISNUMBER(N1985),N1985,IF(K1985&lt;N(INDEX(Platforms!$G$5:$G$14,MATCH(H1985,Lists!$A$2:$A$11,0))),N(INDEX(Platforms!$H$5:$H$14,MATCH(H1985,Lists!$A$2:$A$11,0))),MAX(N(INDEX(Platforms!$F$5:$F$14,MATCH(H1985,Lists!$A$2:$A$11,0))),N(INDEX(Platforms!$C$5:$C$14,MATCH(H1985,Lists!$A$2:$A$11,0)))*(K1985+IF(INDEX(Platforms!$E$5:$E$14,MATCH(H1985,Lists!$A$2:$A$11,0))="Yes",N(L1985),0))+N(INDEX(Platforms!$D$5:$D$14,MATCH(H1985,Lists!$A$2:$A$11,0)))))),""))</f>
        <v/>
      </c>
      <c r="R1985" s="16" t="str">
        <f t="shared" si="121"/>
        <v/>
      </c>
      <c r="S1985" s="17" t="str">
        <f t="shared" si="122"/>
        <v/>
      </c>
      <c r="T1985" s="18" t="str">
        <f t="shared" ca="1" si="123"/>
        <v/>
      </c>
    </row>
    <row r="1986" spans="1:20" x14ac:dyDescent="0.35">
      <c r="A1986" s="11"/>
      <c r="B1986" s="11"/>
      <c r="C1986" s="11"/>
      <c r="D1986" s="12"/>
      <c r="E1986" s="11"/>
      <c r="F1986" s="13"/>
      <c r="G1986" s="13"/>
      <c r="H1986" s="11"/>
      <c r="I1986" s="12"/>
      <c r="J1986" s="12"/>
      <c r="K1986" s="13"/>
      <c r="L1986" s="13"/>
      <c r="M1986" s="13"/>
      <c r="N1986" s="13"/>
      <c r="O1986" s="13"/>
      <c r="P1986" s="14" t="str">
        <f t="shared" si="120"/>
        <v/>
      </c>
      <c r="Q1986" s="15" t="str">
        <f>IF(OR(J1986="",H1986=""),"",IFERROR(IF(ISNUMBER(N1986),N1986,IF(K1986&lt;N(INDEX(Platforms!$G$5:$G$14,MATCH(H1986,Lists!$A$2:$A$11,0))),N(INDEX(Platforms!$H$5:$H$14,MATCH(H1986,Lists!$A$2:$A$11,0))),MAX(N(INDEX(Platforms!$F$5:$F$14,MATCH(H1986,Lists!$A$2:$A$11,0))),N(INDEX(Platforms!$C$5:$C$14,MATCH(H1986,Lists!$A$2:$A$11,0)))*(K1986+IF(INDEX(Platforms!$E$5:$E$14,MATCH(H1986,Lists!$A$2:$A$11,0))="Yes",N(L1986),0))+N(INDEX(Platforms!$D$5:$D$14,MATCH(H1986,Lists!$A$2:$A$11,0)))))),""))</f>
        <v/>
      </c>
      <c r="R1986" s="16" t="str">
        <f t="shared" si="121"/>
        <v/>
      </c>
      <c r="S1986" s="17" t="str">
        <f t="shared" si="122"/>
        <v/>
      </c>
      <c r="T1986" s="18" t="str">
        <f t="shared" ca="1" si="123"/>
        <v/>
      </c>
    </row>
    <row r="1987" spans="1:20" x14ac:dyDescent="0.35">
      <c r="A1987" s="11"/>
      <c r="B1987" s="11"/>
      <c r="C1987" s="11"/>
      <c r="D1987" s="12"/>
      <c r="E1987" s="11"/>
      <c r="F1987" s="13"/>
      <c r="G1987" s="13"/>
      <c r="H1987" s="11"/>
      <c r="I1987" s="12"/>
      <c r="J1987" s="12"/>
      <c r="K1987" s="13"/>
      <c r="L1987" s="13"/>
      <c r="M1987" s="13"/>
      <c r="N1987" s="13"/>
      <c r="O1987" s="13"/>
      <c r="P1987" s="14" t="str">
        <f t="shared" si="120"/>
        <v/>
      </c>
      <c r="Q1987" s="15" t="str">
        <f>IF(OR(J1987="",H1987=""),"",IFERROR(IF(ISNUMBER(N1987),N1987,IF(K1987&lt;N(INDEX(Platforms!$G$5:$G$14,MATCH(H1987,Lists!$A$2:$A$11,0))),N(INDEX(Platforms!$H$5:$H$14,MATCH(H1987,Lists!$A$2:$A$11,0))),MAX(N(INDEX(Platforms!$F$5:$F$14,MATCH(H1987,Lists!$A$2:$A$11,0))),N(INDEX(Platforms!$C$5:$C$14,MATCH(H1987,Lists!$A$2:$A$11,0)))*(K1987+IF(INDEX(Platforms!$E$5:$E$14,MATCH(H1987,Lists!$A$2:$A$11,0))="Yes",N(L1987),0))+N(INDEX(Platforms!$D$5:$D$14,MATCH(H1987,Lists!$A$2:$A$11,0)))))),""))</f>
        <v/>
      </c>
      <c r="R1987" s="16" t="str">
        <f t="shared" si="121"/>
        <v/>
      </c>
      <c r="S1987" s="17" t="str">
        <f t="shared" si="122"/>
        <v/>
      </c>
      <c r="T1987" s="18" t="str">
        <f t="shared" ca="1" si="123"/>
        <v/>
      </c>
    </row>
    <row r="1988" spans="1:20" x14ac:dyDescent="0.35">
      <c r="A1988" s="11"/>
      <c r="B1988" s="11"/>
      <c r="C1988" s="11"/>
      <c r="D1988" s="12"/>
      <c r="E1988" s="11"/>
      <c r="F1988" s="13"/>
      <c r="G1988" s="13"/>
      <c r="H1988" s="11"/>
      <c r="I1988" s="12"/>
      <c r="J1988" s="12"/>
      <c r="K1988" s="13"/>
      <c r="L1988" s="13"/>
      <c r="M1988" s="13"/>
      <c r="N1988" s="13"/>
      <c r="O1988" s="13"/>
      <c r="P1988" s="14" t="str">
        <f t="shared" si="120"/>
        <v/>
      </c>
      <c r="Q1988" s="15" t="str">
        <f>IF(OR(J1988="",H1988=""),"",IFERROR(IF(ISNUMBER(N1988),N1988,IF(K1988&lt;N(INDEX(Platforms!$G$5:$G$14,MATCH(H1988,Lists!$A$2:$A$11,0))),N(INDEX(Platforms!$H$5:$H$14,MATCH(H1988,Lists!$A$2:$A$11,0))),MAX(N(INDEX(Platforms!$F$5:$F$14,MATCH(H1988,Lists!$A$2:$A$11,0))),N(INDEX(Platforms!$C$5:$C$14,MATCH(H1988,Lists!$A$2:$A$11,0)))*(K1988+IF(INDEX(Platforms!$E$5:$E$14,MATCH(H1988,Lists!$A$2:$A$11,0))="Yes",N(L1988),0))+N(INDEX(Platforms!$D$5:$D$14,MATCH(H1988,Lists!$A$2:$A$11,0)))))),""))</f>
        <v/>
      </c>
      <c r="R1988" s="16" t="str">
        <f t="shared" si="121"/>
        <v/>
      </c>
      <c r="S1988" s="17" t="str">
        <f t="shared" si="122"/>
        <v/>
      </c>
      <c r="T1988" s="18" t="str">
        <f t="shared" ca="1" si="123"/>
        <v/>
      </c>
    </row>
    <row r="1989" spans="1:20" x14ac:dyDescent="0.35">
      <c r="A1989" s="11"/>
      <c r="B1989" s="11"/>
      <c r="C1989" s="11"/>
      <c r="D1989" s="12"/>
      <c r="E1989" s="11"/>
      <c r="F1989" s="13"/>
      <c r="G1989" s="13"/>
      <c r="H1989" s="11"/>
      <c r="I1989" s="12"/>
      <c r="J1989" s="12"/>
      <c r="K1989" s="13"/>
      <c r="L1989" s="13"/>
      <c r="M1989" s="13"/>
      <c r="N1989" s="13"/>
      <c r="O1989" s="13"/>
      <c r="P1989" s="14" t="str">
        <f t="shared" ref="P1989:P2004" si="124">IF(OR(B1989&lt;&gt;"",F1989&lt;&gt;"",H1989&lt;&gt;"",J1989&lt;&gt;"",K1989&lt;&gt;""),IF(J1989&lt;&gt;"","Sold",IF(I1989&lt;&gt;"","Listed","In stock")),"")</f>
        <v/>
      </c>
      <c r="Q1989" s="15" t="str">
        <f>IF(OR(J1989="",H1989=""),"",IFERROR(IF(ISNUMBER(N1989),N1989,IF(K1989&lt;N(INDEX(Platforms!$G$5:$G$14,MATCH(H1989,Lists!$A$2:$A$11,0))),N(INDEX(Platforms!$H$5:$H$14,MATCH(H1989,Lists!$A$2:$A$11,0))),MAX(N(INDEX(Platforms!$F$5:$F$14,MATCH(H1989,Lists!$A$2:$A$11,0))),N(INDEX(Platforms!$C$5:$C$14,MATCH(H1989,Lists!$A$2:$A$11,0)))*(K1989+IF(INDEX(Platforms!$E$5:$E$14,MATCH(H1989,Lists!$A$2:$A$11,0))="Yes",N(L1989),0))+N(INDEX(Platforms!$D$5:$D$14,MATCH(H1989,Lists!$A$2:$A$11,0)))))),""))</f>
        <v/>
      </c>
      <c r="R1989" s="16" t="str">
        <f t="shared" ref="R1989:R2052" si="125">IF(J1989="","",IFERROR(K1989+N(L1989)-N(O1989)-Q1989-N(M1989)-N(F1989)-N(G1989),""))</f>
        <v/>
      </c>
      <c r="S1989" s="17" t="str">
        <f t="shared" ref="S1989:S2052" si="126">IF(OR(R1989="",N(F1989)+N(G1989)=0),"",R1989/(N(F1989)+N(G1989)))</f>
        <v/>
      </c>
      <c r="T1989" s="18" t="str">
        <f t="shared" ref="T1989:T2004" ca="1" si="127">IFERROR(IF(ISNUMBER(D1989),IF(ISNUMBER(J1989),J1989,IF(J1989="",TODAY(),""))-D1989,""),"")</f>
        <v/>
      </c>
    </row>
    <row r="1990" spans="1:20" x14ac:dyDescent="0.35">
      <c r="A1990" s="11"/>
      <c r="B1990" s="11"/>
      <c r="C1990" s="11"/>
      <c r="D1990" s="12"/>
      <c r="E1990" s="11"/>
      <c r="F1990" s="13"/>
      <c r="G1990" s="13"/>
      <c r="H1990" s="11"/>
      <c r="I1990" s="12"/>
      <c r="J1990" s="12"/>
      <c r="K1990" s="13"/>
      <c r="L1990" s="13"/>
      <c r="M1990" s="13"/>
      <c r="N1990" s="13"/>
      <c r="O1990" s="13"/>
      <c r="P1990" s="14" t="str">
        <f t="shared" si="124"/>
        <v/>
      </c>
      <c r="Q1990" s="15" t="str">
        <f>IF(OR(J1990="",H1990=""),"",IFERROR(IF(ISNUMBER(N1990),N1990,IF(K1990&lt;N(INDEX(Platforms!$G$5:$G$14,MATCH(H1990,Lists!$A$2:$A$11,0))),N(INDEX(Platforms!$H$5:$H$14,MATCH(H1990,Lists!$A$2:$A$11,0))),MAX(N(INDEX(Platforms!$F$5:$F$14,MATCH(H1990,Lists!$A$2:$A$11,0))),N(INDEX(Platforms!$C$5:$C$14,MATCH(H1990,Lists!$A$2:$A$11,0)))*(K1990+IF(INDEX(Platforms!$E$5:$E$14,MATCH(H1990,Lists!$A$2:$A$11,0))="Yes",N(L1990),0))+N(INDEX(Platforms!$D$5:$D$14,MATCH(H1990,Lists!$A$2:$A$11,0)))))),""))</f>
        <v/>
      </c>
      <c r="R1990" s="16" t="str">
        <f t="shared" si="125"/>
        <v/>
      </c>
      <c r="S1990" s="17" t="str">
        <f t="shared" si="126"/>
        <v/>
      </c>
      <c r="T1990" s="18" t="str">
        <f t="shared" ca="1" si="127"/>
        <v/>
      </c>
    </row>
    <row r="1991" spans="1:20" x14ac:dyDescent="0.35">
      <c r="A1991" s="11"/>
      <c r="B1991" s="11"/>
      <c r="C1991" s="11"/>
      <c r="D1991" s="12"/>
      <c r="E1991" s="11"/>
      <c r="F1991" s="13"/>
      <c r="G1991" s="13"/>
      <c r="H1991" s="11"/>
      <c r="I1991" s="12"/>
      <c r="J1991" s="12"/>
      <c r="K1991" s="13"/>
      <c r="L1991" s="13"/>
      <c r="M1991" s="13"/>
      <c r="N1991" s="13"/>
      <c r="O1991" s="13"/>
      <c r="P1991" s="14" t="str">
        <f t="shared" si="124"/>
        <v/>
      </c>
      <c r="Q1991" s="15" t="str">
        <f>IF(OR(J1991="",H1991=""),"",IFERROR(IF(ISNUMBER(N1991),N1991,IF(K1991&lt;N(INDEX(Platforms!$G$5:$G$14,MATCH(H1991,Lists!$A$2:$A$11,0))),N(INDEX(Platforms!$H$5:$H$14,MATCH(H1991,Lists!$A$2:$A$11,0))),MAX(N(INDEX(Platforms!$F$5:$F$14,MATCH(H1991,Lists!$A$2:$A$11,0))),N(INDEX(Platforms!$C$5:$C$14,MATCH(H1991,Lists!$A$2:$A$11,0)))*(K1991+IF(INDEX(Platforms!$E$5:$E$14,MATCH(H1991,Lists!$A$2:$A$11,0))="Yes",N(L1991),0))+N(INDEX(Platforms!$D$5:$D$14,MATCH(H1991,Lists!$A$2:$A$11,0)))))),""))</f>
        <v/>
      </c>
      <c r="R1991" s="16" t="str">
        <f t="shared" si="125"/>
        <v/>
      </c>
      <c r="S1991" s="17" t="str">
        <f t="shared" si="126"/>
        <v/>
      </c>
      <c r="T1991" s="18" t="str">
        <f t="shared" ca="1" si="127"/>
        <v/>
      </c>
    </row>
    <row r="1992" spans="1:20" x14ac:dyDescent="0.35">
      <c r="A1992" s="11"/>
      <c r="B1992" s="11"/>
      <c r="C1992" s="11"/>
      <c r="D1992" s="12"/>
      <c r="E1992" s="11"/>
      <c r="F1992" s="13"/>
      <c r="G1992" s="13"/>
      <c r="H1992" s="11"/>
      <c r="I1992" s="12"/>
      <c r="J1992" s="12"/>
      <c r="K1992" s="13"/>
      <c r="L1992" s="13"/>
      <c r="M1992" s="13"/>
      <c r="N1992" s="13"/>
      <c r="O1992" s="13"/>
      <c r="P1992" s="14" t="str">
        <f t="shared" si="124"/>
        <v/>
      </c>
      <c r="Q1992" s="15" t="str">
        <f>IF(OR(J1992="",H1992=""),"",IFERROR(IF(ISNUMBER(N1992),N1992,IF(K1992&lt;N(INDEX(Platforms!$G$5:$G$14,MATCH(H1992,Lists!$A$2:$A$11,0))),N(INDEX(Platforms!$H$5:$H$14,MATCH(H1992,Lists!$A$2:$A$11,0))),MAX(N(INDEX(Platforms!$F$5:$F$14,MATCH(H1992,Lists!$A$2:$A$11,0))),N(INDEX(Platforms!$C$5:$C$14,MATCH(H1992,Lists!$A$2:$A$11,0)))*(K1992+IF(INDEX(Platforms!$E$5:$E$14,MATCH(H1992,Lists!$A$2:$A$11,0))="Yes",N(L1992),0))+N(INDEX(Platforms!$D$5:$D$14,MATCH(H1992,Lists!$A$2:$A$11,0)))))),""))</f>
        <v/>
      </c>
      <c r="R1992" s="16" t="str">
        <f t="shared" si="125"/>
        <v/>
      </c>
      <c r="S1992" s="17" t="str">
        <f t="shared" si="126"/>
        <v/>
      </c>
      <c r="T1992" s="18" t="str">
        <f t="shared" ca="1" si="127"/>
        <v/>
      </c>
    </row>
    <row r="1993" spans="1:20" x14ac:dyDescent="0.35">
      <c r="A1993" s="11"/>
      <c r="B1993" s="11"/>
      <c r="C1993" s="11"/>
      <c r="D1993" s="12"/>
      <c r="E1993" s="11"/>
      <c r="F1993" s="13"/>
      <c r="G1993" s="13"/>
      <c r="H1993" s="11"/>
      <c r="I1993" s="12"/>
      <c r="J1993" s="12"/>
      <c r="K1993" s="13"/>
      <c r="L1993" s="13"/>
      <c r="M1993" s="13"/>
      <c r="N1993" s="13"/>
      <c r="O1993" s="13"/>
      <c r="P1993" s="14" t="str">
        <f t="shared" si="124"/>
        <v/>
      </c>
      <c r="Q1993" s="15" t="str">
        <f>IF(OR(J1993="",H1993=""),"",IFERROR(IF(ISNUMBER(N1993),N1993,IF(K1993&lt;N(INDEX(Platforms!$G$5:$G$14,MATCH(H1993,Lists!$A$2:$A$11,0))),N(INDEX(Platforms!$H$5:$H$14,MATCH(H1993,Lists!$A$2:$A$11,0))),MAX(N(INDEX(Platforms!$F$5:$F$14,MATCH(H1993,Lists!$A$2:$A$11,0))),N(INDEX(Platforms!$C$5:$C$14,MATCH(H1993,Lists!$A$2:$A$11,0)))*(K1993+IF(INDEX(Platforms!$E$5:$E$14,MATCH(H1993,Lists!$A$2:$A$11,0))="Yes",N(L1993),0))+N(INDEX(Platforms!$D$5:$D$14,MATCH(H1993,Lists!$A$2:$A$11,0)))))),""))</f>
        <v/>
      </c>
      <c r="R1993" s="16" t="str">
        <f t="shared" si="125"/>
        <v/>
      </c>
      <c r="S1993" s="17" t="str">
        <f t="shared" si="126"/>
        <v/>
      </c>
      <c r="T1993" s="18" t="str">
        <f t="shared" ca="1" si="127"/>
        <v/>
      </c>
    </row>
    <row r="1994" spans="1:20" x14ac:dyDescent="0.35">
      <c r="A1994" s="11"/>
      <c r="B1994" s="11"/>
      <c r="C1994" s="11"/>
      <c r="D1994" s="12"/>
      <c r="E1994" s="11"/>
      <c r="F1994" s="13"/>
      <c r="G1994" s="13"/>
      <c r="H1994" s="11"/>
      <c r="I1994" s="12"/>
      <c r="J1994" s="12"/>
      <c r="K1994" s="13"/>
      <c r="L1994" s="13"/>
      <c r="M1994" s="13"/>
      <c r="N1994" s="13"/>
      <c r="O1994" s="13"/>
      <c r="P1994" s="14" t="str">
        <f t="shared" si="124"/>
        <v/>
      </c>
      <c r="Q1994" s="15" t="str">
        <f>IF(OR(J1994="",H1994=""),"",IFERROR(IF(ISNUMBER(N1994),N1994,IF(K1994&lt;N(INDEX(Platforms!$G$5:$G$14,MATCH(H1994,Lists!$A$2:$A$11,0))),N(INDEX(Platforms!$H$5:$H$14,MATCH(H1994,Lists!$A$2:$A$11,0))),MAX(N(INDEX(Platforms!$F$5:$F$14,MATCH(H1994,Lists!$A$2:$A$11,0))),N(INDEX(Platforms!$C$5:$C$14,MATCH(H1994,Lists!$A$2:$A$11,0)))*(K1994+IF(INDEX(Platforms!$E$5:$E$14,MATCH(H1994,Lists!$A$2:$A$11,0))="Yes",N(L1994),0))+N(INDEX(Platforms!$D$5:$D$14,MATCH(H1994,Lists!$A$2:$A$11,0)))))),""))</f>
        <v/>
      </c>
      <c r="R1994" s="16" t="str">
        <f t="shared" si="125"/>
        <v/>
      </c>
      <c r="S1994" s="17" t="str">
        <f t="shared" si="126"/>
        <v/>
      </c>
      <c r="T1994" s="18" t="str">
        <f t="shared" ca="1" si="127"/>
        <v/>
      </c>
    </row>
    <row r="1995" spans="1:20" x14ac:dyDescent="0.35">
      <c r="A1995" s="11"/>
      <c r="B1995" s="11"/>
      <c r="C1995" s="11"/>
      <c r="D1995" s="12"/>
      <c r="E1995" s="11"/>
      <c r="F1995" s="13"/>
      <c r="G1995" s="13"/>
      <c r="H1995" s="11"/>
      <c r="I1995" s="12"/>
      <c r="J1995" s="12"/>
      <c r="K1995" s="13"/>
      <c r="L1995" s="13"/>
      <c r="M1995" s="13"/>
      <c r="N1995" s="13"/>
      <c r="O1995" s="13"/>
      <c r="P1995" s="14" t="str">
        <f t="shared" si="124"/>
        <v/>
      </c>
      <c r="Q1995" s="15" t="str">
        <f>IF(OR(J1995="",H1995=""),"",IFERROR(IF(ISNUMBER(N1995),N1995,IF(K1995&lt;N(INDEX(Platforms!$G$5:$G$14,MATCH(H1995,Lists!$A$2:$A$11,0))),N(INDEX(Platforms!$H$5:$H$14,MATCH(H1995,Lists!$A$2:$A$11,0))),MAX(N(INDEX(Platforms!$F$5:$F$14,MATCH(H1995,Lists!$A$2:$A$11,0))),N(INDEX(Platforms!$C$5:$C$14,MATCH(H1995,Lists!$A$2:$A$11,0)))*(K1995+IF(INDEX(Platforms!$E$5:$E$14,MATCH(H1995,Lists!$A$2:$A$11,0))="Yes",N(L1995),0))+N(INDEX(Platforms!$D$5:$D$14,MATCH(H1995,Lists!$A$2:$A$11,0)))))),""))</f>
        <v/>
      </c>
      <c r="R1995" s="16" t="str">
        <f t="shared" si="125"/>
        <v/>
      </c>
      <c r="S1995" s="17" t="str">
        <f t="shared" si="126"/>
        <v/>
      </c>
      <c r="T1995" s="18" t="str">
        <f t="shared" ca="1" si="127"/>
        <v/>
      </c>
    </row>
    <row r="1996" spans="1:20" x14ac:dyDescent="0.35">
      <c r="A1996" s="11"/>
      <c r="B1996" s="11"/>
      <c r="C1996" s="11"/>
      <c r="D1996" s="12"/>
      <c r="E1996" s="11"/>
      <c r="F1996" s="13"/>
      <c r="G1996" s="13"/>
      <c r="H1996" s="11"/>
      <c r="I1996" s="12"/>
      <c r="J1996" s="12"/>
      <c r="K1996" s="13"/>
      <c r="L1996" s="13"/>
      <c r="M1996" s="13"/>
      <c r="N1996" s="13"/>
      <c r="O1996" s="13"/>
      <c r="P1996" s="14" t="str">
        <f t="shared" si="124"/>
        <v/>
      </c>
      <c r="Q1996" s="15" t="str">
        <f>IF(OR(J1996="",H1996=""),"",IFERROR(IF(ISNUMBER(N1996),N1996,IF(K1996&lt;N(INDEX(Platforms!$G$5:$G$14,MATCH(H1996,Lists!$A$2:$A$11,0))),N(INDEX(Platforms!$H$5:$H$14,MATCH(H1996,Lists!$A$2:$A$11,0))),MAX(N(INDEX(Platforms!$F$5:$F$14,MATCH(H1996,Lists!$A$2:$A$11,0))),N(INDEX(Platforms!$C$5:$C$14,MATCH(H1996,Lists!$A$2:$A$11,0)))*(K1996+IF(INDEX(Platforms!$E$5:$E$14,MATCH(H1996,Lists!$A$2:$A$11,0))="Yes",N(L1996),0))+N(INDEX(Platforms!$D$5:$D$14,MATCH(H1996,Lists!$A$2:$A$11,0)))))),""))</f>
        <v/>
      </c>
      <c r="R1996" s="16" t="str">
        <f t="shared" si="125"/>
        <v/>
      </c>
      <c r="S1996" s="17" t="str">
        <f t="shared" si="126"/>
        <v/>
      </c>
      <c r="T1996" s="18" t="str">
        <f t="shared" ca="1" si="127"/>
        <v/>
      </c>
    </row>
    <row r="1997" spans="1:20" x14ac:dyDescent="0.35">
      <c r="A1997" s="11"/>
      <c r="B1997" s="11"/>
      <c r="C1997" s="11"/>
      <c r="D1997" s="12"/>
      <c r="E1997" s="11"/>
      <c r="F1997" s="13"/>
      <c r="G1997" s="13"/>
      <c r="H1997" s="11"/>
      <c r="I1997" s="12"/>
      <c r="J1997" s="12"/>
      <c r="K1997" s="13"/>
      <c r="L1997" s="13"/>
      <c r="M1997" s="13"/>
      <c r="N1997" s="13"/>
      <c r="O1997" s="13"/>
      <c r="P1997" s="14" t="str">
        <f t="shared" si="124"/>
        <v/>
      </c>
      <c r="Q1997" s="15" t="str">
        <f>IF(OR(J1997="",H1997=""),"",IFERROR(IF(ISNUMBER(N1997),N1997,IF(K1997&lt;N(INDEX(Platforms!$G$5:$G$14,MATCH(H1997,Lists!$A$2:$A$11,0))),N(INDEX(Platforms!$H$5:$H$14,MATCH(H1997,Lists!$A$2:$A$11,0))),MAX(N(INDEX(Platforms!$F$5:$F$14,MATCH(H1997,Lists!$A$2:$A$11,0))),N(INDEX(Platforms!$C$5:$C$14,MATCH(H1997,Lists!$A$2:$A$11,0)))*(K1997+IF(INDEX(Platforms!$E$5:$E$14,MATCH(H1997,Lists!$A$2:$A$11,0))="Yes",N(L1997),0))+N(INDEX(Platforms!$D$5:$D$14,MATCH(H1997,Lists!$A$2:$A$11,0)))))),""))</f>
        <v/>
      </c>
      <c r="R1997" s="16" t="str">
        <f t="shared" si="125"/>
        <v/>
      </c>
      <c r="S1997" s="17" t="str">
        <f t="shared" si="126"/>
        <v/>
      </c>
      <c r="T1997" s="18" t="str">
        <f t="shared" ca="1" si="127"/>
        <v/>
      </c>
    </row>
    <row r="1998" spans="1:20" x14ac:dyDescent="0.35">
      <c r="A1998" s="11"/>
      <c r="B1998" s="11"/>
      <c r="C1998" s="11"/>
      <c r="D1998" s="12"/>
      <c r="E1998" s="11"/>
      <c r="F1998" s="13"/>
      <c r="G1998" s="13"/>
      <c r="H1998" s="11"/>
      <c r="I1998" s="12"/>
      <c r="J1998" s="12"/>
      <c r="K1998" s="13"/>
      <c r="L1998" s="13"/>
      <c r="M1998" s="13"/>
      <c r="N1998" s="13"/>
      <c r="O1998" s="13"/>
      <c r="P1998" s="14" t="str">
        <f t="shared" si="124"/>
        <v/>
      </c>
      <c r="Q1998" s="15" t="str">
        <f>IF(OR(J1998="",H1998=""),"",IFERROR(IF(ISNUMBER(N1998),N1998,IF(K1998&lt;N(INDEX(Platforms!$G$5:$G$14,MATCH(H1998,Lists!$A$2:$A$11,0))),N(INDEX(Platforms!$H$5:$H$14,MATCH(H1998,Lists!$A$2:$A$11,0))),MAX(N(INDEX(Platforms!$F$5:$F$14,MATCH(H1998,Lists!$A$2:$A$11,0))),N(INDEX(Platforms!$C$5:$C$14,MATCH(H1998,Lists!$A$2:$A$11,0)))*(K1998+IF(INDEX(Platforms!$E$5:$E$14,MATCH(H1998,Lists!$A$2:$A$11,0))="Yes",N(L1998),0))+N(INDEX(Platforms!$D$5:$D$14,MATCH(H1998,Lists!$A$2:$A$11,0)))))),""))</f>
        <v/>
      </c>
      <c r="R1998" s="16" t="str">
        <f t="shared" si="125"/>
        <v/>
      </c>
      <c r="S1998" s="17" t="str">
        <f t="shared" si="126"/>
        <v/>
      </c>
      <c r="T1998" s="18" t="str">
        <f t="shared" ca="1" si="127"/>
        <v/>
      </c>
    </row>
    <row r="1999" spans="1:20" x14ac:dyDescent="0.35">
      <c r="A1999" s="11"/>
      <c r="B1999" s="11"/>
      <c r="C1999" s="11"/>
      <c r="D1999" s="12"/>
      <c r="E1999" s="11"/>
      <c r="F1999" s="13"/>
      <c r="G1999" s="13"/>
      <c r="H1999" s="11"/>
      <c r="I1999" s="12"/>
      <c r="J1999" s="12"/>
      <c r="K1999" s="13"/>
      <c r="L1999" s="13"/>
      <c r="M1999" s="13"/>
      <c r="N1999" s="13"/>
      <c r="O1999" s="13"/>
      <c r="P1999" s="14" t="str">
        <f t="shared" si="124"/>
        <v/>
      </c>
      <c r="Q1999" s="15" t="str">
        <f>IF(OR(J1999="",H1999=""),"",IFERROR(IF(ISNUMBER(N1999),N1999,IF(K1999&lt;N(INDEX(Platforms!$G$5:$G$14,MATCH(H1999,Lists!$A$2:$A$11,0))),N(INDEX(Platforms!$H$5:$H$14,MATCH(H1999,Lists!$A$2:$A$11,0))),MAX(N(INDEX(Platforms!$F$5:$F$14,MATCH(H1999,Lists!$A$2:$A$11,0))),N(INDEX(Platforms!$C$5:$C$14,MATCH(H1999,Lists!$A$2:$A$11,0)))*(K1999+IF(INDEX(Platforms!$E$5:$E$14,MATCH(H1999,Lists!$A$2:$A$11,0))="Yes",N(L1999),0))+N(INDEX(Platforms!$D$5:$D$14,MATCH(H1999,Lists!$A$2:$A$11,0)))))),""))</f>
        <v/>
      </c>
      <c r="R1999" s="16" t="str">
        <f t="shared" si="125"/>
        <v/>
      </c>
      <c r="S1999" s="17" t="str">
        <f t="shared" si="126"/>
        <v/>
      </c>
      <c r="T1999" s="18" t="str">
        <f t="shared" ca="1" si="127"/>
        <v/>
      </c>
    </row>
    <row r="2000" spans="1:20" x14ac:dyDescent="0.35">
      <c r="A2000" s="11"/>
      <c r="B2000" s="11"/>
      <c r="C2000" s="11"/>
      <c r="D2000" s="12"/>
      <c r="E2000" s="11"/>
      <c r="F2000" s="13"/>
      <c r="G2000" s="13"/>
      <c r="H2000" s="11"/>
      <c r="I2000" s="12"/>
      <c r="J2000" s="12"/>
      <c r="K2000" s="13"/>
      <c r="L2000" s="13"/>
      <c r="M2000" s="13"/>
      <c r="N2000" s="13"/>
      <c r="O2000" s="13"/>
      <c r="P2000" s="14" t="str">
        <f t="shared" si="124"/>
        <v/>
      </c>
      <c r="Q2000" s="15" t="str">
        <f>IF(OR(J2000="",H2000=""),"",IFERROR(IF(ISNUMBER(N2000),N2000,IF(K2000&lt;N(INDEX(Platforms!$G$5:$G$14,MATCH(H2000,Lists!$A$2:$A$11,0))),N(INDEX(Platforms!$H$5:$H$14,MATCH(H2000,Lists!$A$2:$A$11,0))),MAX(N(INDEX(Platforms!$F$5:$F$14,MATCH(H2000,Lists!$A$2:$A$11,0))),N(INDEX(Platforms!$C$5:$C$14,MATCH(H2000,Lists!$A$2:$A$11,0)))*(K2000+IF(INDEX(Platforms!$E$5:$E$14,MATCH(H2000,Lists!$A$2:$A$11,0))="Yes",N(L2000),0))+N(INDEX(Platforms!$D$5:$D$14,MATCH(H2000,Lists!$A$2:$A$11,0)))))),""))</f>
        <v/>
      </c>
      <c r="R2000" s="16" t="str">
        <f t="shared" si="125"/>
        <v/>
      </c>
      <c r="S2000" s="17" t="str">
        <f t="shared" si="126"/>
        <v/>
      </c>
      <c r="T2000" s="18" t="str">
        <f t="shared" ca="1" si="127"/>
        <v/>
      </c>
    </row>
    <row r="2001" spans="1:20" x14ac:dyDescent="0.35">
      <c r="A2001" s="11"/>
      <c r="B2001" s="11"/>
      <c r="C2001" s="11"/>
      <c r="D2001" s="12"/>
      <c r="E2001" s="11"/>
      <c r="F2001" s="13"/>
      <c r="G2001" s="13"/>
      <c r="H2001" s="11"/>
      <c r="I2001" s="12"/>
      <c r="J2001" s="12"/>
      <c r="K2001" s="13"/>
      <c r="L2001" s="13"/>
      <c r="M2001" s="13"/>
      <c r="N2001" s="13"/>
      <c r="O2001" s="13"/>
      <c r="P2001" s="14" t="str">
        <f t="shared" si="124"/>
        <v/>
      </c>
      <c r="Q2001" s="15" t="str">
        <f>IF(OR(J2001="",H2001=""),"",IFERROR(IF(ISNUMBER(N2001),N2001,IF(K2001&lt;N(INDEX(Platforms!$G$5:$G$14,MATCH(H2001,Lists!$A$2:$A$11,0))),N(INDEX(Platforms!$H$5:$H$14,MATCH(H2001,Lists!$A$2:$A$11,0))),MAX(N(INDEX(Platforms!$F$5:$F$14,MATCH(H2001,Lists!$A$2:$A$11,0))),N(INDEX(Platforms!$C$5:$C$14,MATCH(H2001,Lists!$A$2:$A$11,0)))*(K2001+IF(INDEX(Platforms!$E$5:$E$14,MATCH(H2001,Lists!$A$2:$A$11,0))="Yes",N(L2001),0))+N(INDEX(Platforms!$D$5:$D$14,MATCH(H2001,Lists!$A$2:$A$11,0)))))),""))</f>
        <v/>
      </c>
      <c r="R2001" s="16" t="str">
        <f t="shared" si="125"/>
        <v/>
      </c>
      <c r="S2001" s="17" t="str">
        <f t="shared" si="126"/>
        <v/>
      </c>
      <c r="T2001" s="18" t="str">
        <f t="shared" ca="1" si="127"/>
        <v/>
      </c>
    </row>
    <row r="2002" spans="1:20" x14ac:dyDescent="0.35">
      <c r="A2002" s="11"/>
      <c r="B2002" s="11"/>
      <c r="C2002" s="11"/>
      <c r="D2002" s="12"/>
      <c r="E2002" s="11"/>
      <c r="F2002" s="13"/>
      <c r="G2002" s="13"/>
      <c r="H2002" s="11"/>
      <c r="I2002" s="12"/>
      <c r="J2002" s="12"/>
      <c r="K2002" s="13"/>
      <c r="L2002" s="13"/>
      <c r="M2002" s="13"/>
      <c r="N2002" s="13"/>
      <c r="O2002" s="13"/>
      <c r="P2002" s="14" t="str">
        <f t="shared" si="124"/>
        <v/>
      </c>
      <c r="Q2002" s="15" t="str">
        <f>IF(OR(J2002="",H2002=""),"",IFERROR(IF(ISNUMBER(N2002),N2002,IF(K2002&lt;N(INDEX(Platforms!$G$5:$G$14,MATCH(H2002,Lists!$A$2:$A$11,0))),N(INDEX(Platforms!$H$5:$H$14,MATCH(H2002,Lists!$A$2:$A$11,0))),MAX(N(INDEX(Platforms!$F$5:$F$14,MATCH(H2002,Lists!$A$2:$A$11,0))),N(INDEX(Platforms!$C$5:$C$14,MATCH(H2002,Lists!$A$2:$A$11,0)))*(K2002+IF(INDEX(Platforms!$E$5:$E$14,MATCH(H2002,Lists!$A$2:$A$11,0))="Yes",N(L2002),0))+N(INDEX(Platforms!$D$5:$D$14,MATCH(H2002,Lists!$A$2:$A$11,0)))))),""))</f>
        <v/>
      </c>
      <c r="R2002" s="16" t="str">
        <f t="shared" si="125"/>
        <v/>
      </c>
      <c r="S2002" s="17" t="str">
        <f t="shared" si="126"/>
        <v/>
      </c>
      <c r="T2002" s="18" t="str">
        <f t="shared" ca="1" si="127"/>
        <v/>
      </c>
    </row>
    <row r="2003" spans="1:20" x14ac:dyDescent="0.35">
      <c r="A2003" s="11"/>
      <c r="B2003" s="11"/>
      <c r="C2003" s="11"/>
      <c r="D2003" s="12"/>
      <c r="E2003" s="11"/>
      <c r="F2003" s="13"/>
      <c r="G2003" s="13"/>
      <c r="H2003" s="11"/>
      <c r="I2003" s="12"/>
      <c r="J2003" s="12"/>
      <c r="K2003" s="13"/>
      <c r="L2003" s="13"/>
      <c r="M2003" s="13"/>
      <c r="N2003" s="13"/>
      <c r="O2003" s="13"/>
      <c r="P2003" s="14" t="str">
        <f t="shared" si="124"/>
        <v/>
      </c>
      <c r="Q2003" s="15" t="str">
        <f>IF(OR(J2003="",H2003=""),"",IFERROR(IF(ISNUMBER(N2003),N2003,IF(K2003&lt;N(INDEX(Platforms!$G$5:$G$14,MATCH(H2003,Lists!$A$2:$A$11,0))),N(INDEX(Platforms!$H$5:$H$14,MATCH(H2003,Lists!$A$2:$A$11,0))),MAX(N(INDEX(Platforms!$F$5:$F$14,MATCH(H2003,Lists!$A$2:$A$11,0))),N(INDEX(Platforms!$C$5:$C$14,MATCH(H2003,Lists!$A$2:$A$11,0)))*(K2003+IF(INDEX(Platforms!$E$5:$E$14,MATCH(H2003,Lists!$A$2:$A$11,0))="Yes",N(L2003),0))+N(INDEX(Platforms!$D$5:$D$14,MATCH(H2003,Lists!$A$2:$A$11,0)))))),""))</f>
        <v/>
      </c>
      <c r="R2003" s="16" t="str">
        <f t="shared" si="125"/>
        <v/>
      </c>
      <c r="S2003" s="17" t="str">
        <f t="shared" si="126"/>
        <v/>
      </c>
      <c r="T2003" s="18" t="str">
        <f t="shared" ca="1" si="127"/>
        <v/>
      </c>
    </row>
    <row r="2004" spans="1:20" x14ac:dyDescent="0.35">
      <c r="A2004" s="11"/>
      <c r="B2004" s="11"/>
      <c r="C2004" s="11"/>
      <c r="D2004" s="12"/>
      <c r="E2004" s="11"/>
      <c r="F2004" s="13"/>
      <c r="G2004" s="13"/>
      <c r="H2004" s="11"/>
      <c r="I2004" s="12"/>
      <c r="J2004" s="12"/>
      <c r="K2004" s="13"/>
      <c r="L2004" s="13"/>
      <c r="M2004" s="13"/>
      <c r="N2004" s="13"/>
      <c r="O2004" s="13"/>
      <c r="P2004" s="14" t="str">
        <f t="shared" si="124"/>
        <v/>
      </c>
      <c r="Q2004" s="15" t="str">
        <f>IF(OR(J2004="",H2004=""),"",IFERROR(IF(ISNUMBER(N2004),N2004,IF(K2004&lt;N(INDEX(Platforms!$G$5:$G$14,MATCH(H2004,Lists!$A$2:$A$11,0))),N(INDEX(Platforms!$H$5:$H$14,MATCH(H2004,Lists!$A$2:$A$11,0))),MAX(N(INDEX(Platforms!$F$5:$F$14,MATCH(H2004,Lists!$A$2:$A$11,0))),N(INDEX(Platforms!$C$5:$C$14,MATCH(H2004,Lists!$A$2:$A$11,0)))*(K2004+IF(INDEX(Platforms!$E$5:$E$14,MATCH(H2004,Lists!$A$2:$A$11,0))="Yes",N(L2004),0))+N(INDEX(Platforms!$D$5:$D$14,MATCH(H2004,Lists!$A$2:$A$11,0)))))),""))</f>
        <v/>
      </c>
      <c r="R2004" s="16" t="str">
        <f t="shared" si="125"/>
        <v/>
      </c>
      <c r="S2004" s="17" t="str">
        <f t="shared" si="126"/>
        <v/>
      </c>
      <c r="T2004" s="18" t="str">
        <f t="shared" ca="1" si="127"/>
        <v/>
      </c>
    </row>
  </sheetData>
  <conditionalFormatting sqref="D5:D2004">
    <cfRule type="expression" dxfId="14" priority="1">
      <formula>AND(D5&lt;&gt;"",NOT(ISNUMBER(D5)))</formula>
    </cfRule>
  </conditionalFormatting>
  <conditionalFormatting sqref="F5:G2004">
    <cfRule type="expression" dxfId="13" priority="3">
      <formula>AND(F5&lt;&gt;"",OR(NOT(ISNUMBER(F5)),F5&lt;0))</formula>
    </cfRule>
  </conditionalFormatting>
  <conditionalFormatting sqref="I5:I2004">
    <cfRule type="expression" dxfId="11" priority="2">
      <formula>AND(I5&lt;&gt;"",NOT(ISNUMBER(I5)))</formula>
    </cfRule>
  </conditionalFormatting>
  <conditionalFormatting sqref="J5:J2004">
    <cfRule type="expression" dxfId="10" priority="10">
      <formula>AND(OR(B5&lt;&gt;"",D5&lt;&gt;"",F5&lt;&gt;"",G5&lt;&gt;"",H5&lt;&gt;"",I5&lt;&gt;"",J5&lt;&gt;"",K5&lt;&gt;"",L5&lt;&gt;"",M5&lt;&gt;"",N5&lt;&gt;"",O5&lt;&gt;""),OR(AND(J5&lt;&gt;"",NOT(ISNUMBER(J5))),AND(J5="",OR(K5&lt;&gt;"",L5&lt;&gt;"",M5&lt;&gt;"",N5&lt;&gt;"",O5&lt;&gt;"")),AND(ISNUMBER(J5),ISNUMBER(D5),J5&lt;D5)))</formula>
    </cfRule>
  </conditionalFormatting>
  <conditionalFormatting sqref="K5:K2004">
    <cfRule type="expression" dxfId="9" priority="11">
      <formula>OR(AND(K5&lt;&gt;"",OR(NOT(ISNUMBER(K5)),K5&lt;0)),AND(J5&lt;&gt;"",K5=""))</formula>
    </cfRule>
  </conditionalFormatting>
  <conditionalFormatting sqref="L5:O2004">
    <cfRule type="expression" dxfId="8" priority="5">
      <formula>AND(L5&lt;&gt;"",OR(NOT(ISNUMBER(L5)),L5&lt;0))</formula>
    </cfRule>
  </conditionalFormatting>
  <dataValidations count="2">
    <dataValidation type="date" operator="greaterThan" allowBlank="1" showErrorMessage="1" errorTitle="Date" error="Enter a real date, e.g. 1/31/2026." sqref="D5:D2004 I5:J2004" xr:uid="{00000000-0002-0000-0200-000001000000}">
      <formula1>1</formula1>
    </dataValidation>
    <dataValidation type="decimal" allowBlank="1" showErrorMessage="1" errorTitle="Amount" error="Enter a number only (no $ sign or text)." sqref="F5:G2004 K5:O2004" xr:uid="{00000000-0002-0000-0200-000002000000}">
      <formula1>0</formula1>
      <formula2>100000000</formula2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00000000-000E-0000-0200-000009000000}">
            <xm:f>OR(AND(H5&lt;&gt;"",COUNTIF(Lists!$A$2:$A$11,H5)=0),AND(J5&lt;&gt;"",H5=""))</xm:f>
            <x14:dxf>
              <fill>
                <patternFill patternType="solid">
                  <fgColor rgb="FFF8C9C4"/>
                  <bgColor rgb="FFF8C9C4"/>
                </patternFill>
              </fill>
            </x14:dxf>
          </x14:cfRule>
          <xm:sqref>H5:H2004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Lists!$B$2:$B$11</xm:f>
          </x14:formula1>
          <xm:sqref>H5:H2004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6F62"/>
  </sheetPr>
  <dimension ref="A1:G50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2" customWidth="1"/>
    <col min="2" max="2" width="32" customWidth="1"/>
    <col min="3" max="3" width="36" customWidth="1"/>
    <col min="4" max="4" width="13" customWidth="1"/>
    <col min="5" max="5" width="3" customWidth="1"/>
    <col min="6" max="6" width="12" customWidth="1"/>
    <col min="7" max="7" width="8" customWidth="1"/>
  </cols>
  <sheetData>
    <row r="1" spans="1:7" ht="23" x14ac:dyDescent="0.5">
      <c r="A1" s="1" t="s">
        <v>94</v>
      </c>
    </row>
    <row r="2" spans="1:7" x14ac:dyDescent="0.35">
      <c r="A2" s="2" t="s">
        <v>95</v>
      </c>
      <c r="F2" s="9" t="s">
        <v>64</v>
      </c>
      <c r="G2" s="9">
        <f>SUMPRODUCT(((Expenses!$A$5:$A$504&lt;&gt;"")+(Expenses!$B$5:$B$504&lt;&gt;"")+(Expenses!$D$5:$D$504&lt;&gt;"")&gt;0)*((ISNUMBER(Expenses!$A$5:$A$504)*ISNUMBER(MATCH(Expenses!$B$5:$B$504,Lists!$D$2:$D$12,0))*ISNUMBER(Expenses!$D$5:$D$504))=0))</f>
        <v>0</v>
      </c>
    </row>
    <row r="3" spans="1:7" x14ac:dyDescent="0.35">
      <c r="A3" s="9" t="s">
        <v>65</v>
      </c>
    </row>
    <row r="4" spans="1:7" x14ac:dyDescent="0.35">
      <c r="A4" s="10" t="s">
        <v>96</v>
      </c>
      <c r="B4" s="10" t="s">
        <v>68</v>
      </c>
      <c r="C4" s="10" t="s">
        <v>97</v>
      </c>
      <c r="D4" s="10" t="s">
        <v>98</v>
      </c>
    </row>
    <row r="5" spans="1:7" x14ac:dyDescent="0.35">
      <c r="A5" s="12">
        <v>46030</v>
      </c>
      <c r="B5" s="11" t="s">
        <v>99</v>
      </c>
      <c r="C5" s="11" t="s">
        <v>100</v>
      </c>
      <c r="D5" s="13">
        <v>14.99</v>
      </c>
    </row>
    <row r="6" spans="1:7" x14ac:dyDescent="0.35">
      <c r="A6" s="12"/>
      <c r="B6" s="11"/>
      <c r="C6" s="11"/>
      <c r="D6" s="13"/>
    </row>
    <row r="7" spans="1:7" x14ac:dyDescent="0.35">
      <c r="A7" s="12"/>
      <c r="B7" s="11"/>
      <c r="C7" s="11"/>
      <c r="D7" s="13"/>
    </row>
    <row r="8" spans="1:7" x14ac:dyDescent="0.35">
      <c r="A8" s="12"/>
      <c r="B8" s="11"/>
      <c r="C8" s="11"/>
      <c r="D8" s="13"/>
    </row>
    <row r="9" spans="1:7" x14ac:dyDescent="0.35">
      <c r="A9" s="12"/>
      <c r="B9" s="11"/>
      <c r="C9" s="11"/>
      <c r="D9" s="13"/>
    </row>
    <row r="10" spans="1:7" x14ac:dyDescent="0.35">
      <c r="A10" s="12"/>
      <c r="B10" s="11"/>
      <c r="C10" s="11"/>
      <c r="D10" s="13"/>
    </row>
    <row r="11" spans="1:7" x14ac:dyDescent="0.35">
      <c r="A11" s="12"/>
      <c r="B11" s="11"/>
      <c r="C11" s="11"/>
      <c r="D11" s="13"/>
    </row>
    <row r="12" spans="1:7" x14ac:dyDescent="0.35">
      <c r="A12" s="12"/>
      <c r="B12" s="11"/>
      <c r="C12" s="11"/>
      <c r="D12" s="13"/>
    </row>
    <row r="13" spans="1:7" x14ac:dyDescent="0.35">
      <c r="A13" s="12"/>
      <c r="B13" s="11"/>
      <c r="C13" s="11"/>
      <c r="D13" s="13"/>
    </row>
    <row r="14" spans="1:7" x14ac:dyDescent="0.35">
      <c r="A14" s="12"/>
      <c r="B14" s="11"/>
      <c r="C14" s="11"/>
      <c r="D14" s="13"/>
    </row>
    <row r="15" spans="1:7" x14ac:dyDescent="0.35">
      <c r="A15" s="12"/>
      <c r="B15" s="11"/>
      <c r="C15" s="11"/>
      <c r="D15" s="13"/>
    </row>
    <row r="16" spans="1:7" x14ac:dyDescent="0.35">
      <c r="A16" s="12"/>
      <c r="B16" s="11"/>
      <c r="C16" s="11"/>
      <c r="D16" s="13"/>
    </row>
    <row r="17" spans="1:4" x14ac:dyDescent="0.35">
      <c r="A17" s="12"/>
      <c r="B17" s="11"/>
      <c r="C17" s="11"/>
      <c r="D17" s="13"/>
    </row>
    <row r="18" spans="1:4" x14ac:dyDescent="0.35">
      <c r="A18" s="12"/>
      <c r="B18" s="11"/>
      <c r="C18" s="11"/>
      <c r="D18" s="13"/>
    </row>
    <row r="19" spans="1:4" x14ac:dyDescent="0.35">
      <c r="A19" s="12"/>
      <c r="B19" s="11"/>
      <c r="C19" s="11"/>
      <c r="D19" s="13"/>
    </row>
    <row r="20" spans="1:4" x14ac:dyDescent="0.35">
      <c r="A20" s="12"/>
      <c r="B20" s="11"/>
      <c r="C20" s="11"/>
      <c r="D20" s="13"/>
    </row>
    <row r="21" spans="1:4" x14ac:dyDescent="0.35">
      <c r="A21" s="12"/>
      <c r="B21" s="11"/>
      <c r="C21" s="11"/>
      <c r="D21" s="13"/>
    </row>
    <row r="22" spans="1:4" x14ac:dyDescent="0.35">
      <c r="A22" s="12"/>
      <c r="B22" s="11"/>
      <c r="C22" s="11"/>
      <c r="D22" s="13"/>
    </row>
    <row r="23" spans="1:4" x14ac:dyDescent="0.35">
      <c r="A23" s="12"/>
      <c r="B23" s="11"/>
      <c r="C23" s="11"/>
      <c r="D23" s="13"/>
    </row>
    <row r="24" spans="1:4" x14ac:dyDescent="0.35">
      <c r="A24" s="12"/>
      <c r="B24" s="11"/>
      <c r="C24" s="11"/>
      <c r="D24" s="13"/>
    </row>
    <row r="25" spans="1:4" x14ac:dyDescent="0.35">
      <c r="A25" s="12"/>
      <c r="B25" s="11"/>
      <c r="C25" s="11"/>
      <c r="D25" s="13"/>
    </row>
    <row r="26" spans="1:4" x14ac:dyDescent="0.35">
      <c r="A26" s="12"/>
      <c r="B26" s="11"/>
      <c r="C26" s="11"/>
      <c r="D26" s="13"/>
    </row>
    <row r="27" spans="1:4" x14ac:dyDescent="0.35">
      <c r="A27" s="12"/>
      <c r="B27" s="11"/>
      <c r="C27" s="11"/>
      <c r="D27" s="13"/>
    </row>
    <row r="28" spans="1:4" x14ac:dyDescent="0.35">
      <c r="A28" s="12"/>
      <c r="B28" s="11"/>
      <c r="C28" s="11"/>
      <c r="D28" s="13"/>
    </row>
    <row r="29" spans="1:4" x14ac:dyDescent="0.35">
      <c r="A29" s="12"/>
      <c r="B29" s="11"/>
      <c r="C29" s="11"/>
      <c r="D29" s="13"/>
    </row>
    <row r="30" spans="1:4" x14ac:dyDescent="0.35">
      <c r="A30" s="12"/>
      <c r="B30" s="11"/>
      <c r="C30" s="11"/>
      <c r="D30" s="13"/>
    </row>
    <row r="31" spans="1:4" x14ac:dyDescent="0.35">
      <c r="A31" s="12"/>
      <c r="B31" s="11"/>
      <c r="C31" s="11"/>
      <c r="D31" s="13"/>
    </row>
    <row r="32" spans="1:4" x14ac:dyDescent="0.35">
      <c r="A32" s="12"/>
      <c r="B32" s="11"/>
      <c r="C32" s="11"/>
      <c r="D32" s="13"/>
    </row>
    <row r="33" spans="1:4" x14ac:dyDescent="0.35">
      <c r="A33" s="12"/>
      <c r="B33" s="11"/>
      <c r="C33" s="11"/>
      <c r="D33" s="13"/>
    </row>
    <row r="34" spans="1:4" x14ac:dyDescent="0.35">
      <c r="A34" s="12"/>
      <c r="B34" s="11"/>
      <c r="C34" s="11"/>
      <c r="D34" s="13"/>
    </row>
    <row r="35" spans="1:4" x14ac:dyDescent="0.35">
      <c r="A35" s="12"/>
      <c r="B35" s="11"/>
      <c r="C35" s="11"/>
      <c r="D35" s="13"/>
    </row>
    <row r="36" spans="1:4" x14ac:dyDescent="0.35">
      <c r="A36" s="12"/>
      <c r="B36" s="11"/>
      <c r="C36" s="11"/>
      <c r="D36" s="13"/>
    </row>
    <row r="37" spans="1:4" x14ac:dyDescent="0.35">
      <c r="A37" s="12"/>
      <c r="B37" s="11"/>
      <c r="C37" s="11"/>
      <c r="D37" s="13"/>
    </row>
    <row r="38" spans="1:4" x14ac:dyDescent="0.35">
      <c r="A38" s="12"/>
      <c r="B38" s="11"/>
      <c r="C38" s="11"/>
      <c r="D38" s="13"/>
    </row>
    <row r="39" spans="1:4" x14ac:dyDescent="0.35">
      <c r="A39" s="12"/>
      <c r="B39" s="11"/>
      <c r="C39" s="11"/>
      <c r="D39" s="13"/>
    </row>
    <row r="40" spans="1:4" x14ac:dyDescent="0.35">
      <c r="A40" s="12"/>
      <c r="B40" s="11"/>
      <c r="C40" s="11"/>
      <c r="D40" s="13"/>
    </row>
    <row r="41" spans="1:4" x14ac:dyDescent="0.35">
      <c r="A41" s="12"/>
      <c r="B41" s="11"/>
      <c r="C41" s="11"/>
      <c r="D41" s="13"/>
    </row>
    <row r="42" spans="1:4" x14ac:dyDescent="0.35">
      <c r="A42" s="12"/>
      <c r="B42" s="11"/>
      <c r="C42" s="11"/>
      <c r="D42" s="13"/>
    </row>
    <row r="43" spans="1:4" x14ac:dyDescent="0.35">
      <c r="A43" s="12"/>
      <c r="B43" s="11"/>
      <c r="C43" s="11"/>
      <c r="D43" s="13"/>
    </row>
    <row r="44" spans="1:4" x14ac:dyDescent="0.35">
      <c r="A44" s="12"/>
      <c r="B44" s="11"/>
      <c r="C44" s="11"/>
      <c r="D44" s="13"/>
    </row>
    <row r="45" spans="1:4" x14ac:dyDescent="0.35">
      <c r="A45" s="12"/>
      <c r="B45" s="11"/>
      <c r="C45" s="11"/>
      <c r="D45" s="13"/>
    </row>
    <row r="46" spans="1:4" x14ac:dyDescent="0.35">
      <c r="A46" s="12"/>
      <c r="B46" s="11"/>
      <c r="C46" s="11"/>
      <c r="D46" s="13"/>
    </row>
    <row r="47" spans="1:4" x14ac:dyDescent="0.35">
      <c r="A47" s="12"/>
      <c r="B47" s="11"/>
      <c r="C47" s="11"/>
      <c r="D47" s="13"/>
    </row>
    <row r="48" spans="1:4" x14ac:dyDescent="0.35">
      <c r="A48" s="12"/>
      <c r="B48" s="11"/>
      <c r="C48" s="11"/>
      <c r="D48" s="13"/>
    </row>
    <row r="49" spans="1:4" x14ac:dyDescent="0.35">
      <c r="A49" s="12"/>
      <c r="B49" s="11"/>
      <c r="C49" s="11"/>
      <c r="D49" s="13"/>
    </row>
    <row r="50" spans="1:4" x14ac:dyDescent="0.35">
      <c r="A50" s="12"/>
      <c r="B50" s="11"/>
      <c r="C50" s="11"/>
      <c r="D50" s="13"/>
    </row>
    <row r="51" spans="1:4" x14ac:dyDescent="0.35">
      <c r="A51" s="12"/>
      <c r="B51" s="11"/>
      <c r="C51" s="11"/>
      <c r="D51" s="13"/>
    </row>
    <row r="52" spans="1:4" x14ac:dyDescent="0.35">
      <c r="A52" s="12"/>
      <c r="B52" s="11"/>
      <c r="C52" s="11"/>
      <c r="D52" s="13"/>
    </row>
    <row r="53" spans="1:4" x14ac:dyDescent="0.35">
      <c r="A53" s="12"/>
      <c r="B53" s="11"/>
      <c r="C53" s="11"/>
      <c r="D53" s="13"/>
    </row>
    <row r="54" spans="1:4" x14ac:dyDescent="0.35">
      <c r="A54" s="12"/>
      <c r="B54" s="11"/>
      <c r="C54" s="11"/>
      <c r="D54" s="13"/>
    </row>
    <row r="55" spans="1:4" x14ac:dyDescent="0.35">
      <c r="A55" s="12"/>
      <c r="B55" s="11"/>
      <c r="C55" s="11"/>
      <c r="D55" s="13"/>
    </row>
    <row r="56" spans="1:4" x14ac:dyDescent="0.35">
      <c r="A56" s="12"/>
      <c r="B56" s="11"/>
      <c r="C56" s="11"/>
      <c r="D56" s="13"/>
    </row>
    <row r="57" spans="1:4" x14ac:dyDescent="0.35">
      <c r="A57" s="12"/>
      <c r="B57" s="11"/>
      <c r="C57" s="11"/>
      <c r="D57" s="13"/>
    </row>
    <row r="58" spans="1:4" x14ac:dyDescent="0.35">
      <c r="A58" s="12"/>
      <c r="B58" s="11"/>
      <c r="C58" s="11"/>
      <c r="D58" s="13"/>
    </row>
    <row r="59" spans="1:4" x14ac:dyDescent="0.35">
      <c r="A59" s="12"/>
      <c r="B59" s="11"/>
      <c r="C59" s="11"/>
      <c r="D59" s="13"/>
    </row>
    <row r="60" spans="1:4" x14ac:dyDescent="0.35">
      <c r="A60" s="12"/>
      <c r="B60" s="11"/>
      <c r="C60" s="11"/>
      <c r="D60" s="13"/>
    </row>
    <row r="61" spans="1:4" x14ac:dyDescent="0.35">
      <c r="A61" s="12"/>
      <c r="B61" s="11"/>
      <c r="C61" s="11"/>
      <c r="D61" s="13"/>
    </row>
    <row r="62" spans="1:4" x14ac:dyDescent="0.35">
      <c r="A62" s="12"/>
      <c r="B62" s="11"/>
      <c r="C62" s="11"/>
      <c r="D62" s="13"/>
    </row>
    <row r="63" spans="1:4" x14ac:dyDescent="0.35">
      <c r="A63" s="12"/>
      <c r="B63" s="11"/>
      <c r="C63" s="11"/>
      <c r="D63" s="13"/>
    </row>
    <row r="64" spans="1:4" x14ac:dyDescent="0.35">
      <c r="A64" s="12"/>
      <c r="B64" s="11"/>
      <c r="C64" s="11"/>
      <c r="D64" s="13"/>
    </row>
    <row r="65" spans="1:4" x14ac:dyDescent="0.35">
      <c r="A65" s="12"/>
      <c r="B65" s="11"/>
      <c r="C65" s="11"/>
      <c r="D65" s="13"/>
    </row>
    <row r="66" spans="1:4" x14ac:dyDescent="0.35">
      <c r="A66" s="12"/>
      <c r="B66" s="11"/>
      <c r="C66" s="11"/>
      <c r="D66" s="13"/>
    </row>
    <row r="67" spans="1:4" x14ac:dyDescent="0.35">
      <c r="A67" s="12"/>
      <c r="B67" s="11"/>
      <c r="C67" s="11"/>
      <c r="D67" s="13"/>
    </row>
    <row r="68" spans="1:4" x14ac:dyDescent="0.35">
      <c r="A68" s="12"/>
      <c r="B68" s="11"/>
      <c r="C68" s="11"/>
      <c r="D68" s="13"/>
    </row>
    <row r="69" spans="1:4" x14ac:dyDescent="0.35">
      <c r="A69" s="12"/>
      <c r="B69" s="11"/>
      <c r="C69" s="11"/>
      <c r="D69" s="13"/>
    </row>
    <row r="70" spans="1:4" x14ac:dyDescent="0.35">
      <c r="A70" s="12"/>
      <c r="B70" s="11"/>
      <c r="C70" s="11"/>
      <c r="D70" s="13"/>
    </row>
    <row r="71" spans="1:4" x14ac:dyDescent="0.35">
      <c r="A71" s="12"/>
      <c r="B71" s="11"/>
      <c r="C71" s="11"/>
      <c r="D71" s="13"/>
    </row>
    <row r="72" spans="1:4" x14ac:dyDescent="0.35">
      <c r="A72" s="12"/>
      <c r="B72" s="11"/>
      <c r="C72" s="11"/>
      <c r="D72" s="13"/>
    </row>
    <row r="73" spans="1:4" x14ac:dyDescent="0.35">
      <c r="A73" s="12"/>
      <c r="B73" s="11"/>
      <c r="C73" s="11"/>
      <c r="D73" s="13"/>
    </row>
    <row r="74" spans="1:4" x14ac:dyDescent="0.35">
      <c r="A74" s="12"/>
      <c r="B74" s="11"/>
      <c r="C74" s="11"/>
      <c r="D74" s="13"/>
    </row>
    <row r="75" spans="1:4" x14ac:dyDescent="0.35">
      <c r="A75" s="12"/>
      <c r="B75" s="11"/>
      <c r="C75" s="11"/>
      <c r="D75" s="13"/>
    </row>
    <row r="76" spans="1:4" x14ac:dyDescent="0.35">
      <c r="A76" s="12"/>
      <c r="B76" s="11"/>
      <c r="C76" s="11"/>
      <c r="D76" s="13"/>
    </row>
    <row r="77" spans="1:4" x14ac:dyDescent="0.35">
      <c r="A77" s="12"/>
      <c r="B77" s="11"/>
      <c r="C77" s="11"/>
      <c r="D77" s="13"/>
    </row>
    <row r="78" spans="1:4" x14ac:dyDescent="0.35">
      <c r="A78" s="12"/>
      <c r="B78" s="11"/>
      <c r="C78" s="11"/>
      <c r="D78" s="13"/>
    </row>
    <row r="79" spans="1:4" x14ac:dyDescent="0.35">
      <c r="A79" s="12"/>
      <c r="B79" s="11"/>
      <c r="C79" s="11"/>
      <c r="D79" s="13"/>
    </row>
    <row r="80" spans="1:4" x14ac:dyDescent="0.35">
      <c r="A80" s="12"/>
      <c r="B80" s="11"/>
      <c r="C80" s="11"/>
      <c r="D80" s="13"/>
    </row>
    <row r="81" spans="1:4" x14ac:dyDescent="0.35">
      <c r="A81" s="12"/>
      <c r="B81" s="11"/>
      <c r="C81" s="11"/>
      <c r="D81" s="13"/>
    </row>
    <row r="82" spans="1:4" x14ac:dyDescent="0.35">
      <c r="A82" s="12"/>
      <c r="B82" s="11"/>
      <c r="C82" s="11"/>
      <c r="D82" s="13"/>
    </row>
    <row r="83" spans="1:4" x14ac:dyDescent="0.35">
      <c r="A83" s="12"/>
      <c r="B83" s="11"/>
      <c r="C83" s="11"/>
      <c r="D83" s="13"/>
    </row>
    <row r="84" spans="1:4" x14ac:dyDescent="0.35">
      <c r="A84" s="12"/>
      <c r="B84" s="11"/>
      <c r="C84" s="11"/>
      <c r="D84" s="13"/>
    </row>
    <row r="85" spans="1:4" x14ac:dyDescent="0.35">
      <c r="A85" s="12"/>
      <c r="B85" s="11"/>
      <c r="C85" s="11"/>
      <c r="D85" s="13"/>
    </row>
    <row r="86" spans="1:4" x14ac:dyDescent="0.35">
      <c r="A86" s="12"/>
      <c r="B86" s="11"/>
      <c r="C86" s="11"/>
      <c r="D86" s="13"/>
    </row>
    <row r="87" spans="1:4" x14ac:dyDescent="0.35">
      <c r="A87" s="12"/>
      <c r="B87" s="11"/>
      <c r="C87" s="11"/>
      <c r="D87" s="13"/>
    </row>
    <row r="88" spans="1:4" x14ac:dyDescent="0.35">
      <c r="A88" s="12"/>
      <c r="B88" s="11"/>
      <c r="C88" s="11"/>
      <c r="D88" s="13"/>
    </row>
    <row r="89" spans="1:4" x14ac:dyDescent="0.35">
      <c r="A89" s="12"/>
      <c r="B89" s="11"/>
      <c r="C89" s="11"/>
      <c r="D89" s="13"/>
    </row>
    <row r="90" spans="1:4" x14ac:dyDescent="0.35">
      <c r="A90" s="12"/>
      <c r="B90" s="11"/>
      <c r="C90" s="11"/>
      <c r="D90" s="13"/>
    </row>
    <row r="91" spans="1:4" x14ac:dyDescent="0.35">
      <c r="A91" s="12"/>
      <c r="B91" s="11"/>
      <c r="C91" s="11"/>
      <c r="D91" s="13"/>
    </row>
    <row r="92" spans="1:4" x14ac:dyDescent="0.35">
      <c r="A92" s="12"/>
      <c r="B92" s="11"/>
      <c r="C92" s="11"/>
      <c r="D92" s="13"/>
    </row>
    <row r="93" spans="1:4" x14ac:dyDescent="0.35">
      <c r="A93" s="12"/>
      <c r="B93" s="11"/>
      <c r="C93" s="11"/>
      <c r="D93" s="13"/>
    </row>
    <row r="94" spans="1:4" x14ac:dyDescent="0.35">
      <c r="A94" s="12"/>
      <c r="B94" s="11"/>
      <c r="C94" s="11"/>
      <c r="D94" s="13"/>
    </row>
    <row r="95" spans="1:4" x14ac:dyDescent="0.35">
      <c r="A95" s="12"/>
      <c r="B95" s="11"/>
      <c r="C95" s="11"/>
      <c r="D95" s="13"/>
    </row>
    <row r="96" spans="1:4" x14ac:dyDescent="0.35">
      <c r="A96" s="12"/>
      <c r="B96" s="11"/>
      <c r="C96" s="11"/>
      <c r="D96" s="13"/>
    </row>
    <row r="97" spans="1:4" x14ac:dyDescent="0.35">
      <c r="A97" s="12"/>
      <c r="B97" s="11"/>
      <c r="C97" s="11"/>
      <c r="D97" s="13"/>
    </row>
    <row r="98" spans="1:4" x14ac:dyDescent="0.35">
      <c r="A98" s="12"/>
      <c r="B98" s="11"/>
      <c r="C98" s="11"/>
      <c r="D98" s="13"/>
    </row>
    <row r="99" spans="1:4" x14ac:dyDescent="0.35">
      <c r="A99" s="12"/>
      <c r="B99" s="11"/>
      <c r="C99" s="11"/>
      <c r="D99" s="13"/>
    </row>
    <row r="100" spans="1:4" x14ac:dyDescent="0.35">
      <c r="A100" s="12"/>
      <c r="B100" s="11"/>
      <c r="C100" s="11"/>
      <c r="D100" s="13"/>
    </row>
    <row r="101" spans="1:4" x14ac:dyDescent="0.35">
      <c r="A101" s="12"/>
      <c r="B101" s="11"/>
      <c r="C101" s="11"/>
      <c r="D101" s="13"/>
    </row>
    <row r="102" spans="1:4" x14ac:dyDescent="0.35">
      <c r="A102" s="12"/>
      <c r="B102" s="11"/>
      <c r="C102" s="11"/>
      <c r="D102" s="13"/>
    </row>
    <row r="103" spans="1:4" x14ac:dyDescent="0.35">
      <c r="A103" s="12"/>
      <c r="B103" s="11"/>
      <c r="C103" s="11"/>
      <c r="D103" s="13"/>
    </row>
    <row r="104" spans="1:4" x14ac:dyDescent="0.35">
      <c r="A104" s="12"/>
      <c r="B104" s="11"/>
      <c r="C104" s="11"/>
      <c r="D104" s="13"/>
    </row>
    <row r="105" spans="1:4" x14ac:dyDescent="0.35">
      <c r="A105" s="12"/>
      <c r="B105" s="11"/>
      <c r="C105" s="11"/>
      <c r="D105" s="13"/>
    </row>
    <row r="106" spans="1:4" x14ac:dyDescent="0.35">
      <c r="A106" s="12"/>
      <c r="B106" s="11"/>
      <c r="C106" s="11"/>
      <c r="D106" s="13"/>
    </row>
    <row r="107" spans="1:4" x14ac:dyDescent="0.35">
      <c r="A107" s="12"/>
      <c r="B107" s="11"/>
      <c r="C107" s="11"/>
      <c r="D107" s="13"/>
    </row>
    <row r="108" spans="1:4" x14ac:dyDescent="0.35">
      <c r="A108" s="12"/>
      <c r="B108" s="11"/>
      <c r="C108" s="11"/>
      <c r="D108" s="13"/>
    </row>
    <row r="109" spans="1:4" x14ac:dyDescent="0.35">
      <c r="A109" s="12"/>
      <c r="B109" s="11"/>
      <c r="C109" s="11"/>
      <c r="D109" s="13"/>
    </row>
    <row r="110" spans="1:4" x14ac:dyDescent="0.35">
      <c r="A110" s="12"/>
      <c r="B110" s="11"/>
      <c r="C110" s="11"/>
      <c r="D110" s="13"/>
    </row>
    <row r="111" spans="1:4" x14ac:dyDescent="0.35">
      <c r="A111" s="12"/>
      <c r="B111" s="11"/>
      <c r="C111" s="11"/>
      <c r="D111" s="13"/>
    </row>
    <row r="112" spans="1:4" x14ac:dyDescent="0.35">
      <c r="A112" s="12"/>
      <c r="B112" s="11"/>
      <c r="C112" s="11"/>
      <c r="D112" s="13"/>
    </row>
    <row r="113" spans="1:4" x14ac:dyDescent="0.35">
      <c r="A113" s="12"/>
      <c r="B113" s="11"/>
      <c r="C113" s="11"/>
      <c r="D113" s="13"/>
    </row>
    <row r="114" spans="1:4" x14ac:dyDescent="0.35">
      <c r="A114" s="12"/>
      <c r="B114" s="11"/>
      <c r="C114" s="11"/>
      <c r="D114" s="13"/>
    </row>
    <row r="115" spans="1:4" x14ac:dyDescent="0.35">
      <c r="A115" s="12"/>
      <c r="B115" s="11"/>
      <c r="C115" s="11"/>
      <c r="D115" s="13"/>
    </row>
    <row r="116" spans="1:4" x14ac:dyDescent="0.35">
      <c r="A116" s="12"/>
      <c r="B116" s="11"/>
      <c r="C116" s="11"/>
      <c r="D116" s="13"/>
    </row>
    <row r="117" spans="1:4" x14ac:dyDescent="0.35">
      <c r="A117" s="12"/>
      <c r="B117" s="11"/>
      <c r="C117" s="11"/>
      <c r="D117" s="13"/>
    </row>
    <row r="118" spans="1:4" x14ac:dyDescent="0.35">
      <c r="A118" s="12"/>
      <c r="B118" s="11"/>
      <c r="C118" s="11"/>
      <c r="D118" s="13"/>
    </row>
    <row r="119" spans="1:4" x14ac:dyDescent="0.35">
      <c r="A119" s="12"/>
      <c r="B119" s="11"/>
      <c r="C119" s="11"/>
      <c r="D119" s="13"/>
    </row>
    <row r="120" spans="1:4" x14ac:dyDescent="0.35">
      <c r="A120" s="12"/>
      <c r="B120" s="11"/>
      <c r="C120" s="11"/>
      <c r="D120" s="13"/>
    </row>
    <row r="121" spans="1:4" x14ac:dyDescent="0.35">
      <c r="A121" s="12"/>
      <c r="B121" s="11"/>
      <c r="C121" s="11"/>
      <c r="D121" s="13"/>
    </row>
    <row r="122" spans="1:4" x14ac:dyDescent="0.35">
      <c r="A122" s="12"/>
      <c r="B122" s="11"/>
      <c r="C122" s="11"/>
      <c r="D122" s="13"/>
    </row>
    <row r="123" spans="1:4" x14ac:dyDescent="0.35">
      <c r="A123" s="12"/>
      <c r="B123" s="11"/>
      <c r="C123" s="11"/>
      <c r="D123" s="13"/>
    </row>
    <row r="124" spans="1:4" x14ac:dyDescent="0.35">
      <c r="A124" s="12"/>
      <c r="B124" s="11"/>
      <c r="C124" s="11"/>
      <c r="D124" s="13"/>
    </row>
    <row r="125" spans="1:4" x14ac:dyDescent="0.35">
      <c r="A125" s="12"/>
      <c r="B125" s="11"/>
      <c r="C125" s="11"/>
      <c r="D125" s="13"/>
    </row>
    <row r="126" spans="1:4" x14ac:dyDescent="0.35">
      <c r="A126" s="12"/>
      <c r="B126" s="11"/>
      <c r="C126" s="11"/>
      <c r="D126" s="13"/>
    </row>
    <row r="127" spans="1:4" x14ac:dyDescent="0.35">
      <c r="A127" s="12"/>
      <c r="B127" s="11"/>
      <c r="C127" s="11"/>
      <c r="D127" s="13"/>
    </row>
    <row r="128" spans="1:4" x14ac:dyDescent="0.35">
      <c r="A128" s="12"/>
      <c r="B128" s="11"/>
      <c r="C128" s="11"/>
      <c r="D128" s="13"/>
    </row>
    <row r="129" spans="1:4" x14ac:dyDescent="0.35">
      <c r="A129" s="12"/>
      <c r="B129" s="11"/>
      <c r="C129" s="11"/>
      <c r="D129" s="13"/>
    </row>
    <row r="130" spans="1:4" x14ac:dyDescent="0.35">
      <c r="A130" s="12"/>
      <c r="B130" s="11"/>
      <c r="C130" s="11"/>
      <c r="D130" s="13"/>
    </row>
    <row r="131" spans="1:4" x14ac:dyDescent="0.35">
      <c r="A131" s="12"/>
      <c r="B131" s="11"/>
      <c r="C131" s="11"/>
      <c r="D131" s="13"/>
    </row>
    <row r="132" spans="1:4" x14ac:dyDescent="0.35">
      <c r="A132" s="12"/>
      <c r="B132" s="11"/>
      <c r="C132" s="11"/>
      <c r="D132" s="13"/>
    </row>
    <row r="133" spans="1:4" x14ac:dyDescent="0.35">
      <c r="A133" s="12"/>
      <c r="B133" s="11"/>
      <c r="C133" s="11"/>
      <c r="D133" s="13"/>
    </row>
    <row r="134" spans="1:4" x14ac:dyDescent="0.35">
      <c r="A134" s="12"/>
      <c r="B134" s="11"/>
      <c r="C134" s="11"/>
      <c r="D134" s="13"/>
    </row>
    <row r="135" spans="1:4" x14ac:dyDescent="0.35">
      <c r="A135" s="12"/>
      <c r="B135" s="11"/>
      <c r="C135" s="11"/>
      <c r="D135" s="13"/>
    </row>
    <row r="136" spans="1:4" x14ac:dyDescent="0.35">
      <c r="A136" s="12"/>
      <c r="B136" s="11"/>
      <c r="C136" s="11"/>
      <c r="D136" s="13"/>
    </row>
    <row r="137" spans="1:4" x14ac:dyDescent="0.35">
      <c r="A137" s="12"/>
      <c r="B137" s="11"/>
      <c r="C137" s="11"/>
      <c r="D137" s="13"/>
    </row>
    <row r="138" spans="1:4" x14ac:dyDescent="0.35">
      <c r="A138" s="12"/>
      <c r="B138" s="11"/>
      <c r="C138" s="11"/>
      <c r="D138" s="13"/>
    </row>
    <row r="139" spans="1:4" x14ac:dyDescent="0.35">
      <c r="A139" s="12"/>
      <c r="B139" s="11"/>
      <c r="C139" s="11"/>
      <c r="D139" s="13"/>
    </row>
    <row r="140" spans="1:4" x14ac:dyDescent="0.35">
      <c r="A140" s="12"/>
      <c r="B140" s="11"/>
      <c r="C140" s="11"/>
      <c r="D140" s="13"/>
    </row>
    <row r="141" spans="1:4" x14ac:dyDescent="0.35">
      <c r="A141" s="12"/>
      <c r="B141" s="11"/>
      <c r="C141" s="11"/>
      <c r="D141" s="13"/>
    </row>
    <row r="142" spans="1:4" x14ac:dyDescent="0.35">
      <c r="A142" s="12"/>
      <c r="B142" s="11"/>
      <c r="C142" s="11"/>
      <c r="D142" s="13"/>
    </row>
    <row r="143" spans="1:4" x14ac:dyDescent="0.35">
      <c r="A143" s="12"/>
      <c r="B143" s="11"/>
      <c r="C143" s="11"/>
      <c r="D143" s="13"/>
    </row>
    <row r="144" spans="1:4" x14ac:dyDescent="0.35">
      <c r="A144" s="12"/>
      <c r="B144" s="11"/>
      <c r="C144" s="11"/>
      <c r="D144" s="13"/>
    </row>
    <row r="145" spans="1:4" x14ac:dyDescent="0.35">
      <c r="A145" s="12"/>
      <c r="B145" s="11"/>
      <c r="C145" s="11"/>
      <c r="D145" s="13"/>
    </row>
    <row r="146" spans="1:4" x14ac:dyDescent="0.35">
      <c r="A146" s="12"/>
      <c r="B146" s="11"/>
      <c r="C146" s="11"/>
      <c r="D146" s="13"/>
    </row>
    <row r="147" spans="1:4" x14ac:dyDescent="0.35">
      <c r="A147" s="12"/>
      <c r="B147" s="11"/>
      <c r="C147" s="11"/>
      <c r="D147" s="13"/>
    </row>
    <row r="148" spans="1:4" x14ac:dyDescent="0.35">
      <c r="A148" s="12"/>
      <c r="B148" s="11"/>
      <c r="C148" s="11"/>
      <c r="D148" s="13"/>
    </row>
    <row r="149" spans="1:4" x14ac:dyDescent="0.35">
      <c r="A149" s="12"/>
      <c r="B149" s="11"/>
      <c r="C149" s="11"/>
      <c r="D149" s="13"/>
    </row>
    <row r="150" spans="1:4" x14ac:dyDescent="0.35">
      <c r="A150" s="12"/>
      <c r="B150" s="11"/>
      <c r="C150" s="11"/>
      <c r="D150" s="13"/>
    </row>
    <row r="151" spans="1:4" x14ac:dyDescent="0.35">
      <c r="A151" s="12"/>
      <c r="B151" s="11"/>
      <c r="C151" s="11"/>
      <c r="D151" s="13"/>
    </row>
    <row r="152" spans="1:4" x14ac:dyDescent="0.35">
      <c r="A152" s="12"/>
      <c r="B152" s="11"/>
      <c r="C152" s="11"/>
      <c r="D152" s="13"/>
    </row>
    <row r="153" spans="1:4" x14ac:dyDescent="0.35">
      <c r="A153" s="12"/>
      <c r="B153" s="11"/>
      <c r="C153" s="11"/>
      <c r="D153" s="13"/>
    </row>
    <row r="154" spans="1:4" x14ac:dyDescent="0.35">
      <c r="A154" s="12"/>
      <c r="B154" s="11"/>
      <c r="C154" s="11"/>
      <c r="D154" s="13"/>
    </row>
    <row r="155" spans="1:4" x14ac:dyDescent="0.35">
      <c r="A155" s="12"/>
      <c r="B155" s="11"/>
      <c r="C155" s="11"/>
      <c r="D155" s="13"/>
    </row>
    <row r="156" spans="1:4" x14ac:dyDescent="0.35">
      <c r="A156" s="12"/>
      <c r="B156" s="11"/>
      <c r="C156" s="11"/>
      <c r="D156" s="13"/>
    </row>
    <row r="157" spans="1:4" x14ac:dyDescent="0.35">
      <c r="A157" s="12"/>
      <c r="B157" s="11"/>
      <c r="C157" s="11"/>
      <c r="D157" s="13"/>
    </row>
    <row r="158" spans="1:4" x14ac:dyDescent="0.35">
      <c r="A158" s="12"/>
      <c r="B158" s="11"/>
      <c r="C158" s="11"/>
      <c r="D158" s="13"/>
    </row>
    <row r="159" spans="1:4" x14ac:dyDescent="0.35">
      <c r="A159" s="12"/>
      <c r="B159" s="11"/>
      <c r="C159" s="11"/>
      <c r="D159" s="13"/>
    </row>
    <row r="160" spans="1:4" x14ac:dyDescent="0.35">
      <c r="A160" s="12"/>
      <c r="B160" s="11"/>
      <c r="C160" s="11"/>
      <c r="D160" s="13"/>
    </row>
    <row r="161" spans="1:4" x14ac:dyDescent="0.35">
      <c r="A161" s="12"/>
      <c r="B161" s="11"/>
      <c r="C161" s="11"/>
      <c r="D161" s="13"/>
    </row>
    <row r="162" spans="1:4" x14ac:dyDescent="0.35">
      <c r="A162" s="12"/>
      <c r="B162" s="11"/>
      <c r="C162" s="11"/>
      <c r="D162" s="13"/>
    </row>
    <row r="163" spans="1:4" x14ac:dyDescent="0.35">
      <c r="A163" s="12"/>
      <c r="B163" s="11"/>
      <c r="C163" s="11"/>
      <c r="D163" s="13"/>
    </row>
    <row r="164" spans="1:4" x14ac:dyDescent="0.35">
      <c r="A164" s="12"/>
      <c r="B164" s="11"/>
      <c r="C164" s="11"/>
      <c r="D164" s="13"/>
    </row>
    <row r="165" spans="1:4" x14ac:dyDescent="0.35">
      <c r="A165" s="12"/>
      <c r="B165" s="11"/>
      <c r="C165" s="11"/>
      <c r="D165" s="13"/>
    </row>
    <row r="166" spans="1:4" x14ac:dyDescent="0.35">
      <c r="A166" s="12"/>
      <c r="B166" s="11"/>
      <c r="C166" s="11"/>
      <c r="D166" s="13"/>
    </row>
    <row r="167" spans="1:4" x14ac:dyDescent="0.35">
      <c r="A167" s="12"/>
      <c r="B167" s="11"/>
      <c r="C167" s="11"/>
      <c r="D167" s="13"/>
    </row>
    <row r="168" spans="1:4" x14ac:dyDescent="0.35">
      <c r="A168" s="12"/>
      <c r="B168" s="11"/>
      <c r="C168" s="11"/>
      <c r="D168" s="13"/>
    </row>
    <row r="169" spans="1:4" x14ac:dyDescent="0.35">
      <c r="A169" s="12"/>
      <c r="B169" s="11"/>
      <c r="C169" s="11"/>
      <c r="D169" s="13"/>
    </row>
    <row r="170" spans="1:4" x14ac:dyDescent="0.35">
      <c r="A170" s="12"/>
      <c r="B170" s="11"/>
      <c r="C170" s="11"/>
      <c r="D170" s="13"/>
    </row>
    <row r="171" spans="1:4" x14ac:dyDescent="0.35">
      <c r="A171" s="12"/>
      <c r="B171" s="11"/>
      <c r="C171" s="11"/>
      <c r="D171" s="13"/>
    </row>
    <row r="172" spans="1:4" x14ac:dyDescent="0.35">
      <c r="A172" s="12"/>
      <c r="B172" s="11"/>
      <c r="C172" s="11"/>
      <c r="D172" s="13"/>
    </row>
    <row r="173" spans="1:4" x14ac:dyDescent="0.35">
      <c r="A173" s="12"/>
      <c r="B173" s="11"/>
      <c r="C173" s="11"/>
      <c r="D173" s="13"/>
    </row>
    <row r="174" spans="1:4" x14ac:dyDescent="0.35">
      <c r="A174" s="12"/>
      <c r="B174" s="11"/>
      <c r="C174" s="11"/>
      <c r="D174" s="13"/>
    </row>
    <row r="175" spans="1:4" x14ac:dyDescent="0.35">
      <c r="A175" s="12"/>
      <c r="B175" s="11"/>
      <c r="C175" s="11"/>
      <c r="D175" s="13"/>
    </row>
    <row r="176" spans="1:4" x14ac:dyDescent="0.35">
      <c r="A176" s="12"/>
      <c r="B176" s="11"/>
      <c r="C176" s="11"/>
      <c r="D176" s="13"/>
    </row>
    <row r="177" spans="1:4" x14ac:dyDescent="0.35">
      <c r="A177" s="12"/>
      <c r="B177" s="11"/>
      <c r="C177" s="11"/>
      <c r="D177" s="13"/>
    </row>
    <row r="178" spans="1:4" x14ac:dyDescent="0.35">
      <c r="A178" s="12"/>
      <c r="B178" s="11"/>
      <c r="C178" s="11"/>
      <c r="D178" s="13"/>
    </row>
    <row r="179" spans="1:4" x14ac:dyDescent="0.35">
      <c r="A179" s="12"/>
      <c r="B179" s="11"/>
      <c r="C179" s="11"/>
      <c r="D179" s="13"/>
    </row>
    <row r="180" spans="1:4" x14ac:dyDescent="0.35">
      <c r="A180" s="12"/>
      <c r="B180" s="11"/>
      <c r="C180" s="11"/>
      <c r="D180" s="13"/>
    </row>
    <row r="181" spans="1:4" x14ac:dyDescent="0.35">
      <c r="A181" s="12"/>
      <c r="B181" s="11"/>
      <c r="C181" s="11"/>
      <c r="D181" s="13"/>
    </row>
    <row r="182" spans="1:4" x14ac:dyDescent="0.35">
      <c r="A182" s="12"/>
      <c r="B182" s="11"/>
      <c r="C182" s="11"/>
      <c r="D182" s="13"/>
    </row>
    <row r="183" spans="1:4" x14ac:dyDescent="0.35">
      <c r="A183" s="12"/>
      <c r="B183" s="11"/>
      <c r="C183" s="11"/>
      <c r="D183" s="13"/>
    </row>
    <row r="184" spans="1:4" x14ac:dyDescent="0.35">
      <c r="A184" s="12"/>
      <c r="B184" s="11"/>
      <c r="C184" s="11"/>
      <c r="D184" s="13"/>
    </row>
    <row r="185" spans="1:4" x14ac:dyDescent="0.35">
      <c r="A185" s="12"/>
      <c r="B185" s="11"/>
      <c r="C185" s="11"/>
      <c r="D185" s="13"/>
    </row>
    <row r="186" spans="1:4" x14ac:dyDescent="0.35">
      <c r="A186" s="12"/>
      <c r="B186" s="11"/>
      <c r="C186" s="11"/>
      <c r="D186" s="13"/>
    </row>
    <row r="187" spans="1:4" x14ac:dyDescent="0.35">
      <c r="A187" s="12"/>
      <c r="B187" s="11"/>
      <c r="C187" s="11"/>
      <c r="D187" s="13"/>
    </row>
    <row r="188" spans="1:4" x14ac:dyDescent="0.35">
      <c r="A188" s="12"/>
      <c r="B188" s="11"/>
      <c r="C188" s="11"/>
      <c r="D188" s="13"/>
    </row>
    <row r="189" spans="1:4" x14ac:dyDescent="0.35">
      <c r="A189" s="12"/>
      <c r="B189" s="11"/>
      <c r="C189" s="11"/>
      <c r="D189" s="13"/>
    </row>
    <row r="190" spans="1:4" x14ac:dyDescent="0.35">
      <c r="A190" s="12"/>
      <c r="B190" s="11"/>
      <c r="C190" s="11"/>
      <c r="D190" s="13"/>
    </row>
    <row r="191" spans="1:4" x14ac:dyDescent="0.35">
      <c r="A191" s="12"/>
      <c r="B191" s="11"/>
      <c r="C191" s="11"/>
      <c r="D191" s="13"/>
    </row>
    <row r="192" spans="1:4" x14ac:dyDescent="0.35">
      <c r="A192" s="12"/>
      <c r="B192" s="11"/>
      <c r="C192" s="11"/>
      <c r="D192" s="13"/>
    </row>
    <row r="193" spans="1:4" x14ac:dyDescent="0.35">
      <c r="A193" s="12"/>
      <c r="B193" s="11"/>
      <c r="C193" s="11"/>
      <c r="D193" s="13"/>
    </row>
    <row r="194" spans="1:4" x14ac:dyDescent="0.35">
      <c r="A194" s="12"/>
      <c r="B194" s="11"/>
      <c r="C194" s="11"/>
      <c r="D194" s="13"/>
    </row>
    <row r="195" spans="1:4" x14ac:dyDescent="0.35">
      <c r="A195" s="12"/>
      <c r="B195" s="11"/>
      <c r="C195" s="11"/>
      <c r="D195" s="13"/>
    </row>
    <row r="196" spans="1:4" x14ac:dyDescent="0.35">
      <c r="A196" s="12"/>
      <c r="B196" s="11"/>
      <c r="C196" s="11"/>
      <c r="D196" s="13"/>
    </row>
    <row r="197" spans="1:4" x14ac:dyDescent="0.35">
      <c r="A197" s="12"/>
      <c r="B197" s="11"/>
      <c r="C197" s="11"/>
      <c r="D197" s="13"/>
    </row>
    <row r="198" spans="1:4" x14ac:dyDescent="0.35">
      <c r="A198" s="12"/>
      <c r="B198" s="11"/>
      <c r="C198" s="11"/>
      <c r="D198" s="13"/>
    </row>
    <row r="199" spans="1:4" x14ac:dyDescent="0.35">
      <c r="A199" s="12"/>
      <c r="B199" s="11"/>
      <c r="C199" s="11"/>
      <c r="D199" s="13"/>
    </row>
    <row r="200" spans="1:4" x14ac:dyDescent="0.35">
      <c r="A200" s="12"/>
      <c r="B200" s="11"/>
      <c r="C200" s="11"/>
      <c r="D200" s="13"/>
    </row>
    <row r="201" spans="1:4" x14ac:dyDescent="0.35">
      <c r="A201" s="12"/>
      <c r="B201" s="11"/>
      <c r="C201" s="11"/>
      <c r="D201" s="13"/>
    </row>
    <row r="202" spans="1:4" x14ac:dyDescent="0.35">
      <c r="A202" s="12"/>
      <c r="B202" s="11"/>
      <c r="C202" s="11"/>
      <c r="D202" s="13"/>
    </row>
    <row r="203" spans="1:4" x14ac:dyDescent="0.35">
      <c r="A203" s="12"/>
      <c r="B203" s="11"/>
      <c r="C203" s="11"/>
      <c r="D203" s="13"/>
    </row>
    <row r="204" spans="1:4" x14ac:dyDescent="0.35">
      <c r="A204" s="12"/>
      <c r="B204" s="11"/>
      <c r="C204" s="11"/>
      <c r="D204" s="13"/>
    </row>
    <row r="205" spans="1:4" x14ac:dyDescent="0.35">
      <c r="A205" s="12"/>
      <c r="B205" s="11"/>
      <c r="C205" s="11"/>
      <c r="D205" s="13"/>
    </row>
    <row r="206" spans="1:4" x14ac:dyDescent="0.35">
      <c r="A206" s="12"/>
      <c r="B206" s="11"/>
      <c r="C206" s="11"/>
      <c r="D206" s="13"/>
    </row>
    <row r="207" spans="1:4" x14ac:dyDescent="0.35">
      <c r="A207" s="12"/>
      <c r="B207" s="11"/>
      <c r="C207" s="11"/>
      <c r="D207" s="13"/>
    </row>
    <row r="208" spans="1:4" x14ac:dyDescent="0.35">
      <c r="A208" s="12"/>
      <c r="B208" s="11"/>
      <c r="C208" s="11"/>
      <c r="D208" s="13"/>
    </row>
    <row r="209" spans="1:4" x14ac:dyDescent="0.35">
      <c r="A209" s="12"/>
      <c r="B209" s="11"/>
      <c r="C209" s="11"/>
      <c r="D209" s="13"/>
    </row>
    <row r="210" spans="1:4" x14ac:dyDescent="0.35">
      <c r="A210" s="12"/>
      <c r="B210" s="11"/>
      <c r="C210" s="11"/>
      <c r="D210" s="13"/>
    </row>
    <row r="211" spans="1:4" x14ac:dyDescent="0.35">
      <c r="A211" s="12"/>
      <c r="B211" s="11"/>
      <c r="C211" s="11"/>
      <c r="D211" s="13"/>
    </row>
    <row r="212" spans="1:4" x14ac:dyDescent="0.35">
      <c r="A212" s="12"/>
      <c r="B212" s="11"/>
      <c r="C212" s="11"/>
      <c r="D212" s="13"/>
    </row>
    <row r="213" spans="1:4" x14ac:dyDescent="0.35">
      <c r="A213" s="12"/>
      <c r="B213" s="11"/>
      <c r="C213" s="11"/>
      <c r="D213" s="13"/>
    </row>
    <row r="214" spans="1:4" x14ac:dyDescent="0.35">
      <c r="A214" s="12"/>
      <c r="B214" s="11"/>
      <c r="C214" s="11"/>
      <c r="D214" s="13"/>
    </row>
    <row r="215" spans="1:4" x14ac:dyDescent="0.35">
      <c r="A215" s="12"/>
      <c r="B215" s="11"/>
      <c r="C215" s="11"/>
      <c r="D215" s="13"/>
    </row>
    <row r="216" spans="1:4" x14ac:dyDescent="0.35">
      <c r="A216" s="12"/>
      <c r="B216" s="11"/>
      <c r="C216" s="11"/>
      <c r="D216" s="13"/>
    </row>
    <row r="217" spans="1:4" x14ac:dyDescent="0.35">
      <c r="A217" s="12"/>
      <c r="B217" s="11"/>
      <c r="C217" s="11"/>
      <c r="D217" s="13"/>
    </row>
    <row r="218" spans="1:4" x14ac:dyDescent="0.35">
      <c r="A218" s="12"/>
      <c r="B218" s="11"/>
      <c r="C218" s="11"/>
      <c r="D218" s="13"/>
    </row>
    <row r="219" spans="1:4" x14ac:dyDescent="0.35">
      <c r="A219" s="12"/>
      <c r="B219" s="11"/>
      <c r="C219" s="11"/>
      <c r="D219" s="13"/>
    </row>
    <row r="220" spans="1:4" x14ac:dyDescent="0.35">
      <c r="A220" s="12"/>
      <c r="B220" s="11"/>
      <c r="C220" s="11"/>
      <c r="D220" s="13"/>
    </row>
    <row r="221" spans="1:4" x14ac:dyDescent="0.35">
      <c r="A221" s="12"/>
      <c r="B221" s="11"/>
      <c r="C221" s="11"/>
      <c r="D221" s="13"/>
    </row>
    <row r="222" spans="1:4" x14ac:dyDescent="0.35">
      <c r="A222" s="12"/>
      <c r="B222" s="11"/>
      <c r="C222" s="11"/>
      <c r="D222" s="13"/>
    </row>
    <row r="223" spans="1:4" x14ac:dyDescent="0.35">
      <c r="A223" s="12"/>
      <c r="B223" s="11"/>
      <c r="C223" s="11"/>
      <c r="D223" s="13"/>
    </row>
    <row r="224" spans="1:4" x14ac:dyDescent="0.35">
      <c r="A224" s="12"/>
      <c r="B224" s="11"/>
      <c r="C224" s="11"/>
      <c r="D224" s="13"/>
    </row>
    <row r="225" spans="1:4" x14ac:dyDescent="0.35">
      <c r="A225" s="12"/>
      <c r="B225" s="11"/>
      <c r="C225" s="11"/>
      <c r="D225" s="13"/>
    </row>
    <row r="226" spans="1:4" x14ac:dyDescent="0.35">
      <c r="A226" s="12"/>
      <c r="B226" s="11"/>
      <c r="C226" s="11"/>
      <c r="D226" s="13"/>
    </row>
    <row r="227" spans="1:4" x14ac:dyDescent="0.35">
      <c r="A227" s="12"/>
      <c r="B227" s="11"/>
      <c r="C227" s="11"/>
      <c r="D227" s="13"/>
    </row>
    <row r="228" spans="1:4" x14ac:dyDescent="0.35">
      <c r="A228" s="12"/>
      <c r="B228" s="11"/>
      <c r="C228" s="11"/>
      <c r="D228" s="13"/>
    </row>
    <row r="229" spans="1:4" x14ac:dyDescent="0.35">
      <c r="A229" s="12"/>
      <c r="B229" s="11"/>
      <c r="C229" s="11"/>
      <c r="D229" s="13"/>
    </row>
    <row r="230" spans="1:4" x14ac:dyDescent="0.35">
      <c r="A230" s="12"/>
      <c r="B230" s="11"/>
      <c r="C230" s="11"/>
      <c r="D230" s="13"/>
    </row>
    <row r="231" spans="1:4" x14ac:dyDescent="0.35">
      <c r="A231" s="12"/>
      <c r="B231" s="11"/>
      <c r="C231" s="11"/>
      <c r="D231" s="13"/>
    </row>
    <row r="232" spans="1:4" x14ac:dyDescent="0.35">
      <c r="A232" s="12"/>
      <c r="B232" s="11"/>
      <c r="C232" s="11"/>
      <c r="D232" s="13"/>
    </row>
    <row r="233" spans="1:4" x14ac:dyDescent="0.35">
      <c r="A233" s="12"/>
      <c r="B233" s="11"/>
      <c r="C233" s="11"/>
      <c r="D233" s="13"/>
    </row>
    <row r="234" spans="1:4" x14ac:dyDescent="0.35">
      <c r="A234" s="12"/>
      <c r="B234" s="11"/>
      <c r="C234" s="11"/>
      <c r="D234" s="13"/>
    </row>
    <row r="235" spans="1:4" x14ac:dyDescent="0.35">
      <c r="A235" s="12"/>
      <c r="B235" s="11"/>
      <c r="C235" s="11"/>
      <c r="D235" s="13"/>
    </row>
    <row r="236" spans="1:4" x14ac:dyDescent="0.35">
      <c r="A236" s="12"/>
      <c r="B236" s="11"/>
      <c r="C236" s="11"/>
      <c r="D236" s="13"/>
    </row>
    <row r="237" spans="1:4" x14ac:dyDescent="0.35">
      <c r="A237" s="12"/>
      <c r="B237" s="11"/>
      <c r="C237" s="11"/>
      <c r="D237" s="13"/>
    </row>
    <row r="238" spans="1:4" x14ac:dyDescent="0.35">
      <c r="A238" s="12"/>
      <c r="B238" s="11"/>
      <c r="C238" s="11"/>
      <c r="D238" s="13"/>
    </row>
    <row r="239" spans="1:4" x14ac:dyDescent="0.35">
      <c r="A239" s="12"/>
      <c r="B239" s="11"/>
      <c r="C239" s="11"/>
      <c r="D239" s="13"/>
    </row>
    <row r="240" spans="1:4" x14ac:dyDescent="0.35">
      <c r="A240" s="12"/>
      <c r="B240" s="11"/>
      <c r="C240" s="11"/>
      <c r="D240" s="13"/>
    </row>
    <row r="241" spans="1:4" x14ac:dyDescent="0.35">
      <c r="A241" s="12"/>
      <c r="B241" s="11"/>
      <c r="C241" s="11"/>
      <c r="D241" s="13"/>
    </row>
    <row r="242" spans="1:4" x14ac:dyDescent="0.35">
      <c r="A242" s="12"/>
      <c r="B242" s="11"/>
      <c r="C242" s="11"/>
      <c r="D242" s="13"/>
    </row>
    <row r="243" spans="1:4" x14ac:dyDescent="0.35">
      <c r="A243" s="12"/>
      <c r="B243" s="11"/>
      <c r="C243" s="11"/>
      <c r="D243" s="13"/>
    </row>
    <row r="244" spans="1:4" x14ac:dyDescent="0.35">
      <c r="A244" s="12"/>
      <c r="B244" s="11"/>
      <c r="C244" s="11"/>
      <c r="D244" s="13"/>
    </row>
    <row r="245" spans="1:4" x14ac:dyDescent="0.35">
      <c r="A245" s="12"/>
      <c r="B245" s="11"/>
      <c r="C245" s="11"/>
      <c r="D245" s="13"/>
    </row>
    <row r="246" spans="1:4" x14ac:dyDescent="0.35">
      <c r="A246" s="12"/>
      <c r="B246" s="11"/>
      <c r="C246" s="11"/>
      <c r="D246" s="13"/>
    </row>
    <row r="247" spans="1:4" x14ac:dyDescent="0.35">
      <c r="A247" s="12"/>
      <c r="B247" s="11"/>
      <c r="C247" s="11"/>
      <c r="D247" s="13"/>
    </row>
    <row r="248" spans="1:4" x14ac:dyDescent="0.35">
      <c r="A248" s="12"/>
      <c r="B248" s="11"/>
      <c r="C248" s="11"/>
      <c r="D248" s="13"/>
    </row>
    <row r="249" spans="1:4" x14ac:dyDescent="0.35">
      <c r="A249" s="12"/>
      <c r="B249" s="11"/>
      <c r="C249" s="11"/>
      <c r="D249" s="13"/>
    </row>
    <row r="250" spans="1:4" x14ac:dyDescent="0.35">
      <c r="A250" s="12"/>
      <c r="B250" s="11"/>
      <c r="C250" s="11"/>
      <c r="D250" s="13"/>
    </row>
    <row r="251" spans="1:4" x14ac:dyDescent="0.35">
      <c r="A251" s="12"/>
      <c r="B251" s="11"/>
      <c r="C251" s="11"/>
      <c r="D251" s="13"/>
    </row>
    <row r="252" spans="1:4" x14ac:dyDescent="0.35">
      <c r="A252" s="12"/>
      <c r="B252" s="11"/>
      <c r="C252" s="11"/>
      <c r="D252" s="13"/>
    </row>
    <row r="253" spans="1:4" x14ac:dyDescent="0.35">
      <c r="A253" s="12"/>
      <c r="B253" s="11"/>
      <c r="C253" s="11"/>
      <c r="D253" s="13"/>
    </row>
    <row r="254" spans="1:4" x14ac:dyDescent="0.35">
      <c r="A254" s="12"/>
      <c r="B254" s="11"/>
      <c r="C254" s="11"/>
      <c r="D254" s="13"/>
    </row>
    <row r="255" spans="1:4" x14ac:dyDescent="0.35">
      <c r="A255" s="12"/>
      <c r="B255" s="11"/>
      <c r="C255" s="11"/>
      <c r="D255" s="13"/>
    </row>
    <row r="256" spans="1:4" x14ac:dyDescent="0.35">
      <c r="A256" s="12"/>
      <c r="B256" s="11"/>
      <c r="C256" s="11"/>
      <c r="D256" s="13"/>
    </row>
    <row r="257" spans="1:4" x14ac:dyDescent="0.35">
      <c r="A257" s="12"/>
      <c r="B257" s="11"/>
      <c r="C257" s="11"/>
      <c r="D257" s="13"/>
    </row>
    <row r="258" spans="1:4" x14ac:dyDescent="0.35">
      <c r="A258" s="12"/>
      <c r="B258" s="11"/>
      <c r="C258" s="11"/>
      <c r="D258" s="13"/>
    </row>
    <row r="259" spans="1:4" x14ac:dyDescent="0.35">
      <c r="A259" s="12"/>
      <c r="B259" s="11"/>
      <c r="C259" s="11"/>
      <c r="D259" s="13"/>
    </row>
    <row r="260" spans="1:4" x14ac:dyDescent="0.35">
      <c r="A260" s="12"/>
      <c r="B260" s="11"/>
      <c r="C260" s="11"/>
      <c r="D260" s="13"/>
    </row>
    <row r="261" spans="1:4" x14ac:dyDescent="0.35">
      <c r="A261" s="12"/>
      <c r="B261" s="11"/>
      <c r="C261" s="11"/>
      <c r="D261" s="13"/>
    </row>
    <row r="262" spans="1:4" x14ac:dyDescent="0.35">
      <c r="A262" s="12"/>
      <c r="B262" s="11"/>
      <c r="C262" s="11"/>
      <c r="D262" s="13"/>
    </row>
    <row r="263" spans="1:4" x14ac:dyDescent="0.35">
      <c r="A263" s="12"/>
      <c r="B263" s="11"/>
      <c r="C263" s="11"/>
      <c r="D263" s="13"/>
    </row>
    <row r="264" spans="1:4" x14ac:dyDescent="0.35">
      <c r="A264" s="12"/>
      <c r="B264" s="11"/>
      <c r="C264" s="11"/>
      <c r="D264" s="13"/>
    </row>
    <row r="265" spans="1:4" x14ac:dyDescent="0.35">
      <c r="A265" s="12"/>
      <c r="B265" s="11"/>
      <c r="C265" s="11"/>
      <c r="D265" s="13"/>
    </row>
    <row r="266" spans="1:4" x14ac:dyDescent="0.35">
      <c r="A266" s="12"/>
      <c r="B266" s="11"/>
      <c r="C266" s="11"/>
      <c r="D266" s="13"/>
    </row>
    <row r="267" spans="1:4" x14ac:dyDescent="0.35">
      <c r="A267" s="12"/>
      <c r="B267" s="11"/>
      <c r="C267" s="11"/>
      <c r="D267" s="13"/>
    </row>
    <row r="268" spans="1:4" x14ac:dyDescent="0.35">
      <c r="A268" s="12"/>
      <c r="B268" s="11"/>
      <c r="C268" s="11"/>
      <c r="D268" s="13"/>
    </row>
    <row r="269" spans="1:4" x14ac:dyDescent="0.35">
      <c r="A269" s="12"/>
      <c r="B269" s="11"/>
      <c r="C269" s="11"/>
      <c r="D269" s="13"/>
    </row>
    <row r="270" spans="1:4" x14ac:dyDescent="0.35">
      <c r="A270" s="12"/>
      <c r="B270" s="11"/>
      <c r="C270" s="11"/>
      <c r="D270" s="13"/>
    </row>
    <row r="271" spans="1:4" x14ac:dyDescent="0.35">
      <c r="A271" s="12"/>
      <c r="B271" s="11"/>
      <c r="C271" s="11"/>
      <c r="D271" s="13"/>
    </row>
    <row r="272" spans="1:4" x14ac:dyDescent="0.35">
      <c r="A272" s="12"/>
      <c r="B272" s="11"/>
      <c r="C272" s="11"/>
      <c r="D272" s="13"/>
    </row>
    <row r="273" spans="1:4" x14ac:dyDescent="0.35">
      <c r="A273" s="12"/>
      <c r="B273" s="11"/>
      <c r="C273" s="11"/>
      <c r="D273" s="13"/>
    </row>
    <row r="274" spans="1:4" x14ac:dyDescent="0.35">
      <c r="A274" s="12"/>
      <c r="B274" s="11"/>
      <c r="C274" s="11"/>
      <c r="D274" s="13"/>
    </row>
    <row r="275" spans="1:4" x14ac:dyDescent="0.35">
      <c r="A275" s="12"/>
      <c r="B275" s="11"/>
      <c r="C275" s="11"/>
      <c r="D275" s="13"/>
    </row>
    <row r="276" spans="1:4" x14ac:dyDescent="0.35">
      <c r="A276" s="12"/>
      <c r="B276" s="11"/>
      <c r="C276" s="11"/>
      <c r="D276" s="13"/>
    </row>
    <row r="277" spans="1:4" x14ac:dyDescent="0.35">
      <c r="A277" s="12"/>
      <c r="B277" s="11"/>
      <c r="C277" s="11"/>
      <c r="D277" s="13"/>
    </row>
    <row r="278" spans="1:4" x14ac:dyDescent="0.35">
      <c r="A278" s="12"/>
      <c r="B278" s="11"/>
      <c r="C278" s="11"/>
      <c r="D278" s="13"/>
    </row>
    <row r="279" spans="1:4" x14ac:dyDescent="0.35">
      <c r="A279" s="12"/>
      <c r="B279" s="11"/>
      <c r="C279" s="11"/>
      <c r="D279" s="13"/>
    </row>
    <row r="280" spans="1:4" x14ac:dyDescent="0.35">
      <c r="A280" s="12"/>
      <c r="B280" s="11"/>
      <c r="C280" s="11"/>
      <c r="D280" s="13"/>
    </row>
    <row r="281" spans="1:4" x14ac:dyDescent="0.35">
      <c r="A281" s="12"/>
      <c r="B281" s="11"/>
      <c r="C281" s="11"/>
      <c r="D281" s="13"/>
    </row>
    <row r="282" spans="1:4" x14ac:dyDescent="0.35">
      <c r="A282" s="12"/>
      <c r="B282" s="11"/>
      <c r="C282" s="11"/>
      <c r="D282" s="13"/>
    </row>
    <row r="283" spans="1:4" x14ac:dyDescent="0.35">
      <c r="A283" s="12"/>
      <c r="B283" s="11"/>
      <c r="C283" s="11"/>
      <c r="D283" s="13"/>
    </row>
    <row r="284" spans="1:4" x14ac:dyDescent="0.35">
      <c r="A284" s="12"/>
      <c r="B284" s="11"/>
      <c r="C284" s="11"/>
      <c r="D284" s="13"/>
    </row>
    <row r="285" spans="1:4" x14ac:dyDescent="0.35">
      <c r="A285" s="12"/>
      <c r="B285" s="11"/>
      <c r="C285" s="11"/>
      <c r="D285" s="13"/>
    </row>
    <row r="286" spans="1:4" x14ac:dyDescent="0.35">
      <c r="A286" s="12"/>
      <c r="B286" s="11"/>
      <c r="C286" s="11"/>
      <c r="D286" s="13"/>
    </row>
    <row r="287" spans="1:4" x14ac:dyDescent="0.35">
      <c r="A287" s="12"/>
      <c r="B287" s="11"/>
      <c r="C287" s="11"/>
      <c r="D287" s="13"/>
    </row>
    <row r="288" spans="1:4" x14ac:dyDescent="0.35">
      <c r="A288" s="12"/>
      <c r="B288" s="11"/>
      <c r="C288" s="11"/>
      <c r="D288" s="13"/>
    </row>
    <row r="289" spans="1:4" x14ac:dyDescent="0.35">
      <c r="A289" s="12"/>
      <c r="B289" s="11"/>
      <c r="C289" s="11"/>
      <c r="D289" s="13"/>
    </row>
    <row r="290" spans="1:4" x14ac:dyDescent="0.35">
      <c r="A290" s="12"/>
      <c r="B290" s="11"/>
      <c r="C290" s="11"/>
      <c r="D290" s="13"/>
    </row>
    <row r="291" spans="1:4" x14ac:dyDescent="0.35">
      <c r="A291" s="12"/>
      <c r="B291" s="11"/>
      <c r="C291" s="11"/>
      <c r="D291" s="13"/>
    </row>
    <row r="292" spans="1:4" x14ac:dyDescent="0.35">
      <c r="A292" s="12"/>
      <c r="B292" s="11"/>
      <c r="C292" s="11"/>
      <c r="D292" s="13"/>
    </row>
    <row r="293" spans="1:4" x14ac:dyDescent="0.35">
      <c r="A293" s="12"/>
      <c r="B293" s="11"/>
      <c r="C293" s="11"/>
      <c r="D293" s="13"/>
    </row>
    <row r="294" spans="1:4" x14ac:dyDescent="0.35">
      <c r="A294" s="12"/>
      <c r="B294" s="11"/>
      <c r="C294" s="11"/>
      <c r="D294" s="13"/>
    </row>
    <row r="295" spans="1:4" x14ac:dyDescent="0.35">
      <c r="A295" s="12"/>
      <c r="B295" s="11"/>
      <c r="C295" s="11"/>
      <c r="D295" s="13"/>
    </row>
    <row r="296" spans="1:4" x14ac:dyDescent="0.35">
      <c r="A296" s="12"/>
      <c r="B296" s="11"/>
      <c r="C296" s="11"/>
      <c r="D296" s="13"/>
    </row>
    <row r="297" spans="1:4" x14ac:dyDescent="0.35">
      <c r="A297" s="12"/>
      <c r="B297" s="11"/>
      <c r="C297" s="11"/>
      <c r="D297" s="13"/>
    </row>
    <row r="298" spans="1:4" x14ac:dyDescent="0.35">
      <c r="A298" s="12"/>
      <c r="B298" s="11"/>
      <c r="C298" s="11"/>
      <c r="D298" s="13"/>
    </row>
    <row r="299" spans="1:4" x14ac:dyDescent="0.35">
      <c r="A299" s="12"/>
      <c r="B299" s="11"/>
      <c r="C299" s="11"/>
      <c r="D299" s="13"/>
    </row>
    <row r="300" spans="1:4" x14ac:dyDescent="0.35">
      <c r="A300" s="12"/>
      <c r="B300" s="11"/>
      <c r="C300" s="11"/>
      <c r="D300" s="13"/>
    </row>
    <row r="301" spans="1:4" x14ac:dyDescent="0.35">
      <c r="A301" s="12"/>
      <c r="B301" s="11"/>
      <c r="C301" s="11"/>
      <c r="D301" s="13"/>
    </row>
    <row r="302" spans="1:4" x14ac:dyDescent="0.35">
      <c r="A302" s="12"/>
      <c r="B302" s="11"/>
      <c r="C302" s="11"/>
      <c r="D302" s="13"/>
    </row>
    <row r="303" spans="1:4" x14ac:dyDescent="0.35">
      <c r="A303" s="12"/>
      <c r="B303" s="11"/>
      <c r="C303" s="11"/>
      <c r="D303" s="13"/>
    </row>
    <row r="304" spans="1:4" x14ac:dyDescent="0.35">
      <c r="A304" s="12"/>
      <c r="B304" s="11"/>
      <c r="C304" s="11"/>
      <c r="D304" s="13"/>
    </row>
    <row r="305" spans="1:4" x14ac:dyDescent="0.35">
      <c r="A305" s="12"/>
      <c r="B305" s="11"/>
      <c r="C305" s="11"/>
      <c r="D305" s="13"/>
    </row>
    <row r="306" spans="1:4" x14ac:dyDescent="0.35">
      <c r="A306" s="12"/>
      <c r="B306" s="11"/>
      <c r="C306" s="11"/>
      <c r="D306" s="13"/>
    </row>
    <row r="307" spans="1:4" x14ac:dyDescent="0.35">
      <c r="A307" s="12"/>
      <c r="B307" s="11"/>
      <c r="C307" s="11"/>
      <c r="D307" s="13"/>
    </row>
    <row r="308" spans="1:4" x14ac:dyDescent="0.35">
      <c r="A308" s="12"/>
      <c r="B308" s="11"/>
      <c r="C308" s="11"/>
      <c r="D308" s="13"/>
    </row>
    <row r="309" spans="1:4" x14ac:dyDescent="0.35">
      <c r="A309" s="12"/>
      <c r="B309" s="11"/>
      <c r="C309" s="11"/>
      <c r="D309" s="13"/>
    </row>
    <row r="310" spans="1:4" x14ac:dyDescent="0.35">
      <c r="A310" s="12"/>
      <c r="B310" s="11"/>
      <c r="C310" s="11"/>
      <c r="D310" s="13"/>
    </row>
    <row r="311" spans="1:4" x14ac:dyDescent="0.35">
      <c r="A311" s="12"/>
      <c r="B311" s="11"/>
      <c r="C311" s="11"/>
      <c r="D311" s="13"/>
    </row>
    <row r="312" spans="1:4" x14ac:dyDescent="0.35">
      <c r="A312" s="12"/>
      <c r="B312" s="11"/>
      <c r="C312" s="11"/>
      <c r="D312" s="13"/>
    </row>
    <row r="313" spans="1:4" x14ac:dyDescent="0.35">
      <c r="A313" s="12"/>
      <c r="B313" s="11"/>
      <c r="C313" s="11"/>
      <c r="D313" s="13"/>
    </row>
    <row r="314" spans="1:4" x14ac:dyDescent="0.35">
      <c r="A314" s="12"/>
      <c r="B314" s="11"/>
      <c r="C314" s="11"/>
      <c r="D314" s="13"/>
    </row>
    <row r="315" spans="1:4" x14ac:dyDescent="0.35">
      <c r="A315" s="12"/>
      <c r="B315" s="11"/>
      <c r="C315" s="11"/>
      <c r="D315" s="13"/>
    </row>
    <row r="316" spans="1:4" x14ac:dyDescent="0.35">
      <c r="A316" s="12"/>
      <c r="B316" s="11"/>
      <c r="C316" s="11"/>
      <c r="D316" s="13"/>
    </row>
    <row r="317" spans="1:4" x14ac:dyDescent="0.35">
      <c r="A317" s="12"/>
      <c r="B317" s="11"/>
      <c r="C317" s="11"/>
      <c r="D317" s="13"/>
    </row>
    <row r="318" spans="1:4" x14ac:dyDescent="0.35">
      <c r="A318" s="12"/>
      <c r="B318" s="11"/>
      <c r="C318" s="11"/>
      <c r="D318" s="13"/>
    </row>
    <row r="319" spans="1:4" x14ac:dyDescent="0.35">
      <c r="A319" s="12"/>
      <c r="B319" s="11"/>
      <c r="C319" s="11"/>
      <c r="D319" s="13"/>
    </row>
    <row r="320" spans="1:4" x14ac:dyDescent="0.35">
      <c r="A320" s="12"/>
      <c r="B320" s="11"/>
      <c r="C320" s="11"/>
      <c r="D320" s="13"/>
    </row>
    <row r="321" spans="1:4" x14ac:dyDescent="0.35">
      <c r="A321" s="12"/>
      <c r="B321" s="11"/>
      <c r="C321" s="11"/>
      <c r="D321" s="13"/>
    </row>
    <row r="322" spans="1:4" x14ac:dyDescent="0.35">
      <c r="A322" s="12"/>
      <c r="B322" s="11"/>
      <c r="C322" s="11"/>
      <c r="D322" s="13"/>
    </row>
    <row r="323" spans="1:4" x14ac:dyDescent="0.35">
      <c r="A323" s="12"/>
      <c r="B323" s="11"/>
      <c r="C323" s="11"/>
      <c r="D323" s="13"/>
    </row>
    <row r="324" spans="1:4" x14ac:dyDescent="0.35">
      <c r="A324" s="12"/>
      <c r="B324" s="11"/>
      <c r="C324" s="11"/>
      <c r="D324" s="13"/>
    </row>
    <row r="325" spans="1:4" x14ac:dyDescent="0.35">
      <c r="A325" s="12"/>
      <c r="B325" s="11"/>
      <c r="C325" s="11"/>
      <c r="D325" s="13"/>
    </row>
    <row r="326" spans="1:4" x14ac:dyDescent="0.35">
      <c r="A326" s="12"/>
      <c r="B326" s="11"/>
      <c r="C326" s="11"/>
      <c r="D326" s="13"/>
    </row>
    <row r="327" spans="1:4" x14ac:dyDescent="0.35">
      <c r="A327" s="12"/>
      <c r="B327" s="11"/>
      <c r="C327" s="11"/>
      <c r="D327" s="13"/>
    </row>
    <row r="328" spans="1:4" x14ac:dyDescent="0.35">
      <c r="A328" s="12"/>
      <c r="B328" s="11"/>
      <c r="C328" s="11"/>
      <c r="D328" s="13"/>
    </row>
    <row r="329" spans="1:4" x14ac:dyDescent="0.35">
      <c r="A329" s="12"/>
      <c r="B329" s="11"/>
      <c r="C329" s="11"/>
      <c r="D329" s="13"/>
    </row>
    <row r="330" spans="1:4" x14ac:dyDescent="0.35">
      <c r="A330" s="12"/>
      <c r="B330" s="11"/>
      <c r="C330" s="11"/>
      <c r="D330" s="13"/>
    </row>
    <row r="331" spans="1:4" x14ac:dyDescent="0.35">
      <c r="A331" s="12"/>
      <c r="B331" s="11"/>
      <c r="C331" s="11"/>
      <c r="D331" s="13"/>
    </row>
    <row r="332" spans="1:4" x14ac:dyDescent="0.35">
      <c r="A332" s="12"/>
      <c r="B332" s="11"/>
      <c r="C332" s="11"/>
      <c r="D332" s="13"/>
    </row>
    <row r="333" spans="1:4" x14ac:dyDescent="0.35">
      <c r="A333" s="12"/>
      <c r="B333" s="11"/>
      <c r="C333" s="11"/>
      <c r="D333" s="13"/>
    </row>
    <row r="334" spans="1:4" x14ac:dyDescent="0.35">
      <c r="A334" s="12"/>
      <c r="B334" s="11"/>
      <c r="C334" s="11"/>
      <c r="D334" s="13"/>
    </row>
    <row r="335" spans="1:4" x14ac:dyDescent="0.35">
      <c r="A335" s="12"/>
      <c r="B335" s="11"/>
      <c r="C335" s="11"/>
      <c r="D335" s="13"/>
    </row>
    <row r="336" spans="1:4" x14ac:dyDescent="0.35">
      <c r="A336" s="12"/>
      <c r="B336" s="11"/>
      <c r="C336" s="11"/>
      <c r="D336" s="13"/>
    </row>
    <row r="337" spans="1:4" x14ac:dyDescent="0.35">
      <c r="A337" s="12"/>
      <c r="B337" s="11"/>
      <c r="C337" s="11"/>
      <c r="D337" s="13"/>
    </row>
    <row r="338" spans="1:4" x14ac:dyDescent="0.35">
      <c r="A338" s="12"/>
      <c r="B338" s="11"/>
      <c r="C338" s="11"/>
      <c r="D338" s="13"/>
    </row>
    <row r="339" spans="1:4" x14ac:dyDescent="0.35">
      <c r="A339" s="12"/>
      <c r="B339" s="11"/>
      <c r="C339" s="11"/>
      <c r="D339" s="13"/>
    </row>
    <row r="340" spans="1:4" x14ac:dyDescent="0.35">
      <c r="A340" s="12"/>
      <c r="B340" s="11"/>
      <c r="C340" s="11"/>
      <c r="D340" s="13"/>
    </row>
    <row r="341" spans="1:4" x14ac:dyDescent="0.35">
      <c r="A341" s="12"/>
      <c r="B341" s="11"/>
      <c r="C341" s="11"/>
      <c r="D341" s="13"/>
    </row>
    <row r="342" spans="1:4" x14ac:dyDescent="0.35">
      <c r="A342" s="12"/>
      <c r="B342" s="11"/>
      <c r="C342" s="11"/>
      <c r="D342" s="13"/>
    </row>
    <row r="343" spans="1:4" x14ac:dyDescent="0.35">
      <c r="A343" s="12"/>
      <c r="B343" s="11"/>
      <c r="C343" s="11"/>
      <c r="D343" s="13"/>
    </row>
    <row r="344" spans="1:4" x14ac:dyDescent="0.35">
      <c r="A344" s="12"/>
      <c r="B344" s="11"/>
      <c r="C344" s="11"/>
      <c r="D344" s="13"/>
    </row>
    <row r="345" spans="1:4" x14ac:dyDescent="0.35">
      <c r="A345" s="12"/>
      <c r="B345" s="11"/>
      <c r="C345" s="11"/>
      <c r="D345" s="13"/>
    </row>
    <row r="346" spans="1:4" x14ac:dyDescent="0.35">
      <c r="A346" s="12"/>
      <c r="B346" s="11"/>
      <c r="C346" s="11"/>
      <c r="D346" s="13"/>
    </row>
    <row r="347" spans="1:4" x14ac:dyDescent="0.35">
      <c r="A347" s="12"/>
      <c r="B347" s="11"/>
      <c r="C347" s="11"/>
      <c r="D347" s="13"/>
    </row>
    <row r="348" spans="1:4" x14ac:dyDescent="0.35">
      <c r="A348" s="12"/>
      <c r="B348" s="11"/>
      <c r="C348" s="11"/>
      <c r="D348" s="13"/>
    </row>
    <row r="349" spans="1:4" x14ac:dyDescent="0.35">
      <c r="A349" s="12"/>
      <c r="B349" s="11"/>
      <c r="C349" s="11"/>
      <c r="D349" s="13"/>
    </row>
    <row r="350" spans="1:4" x14ac:dyDescent="0.35">
      <c r="A350" s="12"/>
      <c r="B350" s="11"/>
      <c r="C350" s="11"/>
      <c r="D350" s="13"/>
    </row>
    <row r="351" spans="1:4" x14ac:dyDescent="0.35">
      <c r="A351" s="12"/>
      <c r="B351" s="11"/>
      <c r="C351" s="11"/>
      <c r="D351" s="13"/>
    </row>
    <row r="352" spans="1:4" x14ac:dyDescent="0.35">
      <c r="A352" s="12"/>
      <c r="B352" s="11"/>
      <c r="C352" s="11"/>
      <c r="D352" s="13"/>
    </row>
    <row r="353" spans="1:4" x14ac:dyDescent="0.35">
      <c r="A353" s="12"/>
      <c r="B353" s="11"/>
      <c r="C353" s="11"/>
      <c r="D353" s="13"/>
    </row>
    <row r="354" spans="1:4" x14ac:dyDescent="0.35">
      <c r="A354" s="12"/>
      <c r="B354" s="11"/>
      <c r="C354" s="11"/>
      <c r="D354" s="13"/>
    </row>
    <row r="355" spans="1:4" x14ac:dyDescent="0.35">
      <c r="A355" s="12"/>
      <c r="B355" s="11"/>
      <c r="C355" s="11"/>
      <c r="D355" s="13"/>
    </row>
    <row r="356" spans="1:4" x14ac:dyDescent="0.35">
      <c r="A356" s="12"/>
      <c r="B356" s="11"/>
      <c r="C356" s="11"/>
      <c r="D356" s="13"/>
    </row>
    <row r="357" spans="1:4" x14ac:dyDescent="0.35">
      <c r="A357" s="12"/>
      <c r="B357" s="11"/>
      <c r="C357" s="11"/>
      <c r="D357" s="13"/>
    </row>
    <row r="358" spans="1:4" x14ac:dyDescent="0.35">
      <c r="A358" s="12"/>
      <c r="B358" s="11"/>
      <c r="C358" s="11"/>
      <c r="D358" s="13"/>
    </row>
    <row r="359" spans="1:4" x14ac:dyDescent="0.35">
      <c r="A359" s="12"/>
      <c r="B359" s="11"/>
      <c r="C359" s="11"/>
      <c r="D359" s="13"/>
    </row>
    <row r="360" spans="1:4" x14ac:dyDescent="0.35">
      <c r="A360" s="12"/>
      <c r="B360" s="11"/>
      <c r="C360" s="11"/>
      <c r="D360" s="13"/>
    </row>
    <row r="361" spans="1:4" x14ac:dyDescent="0.35">
      <c r="A361" s="12"/>
      <c r="B361" s="11"/>
      <c r="C361" s="11"/>
      <c r="D361" s="13"/>
    </row>
    <row r="362" spans="1:4" x14ac:dyDescent="0.35">
      <c r="A362" s="12"/>
      <c r="B362" s="11"/>
      <c r="C362" s="11"/>
      <c r="D362" s="13"/>
    </row>
    <row r="363" spans="1:4" x14ac:dyDescent="0.35">
      <c r="A363" s="12"/>
      <c r="B363" s="11"/>
      <c r="C363" s="11"/>
      <c r="D363" s="13"/>
    </row>
    <row r="364" spans="1:4" x14ac:dyDescent="0.35">
      <c r="A364" s="12"/>
      <c r="B364" s="11"/>
      <c r="C364" s="11"/>
      <c r="D364" s="13"/>
    </row>
    <row r="365" spans="1:4" x14ac:dyDescent="0.35">
      <c r="A365" s="12"/>
      <c r="B365" s="11"/>
      <c r="C365" s="11"/>
      <c r="D365" s="13"/>
    </row>
    <row r="366" spans="1:4" x14ac:dyDescent="0.35">
      <c r="A366" s="12"/>
      <c r="B366" s="11"/>
      <c r="C366" s="11"/>
      <c r="D366" s="13"/>
    </row>
    <row r="367" spans="1:4" x14ac:dyDescent="0.35">
      <c r="A367" s="12"/>
      <c r="B367" s="11"/>
      <c r="C367" s="11"/>
      <c r="D367" s="13"/>
    </row>
    <row r="368" spans="1:4" x14ac:dyDescent="0.35">
      <c r="A368" s="12"/>
      <c r="B368" s="11"/>
      <c r="C368" s="11"/>
      <c r="D368" s="13"/>
    </row>
    <row r="369" spans="1:4" x14ac:dyDescent="0.35">
      <c r="A369" s="12"/>
      <c r="B369" s="11"/>
      <c r="C369" s="11"/>
      <c r="D369" s="13"/>
    </row>
    <row r="370" spans="1:4" x14ac:dyDescent="0.35">
      <c r="A370" s="12"/>
      <c r="B370" s="11"/>
      <c r="C370" s="11"/>
      <c r="D370" s="13"/>
    </row>
    <row r="371" spans="1:4" x14ac:dyDescent="0.35">
      <c r="A371" s="12"/>
      <c r="B371" s="11"/>
      <c r="C371" s="11"/>
      <c r="D371" s="13"/>
    </row>
    <row r="372" spans="1:4" x14ac:dyDescent="0.35">
      <c r="A372" s="12"/>
      <c r="B372" s="11"/>
      <c r="C372" s="11"/>
      <c r="D372" s="13"/>
    </row>
    <row r="373" spans="1:4" x14ac:dyDescent="0.35">
      <c r="A373" s="12"/>
      <c r="B373" s="11"/>
      <c r="C373" s="11"/>
      <c r="D373" s="13"/>
    </row>
    <row r="374" spans="1:4" x14ac:dyDescent="0.35">
      <c r="A374" s="12"/>
      <c r="B374" s="11"/>
      <c r="C374" s="11"/>
      <c r="D374" s="13"/>
    </row>
    <row r="375" spans="1:4" x14ac:dyDescent="0.35">
      <c r="A375" s="12"/>
      <c r="B375" s="11"/>
      <c r="C375" s="11"/>
      <c r="D375" s="13"/>
    </row>
    <row r="376" spans="1:4" x14ac:dyDescent="0.35">
      <c r="A376" s="12"/>
      <c r="B376" s="11"/>
      <c r="C376" s="11"/>
      <c r="D376" s="13"/>
    </row>
    <row r="377" spans="1:4" x14ac:dyDescent="0.35">
      <c r="A377" s="12"/>
      <c r="B377" s="11"/>
      <c r="C377" s="11"/>
      <c r="D377" s="13"/>
    </row>
    <row r="378" spans="1:4" x14ac:dyDescent="0.35">
      <c r="A378" s="12"/>
      <c r="B378" s="11"/>
      <c r="C378" s="11"/>
      <c r="D378" s="13"/>
    </row>
    <row r="379" spans="1:4" x14ac:dyDescent="0.35">
      <c r="A379" s="12"/>
      <c r="B379" s="11"/>
      <c r="C379" s="11"/>
      <c r="D379" s="13"/>
    </row>
    <row r="380" spans="1:4" x14ac:dyDescent="0.35">
      <c r="A380" s="12"/>
      <c r="B380" s="11"/>
      <c r="C380" s="11"/>
      <c r="D380" s="13"/>
    </row>
    <row r="381" spans="1:4" x14ac:dyDescent="0.35">
      <c r="A381" s="12"/>
      <c r="B381" s="11"/>
      <c r="C381" s="11"/>
      <c r="D381" s="13"/>
    </row>
    <row r="382" spans="1:4" x14ac:dyDescent="0.35">
      <c r="A382" s="12"/>
      <c r="B382" s="11"/>
      <c r="C382" s="11"/>
      <c r="D382" s="13"/>
    </row>
    <row r="383" spans="1:4" x14ac:dyDescent="0.35">
      <c r="A383" s="12"/>
      <c r="B383" s="11"/>
      <c r="C383" s="11"/>
      <c r="D383" s="13"/>
    </row>
    <row r="384" spans="1:4" x14ac:dyDescent="0.35">
      <c r="A384" s="12"/>
      <c r="B384" s="11"/>
      <c r="C384" s="11"/>
      <c r="D384" s="13"/>
    </row>
    <row r="385" spans="1:4" x14ac:dyDescent="0.35">
      <c r="A385" s="12"/>
      <c r="B385" s="11"/>
      <c r="C385" s="11"/>
      <c r="D385" s="13"/>
    </row>
    <row r="386" spans="1:4" x14ac:dyDescent="0.35">
      <c r="A386" s="12"/>
      <c r="B386" s="11"/>
      <c r="C386" s="11"/>
      <c r="D386" s="13"/>
    </row>
    <row r="387" spans="1:4" x14ac:dyDescent="0.35">
      <c r="A387" s="12"/>
      <c r="B387" s="11"/>
      <c r="C387" s="11"/>
      <c r="D387" s="13"/>
    </row>
    <row r="388" spans="1:4" x14ac:dyDescent="0.35">
      <c r="A388" s="12"/>
      <c r="B388" s="11"/>
      <c r="C388" s="11"/>
      <c r="D388" s="13"/>
    </row>
    <row r="389" spans="1:4" x14ac:dyDescent="0.35">
      <c r="A389" s="12"/>
      <c r="B389" s="11"/>
      <c r="C389" s="11"/>
      <c r="D389" s="13"/>
    </row>
    <row r="390" spans="1:4" x14ac:dyDescent="0.35">
      <c r="A390" s="12"/>
      <c r="B390" s="11"/>
      <c r="C390" s="11"/>
      <c r="D390" s="13"/>
    </row>
    <row r="391" spans="1:4" x14ac:dyDescent="0.35">
      <c r="A391" s="12"/>
      <c r="B391" s="11"/>
      <c r="C391" s="11"/>
      <c r="D391" s="13"/>
    </row>
    <row r="392" spans="1:4" x14ac:dyDescent="0.35">
      <c r="A392" s="12"/>
      <c r="B392" s="11"/>
      <c r="C392" s="11"/>
      <c r="D392" s="13"/>
    </row>
    <row r="393" spans="1:4" x14ac:dyDescent="0.35">
      <c r="A393" s="12"/>
      <c r="B393" s="11"/>
      <c r="C393" s="11"/>
      <c r="D393" s="13"/>
    </row>
    <row r="394" spans="1:4" x14ac:dyDescent="0.35">
      <c r="A394" s="12"/>
      <c r="B394" s="11"/>
      <c r="C394" s="11"/>
      <c r="D394" s="13"/>
    </row>
    <row r="395" spans="1:4" x14ac:dyDescent="0.35">
      <c r="A395" s="12"/>
      <c r="B395" s="11"/>
      <c r="C395" s="11"/>
      <c r="D395" s="13"/>
    </row>
    <row r="396" spans="1:4" x14ac:dyDescent="0.35">
      <c r="A396" s="12"/>
      <c r="B396" s="11"/>
      <c r="C396" s="11"/>
      <c r="D396" s="13"/>
    </row>
    <row r="397" spans="1:4" x14ac:dyDescent="0.35">
      <c r="A397" s="12"/>
      <c r="B397" s="11"/>
      <c r="C397" s="11"/>
      <c r="D397" s="13"/>
    </row>
    <row r="398" spans="1:4" x14ac:dyDescent="0.35">
      <c r="A398" s="12"/>
      <c r="B398" s="11"/>
      <c r="C398" s="11"/>
      <c r="D398" s="13"/>
    </row>
    <row r="399" spans="1:4" x14ac:dyDescent="0.35">
      <c r="A399" s="12"/>
      <c r="B399" s="11"/>
      <c r="C399" s="11"/>
      <c r="D399" s="13"/>
    </row>
    <row r="400" spans="1:4" x14ac:dyDescent="0.35">
      <c r="A400" s="12"/>
      <c r="B400" s="11"/>
      <c r="C400" s="11"/>
      <c r="D400" s="13"/>
    </row>
    <row r="401" spans="1:4" x14ac:dyDescent="0.35">
      <c r="A401" s="12"/>
      <c r="B401" s="11"/>
      <c r="C401" s="11"/>
      <c r="D401" s="13"/>
    </row>
    <row r="402" spans="1:4" x14ac:dyDescent="0.35">
      <c r="A402" s="12"/>
      <c r="B402" s="11"/>
      <c r="C402" s="11"/>
      <c r="D402" s="13"/>
    </row>
    <row r="403" spans="1:4" x14ac:dyDescent="0.35">
      <c r="A403" s="12"/>
      <c r="B403" s="11"/>
      <c r="C403" s="11"/>
      <c r="D403" s="13"/>
    </row>
    <row r="404" spans="1:4" x14ac:dyDescent="0.35">
      <c r="A404" s="12"/>
      <c r="B404" s="11"/>
      <c r="C404" s="11"/>
      <c r="D404" s="13"/>
    </row>
    <row r="405" spans="1:4" x14ac:dyDescent="0.35">
      <c r="A405" s="12"/>
      <c r="B405" s="11"/>
      <c r="C405" s="11"/>
      <c r="D405" s="13"/>
    </row>
    <row r="406" spans="1:4" x14ac:dyDescent="0.35">
      <c r="A406" s="12"/>
      <c r="B406" s="11"/>
      <c r="C406" s="11"/>
      <c r="D406" s="13"/>
    </row>
    <row r="407" spans="1:4" x14ac:dyDescent="0.35">
      <c r="A407" s="12"/>
      <c r="B407" s="11"/>
      <c r="C407" s="11"/>
      <c r="D407" s="13"/>
    </row>
    <row r="408" spans="1:4" x14ac:dyDescent="0.35">
      <c r="A408" s="12"/>
      <c r="B408" s="11"/>
      <c r="C408" s="11"/>
      <c r="D408" s="13"/>
    </row>
    <row r="409" spans="1:4" x14ac:dyDescent="0.35">
      <c r="A409" s="12"/>
      <c r="B409" s="11"/>
      <c r="C409" s="11"/>
      <c r="D409" s="13"/>
    </row>
    <row r="410" spans="1:4" x14ac:dyDescent="0.35">
      <c r="A410" s="12"/>
      <c r="B410" s="11"/>
      <c r="C410" s="11"/>
      <c r="D410" s="13"/>
    </row>
    <row r="411" spans="1:4" x14ac:dyDescent="0.35">
      <c r="A411" s="12"/>
      <c r="B411" s="11"/>
      <c r="C411" s="11"/>
      <c r="D411" s="13"/>
    </row>
    <row r="412" spans="1:4" x14ac:dyDescent="0.35">
      <c r="A412" s="12"/>
      <c r="B412" s="11"/>
      <c r="C412" s="11"/>
      <c r="D412" s="13"/>
    </row>
    <row r="413" spans="1:4" x14ac:dyDescent="0.35">
      <c r="A413" s="12"/>
      <c r="B413" s="11"/>
      <c r="C413" s="11"/>
      <c r="D413" s="13"/>
    </row>
    <row r="414" spans="1:4" x14ac:dyDescent="0.35">
      <c r="A414" s="12"/>
      <c r="B414" s="11"/>
      <c r="C414" s="11"/>
      <c r="D414" s="13"/>
    </row>
    <row r="415" spans="1:4" x14ac:dyDescent="0.35">
      <c r="A415" s="12"/>
      <c r="B415" s="11"/>
      <c r="C415" s="11"/>
      <c r="D415" s="13"/>
    </row>
    <row r="416" spans="1:4" x14ac:dyDescent="0.35">
      <c r="A416" s="12"/>
      <c r="B416" s="11"/>
      <c r="C416" s="11"/>
      <c r="D416" s="13"/>
    </row>
    <row r="417" spans="1:4" x14ac:dyDescent="0.35">
      <c r="A417" s="12"/>
      <c r="B417" s="11"/>
      <c r="C417" s="11"/>
      <c r="D417" s="13"/>
    </row>
    <row r="418" spans="1:4" x14ac:dyDescent="0.35">
      <c r="A418" s="12"/>
      <c r="B418" s="11"/>
      <c r="C418" s="11"/>
      <c r="D418" s="13"/>
    </row>
    <row r="419" spans="1:4" x14ac:dyDescent="0.35">
      <c r="A419" s="12"/>
      <c r="B419" s="11"/>
      <c r="C419" s="11"/>
      <c r="D419" s="13"/>
    </row>
    <row r="420" spans="1:4" x14ac:dyDescent="0.35">
      <c r="A420" s="12"/>
      <c r="B420" s="11"/>
      <c r="C420" s="11"/>
      <c r="D420" s="13"/>
    </row>
    <row r="421" spans="1:4" x14ac:dyDescent="0.35">
      <c r="A421" s="12"/>
      <c r="B421" s="11"/>
      <c r="C421" s="11"/>
      <c r="D421" s="13"/>
    </row>
    <row r="422" spans="1:4" x14ac:dyDescent="0.35">
      <c r="A422" s="12"/>
      <c r="B422" s="11"/>
      <c r="C422" s="11"/>
      <c r="D422" s="13"/>
    </row>
    <row r="423" spans="1:4" x14ac:dyDescent="0.35">
      <c r="A423" s="12"/>
      <c r="B423" s="11"/>
      <c r="C423" s="11"/>
      <c r="D423" s="13"/>
    </row>
    <row r="424" spans="1:4" x14ac:dyDescent="0.35">
      <c r="A424" s="12"/>
      <c r="B424" s="11"/>
      <c r="C424" s="11"/>
      <c r="D424" s="13"/>
    </row>
    <row r="425" spans="1:4" x14ac:dyDescent="0.35">
      <c r="A425" s="12"/>
      <c r="B425" s="11"/>
      <c r="C425" s="11"/>
      <c r="D425" s="13"/>
    </row>
    <row r="426" spans="1:4" x14ac:dyDescent="0.35">
      <c r="A426" s="12"/>
      <c r="B426" s="11"/>
      <c r="C426" s="11"/>
      <c r="D426" s="13"/>
    </row>
    <row r="427" spans="1:4" x14ac:dyDescent="0.35">
      <c r="A427" s="12"/>
      <c r="B427" s="11"/>
      <c r="C427" s="11"/>
      <c r="D427" s="13"/>
    </row>
    <row r="428" spans="1:4" x14ac:dyDescent="0.35">
      <c r="A428" s="12"/>
      <c r="B428" s="11"/>
      <c r="C428" s="11"/>
      <c r="D428" s="13"/>
    </row>
    <row r="429" spans="1:4" x14ac:dyDescent="0.35">
      <c r="A429" s="12"/>
      <c r="B429" s="11"/>
      <c r="C429" s="11"/>
      <c r="D429" s="13"/>
    </row>
    <row r="430" spans="1:4" x14ac:dyDescent="0.35">
      <c r="A430" s="12"/>
      <c r="B430" s="11"/>
      <c r="C430" s="11"/>
      <c r="D430" s="13"/>
    </row>
    <row r="431" spans="1:4" x14ac:dyDescent="0.35">
      <c r="A431" s="12"/>
      <c r="B431" s="11"/>
      <c r="C431" s="11"/>
      <c r="D431" s="13"/>
    </row>
    <row r="432" spans="1:4" x14ac:dyDescent="0.35">
      <c r="A432" s="12"/>
      <c r="B432" s="11"/>
      <c r="C432" s="11"/>
      <c r="D432" s="13"/>
    </row>
    <row r="433" spans="1:4" x14ac:dyDescent="0.35">
      <c r="A433" s="12"/>
      <c r="B433" s="11"/>
      <c r="C433" s="11"/>
      <c r="D433" s="13"/>
    </row>
    <row r="434" spans="1:4" x14ac:dyDescent="0.35">
      <c r="A434" s="12"/>
      <c r="B434" s="11"/>
      <c r="C434" s="11"/>
      <c r="D434" s="13"/>
    </row>
    <row r="435" spans="1:4" x14ac:dyDescent="0.35">
      <c r="A435" s="12"/>
      <c r="B435" s="11"/>
      <c r="C435" s="11"/>
      <c r="D435" s="13"/>
    </row>
    <row r="436" spans="1:4" x14ac:dyDescent="0.35">
      <c r="A436" s="12"/>
      <c r="B436" s="11"/>
      <c r="C436" s="11"/>
      <c r="D436" s="13"/>
    </row>
    <row r="437" spans="1:4" x14ac:dyDescent="0.35">
      <c r="A437" s="12"/>
      <c r="B437" s="11"/>
      <c r="C437" s="11"/>
      <c r="D437" s="13"/>
    </row>
    <row r="438" spans="1:4" x14ac:dyDescent="0.35">
      <c r="A438" s="12"/>
      <c r="B438" s="11"/>
      <c r="C438" s="11"/>
      <c r="D438" s="13"/>
    </row>
    <row r="439" spans="1:4" x14ac:dyDescent="0.35">
      <c r="A439" s="12"/>
      <c r="B439" s="11"/>
      <c r="C439" s="11"/>
      <c r="D439" s="13"/>
    </row>
    <row r="440" spans="1:4" x14ac:dyDescent="0.35">
      <c r="A440" s="12"/>
      <c r="B440" s="11"/>
      <c r="C440" s="11"/>
      <c r="D440" s="13"/>
    </row>
    <row r="441" spans="1:4" x14ac:dyDescent="0.35">
      <c r="A441" s="12"/>
      <c r="B441" s="11"/>
      <c r="C441" s="11"/>
      <c r="D441" s="13"/>
    </row>
    <row r="442" spans="1:4" x14ac:dyDescent="0.35">
      <c r="A442" s="12"/>
      <c r="B442" s="11"/>
      <c r="C442" s="11"/>
      <c r="D442" s="13"/>
    </row>
    <row r="443" spans="1:4" x14ac:dyDescent="0.35">
      <c r="A443" s="12"/>
      <c r="B443" s="11"/>
      <c r="C443" s="11"/>
      <c r="D443" s="13"/>
    </row>
    <row r="444" spans="1:4" x14ac:dyDescent="0.35">
      <c r="A444" s="12"/>
      <c r="B444" s="11"/>
      <c r="C444" s="11"/>
      <c r="D444" s="13"/>
    </row>
    <row r="445" spans="1:4" x14ac:dyDescent="0.35">
      <c r="A445" s="12"/>
      <c r="B445" s="11"/>
      <c r="C445" s="11"/>
      <c r="D445" s="13"/>
    </row>
    <row r="446" spans="1:4" x14ac:dyDescent="0.35">
      <c r="A446" s="12"/>
      <c r="B446" s="11"/>
      <c r="C446" s="11"/>
      <c r="D446" s="13"/>
    </row>
    <row r="447" spans="1:4" x14ac:dyDescent="0.35">
      <c r="A447" s="12"/>
      <c r="B447" s="11"/>
      <c r="C447" s="11"/>
      <c r="D447" s="13"/>
    </row>
    <row r="448" spans="1:4" x14ac:dyDescent="0.35">
      <c r="A448" s="12"/>
      <c r="B448" s="11"/>
      <c r="C448" s="11"/>
      <c r="D448" s="13"/>
    </row>
    <row r="449" spans="1:4" x14ac:dyDescent="0.35">
      <c r="A449" s="12"/>
      <c r="B449" s="11"/>
      <c r="C449" s="11"/>
      <c r="D449" s="13"/>
    </row>
    <row r="450" spans="1:4" x14ac:dyDescent="0.35">
      <c r="A450" s="12"/>
      <c r="B450" s="11"/>
      <c r="C450" s="11"/>
      <c r="D450" s="13"/>
    </row>
    <row r="451" spans="1:4" x14ac:dyDescent="0.35">
      <c r="A451" s="12"/>
      <c r="B451" s="11"/>
      <c r="C451" s="11"/>
      <c r="D451" s="13"/>
    </row>
    <row r="452" spans="1:4" x14ac:dyDescent="0.35">
      <c r="A452" s="12"/>
      <c r="B452" s="11"/>
      <c r="C452" s="11"/>
      <c r="D452" s="13"/>
    </row>
    <row r="453" spans="1:4" x14ac:dyDescent="0.35">
      <c r="A453" s="12"/>
      <c r="B453" s="11"/>
      <c r="C453" s="11"/>
      <c r="D453" s="13"/>
    </row>
    <row r="454" spans="1:4" x14ac:dyDescent="0.35">
      <c r="A454" s="12"/>
      <c r="B454" s="11"/>
      <c r="C454" s="11"/>
      <c r="D454" s="13"/>
    </row>
    <row r="455" spans="1:4" x14ac:dyDescent="0.35">
      <c r="A455" s="12"/>
      <c r="B455" s="11"/>
      <c r="C455" s="11"/>
      <c r="D455" s="13"/>
    </row>
    <row r="456" spans="1:4" x14ac:dyDescent="0.35">
      <c r="A456" s="12"/>
      <c r="B456" s="11"/>
      <c r="C456" s="11"/>
      <c r="D456" s="13"/>
    </row>
    <row r="457" spans="1:4" x14ac:dyDescent="0.35">
      <c r="A457" s="12"/>
      <c r="B457" s="11"/>
      <c r="C457" s="11"/>
      <c r="D457" s="13"/>
    </row>
    <row r="458" spans="1:4" x14ac:dyDescent="0.35">
      <c r="A458" s="12"/>
      <c r="B458" s="11"/>
      <c r="C458" s="11"/>
      <c r="D458" s="13"/>
    </row>
    <row r="459" spans="1:4" x14ac:dyDescent="0.35">
      <c r="A459" s="12"/>
      <c r="B459" s="11"/>
      <c r="C459" s="11"/>
      <c r="D459" s="13"/>
    </row>
    <row r="460" spans="1:4" x14ac:dyDescent="0.35">
      <c r="A460" s="12"/>
      <c r="B460" s="11"/>
      <c r="C460" s="11"/>
      <c r="D460" s="13"/>
    </row>
    <row r="461" spans="1:4" x14ac:dyDescent="0.35">
      <c r="A461" s="12"/>
      <c r="B461" s="11"/>
      <c r="C461" s="11"/>
      <c r="D461" s="13"/>
    </row>
    <row r="462" spans="1:4" x14ac:dyDescent="0.35">
      <c r="A462" s="12"/>
      <c r="B462" s="11"/>
      <c r="C462" s="11"/>
      <c r="D462" s="13"/>
    </row>
    <row r="463" spans="1:4" x14ac:dyDescent="0.35">
      <c r="A463" s="12"/>
      <c r="B463" s="11"/>
      <c r="C463" s="11"/>
      <c r="D463" s="13"/>
    </row>
    <row r="464" spans="1:4" x14ac:dyDescent="0.35">
      <c r="A464" s="12"/>
      <c r="B464" s="11"/>
      <c r="C464" s="11"/>
      <c r="D464" s="13"/>
    </row>
    <row r="465" spans="1:4" x14ac:dyDescent="0.35">
      <c r="A465" s="12"/>
      <c r="B465" s="11"/>
      <c r="C465" s="11"/>
      <c r="D465" s="13"/>
    </row>
    <row r="466" spans="1:4" x14ac:dyDescent="0.35">
      <c r="A466" s="12"/>
      <c r="B466" s="11"/>
      <c r="C466" s="11"/>
      <c r="D466" s="13"/>
    </row>
    <row r="467" spans="1:4" x14ac:dyDescent="0.35">
      <c r="A467" s="12"/>
      <c r="B467" s="11"/>
      <c r="C467" s="11"/>
      <c r="D467" s="13"/>
    </row>
    <row r="468" spans="1:4" x14ac:dyDescent="0.35">
      <c r="A468" s="12"/>
      <c r="B468" s="11"/>
      <c r="C468" s="11"/>
      <c r="D468" s="13"/>
    </row>
    <row r="469" spans="1:4" x14ac:dyDescent="0.35">
      <c r="A469" s="12"/>
      <c r="B469" s="11"/>
      <c r="C469" s="11"/>
      <c r="D469" s="13"/>
    </row>
    <row r="470" spans="1:4" x14ac:dyDescent="0.35">
      <c r="A470" s="12"/>
      <c r="B470" s="11"/>
      <c r="C470" s="11"/>
      <c r="D470" s="13"/>
    </row>
    <row r="471" spans="1:4" x14ac:dyDescent="0.35">
      <c r="A471" s="12"/>
      <c r="B471" s="11"/>
      <c r="C471" s="11"/>
      <c r="D471" s="13"/>
    </row>
    <row r="472" spans="1:4" x14ac:dyDescent="0.35">
      <c r="A472" s="12"/>
      <c r="B472" s="11"/>
      <c r="C472" s="11"/>
      <c r="D472" s="13"/>
    </row>
    <row r="473" spans="1:4" x14ac:dyDescent="0.35">
      <c r="A473" s="12"/>
      <c r="B473" s="11"/>
      <c r="C473" s="11"/>
      <c r="D473" s="13"/>
    </row>
    <row r="474" spans="1:4" x14ac:dyDescent="0.35">
      <c r="A474" s="12"/>
      <c r="B474" s="11"/>
      <c r="C474" s="11"/>
      <c r="D474" s="13"/>
    </row>
    <row r="475" spans="1:4" x14ac:dyDescent="0.35">
      <c r="A475" s="12"/>
      <c r="B475" s="11"/>
      <c r="C475" s="11"/>
      <c r="D475" s="13"/>
    </row>
    <row r="476" spans="1:4" x14ac:dyDescent="0.35">
      <c r="A476" s="12"/>
      <c r="B476" s="11"/>
      <c r="C476" s="11"/>
      <c r="D476" s="13"/>
    </row>
    <row r="477" spans="1:4" x14ac:dyDescent="0.35">
      <c r="A477" s="12"/>
      <c r="B477" s="11"/>
      <c r="C477" s="11"/>
      <c r="D477" s="13"/>
    </row>
    <row r="478" spans="1:4" x14ac:dyDescent="0.35">
      <c r="A478" s="12"/>
      <c r="B478" s="11"/>
      <c r="C478" s="11"/>
      <c r="D478" s="13"/>
    </row>
    <row r="479" spans="1:4" x14ac:dyDescent="0.35">
      <c r="A479" s="12"/>
      <c r="B479" s="11"/>
      <c r="C479" s="11"/>
      <c r="D479" s="13"/>
    </row>
    <row r="480" spans="1:4" x14ac:dyDescent="0.35">
      <c r="A480" s="12"/>
      <c r="B480" s="11"/>
      <c r="C480" s="11"/>
      <c r="D480" s="13"/>
    </row>
    <row r="481" spans="1:4" x14ac:dyDescent="0.35">
      <c r="A481" s="12"/>
      <c r="B481" s="11"/>
      <c r="C481" s="11"/>
      <c r="D481" s="13"/>
    </row>
    <row r="482" spans="1:4" x14ac:dyDescent="0.35">
      <c r="A482" s="12"/>
      <c r="B482" s="11"/>
      <c r="C482" s="11"/>
      <c r="D482" s="13"/>
    </row>
    <row r="483" spans="1:4" x14ac:dyDescent="0.35">
      <c r="A483" s="12"/>
      <c r="B483" s="11"/>
      <c r="C483" s="11"/>
      <c r="D483" s="13"/>
    </row>
    <row r="484" spans="1:4" x14ac:dyDescent="0.35">
      <c r="A484" s="12"/>
      <c r="B484" s="11"/>
      <c r="C484" s="11"/>
      <c r="D484" s="13"/>
    </row>
    <row r="485" spans="1:4" x14ac:dyDescent="0.35">
      <c r="A485" s="12"/>
      <c r="B485" s="11"/>
      <c r="C485" s="11"/>
      <c r="D485" s="13"/>
    </row>
    <row r="486" spans="1:4" x14ac:dyDescent="0.35">
      <c r="A486" s="12"/>
      <c r="B486" s="11"/>
      <c r="C486" s="11"/>
      <c r="D486" s="13"/>
    </row>
    <row r="487" spans="1:4" x14ac:dyDescent="0.35">
      <c r="A487" s="12"/>
      <c r="B487" s="11"/>
      <c r="C487" s="11"/>
      <c r="D487" s="13"/>
    </row>
    <row r="488" spans="1:4" x14ac:dyDescent="0.35">
      <c r="A488" s="12"/>
      <c r="B488" s="11"/>
      <c r="C488" s="11"/>
      <c r="D488" s="13"/>
    </row>
    <row r="489" spans="1:4" x14ac:dyDescent="0.35">
      <c r="A489" s="12"/>
      <c r="B489" s="11"/>
      <c r="C489" s="11"/>
      <c r="D489" s="13"/>
    </row>
    <row r="490" spans="1:4" x14ac:dyDescent="0.35">
      <c r="A490" s="12"/>
      <c r="B490" s="11"/>
      <c r="C490" s="11"/>
      <c r="D490" s="13"/>
    </row>
    <row r="491" spans="1:4" x14ac:dyDescent="0.35">
      <c r="A491" s="12"/>
      <c r="B491" s="11"/>
      <c r="C491" s="11"/>
      <c r="D491" s="13"/>
    </row>
    <row r="492" spans="1:4" x14ac:dyDescent="0.35">
      <c r="A492" s="12"/>
      <c r="B492" s="11"/>
      <c r="C492" s="11"/>
      <c r="D492" s="13"/>
    </row>
    <row r="493" spans="1:4" x14ac:dyDescent="0.35">
      <c r="A493" s="12"/>
      <c r="B493" s="11"/>
      <c r="C493" s="11"/>
      <c r="D493" s="13"/>
    </row>
    <row r="494" spans="1:4" x14ac:dyDescent="0.35">
      <c r="A494" s="12"/>
      <c r="B494" s="11"/>
      <c r="C494" s="11"/>
      <c r="D494" s="13"/>
    </row>
    <row r="495" spans="1:4" x14ac:dyDescent="0.35">
      <c r="A495" s="12"/>
      <c r="B495" s="11"/>
      <c r="C495" s="11"/>
      <c r="D495" s="13"/>
    </row>
    <row r="496" spans="1:4" x14ac:dyDescent="0.35">
      <c r="A496" s="12"/>
      <c r="B496" s="11"/>
      <c r="C496" s="11"/>
      <c r="D496" s="13"/>
    </row>
    <row r="497" spans="1:4" x14ac:dyDescent="0.35">
      <c r="A497" s="12"/>
      <c r="B497" s="11"/>
      <c r="C497" s="11"/>
      <c r="D497" s="13"/>
    </row>
    <row r="498" spans="1:4" x14ac:dyDescent="0.35">
      <c r="A498" s="12"/>
      <c r="B498" s="11"/>
      <c r="C498" s="11"/>
      <c r="D498" s="13"/>
    </row>
    <row r="499" spans="1:4" x14ac:dyDescent="0.35">
      <c r="A499" s="12"/>
      <c r="B499" s="11"/>
      <c r="C499" s="11"/>
      <c r="D499" s="13"/>
    </row>
    <row r="500" spans="1:4" x14ac:dyDescent="0.35">
      <c r="A500" s="12"/>
      <c r="B500" s="11"/>
      <c r="C500" s="11"/>
      <c r="D500" s="13"/>
    </row>
    <row r="501" spans="1:4" x14ac:dyDescent="0.35">
      <c r="A501" s="12"/>
      <c r="B501" s="11"/>
      <c r="C501" s="11"/>
      <c r="D501" s="13"/>
    </row>
    <row r="502" spans="1:4" x14ac:dyDescent="0.35">
      <c r="A502" s="12"/>
      <c r="B502" s="11"/>
      <c r="C502" s="11"/>
      <c r="D502" s="13"/>
    </row>
    <row r="503" spans="1:4" x14ac:dyDescent="0.35">
      <c r="A503" s="12"/>
      <c r="B503" s="11"/>
      <c r="C503" s="11"/>
      <c r="D503" s="13"/>
    </row>
    <row r="504" spans="1:4" x14ac:dyDescent="0.35">
      <c r="A504" s="12"/>
      <c r="B504" s="11"/>
      <c r="C504" s="11"/>
      <c r="D504" s="13"/>
    </row>
  </sheetData>
  <conditionalFormatting sqref="A5:A504">
    <cfRule type="expression" dxfId="7" priority="1">
      <formula>AND(OR(A5&lt;&gt;"",B5&lt;&gt;"",D5&lt;&gt;""),NOT(ISNUMBER(A5)))</formula>
    </cfRule>
  </conditionalFormatting>
  <conditionalFormatting sqref="D5:D504">
    <cfRule type="expression" dxfId="5" priority="3">
      <formula>AND(OR(A5&lt;&gt;"",B5&lt;&gt;"",D5&lt;&gt;""),NOT(ISNUMBER(D5)))</formula>
    </cfRule>
  </conditionalFormatting>
  <dataValidations count="2">
    <dataValidation type="date" operator="greaterThan" allowBlank="1" showErrorMessage="1" errorTitle="Date" error="Enter a real date, e.g. 1/31/2026." sqref="A5:A504" xr:uid="{00000000-0002-0000-0300-000001000000}">
      <formula1>1</formula1>
    </dataValidation>
    <dataValidation type="decimal" allowBlank="1" showErrorMessage="1" errorTitle="Amount" error="Enter a number only. Use a negative number for a refund." sqref="D5:D504" xr:uid="{00000000-0002-0000-0300-000002000000}">
      <formula1>-100000000</formula1>
      <formula2>100000000</formula2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300-000002000000}">
            <xm:f>AND(OR(A5&lt;&gt;"",B5&lt;&gt;"",D5&lt;&gt;""),OR(B5="",COUNTIF(Lists!$D$2:$D$12,B5)=0))</xm:f>
            <x14:dxf>
              <fill>
                <patternFill patternType="solid">
                  <fgColor rgb="FFF8C9C4"/>
                  <bgColor rgb="FFF8C9C4"/>
                </patternFill>
              </fill>
            </x14:dxf>
          </x14:cfRule>
          <xm:sqref>B5:B504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Pick a category from the list" xr:uid="{00000000-0002-0000-0300-000000000000}">
          <x14:formula1>
            <xm:f>Lists!$D$2:$D$12</xm:f>
          </x14:formula1>
          <xm:sqref>B5:B504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6F62"/>
  </sheetPr>
  <dimension ref="A1:K21"/>
  <sheetViews>
    <sheetView showGridLines="0" workbookViewId="0"/>
  </sheetViews>
  <sheetFormatPr defaultRowHeight="14.5" x14ac:dyDescent="0.35"/>
  <cols>
    <col min="1" max="1" width="3" customWidth="1"/>
    <col min="2" max="2" width="10" customWidth="1"/>
    <col min="3" max="3" width="9" customWidth="1"/>
    <col min="4" max="9" width="14" customWidth="1"/>
    <col min="10" max="10" width="10" customWidth="1"/>
    <col min="11" max="11" width="14" customWidth="1"/>
  </cols>
  <sheetData>
    <row r="1" spans="1:11" ht="23" x14ac:dyDescent="0.5">
      <c r="A1" s="1" t="s">
        <v>101</v>
      </c>
    </row>
    <row r="3" spans="1:11" x14ac:dyDescent="0.35">
      <c r="B3" s="19" t="s">
        <v>28</v>
      </c>
      <c r="C3" s="20">
        <f>Dashboard!C3</f>
        <v>2026</v>
      </c>
      <c r="D3" s="7" t="s">
        <v>102</v>
      </c>
    </row>
    <row r="5" spans="1:11" ht="30" customHeight="1" x14ac:dyDescent="0.35">
      <c r="B5" s="10" t="s">
        <v>30</v>
      </c>
      <c r="C5" s="10" t="s">
        <v>103</v>
      </c>
      <c r="D5" s="10" t="s">
        <v>31</v>
      </c>
      <c r="E5" s="10" t="s">
        <v>81</v>
      </c>
      <c r="F5" s="10" t="s">
        <v>104</v>
      </c>
      <c r="G5" s="10" t="s">
        <v>105</v>
      </c>
      <c r="H5" s="10" t="s">
        <v>94</v>
      </c>
      <c r="I5" s="10" t="s">
        <v>32</v>
      </c>
      <c r="J5" s="10" t="s">
        <v>106</v>
      </c>
      <c r="K5" s="10" t="s">
        <v>33</v>
      </c>
    </row>
    <row r="6" spans="1:11" x14ac:dyDescent="0.35">
      <c r="B6" s="21" t="s">
        <v>37</v>
      </c>
      <c r="C6" s="22">
        <f>Calc!C3</f>
        <v>1</v>
      </c>
      <c r="D6" s="21">
        <f>Calc!G3</f>
        <v>50</v>
      </c>
      <c r="E6" s="21">
        <f>Calc!H3</f>
        <v>7.2000000000000011</v>
      </c>
      <c r="F6" s="21">
        <f>Calc!I3</f>
        <v>7.5</v>
      </c>
      <c r="G6" s="21">
        <f>Calc!J3</f>
        <v>6</v>
      </c>
      <c r="H6" s="21">
        <f>Calc!K3</f>
        <v>14.99</v>
      </c>
      <c r="I6" s="21">
        <f>Calc!L3</f>
        <v>14.309999999999997</v>
      </c>
      <c r="J6" s="23">
        <f>Calc!M3</f>
        <v>0.28619999999999995</v>
      </c>
      <c r="K6" s="21">
        <f>Calc!N3</f>
        <v>9</v>
      </c>
    </row>
    <row r="7" spans="1:11" x14ac:dyDescent="0.35">
      <c r="B7" s="24" t="s">
        <v>38</v>
      </c>
      <c r="C7" s="25">
        <f>Calc!C4</f>
        <v>0</v>
      </c>
      <c r="D7" s="24">
        <f>Calc!G4</f>
        <v>0</v>
      </c>
      <c r="E7" s="24">
        <f>Calc!H4</f>
        <v>0</v>
      </c>
      <c r="F7" s="24">
        <f>Calc!I4</f>
        <v>0</v>
      </c>
      <c r="G7" s="24">
        <f>Calc!J4</f>
        <v>0</v>
      </c>
      <c r="H7" s="24">
        <f>Calc!K4</f>
        <v>0</v>
      </c>
      <c r="I7" s="24">
        <f>Calc!L4</f>
        <v>0</v>
      </c>
      <c r="J7" s="26">
        <f>Calc!M4</f>
        <v>0</v>
      </c>
      <c r="K7" s="24">
        <f>Calc!N4</f>
        <v>0</v>
      </c>
    </row>
    <row r="8" spans="1:11" x14ac:dyDescent="0.35">
      <c r="B8" s="21" t="s">
        <v>39</v>
      </c>
      <c r="C8" s="22">
        <f>Calc!C5</f>
        <v>0</v>
      </c>
      <c r="D8" s="21">
        <f>Calc!G5</f>
        <v>0</v>
      </c>
      <c r="E8" s="21">
        <f>Calc!H5</f>
        <v>0</v>
      </c>
      <c r="F8" s="21">
        <f>Calc!I5</f>
        <v>0</v>
      </c>
      <c r="G8" s="21">
        <f>Calc!J5</f>
        <v>0</v>
      </c>
      <c r="H8" s="21">
        <f>Calc!K5</f>
        <v>0</v>
      </c>
      <c r="I8" s="21">
        <f>Calc!L5</f>
        <v>0</v>
      </c>
      <c r="J8" s="23">
        <f>Calc!M5</f>
        <v>0</v>
      </c>
      <c r="K8" s="21">
        <f>Calc!N5</f>
        <v>0</v>
      </c>
    </row>
    <row r="9" spans="1:11" x14ac:dyDescent="0.35">
      <c r="B9" s="24" t="s">
        <v>40</v>
      </c>
      <c r="C9" s="25">
        <f>Calc!C6</f>
        <v>0</v>
      </c>
      <c r="D9" s="24">
        <f>Calc!G6</f>
        <v>0</v>
      </c>
      <c r="E9" s="24">
        <f>Calc!H6</f>
        <v>0</v>
      </c>
      <c r="F9" s="24">
        <f>Calc!I6</f>
        <v>0</v>
      </c>
      <c r="G9" s="24">
        <f>Calc!J6</f>
        <v>0</v>
      </c>
      <c r="H9" s="24">
        <f>Calc!K6</f>
        <v>0</v>
      </c>
      <c r="I9" s="24">
        <f>Calc!L6</f>
        <v>0</v>
      </c>
      <c r="J9" s="26">
        <f>Calc!M6</f>
        <v>0</v>
      </c>
      <c r="K9" s="24">
        <f>Calc!N6</f>
        <v>0</v>
      </c>
    </row>
    <row r="10" spans="1:11" x14ac:dyDescent="0.35">
      <c r="B10" s="21" t="s">
        <v>44</v>
      </c>
      <c r="C10" s="22">
        <f>Calc!C7</f>
        <v>0</v>
      </c>
      <c r="D10" s="21">
        <f>Calc!G7</f>
        <v>0</v>
      </c>
      <c r="E10" s="21">
        <f>Calc!H7</f>
        <v>0</v>
      </c>
      <c r="F10" s="21">
        <f>Calc!I7</f>
        <v>0</v>
      </c>
      <c r="G10" s="21">
        <f>Calc!J7</f>
        <v>0</v>
      </c>
      <c r="H10" s="21">
        <f>Calc!K7</f>
        <v>0</v>
      </c>
      <c r="I10" s="21">
        <f>Calc!L7</f>
        <v>0</v>
      </c>
      <c r="J10" s="23">
        <f>Calc!M7</f>
        <v>0</v>
      </c>
      <c r="K10" s="21">
        <f>Calc!N7</f>
        <v>0</v>
      </c>
    </row>
    <row r="11" spans="1:11" x14ac:dyDescent="0.35">
      <c r="B11" s="24" t="s">
        <v>45</v>
      </c>
      <c r="C11" s="25">
        <f>Calc!C8</f>
        <v>0</v>
      </c>
      <c r="D11" s="24">
        <f>Calc!G8</f>
        <v>0</v>
      </c>
      <c r="E11" s="24">
        <f>Calc!H8</f>
        <v>0</v>
      </c>
      <c r="F11" s="24">
        <f>Calc!I8</f>
        <v>0</v>
      </c>
      <c r="G11" s="24">
        <f>Calc!J8</f>
        <v>0</v>
      </c>
      <c r="H11" s="24">
        <f>Calc!K8</f>
        <v>0</v>
      </c>
      <c r="I11" s="24">
        <f>Calc!L8</f>
        <v>0</v>
      </c>
      <c r="J11" s="26">
        <f>Calc!M8</f>
        <v>0</v>
      </c>
      <c r="K11" s="24">
        <f>Calc!N8</f>
        <v>0</v>
      </c>
    </row>
    <row r="12" spans="1:11" x14ac:dyDescent="0.35">
      <c r="B12" s="21" t="s">
        <v>46</v>
      </c>
      <c r="C12" s="22">
        <f>Calc!C9</f>
        <v>0</v>
      </c>
      <c r="D12" s="21">
        <f>Calc!G9</f>
        <v>0</v>
      </c>
      <c r="E12" s="21">
        <f>Calc!H9</f>
        <v>0</v>
      </c>
      <c r="F12" s="21">
        <f>Calc!I9</f>
        <v>0</v>
      </c>
      <c r="G12" s="21">
        <f>Calc!J9</f>
        <v>0</v>
      </c>
      <c r="H12" s="21">
        <f>Calc!K9</f>
        <v>0</v>
      </c>
      <c r="I12" s="21">
        <f>Calc!L9</f>
        <v>0</v>
      </c>
      <c r="J12" s="23">
        <f>Calc!M9</f>
        <v>0</v>
      </c>
      <c r="K12" s="21">
        <f>Calc!N9</f>
        <v>0</v>
      </c>
    </row>
    <row r="13" spans="1:11" x14ac:dyDescent="0.35">
      <c r="B13" s="24" t="s">
        <v>47</v>
      </c>
      <c r="C13" s="25">
        <f>Calc!C10</f>
        <v>0</v>
      </c>
      <c r="D13" s="24">
        <f>Calc!G10</f>
        <v>0</v>
      </c>
      <c r="E13" s="24">
        <f>Calc!H10</f>
        <v>0</v>
      </c>
      <c r="F13" s="24">
        <f>Calc!I10</f>
        <v>0</v>
      </c>
      <c r="G13" s="24">
        <f>Calc!J10</f>
        <v>0</v>
      </c>
      <c r="H13" s="24">
        <f>Calc!K10</f>
        <v>0</v>
      </c>
      <c r="I13" s="24">
        <f>Calc!L10</f>
        <v>0</v>
      </c>
      <c r="J13" s="26">
        <f>Calc!M10</f>
        <v>0</v>
      </c>
      <c r="K13" s="24">
        <f>Calc!N10</f>
        <v>0</v>
      </c>
    </row>
    <row r="14" spans="1:11" x14ac:dyDescent="0.35">
      <c r="B14" s="21" t="s">
        <v>51</v>
      </c>
      <c r="C14" s="22">
        <f>Calc!C11</f>
        <v>0</v>
      </c>
      <c r="D14" s="21">
        <f>Calc!G11</f>
        <v>0</v>
      </c>
      <c r="E14" s="21">
        <f>Calc!H11</f>
        <v>0</v>
      </c>
      <c r="F14" s="21">
        <f>Calc!I11</f>
        <v>0</v>
      </c>
      <c r="G14" s="21">
        <f>Calc!J11</f>
        <v>0</v>
      </c>
      <c r="H14" s="21">
        <f>Calc!K11</f>
        <v>0</v>
      </c>
      <c r="I14" s="21">
        <f>Calc!L11</f>
        <v>0</v>
      </c>
      <c r="J14" s="23">
        <f>Calc!M11</f>
        <v>0</v>
      </c>
      <c r="K14" s="21">
        <f>Calc!N11</f>
        <v>0</v>
      </c>
    </row>
    <row r="15" spans="1:11" x14ac:dyDescent="0.35">
      <c r="B15" s="24" t="s">
        <v>52</v>
      </c>
      <c r="C15" s="25">
        <f>Calc!C12</f>
        <v>0</v>
      </c>
      <c r="D15" s="24">
        <f>Calc!G12</f>
        <v>0</v>
      </c>
      <c r="E15" s="24">
        <f>Calc!H12</f>
        <v>0</v>
      </c>
      <c r="F15" s="24">
        <f>Calc!I12</f>
        <v>0</v>
      </c>
      <c r="G15" s="24">
        <f>Calc!J12</f>
        <v>0</v>
      </c>
      <c r="H15" s="24">
        <f>Calc!K12</f>
        <v>0</v>
      </c>
      <c r="I15" s="24">
        <f>Calc!L12</f>
        <v>0</v>
      </c>
      <c r="J15" s="26">
        <f>Calc!M12</f>
        <v>0</v>
      </c>
      <c r="K15" s="24">
        <f>Calc!N12</f>
        <v>0</v>
      </c>
    </row>
    <row r="16" spans="1:11" x14ac:dyDescent="0.35">
      <c r="B16" s="21" t="s">
        <v>53</v>
      </c>
      <c r="C16" s="22">
        <f>Calc!C13</f>
        <v>0</v>
      </c>
      <c r="D16" s="21">
        <f>Calc!G13</f>
        <v>0</v>
      </c>
      <c r="E16" s="21">
        <f>Calc!H13</f>
        <v>0</v>
      </c>
      <c r="F16" s="21">
        <f>Calc!I13</f>
        <v>0</v>
      </c>
      <c r="G16" s="21">
        <f>Calc!J13</f>
        <v>0</v>
      </c>
      <c r="H16" s="21">
        <f>Calc!K13</f>
        <v>0</v>
      </c>
      <c r="I16" s="21">
        <f>Calc!L13</f>
        <v>0</v>
      </c>
      <c r="J16" s="23">
        <f>Calc!M13</f>
        <v>0</v>
      </c>
      <c r="K16" s="21">
        <f>Calc!N13</f>
        <v>0</v>
      </c>
    </row>
    <row r="17" spans="2:11" x14ac:dyDescent="0.35">
      <c r="B17" s="24" t="s">
        <v>55</v>
      </c>
      <c r="C17" s="25">
        <f>Calc!C14</f>
        <v>0</v>
      </c>
      <c r="D17" s="24">
        <f>Calc!G14</f>
        <v>0</v>
      </c>
      <c r="E17" s="24">
        <f>Calc!H14</f>
        <v>0</v>
      </c>
      <c r="F17" s="24">
        <f>Calc!I14</f>
        <v>0</v>
      </c>
      <c r="G17" s="24">
        <f>Calc!J14</f>
        <v>0</v>
      </c>
      <c r="H17" s="24">
        <f>Calc!K14</f>
        <v>0</v>
      </c>
      <c r="I17" s="24">
        <f>Calc!L14</f>
        <v>0</v>
      </c>
      <c r="J17" s="26">
        <f>Calc!M14</f>
        <v>0</v>
      </c>
      <c r="K17" s="24">
        <f>Calc!N14</f>
        <v>0</v>
      </c>
    </row>
    <row r="18" spans="2:11" x14ac:dyDescent="0.35">
      <c r="B18" s="27" t="s">
        <v>107</v>
      </c>
      <c r="C18" s="28">
        <f>Calc!C15</f>
        <v>1</v>
      </c>
      <c r="D18" s="27">
        <f>Calc!G15</f>
        <v>50</v>
      </c>
      <c r="E18" s="27">
        <f>Calc!H15</f>
        <v>7.2000000000000011</v>
      </c>
      <c r="F18" s="27">
        <f>Calc!I15</f>
        <v>7.5</v>
      </c>
      <c r="G18" s="27">
        <f>Calc!J15</f>
        <v>6</v>
      </c>
      <c r="H18" s="27">
        <f>Calc!K15</f>
        <v>14.99</v>
      </c>
      <c r="I18" s="27">
        <f>Calc!L15</f>
        <v>14.309999999999997</v>
      </c>
      <c r="J18" s="29">
        <f>Calc!M15</f>
        <v>0.28619999999999995</v>
      </c>
      <c r="K18" s="27">
        <f>Calc!N15</f>
        <v>9</v>
      </c>
    </row>
    <row r="20" spans="2:11" x14ac:dyDescent="0.35">
      <c r="B20" s="7" t="s">
        <v>108</v>
      </c>
    </row>
    <row r="21" spans="2:11" x14ac:dyDescent="0.35">
      <c r="B21" s="7" t="s">
        <v>109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6F62"/>
  </sheetPr>
  <dimension ref="A1:H21"/>
  <sheetViews>
    <sheetView showGridLines="0" workbookViewId="0"/>
  </sheetViews>
  <sheetFormatPr defaultRowHeight="14.5" x14ac:dyDescent="0.35"/>
  <cols>
    <col min="1" max="1" width="3" customWidth="1"/>
    <col min="2" max="2" width="40" customWidth="1"/>
    <col min="3" max="3" width="18" customWidth="1"/>
    <col min="4" max="4" width="4" customWidth="1"/>
    <col min="5" max="5" width="22" customWidth="1"/>
    <col min="6" max="6" width="14" customWidth="1"/>
    <col min="7" max="8" width="16" customWidth="1"/>
  </cols>
  <sheetData>
    <row r="1" spans="1:8" ht="23" x14ac:dyDescent="0.5">
      <c r="A1" s="1" t="s">
        <v>110</v>
      </c>
    </row>
    <row r="2" spans="1:8" x14ac:dyDescent="0.35">
      <c r="A2" s="2" t="s">
        <v>111</v>
      </c>
    </row>
    <row r="4" spans="1:8" ht="26" x14ac:dyDescent="0.35">
      <c r="B4" s="10" t="s">
        <v>112</v>
      </c>
      <c r="C4" s="10"/>
      <c r="E4" s="10" t="s">
        <v>113</v>
      </c>
      <c r="F4" s="10" t="s">
        <v>58</v>
      </c>
      <c r="G4" s="10" t="s">
        <v>114</v>
      </c>
      <c r="H4" s="10" t="s">
        <v>115</v>
      </c>
    </row>
    <row r="5" spans="1:8" x14ac:dyDescent="0.35">
      <c r="B5" s="14" t="s">
        <v>116</v>
      </c>
      <c r="C5" s="30" t="s">
        <v>88</v>
      </c>
      <c r="E5" s="14" t="str">
        <f>IF(Platforms!B5="","",Platforms!B5)</f>
        <v>eBay</v>
      </c>
      <c r="F5" s="21">
        <f>IF(E5="","",IFERROR(IF(N($C$6)=0,0,IF(N($C$6)&lt;N(INDEX(Platforms!$G$5:$G$14,1)),N(INDEX(Platforms!$H$5:$H$14,1)),MAX(N(INDEX(Platforms!$F$5:$F$14,1)),N(INDEX(Platforms!$C$5:$C$14,1))*(N($C$6)+IF(INDEX(Platforms!$E$5:$E$14,1)="Yes",N($C$7),0))+N(INDEX(Platforms!$D$5:$D$14,1))))),0))</f>
        <v>6.9280000000000008</v>
      </c>
      <c r="G5" s="21">
        <f t="shared" ref="G5:G14" si="0">IF(E5="","",N($C$6)+N($C$7)-F5-N($C$8))</f>
        <v>33.072000000000003</v>
      </c>
      <c r="H5" s="21">
        <f t="shared" ref="H5:H14" si="1">IF(E5="","",MAX(0,G5-N($C$9)-N($C$10)))</f>
        <v>16.072000000000003</v>
      </c>
    </row>
    <row r="6" spans="1:8" x14ac:dyDescent="0.35">
      <c r="B6" s="14" t="s">
        <v>117</v>
      </c>
      <c r="C6" s="13">
        <v>40</v>
      </c>
      <c r="E6" s="14" t="str">
        <f>IF(Platforms!B6="","",Platforms!B6)</f>
        <v>Poshmark</v>
      </c>
      <c r="F6" s="21">
        <f>IF(E6="","",IFERROR(IF(N($C$6)=0,0,IF(N($C$6)&lt;N(INDEX(Platforms!$G$5:$G$14,2)),N(INDEX(Platforms!$H$5:$H$14,2)),MAX(N(INDEX(Platforms!$F$5:$F$14,2)),N(INDEX(Platforms!$C$5:$C$14,2))*(N($C$6)+IF(INDEX(Platforms!$E$5:$E$14,2)="Yes",N($C$7),0))+N(INDEX(Platforms!$D$5:$D$14,2))))),0))</f>
        <v>8</v>
      </c>
      <c r="G6" s="21">
        <f t="shared" si="0"/>
        <v>32</v>
      </c>
      <c r="H6" s="21">
        <f t="shared" si="1"/>
        <v>15</v>
      </c>
    </row>
    <row r="7" spans="1:8" x14ac:dyDescent="0.35">
      <c r="B7" s="14" t="s">
        <v>118</v>
      </c>
      <c r="C7" s="13">
        <v>8</v>
      </c>
      <c r="E7" s="14" t="str">
        <f>IF(Platforms!B7="","",Platforms!B7)</f>
        <v>Mercari</v>
      </c>
      <c r="F7" s="21">
        <f>IF(E7="","",IFERROR(IF(N($C$6)=0,0,IF(N($C$6)&lt;N(INDEX(Platforms!$G$5:$G$14,3)),N(INDEX(Platforms!$H$5:$H$14,3)),MAX(N(INDEX(Platforms!$F$5:$F$14,3)),N(INDEX(Platforms!$C$5:$C$14,3))*(N($C$6)+IF(INDEX(Platforms!$E$5:$E$14,3)="Yes",N($C$7),0))+N(INDEX(Platforms!$D$5:$D$14,3))))),0))</f>
        <v>4.8000000000000007</v>
      </c>
      <c r="G7" s="21">
        <f t="shared" si="0"/>
        <v>35.200000000000003</v>
      </c>
      <c r="H7" s="21">
        <f t="shared" si="1"/>
        <v>18.200000000000003</v>
      </c>
    </row>
    <row r="8" spans="1:8" x14ac:dyDescent="0.35">
      <c r="B8" s="14" t="s">
        <v>119</v>
      </c>
      <c r="C8" s="13">
        <v>8</v>
      </c>
      <c r="E8" s="14" t="str">
        <f>IF(Platforms!B8="","",Platforms!B8)</f>
        <v>Depop</v>
      </c>
      <c r="F8" s="21">
        <f>IF(E8="","",IFERROR(IF(N($C$6)=0,0,IF(N($C$6)&lt;N(INDEX(Platforms!$G$5:$G$14,4)),N(INDEX(Platforms!$H$5:$H$14,4)),MAX(N(INDEX(Platforms!$F$5:$F$14,4)),N(INDEX(Platforms!$C$5:$C$14,4))*(N($C$6)+IF(INDEX(Platforms!$E$5:$E$14,4)="Yes",N($C$7),0))+N(INDEX(Platforms!$D$5:$D$14,4))))),0))</f>
        <v>2.0340000000000003</v>
      </c>
      <c r="G8" s="21">
        <f t="shared" si="0"/>
        <v>37.966000000000001</v>
      </c>
      <c r="H8" s="21">
        <f t="shared" si="1"/>
        <v>20.966000000000001</v>
      </c>
    </row>
    <row r="9" spans="1:8" x14ac:dyDescent="0.35">
      <c r="B9" s="14" t="s">
        <v>120</v>
      </c>
      <c r="C9" s="13">
        <v>2</v>
      </c>
      <c r="E9" s="14" t="str">
        <f>IF(Platforms!B9="","",Platforms!B9)</f>
        <v>Facebook Marketplace</v>
      </c>
      <c r="F9" s="21">
        <f>IF(E9="","",IFERROR(IF(N($C$6)=0,0,IF(N($C$6)&lt;N(INDEX(Platforms!$G$5:$G$14,5)),N(INDEX(Platforms!$H$5:$H$14,5)),MAX(N(INDEX(Platforms!$F$5:$F$14,5)),N(INDEX(Platforms!$C$5:$C$14,5))*(N($C$6)+IF(INDEX(Platforms!$E$5:$E$14,5)="Yes",N($C$7),0))+N(INDEX(Platforms!$D$5:$D$14,5))))),0))</f>
        <v>4.8000000000000007</v>
      </c>
      <c r="G9" s="21">
        <f t="shared" si="0"/>
        <v>35.200000000000003</v>
      </c>
      <c r="H9" s="21">
        <f t="shared" si="1"/>
        <v>18.200000000000003</v>
      </c>
    </row>
    <row r="10" spans="1:8" x14ac:dyDescent="0.35">
      <c r="B10" s="14" t="s">
        <v>121</v>
      </c>
      <c r="C10" s="13">
        <v>15</v>
      </c>
      <c r="E10" s="14" t="str">
        <f>IF(Platforms!B10="","",Platforms!B10)</f>
        <v>Etsy</v>
      </c>
      <c r="F10" s="21">
        <f>IF(E10="","",IFERROR(IF(N($C$6)=0,0,IF(N($C$6)&lt;N(INDEX(Platforms!$G$5:$G$14,6)),N(INDEX(Platforms!$H$5:$H$14,6)),MAX(N(INDEX(Platforms!$F$5:$F$14,6)),N(INDEX(Platforms!$C$5:$C$14,6))*(N($C$6)+IF(INDEX(Platforms!$E$5:$E$14,6)="Yes",N($C$7),0))+N(INDEX(Platforms!$D$5:$D$14,6))))),0))</f>
        <v>5.0100000000000007</v>
      </c>
      <c r="G10" s="21">
        <f t="shared" si="0"/>
        <v>34.99</v>
      </c>
      <c r="H10" s="21">
        <f t="shared" si="1"/>
        <v>17.990000000000002</v>
      </c>
    </row>
    <row r="11" spans="1:8" x14ac:dyDescent="0.35">
      <c r="E11" s="14" t="str">
        <f>IF(Platforms!B11="","",Platforms!B11)</f>
        <v>Whatnot</v>
      </c>
      <c r="F11" s="21">
        <f>IF(E11="","",IFERROR(IF(N($C$6)=0,0,IF(N($C$6)&lt;N(INDEX(Platforms!$G$5:$G$14,7)),N(INDEX(Platforms!$H$5:$H$14,7)),MAX(N(INDEX(Platforms!$F$5:$F$14,7)),N(INDEX(Platforms!$C$5:$C$14,7))*(N($C$6)+IF(INDEX(Platforms!$E$5:$E$14,7)="Yes",N($C$7),0))+N(INDEX(Platforms!$D$5:$D$14,7))))),0))</f>
        <v>5.532</v>
      </c>
      <c r="G11" s="21">
        <f t="shared" si="0"/>
        <v>34.468000000000004</v>
      </c>
      <c r="H11" s="21">
        <f t="shared" si="1"/>
        <v>17.468000000000004</v>
      </c>
    </row>
    <row r="12" spans="1:8" x14ac:dyDescent="0.35">
      <c r="B12" s="31" t="s">
        <v>122</v>
      </c>
      <c r="C12" s="32"/>
      <c r="E12" s="14" t="str">
        <f>IF(Platforms!B12="","",Platforms!B12)</f>
        <v>Local / cash</v>
      </c>
      <c r="F12" s="21">
        <f>IF(E12="","",IFERROR(IF(N($C$6)=0,0,IF(N($C$6)&lt;N(INDEX(Platforms!$G$5:$G$14,8)),N(INDEX(Platforms!$H$5:$H$14,8)),MAX(N(INDEX(Platforms!$F$5:$F$14,8)),N(INDEX(Platforms!$C$5:$C$14,8))*(N($C$6)+IF(INDEX(Platforms!$E$5:$E$14,8)="Yes",N($C$7),0))+N(INDEX(Platforms!$D$5:$D$14,8))))),0))</f>
        <v>0</v>
      </c>
      <c r="G12" s="21">
        <f t="shared" si="0"/>
        <v>40</v>
      </c>
      <c r="H12" s="21">
        <f t="shared" si="1"/>
        <v>23</v>
      </c>
    </row>
    <row r="13" spans="1:8" x14ac:dyDescent="0.35">
      <c r="B13" s="14" t="s">
        <v>123</v>
      </c>
      <c r="C13" s="33">
        <f>IFERROR(IF(N(C6)=0,0,IF(N(C6)&lt;N(INDEX(Platforms!$G$5:$G$14,MATCH($C$5,Lists!$A$2:$A$11,0))),N(INDEX(Platforms!$H$5:$H$14,MATCH($C$5,Lists!$A$2:$A$11,0))),MAX(N(INDEX(Platforms!$F$5:$F$14,MATCH($C$5,Lists!$A$2:$A$11,0))),N(INDEX(Platforms!$C$5:$C$14,MATCH($C$5,Lists!$A$2:$A$11,0)))*(N(C6)+IF(INDEX(Platforms!$E$5:$E$14,MATCH($C$5,Lists!$A$2:$A$11,0))="Yes",N(C7),0))+N(INDEX(Platforms!$D$5:$D$14,MATCH($C$5,Lists!$A$2:$A$11,0)))))),0)</f>
        <v>6.9280000000000008</v>
      </c>
      <c r="E13" s="14" t="str">
        <f>IF(Platforms!B13="","",Platforms!B13)</f>
        <v/>
      </c>
      <c r="F13" s="21" t="str">
        <f>IF(E13="","",IFERROR(IF(N($C$6)=0,0,IF(N($C$6)&lt;N(INDEX(Platforms!$G$5:$G$14,9)),N(INDEX(Platforms!$H$5:$H$14,9)),MAX(N(INDEX(Platforms!$F$5:$F$14,9)),N(INDEX(Platforms!$C$5:$C$14,9))*(N($C$6)+IF(INDEX(Platforms!$E$5:$E$14,9)="Yes",N($C$7),0))+N(INDEX(Platforms!$D$5:$D$14,9))))),0))</f>
        <v/>
      </c>
      <c r="G13" s="21" t="str">
        <f t="shared" si="0"/>
        <v/>
      </c>
      <c r="H13" s="21" t="str">
        <f t="shared" si="1"/>
        <v/>
      </c>
    </row>
    <row r="14" spans="1:8" x14ac:dyDescent="0.35">
      <c r="B14" s="14" t="s">
        <v>124</v>
      </c>
      <c r="C14" s="33">
        <f>N(C6)+N(C7)-C13-N(C8)</f>
        <v>33.072000000000003</v>
      </c>
      <c r="E14" s="14" t="str">
        <f>IF(Platforms!B14="","",Platforms!B14)</f>
        <v/>
      </c>
      <c r="F14" s="21" t="str">
        <f>IF(E14="","",IFERROR(IF(N($C$6)=0,0,IF(N($C$6)&lt;N(INDEX(Platforms!$G$5:$G$14,10)),N(INDEX(Platforms!$H$5:$H$14,10)),MAX(N(INDEX(Platforms!$F$5:$F$14,10)),N(INDEX(Platforms!$C$5:$C$14,10))*(N($C$6)+IF(INDEX(Platforms!$E$5:$E$14,10)="Yes",N($C$7),0))+N(INDEX(Platforms!$D$5:$D$14,10))))),0))</f>
        <v/>
      </c>
      <c r="G14" s="21" t="str">
        <f t="shared" si="0"/>
        <v/>
      </c>
      <c r="H14" s="21" t="str">
        <f t="shared" si="1"/>
        <v/>
      </c>
    </row>
    <row r="15" spans="1:8" ht="15.5" x14ac:dyDescent="0.35">
      <c r="B15" s="19" t="s">
        <v>125</v>
      </c>
      <c r="C15" s="34">
        <f>MAX(0,C14-N(C9)-N(C10))</f>
        <v>16.072000000000003</v>
      </c>
    </row>
    <row r="16" spans="1:8" x14ac:dyDescent="0.35">
      <c r="B16" s="14" t="s">
        <v>126</v>
      </c>
      <c r="C16" s="13">
        <v>10</v>
      </c>
      <c r="E16" s="7" t="s">
        <v>127</v>
      </c>
    </row>
    <row r="17" spans="2:3" ht="15.5" x14ac:dyDescent="0.35">
      <c r="B17" s="19" t="s">
        <v>128</v>
      </c>
      <c r="C17" s="34">
        <f>C14-N(C9)-N(C16)</f>
        <v>21.072000000000003</v>
      </c>
    </row>
    <row r="18" spans="2:3" x14ac:dyDescent="0.35">
      <c r="B18" s="14" t="s">
        <v>129</v>
      </c>
      <c r="C18" s="35">
        <f>IF(N(C9)+N(C16)&gt;0,C17/(N(C9)+N(C16)),0)</f>
        <v>1.7560000000000002</v>
      </c>
    </row>
    <row r="19" spans="2:3" ht="15.5" x14ac:dyDescent="0.35">
      <c r="B19" s="19" t="s">
        <v>130</v>
      </c>
      <c r="C19" s="36" t="str">
        <f>IF(N(C6)=0,"Enter a sale price",IF(N(C16)&lt;=C15,"BUY","PASS (or offer less)"))</f>
        <v>BUY</v>
      </c>
    </row>
    <row r="21" spans="2:3" x14ac:dyDescent="0.35">
      <c r="B21" s="7" t="s">
        <v>131</v>
      </c>
    </row>
  </sheetData>
  <conditionalFormatting sqref="C6:C10">
    <cfRule type="expression" dxfId="3" priority="1">
      <formula>AND(C6&lt;&gt;"",NOT(ISNUMBER(C6)))</formula>
    </cfRule>
  </conditionalFormatting>
  <conditionalFormatting sqref="C16">
    <cfRule type="expression" dxfId="2" priority="3">
      <formula>AND(C16&lt;&gt;"",NOT(ISNUMBER(C16)))</formula>
    </cfRule>
  </conditionalFormatting>
  <dataValidations count="1">
    <dataValidation type="decimal" allowBlank="1" showErrorMessage="1" errorTitle="Amount" error="Enter a number only (no $ sign or text)." sqref="C6:C10 C16" xr:uid="{00000000-0002-0000-0500-000001000000}">
      <formula1>0</formula1>
      <formula2>1000000</formula2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500-000002000000}">
            <xm:f>COUNTIF(Lists!$A$2:$A$11,C5)=0</xm:f>
            <x14:dxf>
              <fill>
                <patternFill patternType="solid">
                  <fgColor rgb="FFF8C9C4"/>
                  <bgColor rgb="FFF8C9C4"/>
                </patternFill>
              </fill>
            </x14:dxf>
          </x14:cfRule>
          <xm:sqref>C5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Lists!$B$2:$B$11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6F62"/>
  </sheetPr>
  <dimension ref="A1:O16"/>
  <sheetViews>
    <sheetView showGridLines="0" workbookViewId="0"/>
  </sheetViews>
  <sheetFormatPr defaultRowHeight="14.5" x14ac:dyDescent="0.35"/>
  <cols>
    <col min="1" max="1" width="3" customWidth="1"/>
    <col min="2" max="2" width="24" customWidth="1"/>
    <col min="3" max="3" width="10" customWidth="1"/>
    <col min="4" max="5" width="11" customWidth="1"/>
    <col min="6" max="6" width="10" customWidth="1"/>
    <col min="7" max="7" width="11" customWidth="1"/>
    <col min="8" max="8" width="10" customWidth="1"/>
    <col min="9" max="9" width="3" customWidth="1"/>
    <col min="10" max="10" width="10" customWidth="1"/>
    <col min="11" max="11" width="13" customWidth="1"/>
    <col min="12" max="12" width="12" customWidth="1"/>
    <col min="13" max="13" width="13" customWidth="1"/>
    <col min="14" max="14" width="12" customWidth="1"/>
    <col min="15" max="15" width="46" customWidth="1"/>
  </cols>
  <sheetData>
    <row r="1" spans="1:15" ht="23" x14ac:dyDescent="0.5">
      <c r="A1" s="1" t="s">
        <v>132</v>
      </c>
    </row>
    <row r="2" spans="1:15" x14ac:dyDescent="0.35">
      <c r="A2" s="2" t="s">
        <v>133</v>
      </c>
    </row>
    <row r="4" spans="1:15" ht="44" customHeight="1" x14ac:dyDescent="0.35">
      <c r="B4" s="10" t="s">
        <v>56</v>
      </c>
      <c r="C4" s="10" t="s">
        <v>134</v>
      </c>
      <c r="D4" s="10" t="s">
        <v>135</v>
      </c>
      <c r="E4" s="10" t="s">
        <v>136</v>
      </c>
      <c r="F4" s="10" t="s">
        <v>137</v>
      </c>
      <c r="G4" s="10" t="s">
        <v>138</v>
      </c>
      <c r="H4" s="10" t="s">
        <v>139</v>
      </c>
      <c r="I4" s="37"/>
      <c r="J4" s="10" t="s">
        <v>103</v>
      </c>
      <c r="K4" s="10" t="s">
        <v>31</v>
      </c>
      <c r="L4" s="10" t="s">
        <v>140</v>
      </c>
      <c r="M4" s="10" t="s">
        <v>57</v>
      </c>
      <c r="N4" s="10" t="s">
        <v>141</v>
      </c>
      <c r="O4" s="10" t="s">
        <v>142</v>
      </c>
    </row>
    <row r="5" spans="1:15" x14ac:dyDescent="0.35">
      <c r="B5" s="30" t="s">
        <v>88</v>
      </c>
      <c r="C5" s="38">
        <v>0.13600000000000001</v>
      </c>
      <c r="D5" s="13">
        <v>0.4</v>
      </c>
      <c r="E5" s="30" t="s">
        <v>143</v>
      </c>
      <c r="F5" s="13">
        <v>0</v>
      </c>
      <c r="G5" s="13">
        <v>0</v>
      </c>
      <c r="H5" s="13">
        <v>0</v>
      </c>
      <c r="J5" s="22">
        <f>IF(B5="","",Calc!P20)</f>
        <v>1</v>
      </c>
      <c r="K5" s="21">
        <f>IF(B5="","",Calc!Q20)</f>
        <v>50</v>
      </c>
      <c r="L5" s="21">
        <f>IF(B5="","",Calc!R20)</f>
        <v>7.2000000000000011</v>
      </c>
      <c r="M5" s="21">
        <f>IF(B5="","",Calc!U20)</f>
        <v>29.299999999999997</v>
      </c>
      <c r="N5" s="21">
        <f t="shared" ref="N5:N14" si="0">IF(OR(B5="",N(J5)=0),"",M5/J5)</f>
        <v>29.299999999999997</v>
      </c>
      <c r="O5" s="7" t="s">
        <v>144</v>
      </c>
    </row>
    <row r="6" spans="1:15" x14ac:dyDescent="0.35">
      <c r="B6" s="30" t="s">
        <v>93</v>
      </c>
      <c r="C6" s="38">
        <v>0.2</v>
      </c>
      <c r="D6" s="13">
        <v>0</v>
      </c>
      <c r="E6" s="30" t="s">
        <v>145</v>
      </c>
      <c r="F6" s="13">
        <v>0</v>
      </c>
      <c r="G6" s="13">
        <v>15</v>
      </c>
      <c r="H6" s="13">
        <v>2.95</v>
      </c>
      <c r="J6" s="22">
        <f>IF(B6="","",Calc!P21)</f>
        <v>0</v>
      </c>
      <c r="K6" s="21">
        <f>IF(B6="","",Calc!Q21)</f>
        <v>0</v>
      </c>
      <c r="L6" s="21">
        <f>IF(B6="","",Calc!R21)</f>
        <v>0</v>
      </c>
      <c r="M6" s="21">
        <f>IF(B6="","",Calc!U21)</f>
        <v>0</v>
      </c>
      <c r="N6" s="21" t="str">
        <f t="shared" si="0"/>
        <v/>
      </c>
      <c r="O6" s="7" t="s">
        <v>146</v>
      </c>
    </row>
    <row r="7" spans="1:15" x14ac:dyDescent="0.35">
      <c r="B7" s="30" t="s">
        <v>147</v>
      </c>
      <c r="C7" s="38">
        <v>0.1</v>
      </c>
      <c r="D7" s="13">
        <v>0</v>
      </c>
      <c r="E7" s="30" t="s">
        <v>143</v>
      </c>
      <c r="F7" s="13">
        <v>0</v>
      </c>
      <c r="G7" s="13">
        <v>0</v>
      </c>
      <c r="H7" s="13">
        <v>0</v>
      </c>
      <c r="J7" s="22">
        <f>IF(B7="","",Calc!P22)</f>
        <v>0</v>
      </c>
      <c r="K7" s="21">
        <f>IF(B7="","",Calc!Q22)</f>
        <v>0</v>
      </c>
      <c r="L7" s="21">
        <f>IF(B7="","",Calc!R22)</f>
        <v>0</v>
      </c>
      <c r="M7" s="21">
        <f>IF(B7="","",Calc!U22)</f>
        <v>0</v>
      </c>
      <c r="N7" s="21" t="str">
        <f t="shared" si="0"/>
        <v/>
      </c>
      <c r="O7" s="7" t="s">
        <v>148</v>
      </c>
    </row>
    <row r="8" spans="1:15" x14ac:dyDescent="0.35">
      <c r="B8" s="30" t="s">
        <v>149</v>
      </c>
      <c r="C8" s="38">
        <v>3.3000000000000002E-2</v>
      </c>
      <c r="D8" s="13">
        <v>0.45</v>
      </c>
      <c r="E8" s="30" t="s">
        <v>143</v>
      </c>
      <c r="F8" s="13">
        <v>0</v>
      </c>
      <c r="G8" s="13">
        <v>0</v>
      </c>
      <c r="H8" s="13">
        <v>0</v>
      </c>
      <c r="J8" s="22">
        <f>IF(B8="","",Calc!P23)</f>
        <v>0</v>
      </c>
      <c r="K8" s="21">
        <f>IF(B8="","",Calc!Q23)</f>
        <v>0</v>
      </c>
      <c r="L8" s="21">
        <f>IF(B8="","",Calc!R23)</f>
        <v>0</v>
      </c>
      <c r="M8" s="21">
        <f>IF(B8="","",Calc!U23)</f>
        <v>0</v>
      </c>
      <c r="N8" s="21" t="str">
        <f t="shared" si="0"/>
        <v/>
      </c>
      <c r="O8" s="7" t="s">
        <v>150</v>
      </c>
    </row>
    <row r="9" spans="1:15" x14ac:dyDescent="0.35">
      <c r="B9" s="30" t="s">
        <v>151</v>
      </c>
      <c r="C9" s="38">
        <v>0.1</v>
      </c>
      <c r="D9" s="13">
        <v>0</v>
      </c>
      <c r="E9" s="30" t="s">
        <v>143</v>
      </c>
      <c r="F9" s="13">
        <v>0.8</v>
      </c>
      <c r="G9" s="13">
        <v>0</v>
      </c>
      <c r="H9" s="13">
        <v>0</v>
      </c>
      <c r="J9" s="22">
        <f>IF(B9="","",Calc!P24)</f>
        <v>0</v>
      </c>
      <c r="K9" s="21">
        <f>IF(B9="","",Calc!Q24)</f>
        <v>0</v>
      </c>
      <c r="L9" s="21">
        <f>IF(B9="","",Calc!R24)</f>
        <v>0</v>
      </c>
      <c r="M9" s="21">
        <f>IF(B9="","",Calc!U24)</f>
        <v>0</v>
      </c>
      <c r="N9" s="21" t="str">
        <f t="shared" si="0"/>
        <v/>
      </c>
      <c r="O9" s="7" t="s">
        <v>152</v>
      </c>
    </row>
    <row r="10" spans="1:15" x14ac:dyDescent="0.35">
      <c r="B10" s="30" t="s">
        <v>153</v>
      </c>
      <c r="C10" s="38">
        <v>9.5000000000000001E-2</v>
      </c>
      <c r="D10" s="13">
        <v>0.45</v>
      </c>
      <c r="E10" s="30" t="s">
        <v>143</v>
      </c>
      <c r="F10" s="13">
        <v>0</v>
      </c>
      <c r="G10" s="13">
        <v>0</v>
      </c>
      <c r="H10" s="13">
        <v>0</v>
      </c>
      <c r="J10" s="22">
        <f>IF(B10="","",Calc!P25)</f>
        <v>0</v>
      </c>
      <c r="K10" s="21">
        <f>IF(B10="","",Calc!Q25)</f>
        <v>0</v>
      </c>
      <c r="L10" s="21">
        <f>IF(B10="","",Calc!R25)</f>
        <v>0</v>
      </c>
      <c r="M10" s="21">
        <f>IF(B10="","",Calc!U25)</f>
        <v>0</v>
      </c>
      <c r="N10" s="21" t="str">
        <f t="shared" si="0"/>
        <v/>
      </c>
      <c r="O10" s="7" t="s">
        <v>154</v>
      </c>
    </row>
    <row r="11" spans="1:15" x14ac:dyDescent="0.35">
      <c r="B11" s="30" t="s">
        <v>155</v>
      </c>
      <c r="C11" s="38">
        <v>0.109</v>
      </c>
      <c r="D11" s="13">
        <v>0.3</v>
      </c>
      <c r="E11" s="30" t="s">
        <v>143</v>
      </c>
      <c r="F11" s="13">
        <v>0</v>
      </c>
      <c r="G11" s="13">
        <v>0</v>
      </c>
      <c r="H11" s="13">
        <v>0</v>
      </c>
      <c r="J11" s="22">
        <f>IF(B11="","",Calc!P26)</f>
        <v>0</v>
      </c>
      <c r="K11" s="21">
        <f>IF(B11="","",Calc!Q26)</f>
        <v>0</v>
      </c>
      <c r="L11" s="21">
        <f>IF(B11="","",Calc!R26)</f>
        <v>0</v>
      </c>
      <c r="M11" s="21">
        <f>IF(B11="","",Calc!U26)</f>
        <v>0</v>
      </c>
      <c r="N11" s="21" t="str">
        <f t="shared" si="0"/>
        <v/>
      </c>
      <c r="O11" s="7" t="s">
        <v>156</v>
      </c>
    </row>
    <row r="12" spans="1:15" x14ac:dyDescent="0.35">
      <c r="B12" s="30" t="s">
        <v>157</v>
      </c>
      <c r="C12" s="38">
        <v>0</v>
      </c>
      <c r="D12" s="13">
        <v>0</v>
      </c>
      <c r="E12" s="30" t="s">
        <v>145</v>
      </c>
      <c r="F12" s="13">
        <v>0</v>
      </c>
      <c r="G12" s="13">
        <v>0</v>
      </c>
      <c r="H12" s="13">
        <v>0</v>
      </c>
      <c r="J12" s="22">
        <f>IF(B12="","",Calc!P27)</f>
        <v>0</v>
      </c>
      <c r="K12" s="21">
        <f>IF(B12="","",Calc!Q27)</f>
        <v>0</v>
      </c>
      <c r="L12" s="21">
        <f>IF(B12="","",Calc!R27)</f>
        <v>0</v>
      </c>
      <c r="M12" s="21">
        <f>IF(B12="","",Calc!U27)</f>
        <v>0</v>
      </c>
      <c r="N12" s="21" t="str">
        <f t="shared" si="0"/>
        <v/>
      </c>
      <c r="O12" s="7" t="s">
        <v>158</v>
      </c>
    </row>
    <row r="13" spans="1:15" x14ac:dyDescent="0.35">
      <c r="B13" s="30"/>
      <c r="C13" s="38"/>
      <c r="D13" s="13"/>
      <c r="E13" s="30"/>
      <c r="F13" s="13"/>
      <c r="G13" s="13"/>
      <c r="H13" s="13"/>
      <c r="J13" s="22" t="str">
        <f>IF(B13="","",Calc!P28)</f>
        <v/>
      </c>
      <c r="K13" s="21" t="str">
        <f>IF(B13="","",Calc!Q28)</f>
        <v/>
      </c>
      <c r="L13" s="21" t="str">
        <f>IF(B13="","",Calc!R28)</f>
        <v/>
      </c>
      <c r="M13" s="21" t="str">
        <f>IF(B13="","",Calc!U28)</f>
        <v/>
      </c>
      <c r="N13" s="21" t="str">
        <f t="shared" si="0"/>
        <v/>
      </c>
      <c r="O13" s="7" t="s">
        <v>159</v>
      </c>
    </row>
    <row r="14" spans="1:15" x14ac:dyDescent="0.35">
      <c r="B14" s="30"/>
      <c r="C14" s="38"/>
      <c r="D14" s="13"/>
      <c r="E14" s="30"/>
      <c r="F14" s="13"/>
      <c r="G14" s="13"/>
      <c r="H14" s="13"/>
      <c r="J14" s="22" t="str">
        <f>IF(B14="","",Calc!P29)</f>
        <v/>
      </c>
      <c r="K14" s="21" t="str">
        <f>IF(B14="","",Calc!Q29)</f>
        <v/>
      </c>
      <c r="L14" s="21" t="str">
        <f>IF(B14="","",Calc!R29)</f>
        <v/>
      </c>
      <c r="M14" s="21" t="str">
        <f>IF(B14="","",Calc!U29)</f>
        <v/>
      </c>
      <c r="N14" s="21" t="str">
        <f t="shared" si="0"/>
        <v/>
      </c>
      <c r="O14" s="7" t="s">
        <v>159</v>
      </c>
    </row>
    <row r="16" spans="1:15" x14ac:dyDescent="0.35">
      <c r="B16" s="7" t="s">
        <v>160</v>
      </c>
    </row>
  </sheetData>
  <conditionalFormatting sqref="C5:D14">
    <cfRule type="expression" dxfId="1" priority="1">
      <formula>AND(C5&lt;&gt;"",NOT(ISNUMBER(C5)))</formula>
    </cfRule>
  </conditionalFormatting>
  <conditionalFormatting sqref="F5:H14">
    <cfRule type="expression" dxfId="0" priority="2">
      <formula>AND(F5&lt;&gt;"",NOT(ISNUMBER(F5)))</formula>
    </cfRule>
  </conditionalFormatting>
  <dataValidations count="4">
    <dataValidation type="custom" allowBlank="1" showErrorMessage="1" errorTitle="Platform name" error="Each platform needs a unique name without * ? or ~ characters." sqref="B5:B14" xr:uid="{00000000-0002-0000-0600-000000000000}">
      <formula1>AND(ISERROR(FIND("*",B5)),ISERROR(FIND("?",B5)),ISERROR(FIND("~",B5)),SUMPRODUCT(--($B$5:$B$14=B5))=1)</formula1>
    </dataValidation>
    <dataValidation type="decimal" allowBlank="1" showErrorMessage="1" errorTitle="Fee %" error="Enter a percentage, e.g. 13.6%." sqref="C5:C14" xr:uid="{00000000-0002-0000-0600-000001000000}">
      <formula1>0</formula1>
      <formula2>1</formula2>
    </dataValidation>
    <dataValidation type="decimal" allowBlank="1" showErrorMessage="1" errorTitle="Amount" error="Enter a number only (no $ sign or text)." sqref="D5:D14 F5:H14" xr:uid="{00000000-0002-0000-0600-000002000000}">
      <formula1>0</formula1>
      <formula2>100000</formula2>
    </dataValidation>
    <dataValidation type="list" allowBlank="1" showErrorMessage="1" error="Choose Yes or No" sqref="E5:E14" xr:uid="{00000000-0002-0000-0600-000003000000}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6F62"/>
  </sheetPr>
  <dimension ref="A1:F12"/>
  <sheetViews>
    <sheetView workbookViewId="0"/>
  </sheetViews>
  <sheetFormatPr defaultRowHeight="14.5" x14ac:dyDescent="0.35"/>
  <sheetData>
    <row r="1" spans="1:6" x14ac:dyDescent="0.35">
      <c r="A1" t="s">
        <v>161</v>
      </c>
      <c r="B1" t="s">
        <v>162</v>
      </c>
      <c r="D1" t="s">
        <v>163</v>
      </c>
      <c r="F1" t="s">
        <v>164</v>
      </c>
    </row>
    <row r="2" spans="1:6" x14ac:dyDescent="0.35">
      <c r="A2" t="str">
        <f>IF(Platforms!B5="","[empty slot 1]",Platforms!B5)</f>
        <v>eBay</v>
      </c>
      <c r="B2" t="str">
        <f>IF(Platforms!B5="","",Platforms!B5)</f>
        <v>eBay</v>
      </c>
      <c r="D2" t="s">
        <v>99</v>
      </c>
      <c r="F2" t="s">
        <v>143</v>
      </c>
    </row>
    <row r="3" spans="1:6" x14ac:dyDescent="0.35">
      <c r="A3" t="str">
        <f>IF(Platforms!B6="","[empty slot 2]",Platforms!B6)</f>
        <v>Poshmark</v>
      </c>
      <c r="B3" t="str">
        <f>IF(Platforms!B6="","",Platforms!B6)</f>
        <v>Poshmark</v>
      </c>
      <c r="D3" t="s">
        <v>165</v>
      </c>
      <c r="F3" t="s">
        <v>145</v>
      </c>
    </row>
    <row r="4" spans="1:6" x14ac:dyDescent="0.35">
      <c r="A4" t="str">
        <f>IF(Platforms!B7="","[empty slot 3]",Platforms!B7)</f>
        <v>Mercari</v>
      </c>
      <c r="B4" t="str">
        <f>IF(Platforms!B7="","",Platforms!B7)</f>
        <v>Mercari</v>
      </c>
      <c r="D4" t="s">
        <v>166</v>
      </c>
    </row>
    <row r="5" spans="1:6" x14ac:dyDescent="0.35">
      <c r="A5" t="str">
        <f>IF(Platforms!B8="","[empty slot 4]",Platforms!B8)</f>
        <v>Depop</v>
      </c>
      <c r="B5" t="str">
        <f>IF(Platforms!B8="","",Platforms!B8)</f>
        <v>Depop</v>
      </c>
      <c r="D5" t="s">
        <v>167</v>
      </c>
    </row>
    <row r="6" spans="1:6" x14ac:dyDescent="0.35">
      <c r="A6" t="str">
        <f>IF(Platforms!B9="","[empty slot 5]",Platforms!B9)</f>
        <v>Facebook Marketplace</v>
      </c>
      <c r="B6" t="str">
        <f>IF(Platforms!B9="","",Platforms!B9)</f>
        <v>Facebook Marketplace</v>
      </c>
      <c r="D6" t="s">
        <v>168</v>
      </c>
    </row>
    <row r="7" spans="1:6" x14ac:dyDescent="0.35">
      <c r="A7" t="str">
        <f>IF(Platforms!B10="","[empty slot 6]",Platforms!B10)</f>
        <v>Etsy</v>
      </c>
      <c r="B7" t="str">
        <f>IF(Platforms!B10="","",Platforms!B10)</f>
        <v>Etsy</v>
      </c>
      <c r="D7" t="s">
        <v>169</v>
      </c>
    </row>
    <row r="8" spans="1:6" x14ac:dyDescent="0.35">
      <c r="A8" t="str">
        <f>IF(Platforms!B11="","[empty slot 7]",Platforms!B11)</f>
        <v>Whatnot</v>
      </c>
      <c r="B8" t="str">
        <f>IF(Platforms!B11="","",Platforms!B11)</f>
        <v>Whatnot</v>
      </c>
      <c r="D8" t="s">
        <v>170</v>
      </c>
    </row>
    <row r="9" spans="1:6" x14ac:dyDescent="0.35">
      <c r="A9" t="str">
        <f>IF(Platforms!B12="","[empty slot 8]",Platforms!B12)</f>
        <v>Local / cash</v>
      </c>
      <c r="B9" t="str">
        <f>IF(Platforms!B12="","",Platforms!B12)</f>
        <v>Local / cash</v>
      </c>
      <c r="D9" t="s">
        <v>171</v>
      </c>
    </row>
    <row r="10" spans="1:6" x14ac:dyDescent="0.35">
      <c r="A10" t="str">
        <f>IF(Platforms!B13="","[empty slot 9]",Platforms!B13)</f>
        <v>[empty slot 9]</v>
      </c>
      <c r="B10" t="str">
        <f>IF(Platforms!B13="","",Platforms!B13)</f>
        <v/>
      </c>
      <c r="D10" t="s">
        <v>172</v>
      </c>
    </row>
    <row r="11" spans="1:6" x14ac:dyDescent="0.35">
      <c r="A11" t="str">
        <f>IF(Platforms!B14="","[empty slot 10]",Platforms!B14)</f>
        <v>[empty slot 10]</v>
      </c>
      <c r="B11" t="str">
        <f>IF(Platforms!B14="","",Platforms!B14)</f>
        <v/>
      </c>
      <c r="D11" t="s">
        <v>173</v>
      </c>
    </row>
    <row r="12" spans="1:6" x14ac:dyDescent="0.35">
      <c r="D12" t="s">
        <v>174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6F62"/>
  </sheetPr>
  <dimension ref="B2:U43"/>
  <sheetViews>
    <sheetView workbookViewId="0"/>
  </sheetViews>
  <sheetFormatPr defaultRowHeight="14.5" x14ac:dyDescent="0.35"/>
  <sheetData>
    <row r="2" spans="2:14" x14ac:dyDescent="0.35">
      <c r="B2" t="s">
        <v>30</v>
      </c>
      <c r="C2" t="s">
        <v>103</v>
      </c>
      <c r="D2" t="s">
        <v>175</v>
      </c>
      <c r="E2" t="s">
        <v>176</v>
      </c>
      <c r="F2" t="s">
        <v>177</v>
      </c>
      <c r="G2" t="s">
        <v>31</v>
      </c>
      <c r="H2" t="s">
        <v>81</v>
      </c>
      <c r="I2" t="s">
        <v>104</v>
      </c>
      <c r="J2" t="s">
        <v>105</v>
      </c>
      <c r="K2" t="s">
        <v>94</v>
      </c>
      <c r="L2" t="s">
        <v>32</v>
      </c>
      <c r="M2" t="s">
        <v>106</v>
      </c>
      <c r="N2" t="s">
        <v>33</v>
      </c>
    </row>
    <row r="3" spans="2:14" x14ac:dyDescent="0.35">
      <c r="B3" t="s">
        <v>37</v>
      </c>
      <c r="C3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$3,2,1)))</f>
        <v>1</v>
      </c>
      <c r="D3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$3,2,1)),Inventory!$K$5:$K$2004)</f>
        <v>42</v>
      </c>
      <c r="E3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$3,2,1)),Inventory!$L$5:$L$2004)</f>
        <v>8</v>
      </c>
      <c r="F3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$3,2,1)),Inventory!$O$5:$O$2004)</f>
        <v>0</v>
      </c>
      <c r="G3">
        <f t="shared" ref="G3:G14" si="0">D3+E3-F3</f>
        <v>50</v>
      </c>
      <c r="H3">
        <f>SUM(C20:C29)</f>
        <v>7.2000000000000011</v>
      </c>
      <c r="I3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$3,2,1)),Inventory!$M$5:$M$2004)</f>
        <v>7.5</v>
      </c>
      <c r="J3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$3,2,1)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$3,2,1)),Inventory!$G$5:$G$2004)</f>
        <v>6</v>
      </c>
      <c r="K3">
        <f>SUMPRODUCT((ISNUMBER(Expenses!$A$5:$A$504)*ISNUMBER(MATCH(Expenses!$B$5:$B$504,Lists!$D$2:$D$12,0))*ISNUMBER(Expenses!$D$5:$D$504))*(Expenses!$A$5:$A$504&gt;=DATE(Dashboard!$C$3,1,1))*(Expenses!$A$5:$A$504&lt;DATE(Dashboard!$C$3,2,1)),Expenses!$D$5:$D$504)</f>
        <v>14.99</v>
      </c>
      <c r="L3">
        <f t="shared" ref="L3:L14" si="1">G3-H3-I3-J3-K3</f>
        <v>14.309999999999997</v>
      </c>
      <c r="M3">
        <f t="shared" ref="M3:M15" si="2">IF(G3&gt;0,L3/G3,0)</f>
        <v>0.28619999999999995</v>
      </c>
      <c r="N3">
        <f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$3,1,1))*(Inventory!$D$5:$D$2004&lt;DATE(Dashboard!$C$3,2,1)),Inventory!$F$5:$F$2004)+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$3,1,1))*(Inventory!$D$5:$D$2004&lt;DATE(Dashboard!$C$3,2,1)),Inventory!$G$5:$G$2004)</f>
        <v>9</v>
      </c>
    </row>
    <row r="4" spans="2:14" x14ac:dyDescent="0.35">
      <c r="B4" t="s">
        <v>38</v>
      </c>
      <c r="C4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$3,2,1))*(Inventory!$J$5:$J$2004&lt;DATE(Dashboard!$C$3,3,1)))</f>
        <v>0</v>
      </c>
      <c r="D4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$3,2,1))*(Inventory!$J$5:$J$2004&lt;DATE(Dashboard!$C$3,3,1)),Inventory!$K$5:$K$2004)</f>
        <v>0</v>
      </c>
      <c r="E4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$3,2,1))*(Inventory!$J$5:$J$2004&lt;DATE(Dashboard!$C$3,3,1)),Inventory!$L$5:$L$2004)</f>
        <v>0</v>
      </c>
      <c r="F4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$3,2,1))*(Inventory!$J$5:$J$2004&lt;DATE(Dashboard!$C$3,3,1)),Inventory!$O$5:$O$2004)</f>
        <v>0</v>
      </c>
      <c r="G4">
        <f t="shared" si="0"/>
        <v>0</v>
      </c>
      <c r="H4">
        <f>SUM(D20:D29)</f>
        <v>0</v>
      </c>
      <c r="I4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$3,2,1))*(Inventory!$J$5:$J$2004&lt;DATE(Dashboard!$C$3,3,1)),Inventory!$M$5:$M$2004)</f>
        <v>0</v>
      </c>
      <c r="J4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$3,2,1))*(Inventory!$J$5:$J$2004&lt;DATE(Dashboard!$C$3,3,1)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$3,2,1))*(Inventory!$J$5:$J$2004&lt;DATE(Dashboard!$C$3,3,1)),Inventory!$G$5:$G$2004)</f>
        <v>0</v>
      </c>
      <c r="K4">
        <f>SUMPRODUCT((ISNUMBER(Expenses!$A$5:$A$504)*ISNUMBER(MATCH(Expenses!$B$5:$B$504,Lists!$D$2:$D$12,0))*ISNUMBER(Expenses!$D$5:$D$504))*(Expenses!$A$5:$A$504&gt;=DATE(Dashboard!$C$3,2,1))*(Expenses!$A$5:$A$504&lt;DATE(Dashboard!$C$3,3,1)),Expenses!$D$5:$D$504)</f>
        <v>0</v>
      </c>
      <c r="L4">
        <f t="shared" si="1"/>
        <v>0</v>
      </c>
      <c r="M4">
        <f t="shared" si="2"/>
        <v>0</v>
      </c>
      <c r="N4">
        <f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$3,2,1))*(Inventory!$D$5:$D$2004&lt;DATE(Dashboard!$C$3,3,1)),Inventory!$F$5:$F$2004)+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$3,2,1))*(Inventory!$D$5:$D$2004&lt;DATE(Dashboard!$C$3,3,1)),Inventory!$G$5:$G$2004)</f>
        <v>0</v>
      </c>
    </row>
    <row r="5" spans="2:14" x14ac:dyDescent="0.35">
      <c r="B5" t="s">
        <v>39</v>
      </c>
      <c r="C5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$3,3,1))*(Inventory!$J$5:$J$2004&lt;DATE(Dashboard!$C$3,4,1)))</f>
        <v>0</v>
      </c>
      <c r="D5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$3,3,1))*(Inventory!$J$5:$J$2004&lt;DATE(Dashboard!$C$3,4,1)),Inventory!$K$5:$K$2004)</f>
        <v>0</v>
      </c>
      <c r="E5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$3,3,1))*(Inventory!$J$5:$J$2004&lt;DATE(Dashboard!$C$3,4,1)),Inventory!$L$5:$L$2004)</f>
        <v>0</v>
      </c>
      <c r="F5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$3,3,1))*(Inventory!$J$5:$J$2004&lt;DATE(Dashboard!$C$3,4,1)),Inventory!$O$5:$O$2004)</f>
        <v>0</v>
      </c>
      <c r="G5">
        <f t="shared" si="0"/>
        <v>0</v>
      </c>
      <c r="H5">
        <f>SUM(E20:E29)</f>
        <v>0</v>
      </c>
      <c r="I5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$3,3,1))*(Inventory!$J$5:$J$2004&lt;DATE(Dashboard!$C$3,4,1)),Inventory!$M$5:$M$2004)</f>
        <v>0</v>
      </c>
      <c r="J5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$3,3,1))*(Inventory!$J$5:$J$2004&lt;DATE(Dashboard!$C$3,4,1)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$3,3,1))*(Inventory!$J$5:$J$2004&lt;DATE(Dashboard!$C$3,4,1)),Inventory!$G$5:$G$2004)</f>
        <v>0</v>
      </c>
      <c r="K5">
        <f>SUMPRODUCT((ISNUMBER(Expenses!$A$5:$A$504)*ISNUMBER(MATCH(Expenses!$B$5:$B$504,Lists!$D$2:$D$12,0))*ISNUMBER(Expenses!$D$5:$D$504))*(Expenses!$A$5:$A$504&gt;=DATE(Dashboard!$C$3,3,1))*(Expenses!$A$5:$A$504&lt;DATE(Dashboard!$C$3,4,1)),Expenses!$D$5:$D$504)</f>
        <v>0</v>
      </c>
      <c r="L5">
        <f t="shared" si="1"/>
        <v>0</v>
      </c>
      <c r="M5">
        <f t="shared" si="2"/>
        <v>0</v>
      </c>
      <c r="N5">
        <f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$3,3,1))*(Inventory!$D$5:$D$2004&lt;DATE(Dashboard!$C$3,4,1)),Inventory!$F$5:$F$2004)+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$3,3,1))*(Inventory!$D$5:$D$2004&lt;DATE(Dashboard!$C$3,4,1)),Inventory!$G$5:$G$2004)</f>
        <v>0</v>
      </c>
    </row>
    <row r="6" spans="2:14" x14ac:dyDescent="0.35">
      <c r="B6" t="s">
        <v>40</v>
      </c>
      <c r="C6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$3,4,1))*(Inventory!$J$5:$J$2004&lt;DATE(Dashboard!$C$3,5,1)))</f>
        <v>0</v>
      </c>
      <c r="D6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$3,4,1))*(Inventory!$J$5:$J$2004&lt;DATE(Dashboard!$C$3,5,1)),Inventory!$K$5:$K$2004)</f>
        <v>0</v>
      </c>
      <c r="E6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$3,4,1))*(Inventory!$J$5:$J$2004&lt;DATE(Dashboard!$C$3,5,1)),Inventory!$L$5:$L$2004)</f>
        <v>0</v>
      </c>
      <c r="F6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$3,4,1))*(Inventory!$J$5:$J$2004&lt;DATE(Dashboard!$C$3,5,1)),Inventory!$O$5:$O$2004)</f>
        <v>0</v>
      </c>
      <c r="G6">
        <f t="shared" si="0"/>
        <v>0</v>
      </c>
      <c r="H6">
        <f>SUM(F20:F29)</f>
        <v>0</v>
      </c>
      <c r="I6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$3,4,1))*(Inventory!$J$5:$J$2004&lt;DATE(Dashboard!$C$3,5,1)),Inventory!$M$5:$M$2004)</f>
        <v>0</v>
      </c>
      <c r="J6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$3,4,1))*(Inventory!$J$5:$J$2004&lt;DATE(Dashboard!$C$3,5,1)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$3,4,1))*(Inventory!$J$5:$J$2004&lt;DATE(Dashboard!$C$3,5,1)),Inventory!$G$5:$G$2004)</f>
        <v>0</v>
      </c>
      <c r="K6">
        <f>SUMPRODUCT((ISNUMBER(Expenses!$A$5:$A$504)*ISNUMBER(MATCH(Expenses!$B$5:$B$504,Lists!$D$2:$D$12,0))*ISNUMBER(Expenses!$D$5:$D$504))*(Expenses!$A$5:$A$504&gt;=DATE(Dashboard!$C$3,4,1))*(Expenses!$A$5:$A$504&lt;DATE(Dashboard!$C$3,5,1)),Expenses!$D$5:$D$504)</f>
        <v>0</v>
      </c>
      <c r="L6">
        <f t="shared" si="1"/>
        <v>0</v>
      </c>
      <c r="M6">
        <f t="shared" si="2"/>
        <v>0</v>
      </c>
      <c r="N6">
        <f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$3,4,1))*(Inventory!$D$5:$D$2004&lt;DATE(Dashboard!$C$3,5,1)),Inventory!$F$5:$F$2004)+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$3,4,1))*(Inventory!$D$5:$D$2004&lt;DATE(Dashboard!$C$3,5,1)),Inventory!$G$5:$G$2004)</f>
        <v>0</v>
      </c>
    </row>
    <row r="7" spans="2:14" x14ac:dyDescent="0.35">
      <c r="B7" t="s">
        <v>44</v>
      </c>
      <c r="C7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$3,5,1))*(Inventory!$J$5:$J$2004&lt;DATE(Dashboard!$C$3,6,1)))</f>
        <v>0</v>
      </c>
      <c r="D7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$3,5,1))*(Inventory!$J$5:$J$2004&lt;DATE(Dashboard!$C$3,6,1)),Inventory!$K$5:$K$2004)</f>
        <v>0</v>
      </c>
      <c r="E7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$3,5,1))*(Inventory!$J$5:$J$2004&lt;DATE(Dashboard!$C$3,6,1)),Inventory!$L$5:$L$2004)</f>
        <v>0</v>
      </c>
      <c r="F7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$3,5,1))*(Inventory!$J$5:$J$2004&lt;DATE(Dashboard!$C$3,6,1)),Inventory!$O$5:$O$2004)</f>
        <v>0</v>
      </c>
      <c r="G7">
        <f t="shared" si="0"/>
        <v>0</v>
      </c>
      <c r="H7">
        <f>SUM(G20:G29)</f>
        <v>0</v>
      </c>
      <c r="I7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$3,5,1))*(Inventory!$J$5:$J$2004&lt;DATE(Dashboard!$C$3,6,1)),Inventory!$M$5:$M$2004)</f>
        <v>0</v>
      </c>
      <c r="J7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$3,5,1))*(Inventory!$J$5:$J$2004&lt;DATE(Dashboard!$C$3,6,1)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$3,5,1))*(Inventory!$J$5:$J$2004&lt;DATE(Dashboard!$C$3,6,1)),Inventory!$G$5:$G$2004)</f>
        <v>0</v>
      </c>
      <c r="K7">
        <f>SUMPRODUCT((ISNUMBER(Expenses!$A$5:$A$504)*ISNUMBER(MATCH(Expenses!$B$5:$B$504,Lists!$D$2:$D$12,0))*ISNUMBER(Expenses!$D$5:$D$504))*(Expenses!$A$5:$A$504&gt;=DATE(Dashboard!$C$3,5,1))*(Expenses!$A$5:$A$504&lt;DATE(Dashboard!$C$3,6,1)),Expenses!$D$5:$D$504)</f>
        <v>0</v>
      </c>
      <c r="L7">
        <f t="shared" si="1"/>
        <v>0</v>
      </c>
      <c r="M7">
        <f t="shared" si="2"/>
        <v>0</v>
      </c>
      <c r="N7">
        <f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$3,5,1))*(Inventory!$D$5:$D$2004&lt;DATE(Dashboard!$C$3,6,1)),Inventory!$F$5:$F$2004)+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$3,5,1))*(Inventory!$D$5:$D$2004&lt;DATE(Dashboard!$C$3,6,1)),Inventory!$G$5:$G$2004)</f>
        <v>0</v>
      </c>
    </row>
    <row r="8" spans="2:14" x14ac:dyDescent="0.35">
      <c r="B8" t="s">
        <v>45</v>
      </c>
      <c r="C8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$3,6,1))*(Inventory!$J$5:$J$2004&lt;DATE(Dashboard!$C$3,7,1)))</f>
        <v>0</v>
      </c>
      <c r="D8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$3,6,1))*(Inventory!$J$5:$J$2004&lt;DATE(Dashboard!$C$3,7,1)),Inventory!$K$5:$K$2004)</f>
        <v>0</v>
      </c>
      <c r="E8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$3,6,1))*(Inventory!$J$5:$J$2004&lt;DATE(Dashboard!$C$3,7,1)),Inventory!$L$5:$L$2004)</f>
        <v>0</v>
      </c>
      <c r="F8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$3,6,1))*(Inventory!$J$5:$J$2004&lt;DATE(Dashboard!$C$3,7,1)),Inventory!$O$5:$O$2004)</f>
        <v>0</v>
      </c>
      <c r="G8">
        <f t="shared" si="0"/>
        <v>0</v>
      </c>
      <c r="H8">
        <f>SUM(H20:H29)</f>
        <v>0</v>
      </c>
      <c r="I8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$3,6,1))*(Inventory!$J$5:$J$2004&lt;DATE(Dashboard!$C$3,7,1)),Inventory!$M$5:$M$2004)</f>
        <v>0</v>
      </c>
      <c r="J8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$3,6,1))*(Inventory!$J$5:$J$2004&lt;DATE(Dashboard!$C$3,7,1)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$3,6,1))*(Inventory!$J$5:$J$2004&lt;DATE(Dashboard!$C$3,7,1)),Inventory!$G$5:$G$2004)</f>
        <v>0</v>
      </c>
      <c r="K8">
        <f>SUMPRODUCT((ISNUMBER(Expenses!$A$5:$A$504)*ISNUMBER(MATCH(Expenses!$B$5:$B$504,Lists!$D$2:$D$12,0))*ISNUMBER(Expenses!$D$5:$D$504))*(Expenses!$A$5:$A$504&gt;=DATE(Dashboard!$C$3,6,1))*(Expenses!$A$5:$A$504&lt;DATE(Dashboard!$C$3,7,1)),Expenses!$D$5:$D$504)</f>
        <v>0</v>
      </c>
      <c r="L8">
        <f t="shared" si="1"/>
        <v>0</v>
      </c>
      <c r="M8">
        <f t="shared" si="2"/>
        <v>0</v>
      </c>
      <c r="N8">
        <f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$3,6,1))*(Inventory!$D$5:$D$2004&lt;DATE(Dashboard!$C$3,7,1)),Inventory!$F$5:$F$2004)+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$3,6,1))*(Inventory!$D$5:$D$2004&lt;DATE(Dashboard!$C$3,7,1)),Inventory!$G$5:$G$2004)</f>
        <v>0</v>
      </c>
    </row>
    <row r="9" spans="2:14" x14ac:dyDescent="0.35">
      <c r="B9" t="s">
        <v>46</v>
      </c>
      <c r="C9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$3,7,1))*(Inventory!$J$5:$J$2004&lt;DATE(Dashboard!$C$3,8,1)))</f>
        <v>0</v>
      </c>
      <c r="D9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$3,7,1))*(Inventory!$J$5:$J$2004&lt;DATE(Dashboard!$C$3,8,1)),Inventory!$K$5:$K$2004)</f>
        <v>0</v>
      </c>
      <c r="E9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$3,7,1))*(Inventory!$J$5:$J$2004&lt;DATE(Dashboard!$C$3,8,1)),Inventory!$L$5:$L$2004)</f>
        <v>0</v>
      </c>
      <c r="F9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$3,7,1))*(Inventory!$J$5:$J$2004&lt;DATE(Dashboard!$C$3,8,1)),Inventory!$O$5:$O$2004)</f>
        <v>0</v>
      </c>
      <c r="G9">
        <f t="shared" si="0"/>
        <v>0</v>
      </c>
      <c r="H9">
        <f>SUM(I20:I29)</f>
        <v>0</v>
      </c>
      <c r="I9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$3,7,1))*(Inventory!$J$5:$J$2004&lt;DATE(Dashboard!$C$3,8,1)),Inventory!$M$5:$M$2004)</f>
        <v>0</v>
      </c>
      <c r="J9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$3,7,1))*(Inventory!$J$5:$J$2004&lt;DATE(Dashboard!$C$3,8,1)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$3,7,1))*(Inventory!$J$5:$J$2004&lt;DATE(Dashboard!$C$3,8,1)),Inventory!$G$5:$G$2004)</f>
        <v>0</v>
      </c>
      <c r="K9">
        <f>SUMPRODUCT((ISNUMBER(Expenses!$A$5:$A$504)*ISNUMBER(MATCH(Expenses!$B$5:$B$504,Lists!$D$2:$D$12,0))*ISNUMBER(Expenses!$D$5:$D$504))*(Expenses!$A$5:$A$504&gt;=DATE(Dashboard!$C$3,7,1))*(Expenses!$A$5:$A$504&lt;DATE(Dashboard!$C$3,8,1)),Expenses!$D$5:$D$504)</f>
        <v>0</v>
      </c>
      <c r="L9">
        <f t="shared" si="1"/>
        <v>0</v>
      </c>
      <c r="M9">
        <f t="shared" si="2"/>
        <v>0</v>
      </c>
      <c r="N9">
        <f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$3,7,1))*(Inventory!$D$5:$D$2004&lt;DATE(Dashboard!$C$3,8,1)),Inventory!$F$5:$F$2004)+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$3,7,1))*(Inventory!$D$5:$D$2004&lt;DATE(Dashboard!$C$3,8,1)),Inventory!$G$5:$G$2004)</f>
        <v>0</v>
      </c>
    </row>
    <row r="10" spans="2:14" x14ac:dyDescent="0.35">
      <c r="B10" t="s">
        <v>47</v>
      </c>
      <c r="C10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$3,8,1))*(Inventory!$J$5:$J$2004&lt;DATE(Dashboard!$C$3,9,1)))</f>
        <v>0</v>
      </c>
      <c r="D10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$3,8,1))*(Inventory!$J$5:$J$2004&lt;DATE(Dashboard!$C$3,9,1)),Inventory!$K$5:$K$2004)</f>
        <v>0</v>
      </c>
      <c r="E10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$3,8,1))*(Inventory!$J$5:$J$2004&lt;DATE(Dashboard!$C$3,9,1)),Inventory!$L$5:$L$2004)</f>
        <v>0</v>
      </c>
      <c r="F10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$3,8,1))*(Inventory!$J$5:$J$2004&lt;DATE(Dashboard!$C$3,9,1)),Inventory!$O$5:$O$2004)</f>
        <v>0</v>
      </c>
      <c r="G10">
        <f t="shared" si="0"/>
        <v>0</v>
      </c>
      <c r="H10">
        <f>SUM(J20:J29)</f>
        <v>0</v>
      </c>
      <c r="I10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$3,8,1))*(Inventory!$J$5:$J$2004&lt;DATE(Dashboard!$C$3,9,1)),Inventory!$M$5:$M$2004)</f>
        <v>0</v>
      </c>
      <c r="J10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$3,8,1))*(Inventory!$J$5:$J$2004&lt;DATE(Dashboard!$C$3,9,1)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$3,8,1))*(Inventory!$J$5:$J$2004&lt;DATE(Dashboard!$C$3,9,1)),Inventory!$G$5:$G$2004)</f>
        <v>0</v>
      </c>
      <c r="K10">
        <f>SUMPRODUCT((ISNUMBER(Expenses!$A$5:$A$504)*ISNUMBER(MATCH(Expenses!$B$5:$B$504,Lists!$D$2:$D$12,0))*ISNUMBER(Expenses!$D$5:$D$504))*(Expenses!$A$5:$A$504&gt;=DATE(Dashboard!$C$3,8,1))*(Expenses!$A$5:$A$504&lt;DATE(Dashboard!$C$3,9,1)),Expenses!$D$5:$D$504)</f>
        <v>0</v>
      </c>
      <c r="L10">
        <f t="shared" si="1"/>
        <v>0</v>
      </c>
      <c r="M10">
        <f t="shared" si="2"/>
        <v>0</v>
      </c>
      <c r="N10">
        <f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$3,8,1))*(Inventory!$D$5:$D$2004&lt;DATE(Dashboard!$C$3,9,1)),Inventory!$F$5:$F$2004)+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$3,8,1))*(Inventory!$D$5:$D$2004&lt;DATE(Dashboard!$C$3,9,1)),Inventory!$G$5:$G$2004)</f>
        <v>0</v>
      </c>
    </row>
    <row r="11" spans="2:14" x14ac:dyDescent="0.35">
      <c r="B11" t="s">
        <v>51</v>
      </c>
      <c r="C11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$3,9,1))*(Inventory!$J$5:$J$2004&lt;DATE(Dashboard!$C$3,10,1)))</f>
        <v>0</v>
      </c>
      <c r="D11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$3,9,1))*(Inventory!$J$5:$J$2004&lt;DATE(Dashboard!$C$3,10,1)),Inventory!$K$5:$K$2004)</f>
        <v>0</v>
      </c>
      <c r="E11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$3,9,1))*(Inventory!$J$5:$J$2004&lt;DATE(Dashboard!$C$3,10,1)),Inventory!$L$5:$L$2004)</f>
        <v>0</v>
      </c>
      <c r="F11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$3,9,1))*(Inventory!$J$5:$J$2004&lt;DATE(Dashboard!$C$3,10,1)),Inventory!$O$5:$O$2004)</f>
        <v>0</v>
      </c>
      <c r="G11">
        <f t="shared" si="0"/>
        <v>0</v>
      </c>
      <c r="H11">
        <f>SUM(K20:K29)</f>
        <v>0</v>
      </c>
      <c r="I11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$3,9,1))*(Inventory!$J$5:$J$2004&lt;DATE(Dashboard!$C$3,10,1)),Inventory!$M$5:$M$2004)</f>
        <v>0</v>
      </c>
      <c r="J11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$3,9,1))*(Inventory!$J$5:$J$2004&lt;DATE(Dashboard!$C$3,10,1)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$3,9,1))*(Inventory!$J$5:$J$2004&lt;DATE(Dashboard!$C$3,10,1)),Inventory!$G$5:$G$2004)</f>
        <v>0</v>
      </c>
      <c r="K11">
        <f>SUMPRODUCT((ISNUMBER(Expenses!$A$5:$A$504)*ISNUMBER(MATCH(Expenses!$B$5:$B$504,Lists!$D$2:$D$12,0))*ISNUMBER(Expenses!$D$5:$D$504))*(Expenses!$A$5:$A$504&gt;=DATE(Dashboard!$C$3,9,1))*(Expenses!$A$5:$A$504&lt;DATE(Dashboard!$C$3,10,1)),Expenses!$D$5:$D$504)</f>
        <v>0</v>
      </c>
      <c r="L11">
        <f t="shared" si="1"/>
        <v>0</v>
      </c>
      <c r="M11">
        <f t="shared" si="2"/>
        <v>0</v>
      </c>
      <c r="N11">
        <f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$3,9,1))*(Inventory!$D$5:$D$2004&lt;DATE(Dashboard!$C$3,10,1)),Inventory!$F$5:$F$2004)+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$3,9,1))*(Inventory!$D$5:$D$2004&lt;DATE(Dashboard!$C$3,10,1)),Inventory!$G$5:$G$2004)</f>
        <v>0</v>
      </c>
    </row>
    <row r="12" spans="2:14" x14ac:dyDescent="0.35">
      <c r="B12" t="s">
        <v>52</v>
      </c>
      <c r="C12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$3,10,1))*(Inventory!$J$5:$J$2004&lt;DATE(Dashboard!$C$3,11,1)))</f>
        <v>0</v>
      </c>
      <c r="D12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$3,10,1))*(Inventory!$J$5:$J$2004&lt;DATE(Dashboard!$C$3,11,1)),Inventory!$K$5:$K$2004)</f>
        <v>0</v>
      </c>
      <c r="E12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$3,10,1))*(Inventory!$J$5:$J$2004&lt;DATE(Dashboard!$C$3,11,1)),Inventory!$L$5:$L$2004)</f>
        <v>0</v>
      </c>
      <c r="F12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$3,10,1))*(Inventory!$J$5:$J$2004&lt;DATE(Dashboard!$C$3,11,1)),Inventory!$O$5:$O$2004)</f>
        <v>0</v>
      </c>
      <c r="G12">
        <f t="shared" si="0"/>
        <v>0</v>
      </c>
      <c r="H12">
        <f>SUM(L20:L29)</f>
        <v>0</v>
      </c>
      <c r="I12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$3,10,1))*(Inventory!$J$5:$J$2004&lt;DATE(Dashboard!$C$3,11,1)),Inventory!$M$5:$M$2004)</f>
        <v>0</v>
      </c>
      <c r="J12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$3,10,1))*(Inventory!$J$5:$J$2004&lt;DATE(Dashboard!$C$3,11,1)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$3,10,1))*(Inventory!$J$5:$J$2004&lt;DATE(Dashboard!$C$3,11,1)),Inventory!$G$5:$G$2004)</f>
        <v>0</v>
      </c>
      <c r="K12">
        <f>SUMPRODUCT((ISNUMBER(Expenses!$A$5:$A$504)*ISNUMBER(MATCH(Expenses!$B$5:$B$504,Lists!$D$2:$D$12,0))*ISNUMBER(Expenses!$D$5:$D$504))*(Expenses!$A$5:$A$504&gt;=DATE(Dashboard!$C$3,10,1))*(Expenses!$A$5:$A$504&lt;DATE(Dashboard!$C$3,11,1)),Expenses!$D$5:$D$504)</f>
        <v>0</v>
      </c>
      <c r="L12">
        <f t="shared" si="1"/>
        <v>0</v>
      </c>
      <c r="M12">
        <f t="shared" si="2"/>
        <v>0</v>
      </c>
      <c r="N12">
        <f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$3,10,1))*(Inventory!$D$5:$D$2004&lt;DATE(Dashboard!$C$3,11,1)),Inventory!$F$5:$F$2004)+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$3,10,1))*(Inventory!$D$5:$D$2004&lt;DATE(Dashboard!$C$3,11,1)),Inventory!$G$5:$G$2004)</f>
        <v>0</v>
      </c>
    </row>
    <row r="13" spans="2:14" x14ac:dyDescent="0.35">
      <c r="B13" t="s">
        <v>53</v>
      </c>
      <c r="C13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$3,11,1))*(Inventory!$J$5:$J$2004&lt;DATE(Dashboard!$C$3,12,1)))</f>
        <v>0</v>
      </c>
      <c r="D13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$3,11,1))*(Inventory!$J$5:$J$2004&lt;DATE(Dashboard!$C$3,12,1)),Inventory!$K$5:$K$2004)</f>
        <v>0</v>
      </c>
      <c r="E13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$3,11,1))*(Inventory!$J$5:$J$2004&lt;DATE(Dashboard!$C$3,12,1)),Inventory!$L$5:$L$2004)</f>
        <v>0</v>
      </c>
      <c r="F13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$3,11,1))*(Inventory!$J$5:$J$2004&lt;DATE(Dashboard!$C$3,12,1)),Inventory!$O$5:$O$2004)</f>
        <v>0</v>
      </c>
      <c r="G13">
        <f t="shared" si="0"/>
        <v>0</v>
      </c>
      <c r="H13">
        <f>SUM(M20:M29)</f>
        <v>0</v>
      </c>
      <c r="I13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$3,11,1))*(Inventory!$J$5:$J$2004&lt;DATE(Dashboard!$C$3,12,1)),Inventory!$M$5:$M$2004)</f>
        <v>0</v>
      </c>
      <c r="J13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$3,11,1))*(Inventory!$J$5:$J$2004&lt;DATE(Dashboard!$C$3,12,1)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$3,11,1))*(Inventory!$J$5:$J$2004&lt;DATE(Dashboard!$C$3,12,1)),Inventory!$G$5:$G$2004)</f>
        <v>0</v>
      </c>
      <c r="K13">
        <f>SUMPRODUCT((ISNUMBER(Expenses!$A$5:$A$504)*ISNUMBER(MATCH(Expenses!$B$5:$B$504,Lists!$D$2:$D$12,0))*ISNUMBER(Expenses!$D$5:$D$504))*(Expenses!$A$5:$A$504&gt;=DATE(Dashboard!$C$3,11,1))*(Expenses!$A$5:$A$504&lt;DATE(Dashboard!$C$3,12,1)),Expenses!$D$5:$D$504)</f>
        <v>0</v>
      </c>
      <c r="L13">
        <f t="shared" si="1"/>
        <v>0</v>
      </c>
      <c r="M13">
        <f t="shared" si="2"/>
        <v>0</v>
      </c>
      <c r="N13">
        <f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$3,11,1))*(Inventory!$D$5:$D$2004&lt;DATE(Dashboard!$C$3,12,1)),Inventory!$F$5:$F$2004)+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$3,11,1))*(Inventory!$D$5:$D$2004&lt;DATE(Dashboard!$C$3,12,1)),Inventory!$G$5:$G$2004)</f>
        <v>0</v>
      </c>
    </row>
    <row r="14" spans="2:14" x14ac:dyDescent="0.35">
      <c r="B14" t="s">
        <v>55</v>
      </c>
      <c r="C14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$3,12,1))*(Inventory!$J$5:$J$2004&lt;DATE(Dashboard!$C$3,13,1)))</f>
        <v>0</v>
      </c>
      <c r="D14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$3,12,1))*(Inventory!$J$5:$J$2004&lt;DATE(Dashboard!$C$3,13,1)),Inventory!$K$5:$K$2004)</f>
        <v>0</v>
      </c>
      <c r="E14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$3,12,1))*(Inventory!$J$5:$J$2004&lt;DATE(Dashboard!$C$3,13,1)),Inventory!$L$5:$L$2004)</f>
        <v>0</v>
      </c>
      <c r="F14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$3,12,1))*(Inventory!$J$5:$J$2004&lt;DATE(Dashboard!$C$3,13,1)),Inventory!$O$5:$O$2004)</f>
        <v>0</v>
      </c>
      <c r="G14">
        <f t="shared" si="0"/>
        <v>0</v>
      </c>
      <c r="H14">
        <f>SUM(N20:N29)</f>
        <v>0</v>
      </c>
      <c r="I14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$3,12,1))*(Inventory!$J$5:$J$2004&lt;DATE(Dashboard!$C$3,13,1)),Inventory!$M$5:$M$2004)</f>
        <v>0</v>
      </c>
      <c r="J14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$3,12,1))*(Inventory!$J$5:$J$2004&lt;DATE(Dashboard!$C$3,13,1)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$3,12,1))*(Inventory!$J$5:$J$2004&lt;DATE(Dashboard!$C$3,13,1)),Inventory!$G$5:$G$2004)</f>
        <v>0</v>
      </c>
      <c r="K14">
        <f>SUMPRODUCT((ISNUMBER(Expenses!$A$5:$A$504)*ISNUMBER(MATCH(Expenses!$B$5:$B$504,Lists!$D$2:$D$12,0))*ISNUMBER(Expenses!$D$5:$D$504))*(Expenses!$A$5:$A$504&gt;=DATE(Dashboard!$C$3,12,1))*(Expenses!$A$5:$A$504&lt;DATE(Dashboard!$C$3,13,1)),Expenses!$D$5:$D$504)</f>
        <v>0</v>
      </c>
      <c r="L14">
        <f t="shared" si="1"/>
        <v>0</v>
      </c>
      <c r="M14">
        <f t="shared" si="2"/>
        <v>0</v>
      </c>
      <c r="N14">
        <f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$3,12,1))*(Inventory!$D$5:$D$2004&lt;DATE(Dashboard!$C$3,13,1)),Inventory!$F$5:$F$2004)+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+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)*(Inventory!$D$5:$D$2004&gt;=DATE(Dashboard!$C$3,12,1))*(Inventory!$D$5:$D$2004&lt;DATE(Dashboard!$C$3,13,1)),Inventory!$G$5:$G$2004)</f>
        <v>0</v>
      </c>
    </row>
    <row r="15" spans="2:14" x14ac:dyDescent="0.35">
      <c r="B15" t="s">
        <v>178</v>
      </c>
      <c r="C15">
        <f t="shared" ref="C15:L15" si="3">SUM(C3:C14)</f>
        <v>1</v>
      </c>
      <c r="D15">
        <f t="shared" si="3"/>
        <v>42</v>
      </c>
      <c r="E15">
        <f t="shared" si="3"/>
        <v>8</v>
      </c>
      <c r="F15">
        <f t="shared" si="3"/>
        <v>0</v>
      </c>
      <c r="G15">
        <f t="shared" si="3"/>
        <v>50</v>
      </c>
      <c r="H15">
        <f t="shared" si="3"/>
        <v>7.2000000000000011</v>
      </c>
      <c r="I15">
        <f t="shared" si="3"/>
        <v>7.5</v>
      </c>
      <c r="J15">
        <f t="shared" si="3"/>
        <v>6</v>
      </c>
      <c r="K15">
        <f t="shared" si="3"/>
        <v>14.99</v>
      </c>
      <c r="L15">
        <f t="shared" si="3"/>
        <v>14.309999999999997</v>
      </c>
      <c r="M15">
        <f t="shared" si="2"/>
        <v>0.28619999999999995</v>
      </c>
      <c r="N15">
        <f>SUM(N3:N14)</f>
        <v>9</v>
      </c>
    </row>
    <row r="19" spans="2:21" x14ac:dyDescent="0.35">
      <c r="B19" t="s">
        <v>179</v>
      </c>
      <c r="C19" t="s">
        <v>37</v>
      </c>
      <c r="D19" t="s">
        <v>38</v>
      </c>
      <c r="E19" t="s">
        <v>39</v>
      </c>
      <c r="F19" t="s">
        <v>40</v>
      </c>
      <c r="G19" t="s">
        <v>44</v>
      </c>
      <c r="H19" t="s">
        <v>45</v>
      </c>
      <c r="I19" t="s">
        <v>46</v>
      </c>
      <c r="J19" t="s">
        <v>47</v>
      </c>
      <c r="K19" t="s">
        <v>51</v>
      </c>
      <c r="L19" t="s">
        <v>52</v>
      </c>
      <c r="M19" t="s">
        <v>53</v>
      </c>
      <c r="N19" t="s">
        <v>55</v>
      </c>
      <c r="P19" t="s">
        <v>60</v>
      </c>
      <c r="Q19" t="s">
        <v>31</v>
      </c>
      <c r="R19" t="s">
        <v>58</v>
      </c>
      <c r="S19" t="s">
        <v>104</v>
      </c>
      <c r="T19" t="s">
        <v>180</v>
      </c>
      <c r="U19" t="s">
        <v>57</v>
      </c>
    </row>
    <row r="20" spans="2:21" x14ac:dyDescent="0.35">
      <c r="B20" t="str">
        <f>Platforms!$B$5</f>
        <v>eBay</v>
      </c>
      <c r="C20">
        <f t="array" ref="C20">IF(Platforms!$B$5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$3,2,1))*(Inventory!$H$5:$H$2004=Platforms!$B$5))=1,IF(ISNUMBER(Inventory!$N$5:$N$2004),Inventory!$N$5:$N$2004,IF(Inventory!$K$5:$K$2004&lt;N(Platforms!$G$5),N(Platforms!$H$5),IF(N(Platforms!$C$5)*(Inventory!$K$5:$K$2004+IF(Platforms!$E$5="Yes",1,0)*Inventory!$L$5:$L$2004)+N(Platforms!$D$5)&lt;N(Platforms!$F$5),N(Platforms!$F$5),N(Platforms!$C$5)*(Inventory!$K$5:$K$2004+IF(Platforms!$E$5="Yes",1,0)*Inventory!$L$5:$L$2004)+N(Platforms!$D$5)))),0)))</f>
        <v>7.2000000000000011</v>
      </c>
      <c r="D20">
        <f t="array" ref="D20">IF(Platforms!$B$5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$3,2,1))*(Inventory!$J$5:$J$2004&lt;DATE(Dashboard!$C$3,3,1))*(Inventory!$H$5:$H$2004=Platforms!$B$5))=1,IF(ISNUMBER(Inventory!$N$5:$N$2004),Inventory!$N$5:$N$2004,IF(Inventory!$K$5:$K$2004&lt;N(Platforms!$G$5),N(Platforms!$H$5),IF(N(Platforms!$C$5)*(Inventory!$K$5:$K$2004+IF(Platforms!$E$5="Yes",1,0)*Inventory!$L$5:$L$2004)+N(Platforms!$D$5)&lt;N(Platforms!$F$5),N(Platforms!$F$5),N(Platforms!$C$5)*(Inventory!$K$5:$K$2004+IF(Platforms!$E$5="Yes",1,0)*Inventory!$L$5:$L$2004)+N(Platforms!$D$5)))),0)))</f>
        <v>0</v>
      </c>
      <c r="E20">
        <f t="array" ref="E20">IF(Platforms!$B$5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$3,3,1))*(Inventory!$J$5:$J$2004&lt;DATE(Dashboard!$C$3,4,1))*(Inventory!$H$5:$H$2004=Platforms!$B$5))=1,IF(ISNUMBER(Inventory!$N$5:$N$2004),Inventory!$N$5:$N$2004,IF(Inventory!$K$5:$K$2004&lt;N(Platforms!$G$5),N(Platforms!$H$5),IF(N(Platforms!$C$5)*(Inventory!$K$5:$K$2004+IF(Platforms!$E$5="Yes",1,0)*Inventory!$L$5:$L$2004)+N(Platforms!$D$5)&lt;N(Platforms!$F$5),N(Platforms!$F$5),N(Platforms!$C$5)*(Inventory!$K$5:$K$2004+IF(Platforms!$E$5="Yes",1,0)*Inventory!$L$5:$L$2004)+N(Platforms!$D$5)))),0)))</f>
        <v>0</v>
      </c>
      <c r="F20">
        <f t="array" ref="F20">IF(Platforms!$B$5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$3,4,1))*(Inventory!$J$5:$J$2004&lt;DATE(Dashboard!$C$3,5,1))*(Inventory!$H$5:$H$2004=Platforms!$B$5))=1,IF(ISNUMBER(Inventory!$N$5:$N$2004),Inventory!$N$5:$N$2004,IF(Inventory!$K$5:$K$2004&lt;N(Platforms!$G$5),N(Platforms!$H$5),IF(N(Platforms!$C$5)*(Inventory!$K$5:$K$2004+IF(Platforms!$E$5="Yes",1,0)*Inventory!$L$5:$L$2004)+N(Platforms!$D$5)&lt;N(Platforms!$F$5),N(Platforms!$F$5),N(Platforms!$C$5)*(Inventory!$K$5:$K$2004+IF(Platforms!$E$5="Yes",1,0)*Inventory!$L$5:$L$2004)+N(Platforms!$D$5)))),0)))</f>
        <v>0</v>
      </c>
      <c r="G20">
        <f t="array" ref="G20">IF(Platforms!$B$5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$3,5,1))*(Inventory!$J$5:$J$2004&lt;DATE(Dashboard!$C$3,6,1))*(Inventory!$H$5:$H$2004=Platforms!$B$5))=1,IF(ISNUMBER(Inventory!$N$5:$N$2004),Inventory!$N$5:$N$2004,IF(Inventory!$K$5:$K$2004&lt;N(Platforms!$G$5),N(Platforms!$H$5),IF(N(Platforms!$C$5)*(Inventory!$K$5:$K$2004+IF(Platforms!$E$5="Yes",1,0)*Inventory!$L$5:$L$2004)+N(Platforms!$D$5)&lt;N(Platforms!$F$5),N(Platforms!$F$5),N(Platforms!$C$5)*(Inventory!$K$5:$K$2004+IF(Platforms!$E$5="Yes",1,0)*Inventory!$L$5:$L$2004)+N(Platforms!$D$5)))),0)))</f>
        <v>0</v>
      </c>
      <c r="H20">
        <f t="array" ref="H20">IF(Platforms!$B$5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$3,6,1))*(Inventory!$J$5:$J$2004&lt;DATE(Dashboard!$C$3,7,1))*(Inventory!$H$5:$H$2004=Platforms!$B$5))=1,IF(ISNUMBER(Inventory!$N$5:$N$2004),Inventory!$N$5:$N$2004,IF(Inventory!$K$5:$K$2004&lt;N(Platforms!$G$5),N(Platforms!$H$5),IF(N(Platforms!$C$5)*(Inventory!$K$5:$K$2004+IF(Platforms!$E$5="Yes",1,0)*Inventory!$L$5:$L$2004)+N(Platforms!$D$5)&lt;N(Platforms!$F$5),N(Platforms!$F$5),N(Platforms!$C$5)*(Inventory!$K$5:$K$2004+IF(Platforms!$E$5="Yes",1,0)*Inventory!$L$5:$L$2004)+N(Platforms!$D$5)))),0)))</f>
        <v>0</v>
      </c>
      <c r="I20">
        <f t="array" ref="I20">IF(Platforms!$B$5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$3,7,1))*(Inventory!$J$5:$J$2004&lt;DATE(Dashboard!$C$3,8,1))*(Inventory!$H$5:$H$2004=Platforms!$B$5))=1,IF(ISNUMBER(Inventory!$N$5:$N$2004),Inventory!$N$5:$N$2004,IF(Inventory!$K$5:$K$2004&lt;N(Platforms!$G$5),N(Platforms!$H$5),IF(N(Platforms!$C$5)*(Inventory!$K$5:$K$2004+IF(Platforms!$E$5="Yes",1,0)*Inventory!$L$5:$L$2004)+N(Platforms!$D$5)&lt;N(Platforms!$F$5),N(Platforms!$F$5),N(Platforms!$C$5)*(Inventory!$K$5:$K$2004+IF(Platforms!$E$5="Yes",1,0)*Inventory!$L$5:$L$2004)+N(Platforms!$D$5)))),0)))</f>
        <v>0</v>
      </c>
      <c r="J20">
        <f t="array" ref="J20">IF(Platforms!$B$5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$3,8,1))*(Inventory!$J$5:$J$2004&lt;DATE(Dashboard!$C$3,9,1))*(Inventory!$H$5:$H$2004=Platforms!$B$5))=1,IF(ISNUMBER(Inventory!$N$5:$N$2004),Inventory!$N$5:$N$2004,IF(Inventory!$K$5:$K$2004&lt;N(Platforms!$G$5),N(Platforms!$H$5),IF(N(Platforms!$C$5)*(Inventory!$K$5:$K$2004+IF(Platforms!$E$5="Yes",1,0)*Inventory!$L$5:$L$2004)+N(Platforms!$D$5)&lt;N(Platforms!$F$5),N(Platforms!$F$5),N(Platforms!$C$5)*(Inventory!$K$5:$K$2004+IF(Platforms!$E$5="Yes",1,0)*Inventory!$L$5:$L$2004)+N(Platforms!$D$5)))),0)))</f>
        <v>0</v>
      </c>
      <c r="K20">
        <f t="array" ref="K20">IF(Platforms!$B$5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$3,9,1))*(Inventory!$J$5:$J$2004&lt;DATE(Dashboard!$C$3,10,1))*(Inventory!$H$5:$H$2004=Platforms!$B$5))=1,IF(ISNUMBER(Inventory!$N$5:$N$2004),Inventory!$N$5:$N$2004,IF(Inventory!$K$5:$K$2004&lt;N(Platforms!$G$5),N(Platforms!$H$5),IF(N(Platforms!$C$5)*(Inventory!$K$5:$K$2004+IF(Platforms!$E$5="Yes",1,0)*Inventory!$L$5:$L$2004)+N(Platforms!$D$5)&lt;N(Platforms!$F$5),N(Platforms!$F$5),N(Platforms!$C$5)*(Inventory!$K$5:$K$2004+IF(Platforms!$E$5="Yes",1,0)*Inventory!$L$5:$L$2004)+N(Platforms!$D$5)))),0)))</f>
        <v>0</v>
      </c>
      <c r="L20">
        <f t="array" ref="L20">IF(Platforms!$B$5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$3,10,1))*(Inventory!$J$5:$J$2004&lt;DATE(Dashboard!$C$3,11,1))*(Inventory!$H$5:$H$2004=Platforms!$B$5))=1,IF(ISNUMBER(Inventory!$N$5:$N$2004),Inventory!$N$5:$N$2004,IF(Inventory!$K$5:$K$2004&lt;N(Platforms!$G$5),N(Platforms!$H$5),IF(N(Platforms!$C$5)*(Inventory!$K$5:$K$2004+IF(Platforms!$E$5="Yes",1,0)*Inventory!$L$5:$L$2004)+N(Platforms!$D$5)&lt;N(Platforms!$F$5),N(Platforms!$F$5),N(Platforms!$C$5)*(Inventory!$K$5:$K$2004+IF(Platforms!$E$5="Yes",1,0)*Inventory!$L$5:$L$2004)+N(Platforms!$D$5)))),0)))</f>
        <v>0</v>
      </c>
      <c r="M20">
        <f t="array" ref="M20">IF(Platforms!$B$5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$3,11,1))*(Inventory!$J$5:$J$2004&lt;DATE(Dashboard!$C$3,12,1))*(Inventory!$H$5:$H$2004=Platforms!$B$5))=1,IF(ISNUMBER(Inventory!$N$5:$N$2004),Inventory!$N$5:$N$2004,IF(Inventory!$K$5:$K$2004&lt;N(Platforms!$G$5),N(Platforms!$H$5),IF(N(Platforms!$C$5)*(Inventory!$K$5:$K$2004+IF(Platforms!$E$5="Yes",1,0)*Inventory!$L$5:$L$2004)+N(Platforms!$D$5)&lt;N(Platforms!$F$5),N(Platforms!$F$5),N(Platforms!$C$5)*(Inventory!$K$5:$K$2004+IF(Platforms!$E$5="Yes",1,0)*Inventory!$L$5:$L$2004)+N(Platforms!$D$5)))),0)))</f>
        <v>0</v>
      </c>
      <c r="N20">
        <f t="array" ref="N20">IF(Platforms!$B$5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$3,12,1))*(Inventory!$J$5:$J$2004&lt;DATE(Dashboard!$C$3,13,1))*(Inventory!$H$5:$H$2004=Platforms!$B$5))=1,IF(ISNUMBER(Inventory!$N$5:$N$2004),Inventory!$N$5:$N$2004,IF(Inventory!$K$5:$K$2004&lt;N(Platforms!$G$5),N(Platforms!$H$5),IF(N(Platforms!$C$5)*(Inventory!$K$5:$K$2004+IF(Platforms!$E$5="Yes",1,0)*Inventory!$L$5:$L$2004)+N(Platforms!$D$5)&lt;N(Platforms!$F$5),N(Platforms!$F$5),N(Platforms!$C$5)*(Inventory!$K$5:$K$2004+IF(Platforms!$E$5="Yes",1,0)*Inventory!$L$5:$L$2004)+N(Platforms!$D$5)))),0)))</f>
        <v>0</v>
      </c>
      <c r="P20">
        <f>IF(Platforms!$B$5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$5)))</f>
        <v>1</v>
      </c>
      <c r="Q20">
        <f>IF(Platforms!$B$5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$5),Inventory!$K$5:$K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$5),Inventory!$L$5:$L$2004)-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$5),Inventory!$O$5:$O$2004))</f>
        <v>50</v>
      </c>
      <c r="R20">
        <f t="shared" ref="R20:R29" si="4">SUM(C20:N20)</f>
        <v>7.2000000000000011</v>
      </c>
      <c r="S20">
        <f>IF(Platforms!$B$5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$5),Inventory!$M$5:$M$2004))</f>
        <v>7.5</v>
      </c>
      <c r="T20">
        <f>IF(Platforms!$B$5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$5)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$5),Inventory!$G$5:$G$2004))</f>
        <v>6</v>
      </c>
      <c r="U20">
        <f t="shared" ref="U20:U29" si="5">Q20-R20-S20-T20</f>
        <v>29.299999999999997</v>
      </c>
    </row>
    <row r="21" spans="2:21" x14ac:dyDescent="0.35">
      <c r="B21" t="str">
        <f>Platforms!$B$6</f>
        <v>Poshmark</v>
      </c>
      <c r="C21">
        <f t="array" ref="C21">IF(Platforms!$B$6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$3,2,1))*(Inventory!$H$5:$H$2004=Platforms!$B$6))=1,IF(ISNUMBER(Inventory!$N$5:$N$2004),Inventory!$N$5:$N$2004,IF(Inventory!$K$5:$K$2004&lt;N(Platforms!$G$6),N(Platforms!$H$6),IF(N(Platforms!$C$6)*(Inventory!$K$5:$K$2004+IF(Platforms!$E$6="Yes",1,0)*Inventory!$L$5:$L$2004)+N(Platforms!$D$6)&lt;N(Platforms!$F$6),N(Platforms!$F$6),N(Platforms!$C$6)*(Inventory!$K$5:$K$2004+IF(Platforms!$E$6="Yes",1,0)*Inventory!$L$5:$L$2004)+N(Platforms!$D$6)))),0)))</f>
        <v>0</v>
      </c>
      <c r="D21">
        <f t="array" ref="D21">IF(Platforms!$B$6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$3,2,1))*(Inventory!$J$5:$J$2004&lt;DATE(Dashboard!$C$3,3,1))*(Inventory!$H$5:$H$2004=Platforms!$B$6))=1,IF(ISNUMBER(Inventory!$N$5:$N$2004),Inventory!$N$5:$N$2004,IF(Inventory!$K$5:$K$2004&lt;N(Platforms!$G$6),N(Platforms!$H$6),IF(N(Platforms!$C$6)*(Inventory!$K$5:$K$2004+IF(Platforms!$E$6="Yes",1,0)*Inventory!$L$5:$L$2004)+N(Platforms!$D$6)&lt;N(Platforms!$F$6),N(Platforms!$F$6),N(Platforms!$C$6)*(Inventory!$K$5:$K$2004+IF(Platforms!$E$6="Yes",1,0)*Inventory!$L$5:$L$2004)+N(Platforms!$D$6)))),0)))</f>
        <v>0</v>
      </c>
      <c r="E21">
        <f t="array" ref="E21">IF(Platforms!$B$6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$3,3,1))*(Inventory!$J$5:$J$2004&lt;DATE(Dashboard!$C$3,4,1))*(Inventory!$H$5:$H$2004=Platforms!$B$6))=1,IF(ISNUMBER(Inventory!$N$5:$N$2004),Inventory!$N$5:$N$2004,IF(Inventory!$K$5:$K$2004&lt;N(Platforms!$G$6),N(Platforms!$H$6),IF(N(Platforms!$C$6)*(Inventory!$K$5:$K$2004+IF(Platforms!$E$6="Yes",1,0)*Inventory!$L$5:$L$2004)+N(Platforms!$D$6)&lt;N(Platforms!$F$6),N(Platforms!$F$6),N(Platforms!$C$6)*(Inventory!$K$5:$K$2004+IF(Platforms!$E$6="Yes",1,0)*Inventory!$L$5:$L$2004)+N(Platforms!$D$6)))),0)))</f>
        <v>0</v>
      </c>
      <c r="F21">
        <f t="array" ref="F21">IF(Platforms!$B$6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$3,4,1))*(Inventory!$J$5:$J$2004&lt;DATE(Dashboard!$C$3,5,1))*(Inventory!$H$5:$H$2004=Platforms!$B$6))=1,IF(ISNUMBER(Inventory!$N$5:$N$2004),Inventory!$N$5:$N$2004,IF(Inventory!$K$5:$K$2004&lt;N(Platforms!$G$6),N(Platforms!$H$6),IF(N(Platforms!$C$6)*(Inventory!$K$5:$K$2004+IF(Platforms!$E$6="Yes",1,0)*Inventory!$L$5:$L$2004)+N(Platforms!$D$6)&lt;N(Platforms!$F$6),N(Platforms!$F$6),N(Platforms!$C$6)*(Inventory!$K$5:$K$2004+IF(Platforms!$E$6="Yes",1,0)*Inventory!$L$5:$L$2004)+N(Platforms!$D$6)))),0)))</f>
        <v>0</v>
      </c>
      <c r="G21">
        <f t="array" ref="G21">IF(Platforms!$B$6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$3,5,1))*(Inventory!$J$5:$J$2004&lt;DATE(Dashboard!$C$3,6,1))*(Inventory!$H$5:$H$2004=Platforms!$B$6))=1,IF(ISNUMBER(Inventory!$N$5:$N$2004),Inventory!$N$5:$N$2004,IF(Inventory!$K$5:$K$2004&lt;N(Platforms!$G$6),N(Platforms!$H$6),IF(N(Platforms!$C$6)*(Inventory!$K$5:$K$2004+IF(Platforms!$E$6="Yes",1,0)*Inventory!$L$5:$L$2004)+N(Platforms!$D$6)&lt;N(Platforms!$F$6),N(Platforms!$F$6),N(Platforms!$C$6)*(Inventory!$K$5:$K$2004+IF(Platforms!$E$6="Yes",1,0)*Inventory!$L$5:$L$2004)+N(Platforms!$D$6)))),0)))</f>
        <v>0</v>
      </c>
      <c r="H21">
        <f t="array" ref="H21">IF(Platforms!$B$6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$3,6,1))*(Inventory!$J$5:$J$2004&lt;DATE(Dashboard!$C$3,7,1))*(Inventory!$H$5:$H$2004=Platforms!$B$6))=1,IF(ISNUMBER(Inventory!$N$5:$N$2004),Inventory!$N$5:$N$2004,IF(Inventory!$K$5:$K$2004&lt;N(Platforms!$G$6),N(Platforms!$H$6),IF(N(Platforms!$C$6)*(Inventory!$K$5:$K$2004+IF(Platforms!$E$6="Yes",1,0)*Inventory!$L$5:$L$2004)+N(Platforms!$D$6)&lt;N(Platforms!$F$6),N(Platforms!$F$6),N(Platforms!$C$6)*(Inventory!$K$5:$K$2004+IF(Platforms!$E$6="Yes",1,0)*Inventory!$L$5:$L$2004)+N(Platforms!$D$6)))),0)))</f>
        <v>0</v>
      </c>
      <c r="I21">
        <f t="array" ref="I21">IF(Platforms!$B$6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$3,7,1))*(Inventory!$J$5:$J$2004&lt;DATE(Dashboard!$C$3,8,1))*(Inventory!$H$5:$H$2004=Platforms!$B$6))=1,IF(ISNUMBER(Inventory!$N$5:$N$2004),Inventory!$N$5:$N$2004,IF(Inventory!$K$5:$K$2004&lt;N(Platforms!$G$6),N(Platforms!$H$6),IF(N(Platforms!$C$6)*(Inventory!$K$5:$K$2004+IF(Platforms!$E$6="Yes",1,0)*Inventory!$L$5:$L$2004)+N(Platforms!$D$6)&lt;N(Platforms!$F$6),N(Platforms!$F$6),N(Platforms!$C$6)*(Inventory!$K$5:$K$2004+IF(Platforms!$E$6="Yes",1,0)*Inventory!$L$5:$L$2004)+N(Platforms!$D$6)))),0)))</f>
        <v>0</v>
      </c>
      <c r="J21">
        <f t="array" ref="J21">IF(Platforms!$B$6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$3,8,1))*(Inventory!$J$5:$J$2004&lt;DATE(Dashboard!$C$3,9,1))*(Inventory!$H$5:$H$2004=Platforms!$B$6))=1,IF(ISNUMBER(Inventory!$N$5:$N$2004),Inventory!$N$5:$N$2004,IF(Inventory!$K$5:$K$2004&lt;N(Platforms!$G$6),N(Platforms!$H$6),IF(N(Platforms!$C$6)*(Inventory!$K$5:$K$2004+IF(Platforms!$E$6="Yes",1,0)*Inventory!$L$5:$L$2004)+N(Platforms!$D$6)&lt;N(Platforms!$F$6),N(Platforms!$F$6),N(Platforms!$C$6)*(Inventory!$K$5:$K$2004+IF(Platforms!$E$6="Yes",1,0)*Inventory!$L$5:$L$2004)+N(Platforms!$D$6)))),0)))</f>
        <v>0</v>
      </c>
      <c r="K21">
        <f t="array" ref="K21">IF(Platforms!$B$6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$3,9,1))*(Inventory!$J$5:$J$2004&lt;DATE(Dashboard!$C$3,10,1))*(Inventory!$H$5:$H$2004=Platforms!$B$6))=1,IF(ISNUMBER(Inventory!$N$5:$N$2004),Inventory!$N$5:$N$2004,IF(Inventory!$K$5:$K$2004&lt;N(Platforms!$G$6),N(Platforms!$H$6),IF(N(Platforms!$C$6)*(Inventory!$K$5:$K$2004+IF(Platforms!$E$6="Yes",1,0)*Inventory!$L$5:$L$2004)+N(Platforms!$D$6)&lt;N(Platforms!$F$6),N(Platforms!$F$6),N(Platforms!$C$6)*(Inventory!$K$5:$K$2004+IF(Platforms!$E$6="Yes",1,0)*Inventory!$L$5:$L$2004)+N(Platforms!$D$6)))),0)))</f>
        <v>0</v>
      </c>
      <c r="L21">
        <f t="array" ref="L21">IF(Platforms!$B$6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$3,10,1))*(Inventory!$J$5:$J$2004&lt;DATE(Dashboard!$C$3,11,1))*(Inventory!$H$5:$H$2004=Platforms!$B$6))=1,IF(ISNUMBER(Inventory!$N$5:$N$2004),Inventory!$N$5:$N$2004,IF(Inventory!$K$5:$K$2004&lt;N(Platforms!$G$6),N(Platforms!$H$6),IF(N(Platforms!$C$6)*(Inventory!$K$5:$K$2004+IF(Platforms!$E$6="Yes",1,0)*Inventory!$L$5:$L$2004)+N(Platforms!$D$6)&lt;N(Platforms!$F$6),N(Platforms!$F$6),N(Platforms!$C$6)*(Inventory!$K$5:$K$2004+IF(Platforms!$E$6="Yes",1,0)*Inventory!$L$5:$L$2004)+N(Platforms!$D$6)))),0)))</f>
        <v>0</v>
      </c>
      <c r="M21">
        <f t="array" ref="M21">IF(Platforms!$B$6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$3,11,1))*(Inventory!$J$5:$J$2004&lt;DATE(Dashboard!$C$3,12,1))*(Inventory!$H$5:$H$2004=Platforms!$B$6))=1,IF(ISNUMBER(Inventory!$N$5:$N$2004),Inventory!$N$5:$N$2004,IF(Inventory!$K$5:$K$2004&lt;N(Platforms!$G$6),N(Platforms!$H$6),IF(N(Platforms!$C$6)*(Inventory!$K$5:$K$2004+IF(Platforms!$E$6="Yes",1,0)*Inventory!$L$5:$L$2004)+N(Platforms!$D$6)&lt;N(Platforms!$F$6),N(Platforms!$F$6),N(Platforms!$C$6)*(Inventory!$K$5:$K$2004+IF(Platforms!$E$6="Yes",1,0)*Inventory!$L$5:$L$2004)+N(Platforms!$D$6)))),0)))</f>
        <v>0</v>
      </c>
      <c r="N21">
        <f t="array" ref="N21">IF(Platforms!$B$6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$3,12,1))*(Inventory!$J$5:$J$2004&lt;DATE(Dashboard!$C$3,13,1))*(Inventory!$H$5:$H$2004=Platforms!$B$6))=1,IF(ISNUMBER(Inventory!$N$5:$N$2004),Inventory!$N$5:$N$2004,IF(Inventory!$K$5:$K$2004&lt;N(Platforms!$G$6),N(Platforms!$H$6),IF(N(Platforms!$C$6)*(Inventory!$K$5:$K$2004+IF(Platforms!$E$6="Yes",1,0)*Inventory!$L$5:$L$2004)+N(Platforms!$D$6)&lt;N(Platforms!$F$6),N(Platforms!$F$6),N(Platforms!$C$6)*(Inventory!$K$5:$K$2004+IF(Platforms!$E$6="Yes",1,0)*Inventory!$L$5:$L$2004)+N(Platforms!$D$6)))),0)))</f>
        <v>0</v>
      </c>
      <c r="P21">
        <f>IF(Platforms!$B$6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$6)))</f>
        <v>0</v>
      </c>
      <c r="Q21">
        <f>IF(Platforms!$B$6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$6),Inventory!$K$5:$K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$6),Inventory!$L$5:$L$2004)-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$6),Inventory!$O$5:$O$2004))</f>
        <v>0</v>
      </c>
      <c r="R21">
        <f t="shared" si="4"/>
        <v>0</v>
      </c>
      <c r="S21">
        <f>IF(Platforms!$B$6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$6),Inventory!$M$5:$M$2004))</f>
        <v>0</v>
      </c>
      <c r="T21">
        <f>IF(Platforms!$B$6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$6)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$6),Inventory!$G$5:$G$2004))</f>
        <v>0</v>
      </c>
      <c r="U21">
        <f t="shared" si="5"/>
        <v>0</v>
      </c>
    </row>
    <row r="22" spans="2:21" x14ac:dyDescent="0.35">
      <c r="B22" t="str">
        <f>Platforms!$B$7</f>
        <v>Mercari</v>
      </c>
      <c r="C22">
        <f t="array" ref="C22">IF(Platforms!$B$7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$3,2,1))*(Inventory!$H$5:$H$2004=Platforms!$B$7))=1,IF(ISNUMBER(Inventory!$N$5:$N$2004),Inventory!$N$5:$N$2004,IF(Inventory!$K$5:$K$2004&lt;N(Platforms!$G$7),N(Platforms!$H$7),IF(N(Platforms!$C$7)*(Inventory!$K$5:$K$2004+IF(Platforms!$E$7="Yes",1,0)*Inventory!$L$5:$L$2004)+N(Platforms!$D$7)&lt;N(Platforms!$F$7),N(Platforms!$F$7),N(Platforms!$C$7)*(Inventory!$K$5:$K$2004+IF(Platforms!$E$7="Yes",1,0)*Inventory!$L$5:$L$2004)+N(Platforms!$D$7)))),0)))</f>
        <v>0</v>
      </c>
      <c r="D22">
        <f t="array" ref="D22">IF(Platforms!$B$7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$3,2,1))*(Inventory!$J$5:$J$2004&lt;DATE(Dashboard!$C$3,3,1))*(Inventory!$H$5:$H$2004=Platforms!$B$7))=1,IF(ISNUMBER(Inventory!$N$5:$N$2004),Inventory!$N$5:$N$2004,IF(Inventory!$K$5:$K$2004&lt;N(Platforms!$G$7),N(Platforms!$H$7),IF(N(Platforms!$C$7)*(Inventory!$K$5:$K$2004+IF(Platforms!$E$7="Yes",1,0)*Inventory!$L$5:$L$2004)+N(Platforms!$D$7)&lt;N(Platforms!$F$7),N(Platforms!$F$7),N(Platforms!$C$7)*(Inventory!$K$5:$K$2004+IF(Platforms!$E$7="Yes",1,0)*Inventory!$L$5:$L$2004)+N(Platforms!$D$7)))),0)))</f>
        <v>0</v>
      </c>
      <c r="E22">
        <f t="array" ref="E22">IF(Platforms!$B$7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$3,3,1))*(Inventory!$J$5:$J$2004&lt;DATE(Dashboard!$C$3,4,1))*(Inventory!$H$5:$H$2004=Platforms!$B$7))=1,IF(ISNUMBER(Inventory!$N$5:$N$2004),Inventory!$N$5:$N$2004,IF(Inventory!$K$5:$K$2004&lt;N(Platforms!$G$7),N(Platforms!$H$7),IF(N(Platforms!$C$7)*(Inventory!$K$5:$K$2004+IF(Platforms!$E$7="Yes",1,0)*Inventory!$L$5:$L$2004)+N(Platforms!$D$7)&lt;N(Platforms!$F$7),N(Platforms!$F$7),N(Platforms!$C$7)*(Inventory!$K$5:$K$2004+IF(Platforms!$E$7="Yes",1,0)*Inventory!$L$5:$L$2004)+N(Platforms!$D$7)))),0)))</f>
        <v>0</v>
      </c>
      <c r="F22">
        <f t="array" ref="F22">IF(Platforms!$B$7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$3,4,1))*(Inventory!$J$5:$J$2004&lt;DATE(Dashboard!$C$3,5,1))*(Inventory!$H$5:$H$2004=Platforms!$B$7))=1,IF(ISNUMBER(Inventory!$N$5:$N$2004),Inventory!$N$5:$N$2004,IF(Inventory!$K$5:$K$2004&lt;N(Platforms!$G$7),N(Platforms!$H$7),IF(N(Platforms!$C$7)*(Inventory!$K$5:$K$2004+IF(Platforms!$E$7="Yes",1,0)*Inventory!$L$5:$L$2004)+N(Platforms!$D$7)&lt;N(Platforms!$F$7),N(Platforms!$F$7),N(Platforms!$C$7)*(Inventory!$K$5:$K$2004+IF(Platforms!$E$7="Yes",1,0)*Inventory!$L$5:$L$2004)+N(Platforms!$D$7)))),0)))</f>
        <v>0</v>
      </c>
      <c r="G22">
        <f t="array" ref="G22">IF(Platforms!$B$7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$3,5,1))*(Inventory!$J$5:$J$2004&lt;DATE(Dashboard!$C$3,6,1))*(Inventory!$H$5:$H$2004=Platforms!$B$7))=1,IF(ISNUMBER(Inventory!$N$5:$N$2004),Inventory!$N$5:$N$2004,IF(Inventory!$K$5:$K$2004&lt;N(Platforms!$G$7),N(Platforms!$H$7),IF(N(Platforms!$C$7)*(Inventory!$K$5:$K$2004+IF(Platforms!$E$7="Yes",1,0)*Inventory!$L$5:$L$2004)+N(Platforms!$D$7)&lt;N(Platforms!$F$7),N(Platforms!$F$7),N(Platforms!$C$7)*(Inventory!$K$5:$K$2004+IF(Platforms!$E$7="Yes",1,0)*Inventory!$L$5:$L$2004)+N(Platforms!$D$7)))),0)))</f>
        <v>0</v>
      </c>
      <c r="H22">
        <f t="array" ref="H22">IF(Platforms!$B$7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$3,6,1))*(Inventory!$J$5:$J$2004&lt;DATE(Dashboard!$C$3,7,1))*(Inventory!$H$5:$H$2004=Platforms!$B$7))=1,IF(ISNUMBER(Inventory!$N$5:$N$2004),Inventory!$N$5:$N$2004,IF(Inventory!$K$5:$K$2004&lt;N(Platforms!$G$7),N(Platforms!$H$7),IF(N(Platforms!$C$7)*(Inventory!$K$5:$K$2004+IF(Platforms!$E$7="Yes",1,0)*Inventory!$L$5:$L$2004)+N(Platforms!$D$7)&lt;N(Platforms!$F$7),N(Platforms!$F$7),N(Platforms!$C$7)*(Inventory!$K$5:$K$2004+IF(Platforms!$E$7="Yes",1,0)*Inventory!$L$5:$L$2004)+N(Platforms!$D$7)))),0)))</f>
        <v>0</v>
      </c>
      <c r="I22">
        <f t="array" ref="I22">IF(Platforms!$B$7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$3,7,1))*(Inventory!$J$5:$J$2004&lt;DATE(Dashboard!$C$3,8,1))*(Inventory!$H$5:$H$2004=Platforms!$B$7))=1,IF(ISNUMBER(Inventory!$N$5:$N$2004),Inventory!$N$5:$N$2004,IF(Inventory!$K$5:$K$2004&lt;N(Platforms!$G$7),N(Platforms!$H$7),IF(N(Platforms!$C$7)*(Inventory!$K$5:$K$2004+IF(Platforms!$E$7="Yes",1,0)*Inventory!$L$5:$L$2004)+N(Platforms!$D$7)&lt;N(Platforms!$F$7),N(Platforms!$F$7),N(Platforms!$C$7)*(Inventory!$K$5:$K$2004+IF(Platforms!$E$7="Yes",1,0)*Inventory!$L$5:$L$2004)+N(Platforms!$D$7)))),0)))</f>
        <v>0</v>
      </c>
      <c r="J22">
        <f t="array" ref="J22">IF(Platforms!$B$7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$3,8,1))*(Inventory!$J$5:$J$2004&lt;DATE(Dashboard!$C$3,9,1))*(Inventory!$H$5:$H$2004=Platforms!$B$7))=1,IF(ISNUMBER(Inventory!$N$5:$N$2004),Inventory!$N$5:$N$2004,IF(Inventory!$K$5:$K$2004&lt;N(Platforms!$G$7),N(Platforms!$H$7),IF(N(Platforms!$C$7)*(Inventory!$K$5:$K$2004+IF(Platforms!$E$7="Yes",1,0)*Inventory!$L$5:$L$2004)+N(Platforms!$D$7)&lt;N(Platforms!$F$7),N(Platforms!$F$7),N(Platforms!$C$7)*(Inventory!$K$5:$K$2004+IF(Platforms!$E$7="Yes",1,0)*Inventory!$L$5:$L$2004)+N(Platforms!$D$7)))),0)))</f>
        <v>0</v>
      </c>
      <c r="K22">
        <f t="array" ref="K22">IF(Platforms!$B$7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$3,9,1))*(Inventory!$J$5:$J$2004&lt;DATE(Dashboard!$C$3,10,1))*(Inventory!$H$5:$H$2004=Platforms!$B$7))=1,IF(ISNUMBER(Inventory!$N$5:$N$2004),Inventory!$N$5:$N$2004,IF(Inventory!$K$5:$K$2004&lt;N(Platforms!$G$7),N(Platforms!$H$7),IF(N(Platforms!$C$7)*(Inventory!$K$5:$K$2004+IF(Platforms!$E$7="Yes",1,0)*Inventory!$L$5:$L$2004)+N(Platforms!$D$7)&lt;N(Platforms!$F$7),N(Platforms!$F$7),N(Platforms!$C$7)*(Inventory!$K$5:$K$2004+IF(Platforms!$E$7="Yes",1,0)*Inventory!$L$5:$L$2004)+N(Platforms!$D$7)))),0)))</f>
        <v>0</v>
      </c>
      <c r="L22">
        <f t="array" ref="L22">IF(Platforms!$B$7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$3,10,1))*(Inventory!$J$5:$J$2004&lt;DATE(Dashboard!$C$3,11,1))*(Inventory!$H$5:$H$2004=Platforms!$B$7))=1,IF(ISNUMBER(Inventory!$N$5:$N$2004),Inventory!$N$5:$N$2004,IF(Inventory!$K$5:$K$2004&lt;N(Platforms!$G$7),N(Platforms!$H$7),IF(N(Platforms!$C$7)*(Inventory!$K$5:$K$2004+IF(Platforms!$E$7="Yes",1,0)*Inventory!$L$5:$L$2004)+N(Platforms!$D$7)&lt;N(Platforms!$F$7),N(Platforms!$F$7),N(Platforms!$C$7)*(Inventory!$K$5:$K$2004+IF(Platforms!$E$7="Yes",1,0)*Inventory!$L$5:$L$2004)+N(Platforms!$D$7)))),0)))</f>
        <v>0</v>
      </c>
      <c r="M22">
        <f t="array" ref="M22">IF(Platforms!$B$7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$3,11,1))*(Inventory!$J$5:$J$2004&lt;DATE(Dashboard!$C$3,12,1))*(Inventory!$H$5:$H$2004=Platforms!$B$7))=1,IF(ISNUMBER(Inventory!$N$5:$N$2004),Inventory!$N$5:$N$2004,IF(Inventory!$K$5:$K$2004&lt;N(Platforms!$G$7),N(Platforms!$H$7),IF(N(Platforms!$C$7)*(Inventory!$K$5:$K$2004+IF(Platforms!$E$7="Yes",1,0)*Inventory!$L$5:$L$2004)+N(Platforms!$D$7)&lt;N(Platforms!$F$7),N(Platforms!$F$7),N(Platforms!$C$7)*(Inventory!$K$5:$K$2004+IF(Platforms!$E$7="Yes",1,0)*Inventory!$L$5:$L$2004)+N(Platforms!$D$7)))),0)))</f>
        <v>0</v>
      </c>
      <c r="N22">
        <f t="array" ref="N22">IF(Platforms!$B$7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$3,12,1))*(Inventory!$J$5:$J$2004&lt;DATE(Dashboard!$C$3,13,1))*(Inventory!$H$5:$H$2004=Platforms!$B$7))=1,IF(ISNUMBER(Inventory!$N$5:$N$2004),Inventory!$N$5:$N$2004,IF(Inventory!$K$5:$K$2004&lt;N(Platforms!$G$7),N(Platforms!$H$7),IF(N(Platforms!$C$7)*(Inventory!$K$5:$K$2004+IF(Platforms!$E$7="Yes",1,0)*Inventory!$L$5:$L$2004)+N(Platforms!$D$7)&lt;N(Platforms!$F$7),N(Platforms!$F$7),N(Platforms!$C$7)*(Inventory!$K$5:$K$2004+IF(Platforms!$E$7="Yes",1,0)*Inventory!$L$5:$L$2004)+N(Platforms!$D$7)))),0)))</f>
        <v>0</v>
      </c>
      <c r="P22">
        <f>IF(Platforms!$B$7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$7)))</f>
        <v>0</v>
      </c>
      <c r="Q22">
        <f>IF(Platforms!$B$7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$7),Inventory!$K$5:$K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$7),Inventory!$L$5:$L$2004)-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$7),Inventory!$O$5:$O$2004))</f>
        <v>0</v>
      </c>
      <c r="R22">
        <f t="shared" si="4"/>
        <v>0</v>
      </c>
      <c r="S22">
        <f>IF(Platforms!$B$7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$7),Inventory!$M$5:$M$2004))</f>
        <v>0</v>
      </c>
      <c r="T22">
        <f>IF(Platforms!$B$7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$7)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$7),Inventory!$G$5:$G$2004))</f>
        <v>0</v>
      </c>
      <c r="U22">
        <f t="shared" si="5"/>
        <v>0</v>
      </c>
    </row>
    <row r="23" spans="2:21" x14ac:dyDescent="0.35">
      <c r="B23" t="str">
        <f>Platforms!$B$8</f>
        <v>Depop</v>
      </c>
      <c r="C23">
        <f t="array" ref="C23">IF(Platforms!$B$8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$3,2,1))*(Inventory!$H$5:$H$2004=Platforms!$B$8))=1,IF(ISNUMBER(Inventory!$N$5:$N$2004),Inventory!$N$5:$N$2004,IF(Inventory!$K$5:$K$2004&lt;N(Platforms!$G$8),N(Platforms!$H$8),IF(N(Platforms!$C$8)*(Inventory!$K$5:$K$2004+IF(Platforms!$E$8="Yes",1,0)*Inventory!$L$5:$L$2004)+N(Platforms!$D$8)&lt;N(Platforms!$F$8),N(Platforms!$F$8),N(Platforms!$C$8)*(Inventory!$K$5:$K$2004+IF(Platforms!$E$8="Yes",1,0)*Inventory!$L$5:$L$2004)+N(Platforms!$D$8)))),0)))</f>
        <v>0</v>
      </c>
      <c r="D23">
        <f t="array" ref="D23">IF(Platforms!$B$8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$3,2,1))*(Inventory!$J$5:$J$2004&lt;DATE(Dashboard!$C$3,3,1))*(Inventory!$H$5:$H$2004=Platforms!$B$8))=1,IF(ISNUMBER(Inventory!$N$5:$N$2004),Inventory!$N$5:$N$2004,IF(Inventory!$K$5:$K$2004&lt;N(Platforms!$G$8),N(Platforms!$H$8),IF(N(Platforms!$C$8)*(Inventory!$K$5:$K$2004+IF(Platforms!$E$8="Yes",1,0)*Inventory!$L$5:$L$2004)+N(Platforms!$D$8)&lt;N(Platforms!$F$8),N(Platforms!$F$8),N(Platforms!$C$8)*(Inventory!$K$5:$K$2004+IF(Platforms!$E$8="Yes",1,0)*Inventory!$L$5:$L$2004)+N(Platforms!$D$8)))),0)))</f>
        <v>0</v>
      </c>
      <c r="E23">
        <f t="array" ref="E23">IF(Platforms!$B$8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$3,3,1))*(Inventory!$J$5:$J$2004&lt;DATE(Dashboard!$C$3,4,1))*(Inventory!$H$5:$H$2004=Platforms!$B$8))=1,IF(ISNUMBER(Inventory!$N$5:$N$2004),Inventory!$N$5:$N$2004,IF(Inventory!$K$5:$K$2004&lt;N(Platforms!$G$8),N(Platforms!$H$8),IF(N(Platforms!$C$8)*(Inventory!$K$5:$K$2004+IF(Platforms!$E$8="Yes",1,0)*Inventory!$L$5:$L$2004)+N(Platforms!$D$8)&lt;N(Platforms!$F$8),N(Platforms!$F$8),N(Platforms!$C$8)*(Inventory!$K$5:$K$2004+IF(Platforms!$E$8="Yes",1,0)*Inventory!$L$5:$L$2004)+N(Platforms!$D$8)))),0)))</f>
        <v>0</v>
      </c>
      <c r="F23">
        <f t="array" ref="F23">IF(Platforms!$B$8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$3,4,1))*(Inventory!$J$5:$J$2004&lt;DATE(Dashboard!$C$3,5,1))*(Inventory!$H$5:$H$2004=Platforms!$B$8))=1,IF(ISNUMBER(Inventory!$N$5:$N$2004),Inventory!$N$5:$N$2004,IF(Inventory!$K$5:$K$2004&lt;N(Platforms!$G$8),N(Platforms!$H$8),IF(N(Platforms!$C$8)*(Inventory!$K$5:$K$2004+IF(Platforms!$E$8="Yes",1,0)*Inventory!$L$5:$L$2004)+N(Platforms!$D$8)&lt;N(Platforms!$F$8),N(Platforms!$F$8),N(Platforms!$C$8)*(Inventory!$K$5:$K$2004+IF(Platforms!$E$8="Yes",1,0)*Inventory!$L$5:$L$2004)+N(Platforms!$D$8)))),0)))</f>
        <v>0</v>
      </c>
      <c r="G23">
        <f t="array" ref="G23">IF(Platforms!$B$8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$3,5,1))*(Inventory!$J$5:$J$2004&lt;DATE(Dashboard!$C$3,6,1))*(Inventory!$H$5:$H$2004=Platforms!$B$8))=1,IF(ISNUMBER(Inventory!$N$5:$N$2004),Inventory!$N$5:$N$2004,IF(Inventory!$K$5:$K$2004&lt;N(Platforms!$G$8),N(Platforms!$H$8),IF(N(Platforms!$C$8)*(Inventory!$K$5:$K$2004+IF(Platforms!$E$8="Yes",1,0)*Inventory!$L$5:$L$2004)+N(Platforms!$D$8)&lt;N(Platforms!$F$8),N(Platforms!$F$8),N(Platforms!$C$8)*(Inventory!$K$5:$K$2004+IF(Platforms!$E$8="Yes",1,0)*Inventory!$L$5:$L$2004)+N(Platforms!$D$8)))),0)))</f>
        <v>0</v>
      </c>
      <c r="H23">
        <f t="array" ref="H23">IF(Platforms!$B$8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$3,6,1))*(Inventory!$J$5:$J$2004&lt;DATE(Dashboard!$C$3,7,1))*(Inventory!$H$5:$H$2004=Platforms!$B$8))=1,IF(ISNUMBER(Inventory!$N$5:$N$2004),Inventory!$N$5:$N$2004,IF(Inventory!$K$5:$K$2004&lt;N(Platforms!$G$8),N(Platforms!$H$8),IF(N(Platforms!$C$8)*(Inventory!$K$5:$K$2004+IF(Platforms!$E$8="Yes",1,0)*Inventory!$L$5:$L$2004)+N(Platforms!$D$8)&lt;N(Platforms!$F$8),N(Platforms!$F$8),N(Platforms!$C$8)*(Inventory!$K$5:$K$2004+IF(Platforms!$E$8="Yes",1,0)*Inventory!$L$5:$L$2004)+N(Platforms!$D$8)))),0)))</f>
        <v>0</v>
      </c>
      <c r="I23">
        <f t="array" ref="I23">IF(Platforms!$B$8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$3,7,1))*(Inventory!$J$5:$J$2004&lt;DATE(Dashboard!$C$3,8,1))*(Inventory!$H$5:$H$2004=Platforms!$B$8))=1,IF(ISNUMBER(Inventory!$N$5:$N$2004),Inventory!$N$5:$N$2004,IF(Inventory!$K$5:$K$2004&lt;N(Platforms!$G$8),N(Platforms!$H$8),IF(N(Platforms!$C$8)*(Inventory!$K$5:$K$2004+IF(Platforms!$E$8="Yes",1,0)*Inventory!$L$5:$L$2004)+N(Platforms!$D$8)&lt;N(Platforms!$F$8),N(Platforms!$F$8),N(Platforms!$C$8)*(Inventory!$K$5:$K$2004+IF(Platforms!$E$8="Yes",1,0)*Inventory!$L$5:$L$2004)+N(Platforms!$D$8)))),0)))</f>
        <v>0</v>
      </c>
      <c r="J23">
        <f t="array" ref="J23">IF(Platforms!$B$8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$3,8,1))*(Inventory!$J$5:$J$2004&lt;DATE(Dashboard!$C$3,9,1))*(Inventory!$H$5:$H$2004=Platforms!$B$8))=1,IF(ISNUMBER(Inventory!$N$5:$N$2004),Inventory!$N$5:$N$2004,IF(Inventory!$K$5:$K$2004&lt;N(Platforms!$G$8),N(Platforms!$H$8),IF(N(Platforms!$C$8)*(Inventory!$K$5:$K$2004+IF(Platforms!$E$8="Yes",1,0)*Inventory!$L$5:$L$2004)+N(Platforms!$D$8)&lt;N(Platforms!$F$8),N(Platforms!$F$8),N(Platforms!$C$8)*(Inventory!$K$5:$K$2004+IF(Platforms!$E$8="Yes",1,0)*Inventory!$L$5:$L$2004)+N(Platforms!$D$8)))),0)))</f>
        <v>0</v>
      </c>
      <c r="K23">
        <f t="array" ref="K23">IF(Platforms!$B$8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$3,9,1))*(Inventory!$J$5:$J$2004&lt;DATE(Dashboard!$C$3,10,1))*(Inventory!$H$5:$H$2004=Platforms!$B$8))=1,IF(ISNUMBER(Inventory!$N$5:$N$2004),Inventory!$N$5:$N$2004,IF(Inventory!$K$5:$K$2004&lt;N(Platforms!$G$8),N(Platforms!$H$8),IF(N(Platforms!$C$8)*(Inventory!$K$5:$K$2004+IF(Platforms!$E$8="Yes",1,0)*Inventory!$L$5:$L$2004)+N(Platforms!$D$8)&lt;N(Platforms!$F$8),N(Platforms!$F$8),N(Platforms!$C$8)*(Inventory!$K$5:$K$2004+IF(Platforms!$E$8="Yes",1,0)*Inventory!$L$5:$L$2004)+N(Platforms!$D$8)))),0)))</f>
        <v>0</v>
      </c>
      <c r="L23">
        <f t="array" ref="L23">IF(Platforms!$B$8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$3,10,1))*(Inventory!$J$5:$J$2004&lt;DATE(Dashboard!$C$3,11,1))*(Inventory!$H$5:$H$2004=Platforms!$B$8))=1,IF(ISNUMBER(Inventory!$N$5:$N$2004),Inventory!$N$5:$N$2004,IF(Inventory!$K$5:$K$2004&lt;N(Platforms!$G$8),N(Platforms!$H$8),IF(N(Platforms!$C$8)*(Inventory!$K$5:$K$2004+IF(Platforms!$E$8="Yes",1,0)*Inventory!$L$5:$L$2004)+N(Platforms!$D$8)&lt;N(Platforms!$F$8),N(Platforms!$F$8),N(Platforms!$C$8)*(Inventory!$K$5:$K$2004+IF(Platforms!$E$8="Yes",1,0)*Inventory!$L$5:$L$2004)+N(Platforms!$D$8)))),0)))</f>
        <v>0</v>
      </c>
      <c r="M23">
        <f t="array" ref="M23">IF(Platforms!$B$8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$3,11,1))*(Inventory!$J$5:$J$2004&lt;DATE(Dashboard!$C$3,12,1))*(Inventory!$H$5:$H$2004=Platforms!$B$8))=1,IF(ISNUMBER(Inventory!$N$5:$N$2004),Inventory!$N$5:$N$2004,IF(Inventory!$K$5:$K$2004&lt;N(Platforms!$G$8),N(Platforms!$H$8),IF(N(Platforms!$C$8)*(Inventory!$K$5:$K$2004+IF(Platforms!$E$8="Yes",1,0)*Inventory!$L$5:$L$2004)+N(Platforms!$D$8)&lt;N(Platforms!$F$8),N(Platforms!$F$8),N(Platforms!$C$8)*(Inventory!$K$5:$K$2004+IF(Platforms!$E$8="Yes",1,0)*Inventory!$L$5:$L$2004)+N(Platforms!$D$8)))),0)))</f>
        <v>0</v>
      </c>
      <c r="N23">
        <f t="array" ref="N23">IF(Platforms!$B$8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$3,12,1))*(Inventory!$J$5:$J$2004&lt;DATE(Dashboard!$C$3,13,1))*(Inventory!$H$5:$H$2004=Platforms!$B$8))=1,IF(ISNUMBER(Inventory!$N$5:$N$2004),Inventory!$N$5:$N$2004,IF(Inventory!$K$5:$K$2004&lt;N(Platforms!$G$8),N(Platforms!$H$8),IF(N(Platforms!$C$8)*(Inventory!$K$5:$K$2004+IF(Platforms!$E$8="Yes",1,0)*Inventory!$L$5:$L$2004)+N(Platforms!$D$8)&lt;N(Platforms!$F$8),N(Platforms!$F$8),N(Platforms!$C$8)*(Inventory!$K$5:$K$2004+IF(Platforms!$E$8="Yes",1,0)*Inventory!$L$5:$L$2004)+N(Platforms!$D$8)))),0)))</f>
        <v>0</v>
      </c>
      <c r="P23">
        <f>IF(Platforms!$B$8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$8)))</f>
        <v>0</v>
      </c>
      <c r="Q23">
        <f>IF(Platforms!$B$8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$8),Inventory!$K$5:$K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$8),Inventory!$L$5:$L$2004)-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$8),Inventory!$O$5:$O$2004))</f>
        <v>0</v>
      </c>
      <c r="R23">
        <f t="shared" si="4"/>
        <v>0</v>
      </c>
      <c r="S23">
        <f>IF(Platforms!$B$8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$8),Inventory!$M$5:$M$2004))</f>
        <v>0</v>
      </c>
      <c r="T23">
        <f>IF(Platforms!$B$8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$8)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$8),Inventory!$G$5:$G$2004))</f>
        <v>0</v>
      </c>
      <c r="U23">
        <f t="shared" si="5"/>
        <v>0</v>
      </c>
    </row>
    <row r="24" spans="2:21" x14ac:dyDescent="0.35">
      <c r="B24" t="str">
        <f>Platforms!$B$9</f>
        <v>Facebook Marketplace</v>
      </c>
      <c r="C24">
        <f t="array" ref="C24">IF(Platforms!$B$9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$3,2,1))*(Inventory!$H$5:$H$2004=Platforms!$B$9))=1,IF(ISNUMBER(Inventory!$N$5:$N$2004),Inventory!$N$5:$N$2004,IF(Inventory!$K$5:$K$2004&lt;N(Platforms!$G$9),N(Platforms!$H$9),IF(N(Platforms!$C$9)*(Inventory!$K$5:$K$2004+IF(Platforms!$E$9="Yes",1,0)*Inventory!$L$5:$L$2004)+N(Platforms!$D$9)&lt;N(Platforms!$F$9),N(Platforms!$F$9),N(Platforms!$C$9)*(Inventory!$K$5:$K$2004+IF(Platforms!$E$9="Yes",1,0)*Inventory!$L$5:$L$2004)+N(Platforms!$D$9)))),0)))</f>
        <v>0</v>
      </c>
      <c r="D24">
        <f t="array" ref="D24">IF(Platforms!$B$9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$3,2,1))*(Inventory!$J$5:$J$2004&lt;DATE(Dashboard!$C$3,3,1))*(Inventory!$H$5:$H$2004=Platforms!$B$9))=1,IF(ISNUMBER(Inventory!$N$5:$N$2004),Inventory!$N$5:$N$2004,IF(Inventory!$K$5:$K$2004&lt;N(Platforms!$G$9),N(Platforms!$H$9),IF(N(Platforms!$C$9)*(Inventory!$K$5:$K$2004+IF(Platforms!$E$9="Yes",1,0)*Inventory!$L$5:$L$2004)+N(Platforms!$D$9)&lt;N(Platforms!$F$9),N(Platforms!$F$9),N(Platforms!$C$9)*(Inventory!$K$5:$K$2004+IF(Platforms!$E$9="Yes",1,0)*Inventory!$L$5:$L$2004)+N(Platforms!$D$9)))),0)))</f>
        <v>0</v>
      </c>
      <c r="E24">
        <f t="array" ref="E24">IF(Platforms!$B$9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$3,3,1))*(Inventory!$J$5:$J$2004&lt;DATE(Dashboard!$C$3,4,1))*(Inventory!$H$5:$H$2004=Platforms!$B$9))=1,IF(ISNUMBER(Inventory!$N$5:$N$2004),Inventory!$N$5:$N$2004,IF(Inventory!$K$5:$K$2004&lt;N(Platforms!$G$9),N(Platforms!$H$9),IF(N(Platforms!$C$9)*(Inventory!$K$5:$K$2004+IF(Platforms!$E$9="Yes",1,0)*Inventory!$L$5:$L$2004)+N(Platforms!$D$9)&lt;N(Platforms!$F$9),N(Platforms!$F$9),N(Platforms!$C$9)*(Inventory!$K$5:$K$2004+IF(Platforms!$E$9="Yes",1,0)*Inventory!$L$5:$L$2004)+N(Platforms!$D$9)))),0)))</f>
        <v>0</v>
      </c>
      <c r="F24">
        <f t="array" ref="F24">IF(Platforms!$B$9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$3,4,1))*(Inventory!$J$5:$J$2004&lt;DATE(Dashboard!$C$3,5,1))*(Inventory!$H$5:$H$2004=Platforms!$B$9))=1,IF(ISNUMBER(Inventory!$N$5:$N$2004),Inventory!$N$5:$N$2004,IF(Inventory!$K$5:$K$2004&lt;N(Platforms!$G$9),N(Platforms!$H$9),IF(N(Platforms!$C$9)*(Inventory!$K$5:$K$2004+IF(Platforms!$E$9="Yes",1,0)*Inventory!$L$5:$L$2004)+N(Platforms!$D$9)&lt;N(Platforms!$F$9),N(Platforms!$F$9),N(Platforms!$C$9)*(Inventory!$K$5:$K$2004+IF(Platforms!$E$9="Yes",1,0)*Inventory!$L$5:$L$2004)+N(Platforms!$D$9)))),0)))</f>
        <v>0</v>
      </c>
      <c r="G24">
        <f t="array" ref="G24">IF(Platforms!$B$9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$3,5,1))*(Inventory!$J$5:$J$2004&lt;DATE(Dashboard!$C$3,6,1))*(Inventory!$H$5:$H$2004=Platforms!$B$9))=1,IF(ISNUMBER(Inventory!$N$5:$N$2004),Inventory!$N$5:$N$2004,IF(Inventory!$K$5:$K$2004&lt;N(Platforms!$G$9),N(Platforms!$H$9),IF(N(Platforms!$C$9)*(Inventory!$K$5:$K$2004+IF(Platforms!$E$9="Yes",1,0)*Inventory!$L$5:$L$2004)+N(Platforms!$D$9)&lt;N(Platforms!$F$9),N(Platforms!$F$9),N(Platforms!$C$9)*(Inventory!$K$5:$K$2004+IF(Platforms!$E$9="Yes",1,0)*Inventory!$L$5:$L$2004)+N(Platforms!$D$9)))),0)))</f>
        <v>0</v>
      </c>
      <c r="H24">
        <f t="array" ref="H24">IF(Platforms!$B$9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$3,6,1))*(Inventory!$J$5:$J$2004&lt;DATE(Dashboard!$C$3,7,1))*(Inventory!$H$5:$H$2004=Platforms!$B$9))=1,IF(ISNUMBER(Inventory!$N$5:$N$2004),Inventory!$N$5:$N$2004,IF(Inventory!$K$5:$K$2004&lt;N(Platforms!$G$9),N(Platforms!$H$9),IF(N(Platforms!$C$9)*(Inventory!$K$5:$K$2004+IF(Platforms!$E$9="Yes",1,0)*Inventory!$L$5:$L$2004)+N(Platforms!$D$9)&lt;N(Platforms!$F$9),N(Platforms!$F$9),N(Platforms!$C$9)*(Inventory!$K$5:$K$2004+IF(Platforms!$E$9="Yes",1,0)*Inventory!$L$5:$L$2004)+N(Platforms!$D$9)))),0)))</f>
        <v>0</v>
      </c>
      <c r="I24">
        <f t="array" ref="I24">IF(Platforms!$B$9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$3,7,1))*(Inventory!$J$5:$J$2004&lt;DATE(Dashboard!$C$3,8,1))*(Inventory!$H$5:$H$2004=Platforms!$B$9))=1,IF(ISNUMBER(Inventory!$N$5:$N$2004),Inventory!$N$5:$N$2004,IF(Inventory!$K$5:$K$2004&lt;N(Platforms!$G$9),N(Platforms!$H$9),IF(N(Platforms!$C$9)*(Inventory!$K$5:$K$2004+IF(Platforms!$E$9="Yes",1,0)*Inventory!$L$5:$L$2004)+N(Platforms!$D$9)&lt;N(Platforms!$F$9),N(Platforms!$F$9),N(Platforms!$C$9)*(Inventory!$K$5:$K$2004+IF(Platforms!$E$9="Yes",1,0)*Inventory!$L$5:$L$2004)+N(Platforms!$D$9)))),0)))</f>
        <v>0</v>
      </c>
      <c r="J24">
        <f t="array" ref="J24">IF(Platforms!$B$9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$3,8,1))*(Inventory!$J$5:$J$2004&lt;DATE(Dashboard!$C$3,9,1))*(Inventory!$H$5:$H$2004=Platforms!$B$9))=1,IF(ISNUMBER(Inventory!$N$5:$N$2004),Inventory!$N$5:$N$2004,IF(Inventory!$K$5:$K$2004&lt;N(Platforms!$G$9),N(Platforms!$H$9),IF(N(Platforms!$C$9)*(Inventory!$K$5:$K$2004+IF(Platforms!$E$9="Yes",1,0)*Inventory!$L$5:$L$2004)+N(Platforms!$D$9)&lt;N(Platforms!$F$9),N(Platforms!$F$9),N(Platforms!$C$9)*(Inventory!$K$5:$K$2004+IF(Platforms!$E$9="Yes",1,0)*Inventory!$L$5:$L$2004)+N(Platforms!$D$9)))),0)))</f>
        <v>0</v>
      </c>
      <c r="K24">
        <f t="array" ref="K24">IF(Platforms!$B$9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$3,9,1))*(Inventory!$J$5:$J$2004&lt;DATE(Dashboard!$C$3,10,1))*(Inventory!$H$5:$H$2004=Platforms!$B$9))=1,IF(ISNUMBER(Inventory!$N$5:$N$2004),Inventory!$N$5:$N$2004,IF(Inventory!$K$5:$K$2004&lt;N(Platforms!$G$9),N(Platforms!$H$9),IF(N(Platforms!$C$9)*(Inventory!$K$5:$K$2004+IF(Platforms!$E$9="Yes",1,0)*Inventory!$L$5:$L$2004)+N(Platforms!$D$9)&lt;N(Platforms!$F$9),N(Platforms!$F$9),N(Platforms!$C$9)*(Inventory!$K$5:$K$2004+IF(Platforms!$E$9="Yes",1,0)*Inventory!$L$5:$L$2004)+N(Platforms!$D$9)))),0)))</f>
        <v>0</v>
      </c>
      <c r="L24">
        <f t="array" ref="L24">IF(Platforms!$B$9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$3,10,1))*(Inventory!$J$5:$J$2004&lt;DATE(Dashboard!$C$3,11,1))*(Inventory!$H$5:$H$2004=Platforms!$B$9))=1,IF(ISNUMBER(Inventory!$N$5:$N$2004),Inventory!$N$5:$N$2004,IF(Inventory!$K$5:$K$2004&lt;N(Platforms!$G$9),N(Platforms!$H$9),IF(N(Platforms!$C$9)*(Inventory!$K$5:$K$2004+IF(Platforms!$E$9="Yes",1,0)*Inventory!$L$5:$L$2004)+N(Platforms!$D$9)&lt;N(Platforms!$F$9),N(Platforms!$F$9),N(Platforms!$C$9)*(Inventory!$K$5:$K$2004+IF(Platforms!$E$9="Yes",1,0)*Inventory!$L$5:$L$2004)+N(Platforms!$D$9)))),0)))</f>
        <v>0</v>
      </c>
      <c r="M24">
        <f t="array" ref="M24">IF(Platforms!$B$9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$3,11,1))*(Inventory!$J$5:$J$2004&lt;DATE(Dashboard!$C$3,12,1))*(Inventory!$H$5:$H$2004=Platforms!$B$9))=1,IF(ISNUMBER(Inventory!$N$5:$N$2004),Inventory!$N$5:$N$2004,IF(Inventory!$K$5:$K$2004&lt;N(Platforms!$G$9),N(Platforms!$H$9),IF(N(Platforms!$C$9)*(Inventory!$K$5:$K$2004+IF(Platforms!$E$9="Yes",1,0)*Inventory!$L$5:$L$2004)+N(Platforms!$D$9)&lt;N(Platforms!$F$9),N(Platforms!$F$9),N(Platforms!$C$9)*(Inventory!$K$5:$K$2004+IF(Platforms!$E$9="Yes",1,0)*Inventory!$L$5:$L$2004)+N(Platforms!$D$9)))),0)))</f>
        <v>0</v>
      </c>
      <c r="N24">
        <f t="array" ref="N24">IF(Platforms!$B$9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$3,12,1))*(Inventory!$J$5:$J$2004&lt;DATE(Dashboard!$C$3,13,1))*(Inventory!$H$5:$H$2004=Platforms!$B$9))=1,IF(ISNUMBER(Inventory!$N$5:$N$2004),Inventory!$N$5:$N$2004,IF(Inventory!$K$5:$K$2004&lt;N(Platforms!$G$9),N(Platforms!$H$9),IF(N(Platforms!$C$9)*(Inventory!$K$5:$K$2004+IF(Platforms!$E$9="Yes",1,0)*Inventory!$L$5:$L$2004)+N(Platforms!$D$9)&lt;N(Platforms!$F$9),N(Platforms!$F$9),N(Platforms!$C$9)*(Inventory!$K$5:$K$2004+IF(Platforms!$E$9="Yes",1,0)*Inventory!$L$5:$L$2004)+N(Platforms!$D$9)))),0)))</f>
        <v>0</v>
      </c>
      <c r="P24">
        <f>IF(Platforms!$B$9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$9)))</f>
        <v>0</v>
      </c>
      <c r="Q24">
        <f>IF(Platforms!$B$9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$9),Inventory!$K$5:$K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$9),Inventory!$L$5:$L$2004)-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$9),Inventory!$O$5:$O$2004))</f>
        <v>0</v>
      </c>
      <c r="R24">
        <f t="shared" si="4"/>
        <v>0</v>
      </c>
      <c r="S24">
        <f>IF(Platforms!$B$9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$9),Inventory!$M$5:$M$2004))</f>
        <v>0</v>
      </c>
      <c r="T24">
        <f>IF(Platforms!$B$9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$9)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$9),Inventory!$G$5:$G$2004))</f>
        <v>0</v>
      </c>
      <c r="U24">
        <f t="shared" si="5"/>
        <v>0</v>
      </c>
    </row>
    <row r="25" spans="2:21" x14ac:dyDescent="0.35">
      <c r="B25" t="str">
        <f>Platforms!$B$10</f>
        <v>Etsy</v>
      </c>
      <c r="C25">
        <f t="array" ref="C25">IF(Platforms!$B$10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$3,2,1))*(Inventory!$H$5:$H$2004=Platforms!$B$10))=1,IF(ISNUMBER(Inventory!$N$5:$N$2004),Inventory!$N$5:$N$2004,IF(Inventory!$K$5:$K$2004&lt;N(Platforms!$G$10),N(Platforms!$H$10),IF(N(Platforms!$C$10)*(Inventory!$K$5:$K$2004+IF(Platforms!$E$10="Yes",1,0)*Inventory!$L$5:$L$2004)+N(Platforms!$D$10)&lt;N(Platforms!$F$10),N(Platforms!$F$10),N(Platforms!$C$10)*(Inventory!$K$5:$K$2004+IF(Platforms!$E$10="Yes",1,0)*Inventory!$L$5:$L$2004)+N(Platforms!$D$10)))),0)))</f>
        <v>0</v>
      </c>
      <c r="D25">
        <f t="array" ref="D25">IF(Platforms!$B$10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$3,2,1))*(Inventory!$J$5:$J$2004&lt;DATE(Dashboard!$C$3,3,1))*(Inventory!$H$5:$H$2004=Platforms!$B$10))=1,IF(ISNUMBER(Inventory!$N$5:$N$2004),Inventory!$N$5:$N$2004,IF(Inventory!$K$5:$K$2004&lt;N(Platforms!$G$10),N(Platforms!$H$10),IF(N(Platforms!$C$10)*(Inventory!$K$5:$K$2004+IF(Platforms!$E$10="Yes",1,0)*Inventory!$L$5:$L$2004)+N(Platforms!$D$10)&lt;N(Platforms!$F$10),N(Platforms!$F$10),N(Platforms!$C$10)*(Inventory!$K$5:$K$2004+IF(Platforms!$E$10="Yes",1,0)*Inventory!$L$5:$L$2004)+N(Platforms!$D$10)))),0)))</f>
        <v>0</v>
      </c>
      <c r="E25">
        <f t="array" ref="E25">IF(Platforms!$B$10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$3,3,1))*(Inventory!$J$5:$J$2004&lt;DATE(Dashboard!$C$3,4,1))*(Inventory!$H$5:$H$2004=Platforms!$B$10))=1,IF(ISNUMBER(Inventory!$N$5:$N$2004),Inventory!$N$5:$N$2004,IF(Inventory!$K$5:$K$2004&lt;N(Platforms!$G$10),N(Platforms!$H$10),IF(N(Platforms!$C$10)*(Inventory!$K$5:$K$2004+IF(Platforms!$E$10="Yes",1,0)*Inventory!$L$5:$L$2004)+N(Platforms!$D$10)&lt;N(Platforms!$F$10),N(Platforms!$F$10),N(Platforms!$C$10)*(Inventory!$K$5:$K$2004+IF(Platforms!$E$10="Yes",1,0)*Inventory!$L$5:$L$2004)+N(Platforms!$D$10)))),0)))</f>
        <v>0</v>
      </c>
      <c r="F25">
        <f t="array" ref="F25">IF(Platforms!$B$10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$3,4,1))*(Inventory!$J$5:$J$2004&lt;DATE(Dashboard!$C$3,5,1))*(Inventory!$H$5:$H$2004=Platforms!$B$10))=1,IF(ISNUMBER(Inventory!$N$5:$N$2004),Inventory!$N$5:$N$2004,IF(Inventory!$K$5:$K$2004&lt;N(Platforms!$G$10),N(Platforms!$H$10),IF(N(Platforms!$C$10)*(Inventory!$K$5:$K$2004+IF(Platforms!$E$10="Yes",1,0)*Inventory!$L$5:$L$2004)+N(Platforms!$D$10)&lt;N(Platforms!$F$10),N(Platforms!$F$10),N(Platforms!$C$10)*(Inventory!$K$5:$K$2004+IF(Platforms!$E$10="Yes",1,0)*Inventory!$L$5:$L$2004)+N(Platforms!$D$10)))),0)))</f>
        <v>0</v>
      </c>
      <c r="G25">
        <f t="array" ref="G25">IF(Platforms!$B$10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$3,5,1))*(Inventory!$J$5:$J$2004&lt;DATE(Dashboard!$C$3,6,1))*(Inventory!$H$5:$H$2004=Platforms!$B$10))=1,IF(ISNUMBER(Inventory!$N$5:$N$2004),Inventory!$N$5:$N$2004,IF(Inventory!$K$5:$K$2004&lt;N(Platforms!$G$10),N(Platforms!$H$10),IF(N(Platforms!$C$10)*(Inventory!$K$5:$K$2004+IF(Platforms!$E$10="Yes",1,0)*Inventory!$L$5:$L$2004)+N(Platforms!$D$10)&lt;N(Platforms!$F$10),N(Platforms!$F$10),N(Platforms!$C$10)*(Inventory!$K$5:$K$2004+IF(Platforms!$E$10="Yes",1,0)*Inventory!$L$5:$L$2004)+N(Platforms!$D$10)))),0)))</f>
        <v>0</v>
      </c>
      <c r="H25">
        <f t="array" ref="H25">IF(Platforms!$B$10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$3,6,1))*(Inventory!$J$5:$J$2004&lt;DATE(Dashboard!$C$3,7,1))*(Inventory!$H$5:$H$2004=Platforms!$B$10))=1,IF(ISNUMBER(Inventory!$N$5:$N$2004),Inventory!$N$5:$N$2004,IF(Inventory!$K$5:$K$2004&lt;N(Platforms!$G$10),N(Platforms!$H$10),IF(N(Platforms!$C$10)*(Inventory!$K$5:$K$2004+IF(Platforms!$E$10="Yes",1,0)*Inventory!$L$5:$L$2004)+N(Platforms!$D$10)&lt;N(Platforms!$F$10),N(Platforms!$F$10),N(Platforms!$C$10)*(Inventory!$K$5:$K$2004+IF(Platforms!$E$10="Yes",1,0)*Inventory!$L$5:$L$2004)+N(Platforms!$D$10)))),0)))</f>
        <v>0</v>
      </c>
      <c r="I25">
        <f t="array" ref="I25">IF(Platforms!$B$10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$3,7,1))*(Inventory!$J$5:$J$2004&lt;DATE(Dashboard!$C$3,8,1))*(Inventory!$H$5:$H$2004=Platforms!$B$10))=1,IF(ISNUMBER(Inventory!$N$5:$N$2004),Inventory!$N$5:$N$2004,IF(Inventory!$K$5:$K$2004&lt;N(Platforms!$G$10),N(Platforms!$H$10),IF(N(Platforms!$C$10)*(Inventory!$K$5:$K$2004+IF(Platforms!$E$10="Yes",1,0)*Inventory!$L$5:$L$2004)+N(Platforms!$D$10)&lt;N(Platforms!$F$10),N(Platforms!$F$10),N(Platforms!$C$10)*(Inventory!$K$5:$K$2004+IF(Platforms!$E$10="Yes",1,0)*Inventory!$L$5:$L$2004)+N(Platforms!$D$10)))),0)))</f>
        <v>0</v>
      </c>
      <c r="J25">
        <f t="array" ref="J25">IF(Platforms!$B$10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$3,8,1))*(Inventory!$J$5:$J$2004&lt;DATE(Dashboard!$C$3,9,1))*(Inventory!$H$5:$H$2004=Platforms!$B$10))=1,IF(ISNUMBER(Inventory!$N$5:$N$2004),Inventory!$N$5:$N$2004,IF(Inventory!$K$5:$K$2004&lt;N(Platforms!$G$10),N(Platforms!$H$10),IF(N(Platforms!$C$10)*(Inventory!$K$5:$K$2004+IF(Platforms!$E$10="Yes",1,0)*Inventory!$L$5:$L$2004)+N(Platforms!$D$10)&lt;N(Platforms!$F$10),N(Platforms!$F$10),N(Platforms!$C$10)*(Inventory!$K$5:$K$2004+IF(Platforms!$E$10="Yes",1,0)*Inventory!$L$5:$L$2004)+N(Platforms!$D$10)))),0)))</f>
        <v>0</v>
      </c>
      <c r="K25">
        <f t="array" ref="K25">IF(Platforms!$B$10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$3,9,1))*(Inventory!$J$5:$J$2004&lt;DATE(Dashboard!$C$3,10,1))*(Inventory!$H$5:$H$2004=Platforms!$B$10))=1,IF(ISNUMBER(Inventory!$N$5:$N$2004),Inventory!$N$5:$N$2004,IF(Inventory!$K$5:$K$2004&lt;N(Platforms!$G$10),N(Platforms!$H$10),IF(N(Platforms!$C$10)*(Inventory!$K$5:$K$2004+IF(Platforms!$E$10="Yes",1,0)*Inventory!$L$5:$L$2004)+N(Platforms!$D$10)&lt;N(Platforms!$F$10),N(Platforms!$F$10),N(Platforms!$C$10)*(Inventory!$K$5:$K$2004+IF(Platforms!$E$10="Yes",1,0)*Inventory!$L$5:$L$2004)+N(Platforms!$D$10)))),0)))</f>
        <v>0</v>
      </c>
      <c r="L25">
        <f t="array" ref="L25">IF(Platforms!$B$10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$3,10,1))*(Inventory!$J$5:$J$2004&lt;DATE(Dashboard!$C$3,11,1))*(Inventory!$H$5:$H$2004=Platforms!$B$10))=1,IF(ISNUMBER(Inventory!$N$5:$N$2004),Inventory!$N$5:$N$2004,IF(Inventory!$K$5:$K$2004&lt;N(Platforms!$G$10),N(Platforms!$H$10),IF(N(Platforms!$C$10)*(Inventory!$K$5:$K$2004+IF(Platforms!$E$10="Yes",1,0)*Inventory!$L$5:$L$2004)+N(Platforms!$D$10)&lt;N(Platforms!$F$10),N(Platforms!$F$10),N(Platforms!$C$10)*(Inventory!$K$5:$K$2004+IF(Platforms!$E$10="Yes",1,0)*Inventory!$L$5:$L$2004)+N(Platforms!$D$10)))),0)))</f>
        <v>0</v>
      </c>
      <c r="M25">
        <f t="array" ref="M25">IF(Platforms!$B$10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$3,11,1))*(Inventory!$J$5:$J$2004&lt;DATE(Dashboard!$C$3,12,1))*(Inventory!$H$5:$H$2004=Platforms!$B$10))=1,IF(ISNUMBER(Inventory!$N$5:$N$2004),Inventory!$N$5:$N$2004,IF(Inventory!$K$5:$K$2004&lt;N(Platforms!$G$10),N(Platforms!$H$10),IF(N(Platforms!$C$10)*(Inventory!$K$5:$K$2004+IF(Platforms!$E$10="Yes",1,0)*Inventory!$L$5:$L$2004)+N(Platforms!$D$10)&lt;N(Platforms!$F$10),N(Platforms!$F$10),N(Platforms!$C$10)*(Inventory!$K$5:$K$2004+IF(Platforms!$E$10="Yes",1,0)*Inventory!$L$5:$L$2004)+N(Platforms!$D$10)))),0)))</f>
        <v>0</v>
      </c>
      <c r="N25">
        <f t="array" ref="N25">IF(Platforms!$B$10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$3,12,1))*(Inventory!$J$5:$J$2004&lt;DATE(Dashboard!$C$3,13,1))*(Inventory!$H$5:$H$2004=Platforms!$B$10))=1,IF(ISNUMBER(Inventory!$N$5:$N$2004),Inventory!$N$5:$N$2004,IF(Inventory!$K$5:$K$2004&lt;N(Platforms!$G$10),N(Platforms!$H$10),IF(N(Platforms!$C$10)*(Inventory!$K$5:$K$2004+IF(Platforms!$E$10="Yes",1,0)*Inventory!$L$5:$L$2004)+N(Platforms!$D$10)&lt;N(Platforms!$F$10),N(Platforms!$F$10),N(Platforms!$C$10)*(Inventory!$K$5:$K$2004+IF(Platforms!$E$10="Yes",1,0)*Inventory!$L$5:$L$2004)+N(Platforms!$D$10)))),0)))</f>
        <v>0</v>
      </c>
      <c r="P25">
        <f>IF(Platforms!$B$10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$10)))</f>
        <v>0</v>
      </c>
      <c r="Q25">
        <f>IF(Platforms!$B$10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$10),Inventory!$K$5:$K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$10),Inventory!$L$5:$L$2004)-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$10),Inventory!$O$5:$O$2004))</f>
        <v>0</v>
      </c>
      <c r="R25">
        <f t="shared" si="4"/>
        <v>0</v>
      </c>
      <c r="S25">
        <f>IF(Platforms!$B$10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$10),Inventory!$M$5:$M$2004))</f>
        <v>0</v>
      </c>
      <c r="T25">
        <f>IF(Platforms!$B$10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$10)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$10),Inventory!$G$5:$G$2004))</f>
        <v>0</v>
      </c>
      <c r="U25">
        <f t="shared" si="5"/>
        <v>0</v>
      </c>
    </row>
    <row r="26" spans="2:21" x14ac:dyDescent="0.35">
      <c r="B26" t="str">
        <f>Platforms!$B$11</f>
        <v>Whatnot</v>
      </c>
      <c r="C26">
        <f t="array" ref="C26">IF(Platforms!$B$11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$3,2,1))*(Inventory!$H$5:$H$2004=Platforms!$B$11))=1,IF(ISNUMBER(Inventory!$N$5:$N$2004),Inventory!$N$5:$N$2004,IF(Inventory!$K$5:$K$2004&lt;N(Platforms!$G$11),N(Platforms!$H$11),IF(N(Platforms!$C$11)*(Inventory!$K$5:$K$2004+IF(Platforms!$E$11="Yes",1,0)*Inventory!$L$5:$L$2004)+N(Platforms!$D$11)&lt;N(Platforms!$F$11),N(Platforms!$F$11),N(Platforms!$C$11)*(Inventory!$K$5:$K$2004+IF(Platforms!$E$11="Yes",1,0)*Inventory!$L$5:$L$2004)+N(Platforms!$D$11)))),0)))</f>
        <v>0</v>
      </c>
      <c r="D26">
        <f t="array" ref="D26">IF(Platforms!$B$11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$3,2,1))*(Inventory!$J$5:$J$2004&lt;DATE(Dashboard!$C$3,3,1))*(Inventory!$H$5:$H$2004=Platforms!$B$11))=1,IF(ISNUMBER(Inventory!$N$5:$N$2004),Inventory!$N$5:$N$2004,IF(Inventory!$K$5:$K$2004&lt;N(Platforms!$G$11),N(Platforms!$H$11),IF(N(Platforms!$C$11)*(Inventory!$K$5:$K$2004+IF(Platforms!$E$11="Yes",1,0)*Inventory!$L$5:$L$2004)+N(Platforms!$D$11)&lt;N(Platforms!$F$11),N(Platforms!$F$11),N(Platforms!$C$11)*(Inventory!$K$5:$K$2004+IF(Platforms!$E$11="Yes",1,0)*Inventory!$L$5:$L$2004)+N(Platforms!$D$11)))),0)))</f>
        <v>0</v>
      </c>
      <c r="E26">
        <f t="array" ref="E26">IF(Platforms!$B$11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$3,3,1))*(Inventory!$J$5:$J$2004&lt;DATE(Dashboard!$C$3,4,1))*(Inventory!$H$5:$H$2004=Platforms!$B$11))=1,IF(ISNUMBER(Inventory!$N$5:$N$2004),Inventory!$N$5:$N$2004,IF(Inventory!$K$5:$K$2004&lt;N(Platforms!$G$11),N(Platforms!$H$11),IF(N(Platforms!$C$11)*(Inventory!$K$5:$K$2004+IF(Platforms!$E$11="Yes",1,0)*Inventory!$L$5:$L$2004)+N(Platforms!$D$11)&lt;N(Platforms!$F$11),N(Platforms!$F$11),N(Platforms!$C$11)*(Inventory!$K$5:$K$2004+IF(Platforms!$E$11="Yes",1,0)*Inventory!$L$5:$L$2004)+N(Platforms!$D$11)))),0)))</f>
        <v>0</v>
      </c>
      <c r="F26">
        <f t="array" ref="F26">IF(Platforms!$B$11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$3,4,1))*(Inventory!$J$5:$J$2004&lt;DATE(Dashboard!$C$3,5,1))*(Inventory!$H$5:$H$2004=Platforms!$B$11))=1,IF(ISNUMBER(Inventory!$N$5:$N$2004),Inventory!$N$5:$N$2004,IF(Inventory!$K$5:$K$2004&lt;N(Platforms!$G$11),N(Platforms!$H$11),IF(N(Platforms!$C$11)*(Inventory!$K$5:$K$2004+IF(Platforms!$E$11="Yes",1,0)*Inventory!$L$5:$L$2004)+N(Platforms!$D$11)&lt;N(Platforms!$F$11),N(Platforms!$F$11),N(Platforms!$C$11)*(Inventory!$K$5:$K$2004+IF(Platforms!$E$11="Yes",1,0)*Inventory!$L$5:$L$2004)+N(Platforms!$D$11)))),0)))</f>
        <v>0</v>
      </c>
      <c r="G26">
        <f t="array" ref="G26">IF(Platforms!$B$11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$3,5,1))*(Inventory!$J$5:$J$2004&lt;DATE(Dashboard!$C$3,6,1))*(Inventory!$H$5:$H$2004=Platforms!$B$11))=1,IF(ISNUMBER(Inventory!$N$5:$N$2004),Inventory!$N$5:$N$2004,IF(Inventory!$K$5:$K$2004&lt;N(Platforms!$G$11),N(Platforms!$H$11),IF(N(Platforms!$C$11)*(Inventory!$K$5:$K$2004+IF(Platforms!$E$11="Yes",1,0)*Inventory!$L$5:$L$2004)+N(Platforms!$D$11)&lt;N(Platforms!$F$11),N(Platforms!$F$11),N(Platforms!$C$11)*(Inventory!$K$5:$K$2004+IF(Platforms!$E$11="Yes",1,0)*Inventory!$L$5:$L$2004)+N(Platforms!$D$11)))),0)))</f>
        <v>0</v>
      </c>
      <c r="H26">
        <f t="array" ref="H26">IF(Platforms!$B$11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$3,6,1))*(Inventory!$J$5:$J$2004&lt;DATE(Dashboard!$C$3,7,1))*(Inventory!$H$5:$H$2004=Platforms!$B$11))=1,IF(ISNUMBER(Inventory!$N$5:$N$2004),Inventory!$N$5:$N$2004,IF(Inventory!$K$5:$K$2004&lt;N(Platforms!$G$11),N(Platforms!$H$11),IF(N(Platforms!$C$11)*(Inventory!$K$5:$K$2004+IF(Platforms!$E$11="Yes",1,0)*Inventory!$L$5:$L$2004)+N(Platforms!$D$11)&lt;N(Platforms!$F$11),N(Platforms!$F$11),N(Platforms!$C$11)*(Inventory!$K$5:$K$2004+IF(Platforms!$E$11="Yes",1,0)*Inventory!$L$5:$L$2004)+N(Platforms!$D$11)))),0)))</f>
        <v>0</v>
      </c>
      <c r="I26">
        <f t="array" ref="I26">IF(Platforms!$B$11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$3,7,1))*(Inventory!$J$5:$J$2004&lt;DATE(Dashboard!$C$3,8,1))*(Inventory!$H$5:$H$2004=Platforms!$B$11))=1,IF(ISNUMBER(Inventory!$N$5:$N$2004),Inventory!$N$5:$N$2004,IF(Inventory!$K$5:$K$2004&lt;N(Platforms!$G$11),N(Platforms!$H$11),IF(N(Platforms!$C$11)*(Inventory!$K$5:$K$2004+IF(Platforms!$E$11="Yes",1,0)*Inventory!$L$5:$L$2004)+N(Platforms!$D$11)&lt;N(Platforms!$F$11),N(Platforms!$F$11),N(Platforms!$C$11)*(Inventory!$K$5:$K$2004+IF(Platforms!$E$11="Yes",1,0)*Inventory!$L$5:$L$2004)+N(Platforms!$D$11)))),0)))</f>
        <v>0</v>
      </c>
      <c r="J26">
        <f t="array" ref="J26">IF(Platforms!$B$11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$3,8,1))*(Inventory!$J$5:$J$2004&lt;DATE(Dashboard!$C$3,9,1))*(Inventory!$H$5:$H$2004=Platforms!$B$11))=1,IF(ISNUMBER(Inventory!$N$5:$N$2004),Inventory!$N$5:$N$2004,IF(Inventory!$K$5:$K$2004&lt;N(Platforms!$G$11),N(Platforms!$H$11),IF(N(Platforms!$C$11)*(Inventory!$K$5:$K$2004+IF(Platforms!$E$11="Yes",1,0)*Inventory!$L$5:$L$2004)+N(Platforms!$D$11)&lt;N(Platforms!$F$11),N(Platforms!$F$11),N(Platforms!$C$11)*(Inventory!$K$5:$K$2004+IF(Platforms!$E$11="Yes",1,0)*Inventory!$L$5:$L$2004)+N(Platforms!$D$11)))),0)))</f>
        <v>0</v>
      </c>
      <c r="K26">
        <f t="array" ref="K26">IF(Platforms!$B$11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$3,9,1))*(Inventory!$J$5:$J$2004&lt;DATE(Dashboard!$C$3,10,1))*(Inventory!$H$5:$H$2004=Platforms!$B$11))=1,IF(ISNUMBER(Inventory!$N$5:$N$2004),Inventory!$N$5:$N$2004,IF(Inventory!$K$5:$K$2004&lt;N(Platforms!$G$11),N(Platforms!$H$11),IF(N(Platforms!$C$11)*(Inventory!$K$5:$K$2004+IF(Platforms!$E$11="Yes",1,0)*Inventory!$L$5:$L$2004)+N(Platforms!$D$11)&lt;N(Platforms!$F$11),N(Platforms!$F$11),N(Platforms!$C$11)*(Inventory!$K$5:$K$2004+IF(Platforms!$E$11="Yes",1,0)*Inventory!$L$5:$L$2004)+N(Platforms!$D$11)))),0)))</f>
        <v>0</v>
      </c>
      <c r="L26">
        <f t="array" ref="L26">IF(Platforms!$B$11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$3,10,1))*(Inventory!$J$5:$J$2004&lt;DATE(Dashboard!$C$3,11,1))*(Inventory!$H$5:$H$2004=Platforms!$B$11))=1,IF(ISNUMBER(Inventory!$N$5:$N$2004),Inventory!$N$5:$N$2004,IF(Inventory!$K$5:$K$2004&lt;N(Platforms!$G$11),N(Platforms!$H$11),IF(N(Platforms!$C$11)*(Inventory!$K$5:$K$2004+IF(Platforms!$E$11="Yes",1,0)*Inventory!$L$5:$L$2004)+N(Platforms!$D$11)&lt;N(Platforms!$F$11),N(Platforms!$F$11),N(Platforms!$C$11)*(Inventory!$K$5:$K$2004+IF(Platforms!$E$11="Yes",1,0)*Inventory!$L$5:$L$2004)+N(Platforms!$D$11)))),0)))</f>
        <v>0</v>
      </c>
      <c r="M26">
        <f t="array" ref="M26">IF(Platforms!$B$11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$3,11,1))*(Inventory!$J$5:$J$2004&lt;DATE(Dashboard!$C$3,12,1))*(Inventory!$H$5:$H$2004=Platforms!$B$11))=1,IF(ISNUMBER(Inventory!$N$5:$N$2004),Inventory!$N$5:$N$2004,IF(Inventory!$K$5:$K$2004&lt;N(Platforms!$G$11),N(Platforms!$H$11),IF(N(Platforms!$C$11)*(Inventory!$K$5:$K$2004+IF(Platforms!$E$11="Yes",1,0)*Inventory!$L$5:$L$2004)+N(Platforms!$D$11)&lt;N(Platforms!$F$11),N(Platforms!$F$11),N(Platforms!$C$11)*(Inventory!$K$5:$K$2004+IF(Platforms!$E$11="Yes",1,0)*Inventory!$L$5:$L$2004)+N(Platforms!$D$11)))),0)))</f>
        <v>0</v>
      </c>
      <c r="N26">
        <f t="array" ref="N26">IF(Platforms!$B$11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$3,12,1))*(Inventory!$J$5:$J$2004&lt;DATE(Dashboard!$C$3,13,1))*(Inventory!$H$5:$H$2004=Platforms!$B$11))=1,IF(ISNUMBER(Inventory!$N$5:$N$2004),Inventory!$N$5:$N$2004,IF(Inventory!$K$5:$K$2004&lt;N(Platforms!$G$11),N(Platforms!$H$11),IF(N(Platforms!$C$11)*(Inventory!$K$5:$K$2004+IF(Platforms!$E$11="Yes",1,0)*Inventory!$L$5:$L$2004)+N(Platforms!$D$11)&lt;N(Platforms!$F$11),N(Platforms!$F$11),N(Platforms!$C$11)*(Inventory!$K$5:$K$2004+IF(Platforms!$E$11="Yes",1,0)*Inventory!$L$5:$L$2004)+N(Platforms!$D$11)))),0)))</f>
        <v>0</v>
      </c>
      <c r="P26">
        <f>IF(Platforms!$B$11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$11)))</f>
        <v>0</v>
      </c>
      <c r="Q26">
        <f>IF(Platforms!$B$11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$11),Inventory!$K$5:$K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$11),Inventory!$L$5:$L$2004)-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$11),Inventory!$O$5:$O$2004))</f>
        <v>0</v>
      </c>
      <c r="R26">
        <f t="shared" si="4"/>
        <v>0</v>
      </c>
      <c r="S26">
        <f>IF(Platforms!$B$11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$11),Inventory!$M$5:$M$2004))</f>
        <v>0</v>
      </c>
      <c r="T26">
        <f>IF(Platforms!$B$11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$11)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$11),Inventory!$G$5:$G$2004))</f>
        <v>0</v>
      </c>
      <c r="U26">
        <f t="shared" si="5"/>
        <v>0</v>
      </c>
    </row>
    <row r="27" spans="2:21" x14ac:dyDescent="0.35">
      <c r="B27" t="str">
        <f>Platforms!$B$12</f>
        <v>Local / cash</v>
      </c>
      <c r="C27">
        <f t="array" ref="C27">IF(Platforms!$B$12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$3,2,1))*(Inventory!$H$5:$H$2004=Platforms!$B$12))=1,IF(ISNUMBER(Inventory!$N$5:$N$2004),Inventory!$N$5:$N$2004,IF(Inventory!$K$5:$K$2004&lt;N(Platforms!$G$12),N(Platforms!$H$12),IF(N(Platforms!$C$12)*(Inventory!$K$5:$K$2004+IF(Platforms!$E$12="Yes",1,0)*Inventory!$L$5:$L$2004)+N(Platforms!$D$12)&lt;N(Platforms!$F$12),N(Platforms!$F$12),N(Platforms!$C$12)*(Inventory!$K$5:$K$2004+IF(Platforms!$E$12="Yes",1,0)*Inventory!$L$5:$L$2004)+N(Platforms!$D$12)))),0)))</f>
        <v>0</v>
      </c>
      <c r="D27">
        <f t="array" ref="D27">IF(Platforms!$B$12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$3,2,1))*(Inventory!$J$5:$J$2004&lt;DATE(Dashboard!$C$3,3,1))*(Inventory!$H$5:$H$2004=Platforms!$B$12))=1,IF(ISNUMBER(Inventory!$N$5:$N$2004),Inventory!$N$5:$N$2004,IF(Inventory!$K$5:$K$2004&lt;N(Platforms!$G$12),N(Platforms!$H$12),IF(N(Platforms!$C$12)*(Inventory!$K$5:$K$2004+IF(Platforms!$E$12="Yes",1,0)*Inventory!$L$5:$L$2004)+N(Platforms!$D$12)&lt;N(Platforms!$F$12),N(Platforms!$F$12),N(Platforms!$C$12)*(Inventory!$K$5:$K$2004+IF(Platforms!$E$12="Yes",1,0)*Inventory!$L$5:$L$2004)+N(Platforms!$D$12)))),0)))</f>
        <v>0</v>
      </c>
      <c r="E27">
        <f t="array" ref="E27">IF(Platforms!$B$12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$3,3,1))*(Inventory!$J$5:$J$2004&lt;DATE(Dashboard!$C$3,4,1))*(Inventory!$H$5:$H$2004=Platforms!$B$12))=1,IF(ISNUMBER(Inventory!$N$5:$N$2004),Inventory!$N$5:$N$2004,IF(Inventory!$K$5:$K$2004&lt;N(Platforms!$G$12),N(Platforms!$H$12),IF(N(Platforms!$C$12)*(Inventory!$K$5:$K$2004+IF(Platforms!$E$12="Yes",1,0)*Inventory!$L$5:$L$2004)+N(Platforms!$D$12)&lt;N(Platforms!$F$12),N(Platforms!$F$12),N(Platforms!$C$12)*(Inventory!$K$5:$K$2004+IF(Platforms!$E$12="Yes",1,0)*Inventory!$L$5:$L$2004)+N(Platforms!$D$12)))),0)))</f>
        <v>0</v>
      </c>
      <c r="F27">
        <f t="array" ref="F27">IF(Platforms!$B$12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$3,4,1))*(Inventory!$J$5:$J$2004&lt;DATE(Dashboard!$C$3,5,1))*(Inventory!$H$5:$H$2004=Platforms!$B$12))=1,IF(ISNUMBER(Inventory!$N$5:$N$2004),Inventory!$N$5:$N$2004,IF(Inventory!$K$5:$K$2004&lt;N(Platforms!$G$12),N(Platforms!$H$12),IF(N(Platforms!$C$12)*(Inventory!$K$5:$K$2004+IF(Platforms!$E$12="Yes",1,0)*Inventory!$L$5:$L$2004)+N(Platforms!$D$12)&lt;N(Platforms!$F$12),N(Platforms!$F$12),N(Platforms!$C$12)*(Inventory!$K$5:$K$2004+IF(Platforms!$E$12="Yes",1,0)*Inventory!$L$5:$L$2004)+N(Platforms!$D$12)))),0)))</f>
        <v>0</v>
      </c>
      <c r="G27">
        <f t="array" ref="G27">IF(Platforms!$B$12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$3,5,1))*(Inventory!$J$5:$J$2004&lt;DATE(Dashboard!$C$3,6,1))*(Inventory!$H$5:$H$2004=Platforms!$B$12))=1,IF(ISNUMBER(Inventory!$N$5:$N$2004),Inventory!$N$5:$N$2004,IF(Inventory!$K$5:$K$2004&lt;N(Platforms!$G$12),N(Platforms!$H$12),IF(N(Platforms!$C$12)*(Inventory!$K$5:$K$2004+IF(Platforms!$E$12="Yes",1,0)*Inventory!$L$5:$L$2004)+N(Platforms!$D$12)&lt;N(Platforms!$F$12),N(Platforms!$F$12),N(Platforms!$C$12)*(Inventory!$K$5:$K$2004+IF(Platforms!$E$12="Yes",1,0)*Inventory!$L$5:$L$2004)+N(Platforms!$D$12)))),0)))</f>
        <v>0</v>
      </c>
      <c r="H27">
        <f t="array" ref="H27">IF(Platforms!$B$12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$3,6,1))*(Inventory!$J$5:$J$2004&lt;DATE(Dashboard!$C$3,7,1))*(Inventory!$H$5:$H$2004=Platforms!$B$12))=1,IF(ISNUMBER(Inventory!$N$5:$N$2004),Inventory!$N$5:$N$2004,IF(Inventory!$K$5:$K$2004&lt;N(Platforms!$G$12),N(Platforms!$H$12),IF(N(Platforms!$C$12)*(Inventory!$K$5:$K$2004+IF(Platforms!$E$12="Yes",1,0)*Inventory!$L$5:$L$2004)+N(Platforms!$D$12)&lt;N(Platforms!$F$12),N(Platforms!$F$12),N(Platforms!$C$12)*(Inventory!$K$5:$K$2004+IF(Platforms!$E$12="Yes",1,0)*Inventory!$L$5:$L$2004)+N(Platforms!$D$12)))),0)))</f>
        <v>0</v>
      </c>
      <c r="I27">
        <f t="array" ref="I27">IF(Platforms!$B$12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$3,7,1))*(Inventory!$J$5:$J$2004&lt;DATE(Dashboard!$C$3,8,1))*(Inventory!$H$5:$H$2004=Platforms!$B$12))=1,IF(ISNUMBER(Inventory!$N$5:$N$2004),Inventory!$N$5:$N$2004,IF(Inventory!$K$5:$K$2004&lt;N(Platforms!$G$12),N(Platforms!$H$12),IF(N(Platforms!$C$12)*(Inventory!$K$5:$K$2004+IF(Platforms!$E$12="Yes",1,0)*Inventory!$L$5:$L$2004)+N(Platforms!$D$12)&lt;N(Platforms!$F$12),N(Platforms!$F$12),N(Platforms!$C$12)*(Inventory!$K$5:$K$2004+IF(Platforms!$E$12="Yes",1,0)*Inventory!$L$5:$L$2004)+N(Platforms!$D$12)))),0)))</f>
        <v>0</v>
      </c>
      <c r="J27">
        <f t="array" ref="J27">IF(Platforms!$B$12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$3,8,1))*(Inventory!$J$5:$J$2004&lt;DATE(Dashboard!$C$3,9,1))*(Inventory!$H$5:$H$2004=Platforms!$B$12))=1,IF(ISNUMBER(Inventory!$N$5:$N$2004),Inventory!$N$5:$N$2004,IF(Inventory!$K$5:$K$2004&lt;N(Platforms!$G$12),N(Platforms!$H$12),IF(N(Platforms!$C$12)*(Inventory!$K$5:$K$2004+IF(Platforms!$E$12="Yes",1,0)*Inventory!$L$5:$L$2004)+N(Platforms!$D$12)&lt;N(Platforms!$F$12),N(Platforms!$F$12),N(Platforms!$C$12)*(Inventory!$K$5:$K$2004+IF(Platforms!$E$12="Yes",1,0)*Inventory!$L$5:$L$2004)+N(Platforms!$D$12)))),0)))</f>
        <v>0</v>
      </c>
      <c r="K27">
        <f t="array" ref="K27">IF(Platforms!$B$12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$3,9,1))*(Inventory!$J$5:$J$2004&lt;DATE(Dashboard!$C$3,10,1))*(Inventory!$H$5:$H$2004=Platforms!$B$12))=1,IF(ISNUMBER(Inventory!$N$5:$N$2004),Inventory!$N$5:$N$2004,IF(Inventory!$K$5:$K$2004&lt;N(Platforms!$G$12),N(Platforms!$H$12),IF(N(Platforms!$C$12)*(Inventory!$K$5:$K$2004+IF(Platforms!$E$12="Yes",1,0)*Inventory!$L$5:$L$2004)+N(Platforms!$D$12)&lt;N(Platforms!$F$12),N(Platforms!$F$12),N(Platforms!$C$12)*(Inventory!$K$5:$K$2004+IF(Platforms!$E$12="Yes",1,0)*Inventory!$L$5:$L$2004)+N(Platforms!$D$12)))),0)))</f>
        <v>0</v>
      </c>
      <c r="L27">
        <f t="array" ref="L27">IF(Platforms!$B$12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$3,10,1))*(Inventory!$J$5:$J$2004&lt;DATE(Dashboard!$C$3,11,1))*(Inventory!$H$5:$H$2004=Platforms!$B$12))=1,IF(ISNUMBER(Inventory!$N$5:$N$2004),Inventory!$N$5:$N$2004,IF(Inventory!$K$5:$K$2004&lt;N(Platforms!$G$12),N(Platforms!$H$12),IF(N(Platforms!$C$12)*(Inventory!$K$5:$K$2004+IF(Platforms!$E$12="Yes",1,0)*Inventory!$L$5:$L$2004)+N(Platforms!$D$12)&lt;N(Platforms!$F$12),N(Platforms!$F$12),N(Platforms!$C$12)*(Inventory!$K$5:$K$2004+IF(Platforms!$E$12="Yes",1,0)*Inventory!$L$5:$L$2004)+N(Platforms!$D$12)))),0)))</f>
        <v>0</v>
      </c>
      <c r="M27">
        <f t="array" ref="M27">IF(Platforms!$B$12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$3,11,1))*(Inventory!$J$5:$J$2004&lt;DATE(Dashboard!$C$3,12,1))*(Inventory!$H$5:$H$2004=Platforms!$B$12))=1,IF(ISNUMBER(Inventory!$N$5:$N$2004),Inventory!$N$5:$N$2004,IF(Inventory!$K$5:$K$2004&lt;N(Platforms!$G$12),N(Platforms!$H$12),IF(N(Platforms!$C$12)*(Inventory!$K$5:$K$2004+IF(Platforms!$E$12="Yes",1,0)*Inventory!$L$5:$L$2004)+N(Platforms!$D$12)&lt;N(Platforms!$F$12),N(Platforms!$F$12),N(Platforms!$C$12)*(Inventory!$K$5:$K$2004+IF(Platforms!$E$12="Yes",1,0)*Inventory!$L$5:$L$2004)+N(Platforms!$D$12)))),0)))</f>
        <v>0</v>
      </c>
      <c r="N27">
        <f t="array" ref="N27">IF(Platforms!$B$12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$3,12,1))*(Inventory!$J$5:$J$2004&lt;DATE(Dashboard!$C$3,13,1))*(Inventory!$H$5:$H$2004=Platforms!$B$12))=1,IF(ISNUMBER(Inventory!$N$5:$N$2004),Inventory!$N$5:$N$2004,IF(Inventory!$K$5:$K$2004&lt;N(Platforms!$G$12),N(Platforms!$H$12),IF(N(Platforms!$C$12)*(Inventory!$K$5:$K$2004+IF(Platforms!$E$12="Yes",1,0)*Inventory!$L$5:$L$2004)+N(Platforms!$D$12)&lt;N(Platforms!$F$12),N(Platforms!$F$12),N(Platforms!$C$12)*(Inventory!$K$5:$K$2004+IF(Platforms!$E$12="Yes",1,0)*Inventory!$L$5:$L$2004)+N(Platforms!$D$12)))),0)))</f>
        <v>0</v>
      </c>
      <c r="P27">
        <f>IF(Platforms!$B$12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$12)))</f>
        <v>0</v>
      </c>
      <c r="Q27">
        <f>IF(Platforms!$B$12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$12),Inventory!$K$5:$K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$12),Inventory!$L$5:$L$2004)-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$12),Inventory!$O$5:$O$2004))</f>
        <v>0</v>
      </c>
      <c r="R27">
        <f t="shared" si="4"/>
        <v>0</v>
      </c>
      <c r="S27">
        <f>IF(Platforms!$B$12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$12),Inventory!$M$5:$M$2004))</f>
        <v>0</v>
      </c>
      <c r="T27">
        <f>IF(Platforms!$B$12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$12)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$12),Inventory!$G$5:$G$2004))</f>
        <v>0</v>
      </c>
      <c r="U27">
        <f t="shared" si="5"/>
        <v>0</v>
      </c>
    </row>
    <row r="28" spans="2:21" x14ac:dyDescent="0.35">
      <c r="B28">
        <f>Platforms!$B$13</f>
        <v>0</v>
      </c>
      <c r="C28">
        <f t="array" ref="C28">IF(Platforms!$B$13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$3,2,1))*(Inventory!$H$5:$H$2004=Platforms!$B$13))=1,IF(ISNUMBER(Inventory!$N$5:$N$2004),Inventory!$N$5:$N$2004,IF(Inventory!$K$5:$K$2004&lt;N(Platforms!$G$13),N(Platforms!$H$13),IF(N(Platforms!$C$13)*(Inventory!$K$5:$K$2004+IF(Platforms!$E$13="Yes",1,0)*Inventory!$L$5:$L$2004)+N(Platforms!$D$13)&lt;N(Platforms!$F$13),N(Platforms!$F$13),N(Platforms!$C$13)*(Inventory!$K$5:$K$2004+IF(Platforms!$E$13="Yes",1,0)*Inventory!$L$5:$L$2004)+N(Platforms!$D$13)))),0)))</f>
        <v>0</v>
      </c>
      <c r="D28">
        <f t="array" ref="D28">IF(Platforms!$B$13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$3,2,1))*(Inventory!$J$5:$J$2004&lt;DATE(Dashboard!$C$3,3,1))*(Inventory!$H$5:$H$2004=Platforms!$B$13))=1,IF(ISNUMBER(Inventory!$N$5:$N$2004),Inventory!$N$5:$N$2004,IF(Inventory!$K$5:$K$2004&lt;N(Platforms!$G$13),N(Platforms!$H$13),IF(N(Platforms!$C$13)*(Inventory!$K$5:$K$2004+IF(Platforms!$E$13="Yes",1,0)*Inventory!$L$5:$L$2004)+N(Platforms!$D$13)&lt;N(Platforms!$F$13),N(Platforms!$F$13),N(Platforms!$C$13)*(Inventory!$K$5:$K$2004+IF(Platforms!$E$13="Yes",1,0)*Inventory!$L$5:$L$2004)+N(Platforms!$D$13)))),0)))</f>
        <v>0</v>
      </c>
      <c r="E28">
        <f t="array" ref="E28">IF(Platforms!$B$13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$3,3,1))*(Inventory!$J$5:$J$2004&lt;DATE(Dashboard!$C$3,4,1))*(Inventory!$H$5:$H$2004=Platforms!$B$13))=1,IF(ISNUMBER(Inventory!$N$5:$N$2004),Inventory!$N$5:$N$2004,IF(Inventory!$K$5:$K$2004&lt;N(Platforms!$G$13),N(Platforms!$H$13),IF(N(Platforms!$C$13)*(Inventory!$K$5:$K$2004+IF(Platforms!$E$13="Yes",1,0)*Inventory!$L$5:$L$2004)+N(Platforms!$D$13)&lt;N(Platforms!$F$13),N(Platforms!$F$13),N(Platforms!$C$13)*(Inventory!$K$5:$K$2004+IF(Platforms!$E$13="Yes",1,0)*Inventory!$L$5:$L$2004)+N(Platforms!$D$13)))),0)))</f>
        <v>0</v>
      </c>
      <c r="F28">
        <f t="array" ref="F28">IF(Platforms!$B$13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$3,4,1))*(Inventory!$J$5:$J$2004&lt;DATE(Dashboard!$C$3,5,1))*(Inventory!$H$5:$H$2004=Platforms!$B$13))=1,IF(ISNUMBER(Inventory!$N$5:$N$2004),Inventory!$N$5:$N$2004,IF(Inventory!$K$5:$K$2004&lt;N(Platforms!$G$13),N(Platforms!$H$13),IF(N(Platforms!$C$13)*(Inventory!$K$5:$K$2004+IF(Platforms!$E$13="Yes",1,0)*Inventory!$L$5:$L$2004)+N(Platforms!$D$13)&lt;N(Platforms!$F$13),N(Platforms!$F$13),N(Platforms!$C$13)*(Inventory!$K$5:$K$2004+IF(Platforms!$E$13="Yes",1,0)*Inventory!$L$5:$L$2004)+N(Platforms!$D$13)))),0)))</f>
        <v>0</v>
      </c>
      <c r="G28">
        <f t="array" ref="G28">IF(Platforms!$B$13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$3,5,1))*(Inventory!$J$5:$J$2004&lt;DATE(Dashboard!$C$3,6,1))*(Inventory!$H$5:$H$2004=Platforms!$B$13))=1,IF(ISNUMBER(Inventory!$N$5:$N$2004),Inventory!$N$5:$N$2004,IF(Inventory!$K$5:$K$2004&lt;N(Platforms!$G$13),N(Platforms!$H$13),IF(N(Platforms!$C$13)*(Inventory!$K$5:$K$2004+IF(Platforms!$E$13="Yes",1,0)*Inventory!$L$5:$L$2004)+N(Platforms!$D$13)&lt;N(Platforms!$F$13),N(Platforms!$F$13),N(Platforms!$C$13)*(Inventory!$K$5:$K$2004+IF(Platforms!$E$13="Yes",1,0)*Inventory!$L$5:$L$2004)+N(Platforms!$D$13)))),0)))</f>
        <v>0</v>
      </c>
      <c r="H28">
        <f t="array" ref="H28">IF(Platforms!$B$13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$3,6,1))*(Inventory!$J$5:$J$2004&lt;DATE(Dashboard!$C$3,7,1))*(Inventory!$H$5:$H$2004=Platforms!$B$13))=1,IF(ISNUMBER(Inventory!$N$5:$N$2004),Inventory!$N$5:$N$2004,IF(Inventory!$K$5:$K$2004&lt;N(Platforms!$G$13),N(Platforms!$H$13),IF(N(Platforms!$C$13)*(Inventory!$K$5:$K$2004+IF(Platforms!$E$13="Yes",1,0)*Inventory!$L$5:$L$2004)+N(Platforms!$D$13)&lt;N(Platforms!$F$13),N(Platforms!$F$13),N(Platforms!$C$13)*(Inventory!$K$5:$K$2004+IF(Platforms!$E$13="Yes",1,0)*Inventory!$L$5:$L$2004)+N(Platforms!$D$13)))),0)))</f>
        <v>0</v>
      </c>
      <c r="I28">
        <f t="array" ref="I28">IF(Platforms!$B$13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$3,7,1))*(Inventory!$J$5:$J$2004&lt;DATE(Dashboard!$C$3,8,1))*(Inventory!$H$5:$H$2004=Platforms!$B$13))=1,IF(ISNUMBER(Inventory!$N$5:$N$2004),Inventory!$N$5:$N$2004,IF(Inventory!$K$5:$K$2004&lt;N(Platforms!$G$13),N(Platforms!$H$13),IF(N(Platforms!$C$13)*(Inventory!$K$5:$K$2004+IF(Platforms!$E$13="Yes",1,0)*Inventory!$L$5:$L$2004)+N(Platforms!$D$13)&lt;N(Platforms!$F$13),N(Platforms!$F$13),N(Platforms!$C$13)*(Inventory!$K$5:$K$2004+IF(Platforms!$E$13="Yes",1,0)*Inventory!$L$5:$L$2004)+N(Platforms!$D$13)))),0)))</f>
        <v>0</v>
      </c>
      <c r="J28">
        <f t="array" ref="J28">IF(Platforms!$B$13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$3,8,1))*(Inventory!$J$5:$J$2004&lt;DATE(Dashboard!$C$3,9,1))*(Inventory!$H$5:$H$2004=Platforms!$B$13))=1,IF(ISNUMBER(Inventory!$N$5:$N$2004),Inventory!$N$5:$N$2004,IF(Inventory!$K$5:$K$2004&lt;N(Platforms!$G$13),N(Platforms!$H$13),IF(N(Platforms!$C$13)*(Inventory!$K$5:$K$2004+IF(Platforms!$E$13="Yes",1,0)*Inventory!$L$5:$L$2004)+N(Platforms!$D$13)&lt;N(Platforms!$F$13),N(Platforms!$F$13),N(Platforms!$C$13)*(Inventory!$K$5:$K$2004+IF(Platforms!$E$13="Yes",1,0)*Inventory!$L$5:$L$2004)+N(Platforms!$D$13)))),0)))</f>
        <v>0</v>
      </c>
      <c r="K28">
        <f t="array" ref="K28">IF(Platforms!$B$13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$3,9,1))*(Inventory!$J$5:$J$2004&lt;DATE(Dashboard!$C$3,10,1))*(Inventory!$H$5:$H$2004=Platforms!$B$13))=1,IF(ISNUMBER(Inventory!$N$5:$N$2004),Inventory!$N$5:$N$2004,IF(Inventory!$K$5:$K$2004&lt;N(Platforms!$G$13),N(Platforms!$H$13),IF(N(Platforms!$C$13)*(Inventory!$K$5:$K$2004+IF(Platforms!$E$13="Yes",1,0)*Inventory!$L$5:$L$2004)+N(Platforms!$D$13)&lt;N(Platforms!$F$13),N(Platforms!$F$13),N(Platforms!$C$13)*(Inventory!$K$5:$K$2004+IF(Platforms!$E$13="Yes",1,0)*Inventory!$L$5:$L$2004)+N(Platforms!$D$13)))),0)))</f>
        <v>0</v>
      </c>
      <c r="L28">
        <f t="array" ref="L28">IF(Platforms!$B$13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$3,10,1))*(Inventory!$J$5:$J$2004&lt;DATE(Dashboard!$C$3,11,1))*(Inventory!$H$5:$H$2004=Platforms!$B$13))=1,IF(ISNUMBER(Inventory!$N$5:$N$2004),Inventory!$N$5:$N$2004,IF(Inventory!$K$5:$K$2004&lt;N(Platforms!$G$13),N(Platforms!$H$13),IF(N(Platforms!$C$13)*(Inventory!$K$5:$K$2004+IF(Platforms!$E$13="Yes",1,0)*Inventory!$L$5:$L$2004)+N(Platforms!$D$13)&lt;N(Platforms!$F$13),N(Platforms!$F$13),N(Platforms!$C$13)*(Inventory!$K$5:$K$2004+IF(Platforms!$E$13="Yes",1,0)*Inventory!$L$5:$L$2004)+N(Platforms!$D$13)))),0)))</f>
        <v>0</v>
      </c>
      <c r="M28">
        <f t="array" ref="M28">IF(Platforms!$B$13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$3,11,1))*(Inventory!$J$5:$J$2004&lt;DATE(Dashboard!$C$3,12,1))*(Inventory!$H$5:$H$2004=Platforms!$B$13))=1,IF(ISNUMBER(Inventory!$N$5:$N$2004),Inventory!$N$5:$N$2004,IF(Inventory!$K$5:$K$2004&lt;N(Platforms!$G$13),N(Platforms!$H$13),IF(N(Platforms!$C$13)*(Inventory!$K$5:$K$2004+IF(Platforms!$E$13="Yes",1,0)*Inventory!$L$5:$L$2004)+N(Platforms!$D$13)&lt;N(Platforms!$F$13),N(Platforms!$F$13),N(Platforms!$C$13)*(Inventory!$K$5:$K$2004+IF(Platforms!$E$13="Yes",1,0)*Inventory!$L$5:$L$2004)+N(Platforms!$D$13)))),0)))</f>
        <v>0</v>
      </c>
      <c r="N28">
        <f t="array" ref="N28">IF(Platforms!$B$13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$3,12,1))*(Inventory!$J$5:$J$2004&lt;DATE(Dashboard!$C$3,13,1))*(Inventory!$H$5:$H$2004=Platforms!$B$13))=1,IF(ISNUMBER(Inventory!$N$5:$N$2004),Inventory!$N$5:$N$2004,IF(Inventory!$K$5:$K$2004&lt;N(Platforms!$G$13),N(Platforms!$H$13),IF(N(Platforms!$C$13)*(Inventory!$K$5:$K$2004+IF(Platforms!$E$13="Yes",1,0)*Inventory!$L$5:$L$2004)+N(Platforms!$D$13)&lt;N(Platforms!$F$13),N(Platforms!$F$13),N(Platforms!$C$13)*(Inventory!$K$5:$K$2004+IF(Platforms!$E$13="Yes",1,0)*Inventory!$L$5:$L$2004)+N(Platforms!$D$13)))),0)))</f>
        <v>0</v>
      </c>
      <c r="P28">
        <f>IF(Platforms!$B$13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$13)))</f>
        <v>0</v>
      </c>
      <c r="Q28">
        <f>IF(Platforms!$B$13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$13),Inventory!$K$5:$K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$13),Inventory!$L$5:$L$2004)-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$13),Inventory!$O$5:$O$2004))</f>
        <v>0</v>
      </c>
      <c r="R28">
        <f t="shared" si="4"/>
        <v>0</v>
      </c>
      <c r="S28">
        <f>IF(Platforms!$B$13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$13),Inventory!$M$5:$M$2004))</f>
        <v>0</v>
      </c>
      <c r="T28">
        <f>IF(Platforms!$B$13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$13)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$13),Inventory!$G$5:$G$2004))</f>
        <v>0</v>
      </c>
      <c r="U28">
        <f t="shared" si="5"/>
        <v>0</v>
      </c>
    </row>
    <row r="29" spans="2:21" x14ac:dyDescent="0.35">
      <c r="B29">
        <f>Platforms!$B$14</f>
        <v>0</v>
      </c>
      <c r="C29">
        <f t="array" ref="C29">IF(Platforms!$B$14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$3,2,1))*(Inventory!$H$5:$H$2004=Platforms!$B$14))=1,IF(ISNUMBER(Inventory!$N$5:$N$2004),Inventory!$N$5:$N$2004,IF(Inventory!$K$5:$K$2004&lt;N(Platforms!$G$14),N(Platforms!$H$14),IF(N(Platforms!$C$14)*(Inventory!$K$5:$K$2004+IF(Platforms!$E$14="Yes",1,0)*Inventory!$L$5:$L$2004)+N(Platforms!$D$14)&lt;N(Platforms!$F$14),N(Platforms!$F$14),N(Platforms!$C$14)*(Inventory!$K$5:$K$2004+IF(Platforms!$E$14="Yes",1,0)*Inventory!$L$5:$L$2004)+N(Platforms!$D$14)))),0)))</f>
        <v>0</v>
      </c>
      <c r="D29">
        <f t="array" ref="D29">IF(Platforms!$B$14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$3,2,1))*(Inventory!$J$5:$J$2004&lt;DATE(Dashboard!$C$3,3,1))*(Inventory!$H$5:$H$2004=Platforms!$B$14))=1,IF(ISNUMBER(Inventory!$N$5:$N$2004),Inventory!$N$5:$N$2004,IF(Inventory!$K$5:$K$2004&lt;N(Platforms!$G$14),N(Platforms!$H$14),IF(N(Platforms!$C$14)*(Inventory!$K$5:$K$2004+IF(Platforms!$E$14="Yes",1,0)*Inventory!$L$5:$L$2004)+N(Platforms!$D$14)&lt;N(Platforms!$F$14),N(Platforms!$F$14),N(Platforms!$C$14)*(Inventory!$K$5:$K$2004+IF(Platforms!$E$14="Yes",1,0)*Inventory!$L$5:$L$2004)+N(Platforms!$D$14)))),0)))</f>
        <v>0</v>
      </c>
      <c r="E29">
        <f t="array" ref="E29">IF(Platforms!$B$14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$3,3,1))*(Inventory!$J$5:$J$2004&lt;DATE(Dashboard!$C$3,4,1))*(Inventory!$H$5:$H$2004=Platforms!$B$14))=1,IF(ISNUMBER(Inventory!$N$5:$N$2004),Inventory!$N$5:$N$2004,IF(Inventory!$K$5:$K$2004&lt;N(Platforms!$G$14),N(Platforms!$H$14),IF(N(Platforms!$C$14)*(Inventory!$K$5:$K$2004+IF(Platforms!$E$14="Yes",1,0)*Inventory!$L$5:$L$2004)+N(Platforms!$D$14)&lt;N(Platforms!$F$14),N(Platforms!$F$14),N(Platforms!$C$14)*(Inventory!$K$5:$K$2004+IF(Platforms!$E$14="Yes",1,0)*Inventory!$L$5:$L$2004)+N(Platforms!$D$14)))),0)))</f>
        <v>0</v>
      </c>
      <c r="F29">
        <f t="array" ref="F29">IF(Platforms!$B$14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$3,4,1))*(Inventory!$J$5:$J$2004&lt;DATE(Dashboard!$C$3,5,1))*(Inventory!$H$5:$H$2004=Platforms!$B$14))=1,IF(ISNUMBER(Inventory!$N$5:$N$2004),Inventory!$N$5:$N$2004,IF(Inventory!$K$5:$K$2004&lt;N(Platforms!$G$14),N(Platforms!$H$14),IF(N(Platforms!$C$14)*(Inventory!$K$5:$K$2004+IF(Platforms!$E$14="Yes",1,0)*Inventory!$L$5:$L$2004)+N(Platforms!$D$14)&lt;N(Platforms!$F$14),N(Platforms!$F$14),N(Platforms!$C$14)*(Inventory!$K$5:$K$2004+IF(Platforms!$E$14="Yes",1,0)*Inventory!$L$5:$L$2004)+N(Platforms!$D$14)))),0)))</f>
        <v>0</v>
      </c>
      <c r="G29">
        <f t="array" ref="G29">IF(Platforms!$B$14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$3,5,1))*(Inventory!$J$5:$J$2004&lt;DATE(Dashboard!$C$3,6,1))*(Inventory!$H$5:$H$2004=Platforms!$B$14))=1,IF(ISNUMBER(Inventory!$N$5:$N$2004),Inventory!$N$5:$N$2004,IF(Inventory!$K$5:$K$2004&lt;N(Platforms!$G$14),N(Platforms!$H$14),IF(N(Platforms!$C$14)*(Inventory!$K$5:$K$2004+IF(Platforms!$E$14="Yes",1,0)*Inventory!$L$5:$L$2004)+N(Platforms!$D$14)&lt;N(Platforms!$F$14),N(Platforms!$F$14),N(Platforms!$C$14)*(Inventory!$K$5:$K$2004+IF(Platforms!$E$14="Yes",1,0)*Inventory!$L$5:$L$2004)+N(Platforms!$D$14)))),0)))</f>
        <v>0</v>
      </c>
      <c r="H29">
        <f t="array" ref="H29">IF(Platforms!$B$14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$3,6,1))*(Inventory!$J$5:$J$2004&lt;DATE(Dashboard!$C$3,7,1))*(Inventory!$H$5:$H$2004=Platforms!$B$14))=1,IF(ISNUMBER(Inventory!$N$5:$N$2004),Inventory!$N$5:$N$2004,IF(Inventory!$K$5:$K$2004&lt;N(Platforms!$G$14),N(Platforms!$H$14),IF(N(Platforms!$C$14)*(Inventory!$K$5:$K$2004+IF(Platforms!$E$14="Yes",1,0)*Inventory!$L$5:$L$2004)+N(Platforms!$D$14)&lt;N(Platforms!$F$14),N(Platforms!$F$14),N(Platforms!$C$14)*(Inventory!$K$5:$K$2004+IF(Platforms!$E$14="Yes",1,0)*Inventory!$L$5:$L$2004)+N(Platforms!$D$14)))),0)))</f>
        <v>0</v>
      </c>
      <c r="I29">
        <f t="array" ref="I29">IF(Platforms!$B$14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$3,7,1))*(Inventory!$J$5:$J$2004&lt;DATE(Dashboard!$C$3,8,1))*(Inventory!$H$5:$H$2004=Platforms!$B$14))=1,IF(ISNUMBER(Inventory!$N$5:$N$2004),Inventory!$N$5:$N$2004,IF(Inventory!$K$5:$K$2004&lt;N(Platforms!$G$14),N(Platforms!$H$14),IF(N(Platforms!$C$14)*(Inventory!$K$5:$K$2004+IF(Platforms!$E$14="Yes",1,0)*Inventory!$L$5:$L$2004)+N(Platforms!$D$14)&lt;N(Platforms!$F$14),N(Platforms!$F$14),N(Platforms!$C$14)*(Inventory!$K$5:$K$2004+IF(Platforms!$E$14="Yes",1,0)*Inventory!$L$5:$L$2004)+N(Platforms!$D$14)))),0)))</f>
        <v>0</v>
      </c>
      <c r="J29">
        <f t="array" ref="J29">IF(Platforms!$B$14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$3,8,1))*(Inventory!$J$5:$J$2004&lt;DATE(Dashboard!$C$3,9,1))*(Inventory!$H$5:$H$2004=Platforms!$B$14))=1,IF(ISNUMBER(Inventory!$N$5:$N$2004),Inventory!$N$5:$N$2004,IF(Inventory!$K$5:$K$2004&lt;N(Platforms!$G$14),N(Platforms!$H$14),IF(N(Platforms!$C$14)*(Inventory!$K$5:$K$2004+IF(Platforms!$E$14="Yes",1,0)*Inventory!$L$5:$L$2004)+N(Platforms!$D$14)&lt;N(Platforms!$F$14),N(Platforms!$F$14),N(Platforms!$C$14)*(Inventory!$K$5:$K$2004+IF(Platforms!$E$14="Yes",1,0)*Inventory!$L$5:$L$2004)+N(Platforms!$D$14)))),0)))</f>
        <v>0</v>
      </c>
      <c r="K29">
        <f t="array" ref="K29">IF(Platforms!$B$14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$3,9,1))*(Inventory!$J$5:$J$2004&lt;DATE(Dashboard!$C$3,10,1))*(Inventory!$H$5:$H$2004=Platforms!$B$14))=1,IF(ISNUMBER(Inventory!$N$5:$N$2004),Inventory!$N$5:$N$2004,IF(Inventory!$K$5:$K$2004&lt;N(Platforms!$G$14),N(Platforms!$H$14),IF(N(Platforms!$C$14)*(Inventory!$K$5:$K$2004+IF(Platforms!$E$14="Yes",1,0)*Inventory!$L$5:$L$2004)+N(Platforms!$D$14)&lt;N(Platforms!$F$14),N(Platforms!$F$14),N(Platforms!$C$14)*(Inventory!$K$5:$K$2004+IF(Platforms!$E$14="Yes",1,0)*Inventory!$L$5:$L$2004)+N(Platforms!$D$14)))),0)))</f>
        <v>0</v>
      </c>
      <c r="L29">
        <f t="array" ref="L29">IF(Platforms!$B$14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$3,10,1))*(Inventory!$J$5:$J$2004&lt;DATE(Dashboard!$C$3,11,1))*(Inventory!$H$5:$H$2004=Platforms!$B$14))=1,IF(ISNUMBER(Inventory!$N$5:$N$2004),Inventory!$N$5:$N$2004,IF(Inventory!$K$5:$K$2004&lt;N(Platforms!$G$14),N(Platforms!$H$14),IF(N(Platforms!$C$14)*(Inventory!$K$5:$K$2004+IF(Platforms!$E$14="Yes",1,0)*Inventory!$L$5:$L$2004)+N(Platforms!$D$14)&lt;N(Platforms!$F$14),N(Platforms!$F$14),N(Platforms!$C$14)*(Inventory!$K$5:$K$2004+IF(Platforms!$E$14="Yes",1,0)*Inventory!$L$5:$L$2004)+N(Platforms!$D$14)))),0)))</f>
        <v>0</v>
      </c>
      <c r="M29">
        <f t="array" ref="M29">IF(Platforms!$B$14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$3,11,1))*(Inventory!$J$5:$J$2004&lt;DATE(Dashboard!$C$3,12,1))*(Inventory!$H$5:$H$2004=Platforms!$B$14))=1,IF(ISNUMBER(Inventory!$N$5:$N$2004),Inventory!$N$5:$N$2004,IF(Inventory!$K$5:$K$2004&lt;N(Platforms!$G$14),N(Platforms!$H$14),IF(N(Platforms!$C$14)*(Inventory!$K$5:$K$2004+IF(Platforms!$E$14="Yes",1,0)*Inventory!$L$5:$L$2004)+N(Platforms!$D$14)&lt;N(Platforms!$F$14),N(Platforms!$F$14),N(Platforms!$C$14)*(Inventory!$K$5:$K$2004+IF(Platforms!$E$14="Yes",1,0)*Inventory!$L$5:$L$2004)+N(Platforms!$D$14)))),0)))</f>
        <v>0</v>
      </c>
      <c r="N29">
        <f t="array" ref="N29">IF(Platforms!$B$14="",0,SUM(IF(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$3,12,1))*(Inventory!$J$5:$J$2004&lt;DATE(Dashboard!$C$3,13,1))*(Inventory!$H$5:$H$2004=Platforms!$B$14))=1,IF(ISNUMBER(Inventory!$N$5:$N$2004),Inventory!$N$5:$N$2004,IF(Inventory!$K$5:$K$2004&lt;N(Platforms!$G$14),N(Platforms!$H$14),IF(N(Platforms!$C$14)*(Inventory!$K$5:$K$2004+IF(Platforms!$E$14="Yes",1,0)*Inventory!$L$5:$L$2004)+N(Platforms!$D$14)&lt;N(Platforms!$F$14),N(Platforms!$F$14),N(Platforms!$C$14)*(Inventory!$K$5:$K$2004+IF(Platforms!$E$14="Yes",1,0)*Inventory!$L$5:$L$2004)+N(Platforms!$D$14)))),0)))</f>
        <v>0</v>
      </c>
      <c r="P29">
        <f>IF(Platforms!$B$14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$14)))</f>
        <v>0</v>
      </c>
      <c r="Q29">
        <f>IF(Platforms!$B$14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$14),Inventory!$K$5:$K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$14),Inventory!$L$5:$L$2004)-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$14),Inventory!$O$5:$O$2004))</f>
        <v>0</v>
      </c>
      <c r="R29">
        <f t="shared" si="4"/>
        <v>0</v>
      </c>
      <c r="S29">
        <f>IF(Platforms!$B$14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$14),Inventory!$M$5:$M$2004))</f>
        <v>0</v>
      </c>
      <c r="T29">
        <f>IF(Platforms!$B$14="",0,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$14),Inventory!$F$5:$F$2004)+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(Inventory!$H$5:$H$2004=Platforms!$B$14),Inventory!$G$5:$G$2004))</f>
        <v>0</v>
      </c>
      <c r="U29">
        <f t="shared" si="5"/>
        <v>0</v>
      </c>
    </row>
    <row r="32" spans="2:21" x14ac:dyDescent="0.35">
      <c r="B32" t="s">
        <v>181</v>
      </c>
      <c r="C32" t="s">
        <v>60</v>
      </c>
      <c r="D32" t="s">
        <v>61</v>
      </c>
    </row>
    <row r="33" spans="2:4" x14ac:dyDescent="0.35">
      <c r="B33" t="s">
        <v>182</v>
      </c>
      <c r="C33">
        <f ca="1"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*ISNUMBER(Inventory!$D$5:$D$2004)*(Inventory!$D$5:$D$2004&gt;=TODAY()-30))</f>
        <v>0</v>
      </c>
      <c r="D33">
        <f ca="1"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*ISNUMBER(Inventory!$D$5:$D$2004)*(Inventory!$D$5:$D$2004&gt;=TODAY()-30),Inventory!$F$5:$F$2004)+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*ISNUMBER(Inventory!$D$5:$D$2004)*(Inventory!$D$5:$D$2004&gt;=TODAY()-30),Inventory!$G$5:$G$2004)</f>
        <v>0</v>
      </c>
    </row>
    <row r="34" spans="2:4" x14ac:dyDescent="0.35">
      <c r="B34" t="s">
        <v>183</v>
      </c>
      <c r="C34">
        <f ca="1"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*ISNUMBER(Inventory!$D$5:$D$2004)*(Inventory!$D$5:$D$2004&lt;TODAY()-30)*(Inventory!$D$5:$D$2004&gt;=TODAY()-90))</f>
        <v>0</v>
      </c>
      <c r="D34">
        <f ca="1"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*ISNUMBER(Inventory!$D$5:$D$2004)*(Inventory!$D$5:$D$2004&lt;TODAY()-30)*(Inventory!$D$5:$D$2004&gt;=TODAY()-90),Inventory!$F$5:$F$2004)+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*ISNUMBER(Inventory!$D$5:$D$2004)*(Inventory!$D$5:$D$2004&lt;TODAY()-30)*(Inventory!$D$5:$D$2004&gt;=TODAY()-90),Inventory!$G$5:$G$2004)</f>
        <v>0</v>
      </c>
    </row>
    <row r="35" spans="2:4" x14ac:dyDescent="0.35">
      <c r="B35" t="s">
        <v>184</v>
      </c>
      <c r="C35">
        <f ca="1"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*ISNUMBER(Inventory!$D$5:$D$2004)*(Inventory!$D$5:$D$2004&lt;TODAY()-90)*(Inventory!$D$5:$D$2004&gt;=TODAY()-180))</f>
        <v>0</v>
      </c>
      <c r="D35">
        <f ca="1"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*ISNUMBER(Inventory!$D$5:$D$2004)*(Inventory!$D$5:$D$2004&lt;TODAY()-90)*(Inventory!$D$5:$D$2004&gt;=TODAY()-180),Inventory!$F$5:$F$2004)+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*ISNUMBER(Inventory!$D$5:$D$2004)*(Inventory!$D$5:$D$2004&lt;TODAY()-90)*(Inventory!$D$5:$D$2004&gt;=TODAY()-180),Inventory!$G$5:$G$2004)</f>
        <v>0</v>
      </c>
    </row>
    <row r="36" spans="2:4" x14ac:dyDescent="0.35">
      <c r="B36" t="s">
        <v>185</v>
      </c>
      <c r="C36">
        <f ca="1"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*ISNUMBER(Inventory!$D$5:$D$2004)*(Inventory!$D$5:$D$2004&lt;TODAY()-180))</f>
        <v>1</v>
      </c>
      <c r="D36">
        <f ca="1"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*ISNUMBER(Inventory!$D$5:$D$2004)*(Inventory!$D$5:$D$2004&lt;TODAY()-180),Inventory!$F$5:$F$2004)+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*ISNUMBER(Inventory!$D$5:$D$2004)*(Inventory!$D$5:$D$2004&lt;TODAY()-180),Inventory!$G$5:$G$2004)</f>
        <v>3</v>
      </c>
    </row>
    <row r="37" spans="2:4" x14ac:dyDescent="0.35">
      <c r="B37" t="s">
        <v>186</v>
      </c>
      <c r="C37">
        <f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*(Inventory!$D$5:$D$2004=""))</f>
        <v>0</v>
      </c>
      <c r="D37">
        <f>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*(Inventory!$D$5:$D$2004=""),Inventory!$F$5:$F$2004)+SUMPRODUCT(((((Inventory!$B$5:$B$2004&lt;&gt;"")+(Inventory!$D$5:$D$2004&lt;&gt;"")+(Inventory!$F$5:$F$2004&lt;&gt;"")+(Inventory!$G$5:$G$2004&lt;&gt;"")+(Inventory!$H$5:$H$2004&lt;&gt;"")+(Inventory!$I$5:$I$2004&lt;&gt;"")+(Inventory!$J$5:$J$2004&lt;&gt;"")+(Inventory!$K$5:$K$2004&lt;&gt;"")+(Inventory!$L$5:$L$2004&lt;&gt;"")+(Inventory!$M$5:$M$2004&lt;&gt;"")+(Inventory!$N$5:$N$2004&lt;&gt;"")+(Inventory!$O$5:$O$2004&lt;&gt;""))&gt;0))*((Inventory!$J$5:$J$2004="")*(Inventory!$K$5:$K$2004="")*(Inventory!$L$5:$L$2004="")*(Inventory!$M$5:$M$2004="")*(Inventory!$N$5:$N$2004="")*(Inventory!$O$5:$O$2004=""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((Inventory!$H$5:$H$2004="")+ISNUMBER(MATCH(Inventory!$H$5:$H$2004,Lists!$A$2:$A$11,0)))&gt;0))*(Inventory!$D$5:$D$2004=""),Inventory!$G$5:$G$2004)</f>
        <v>0</v>
      </c>
    </row>
    <row r="38" spans="2:4" x14ac:dyDescent="0.35">
      <c r="B38" t="s">
        <v>187</v>
      </c>
      <c r="C38">
        <f ca="1">SUM(C33:C37)</f>
        <v>1</v>
      </c>
      <c r="D38">
        <f ca="1">SUM(D33:D37)</f>
        <v>3</v>
      </c>
    </row>
    <row r="40" spans="2:4" x14ac:dyDescent="0.35">
      <c r="B40" t="s">
        <v>188</v>
      </c>
      <c r="C40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ISNUMBER(Inventory!$D$5:$D$2004))</f>
        <v>1</v>
      </c>
    </row>
    <row r="41" spans="2:4" x14ac:dyDescent="0.35">
      <c r="B41" t="s">
        <v>189</v>
      </c>
      <c r="C41">
        <f>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ISNUMBER(Inventory!$D$5:$D$2004),Inventory!$J$5:$J$2004)-SUMPRODUCT((ISNUMBER(Inventory!$J$5:$J$2004)*ISNUMBER(Inventory!$K$5:$K$2004)*ISNUMBER(MATCH(Inventory!$H$5:$H$2004,Lists!$A$2:$A$11,0))*(ISNUMBER(Inventory!$D$5:$D$2004)+(Inventory!$D$5:$D$2004=""))*(ISNUMBER(Inventory!$F$5:$F$2004)+(Inventory!$F$5:$F$2004=""))*(ISNUMBER(Inventory!$G$5:$G$2004)+(Inventory!$G$5:$G$2004=""))*(ISNUMBER(Inventory!$I$5:$I$2004)+(Inventory!$I$5:$I$2004=""))*(Inventory!$F$5:$F$2004&gt;=0)*(Inventory!$G$5:$G$2004&gt;=0)*(Inventory!$K$5:$K$2004&gt;=0)*(Inventory!$L$5:$L$2004&gt;=0)*(Inventory!$M$5:$M$2004&gt;=0)*(Inventory!$N$5:$N$2004&gt;=0)*(Inventory!$O$5:$O$2004&gt;=0)*(ISNUMBER(Inventory!$L$5:$L$2004)+(Inventory!$L$5:$L$2004=""))*(ISNUMBER(Inventory!$M$5:$M$2004)+(Inventory!$M$5:$M$2004=""))*(ISNUMBER(Inventory!$N$5:$N$2004)+(Inventory!$N$5:$N$2004=""))*(ISNUMBER(Inventory!$O$5:$O$2004)+(Inventory!$O$5:$O$2004=""))*(((Inventory!$D$5:$D$2004="")+(Inventory!$J$5:$J$2004&gt;=Inventory!$D$5:$D$2004))&gt;0))*(Inventory!$J$5:$J$2004&gt;=DATE(Dashboard!$C$3,1,1))*(Inventory!$J$5:$J$2004&lt;DATE(Dashboard!$C$3+1,1,1))*ISNUMBER(Inventory!$D$5:$D$2004),Inventory!$D$5:$D$2004)</f>
        <v>15</v>
      </c>
    </row>
    <row r="42" spans="2:4" x14ac:dyDescent="0.35">
      <c r="B42" t="s">
        <v>190</v>
      </c>
      <c r="C42">
        <f>IF(C40&gt;0,C41/C40,0)</f>
        <v>15</v>
      </c>
    </row>
    <row r="43" spans="2:4" x14ac:dyDescent="0.35">
      <c r="B43" t="s">
        <v>191</v>
      </c>
      <c r="C43">
        <f ca="1">IF(C15+C38&gt;0,C15/(C15+C38),0)</f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Dashboard</vt:lpstr>
      <vt:lpstr>Inventory</vt:lpstr>
      <vt:lpstr>Expenses</vt:lpstr>
      <vt:lpstr>Monthly P&amp;L</vt:lpstr>
      <vt:lpstr>Buy or Pass</vt:lpstr>
      <vt:lpstr>Platforms</vt:lpstr>
      <vt:lpstr>Lists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Murphy</cp:lastModifiedBy>
  <dcterms:created xsi:type="dcterms:W3CDTF">2026-10-23T13:59:06Z</dcterms:created>
  <dcterms:modified xsi:type="dcterms:W3CDTF">2026-10-23T14:09:07Z</dcterms:modified>
</cp:coreProperties>
</file>